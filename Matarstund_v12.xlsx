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<sst xmlns="http://schemas.openxmlformats.org/spreadsheetml/2006/main" count="31684" uniqueCount="2468">
  <si>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</si>
  <si>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</si>
  <si>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</si>
  <si>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</si>
  <si>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</si>
  <si>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</si>
  <si>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</si>
  <si>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</si>
  <si>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</si>
  <si>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</si>
  <si>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</si>
  <si>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</si>
  <si>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</si>
  <si>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</si>
  <si>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</si>
  <si>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</si>
  <si>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</si>
  <si>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</si>
  <si>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</si>
  <si>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</si>
  <si>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</si>
  <si>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</si>
  <si>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</si>
  <si>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</si>
  <si>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</si>
  <si>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</si>
  <si>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</si>
  <si>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</si>
  <si>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</si>
  <si>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</si>
  <si>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</si>
  <si>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</si>
  <si>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</si>
  <si>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</si>
  <si>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</si>
  <si>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</si>
  <si>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</si>
  <si>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</si>
  <si>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</si>
  <si>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</si>
  <si>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</si>
  <si>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</si>
  <si>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</si>
  <si>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</si>
  <si>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</si>
  <si>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</si>
  <si>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</si>
  <si>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</si>
  <si>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</si>
  <si>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</si>
  <si>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</si>
  <si>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</si>
  <si>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</si>
  <si>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</si>
  <si>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</si>
  <si>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</si>
  <si>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</si>
  <si>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</si>
  <si>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</si>
  <si>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</si>
  <si>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</si>
  <si>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</si>
  <si>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</si>
  <si>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</si>
  <si>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</si>
  <si>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</si>
  <si>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</si>
  <si>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</si>
  <si>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</si>
  <si>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</si>
  <si>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</si>
  <si>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</si>
  <si>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</si>
  <si>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</si>
  <si>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</si>
  <si>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</si>
  <si>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</si>
  <si>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</si>
  <si>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</si>
  <si>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</si>
  <si>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</si>
  <si>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</si>
  <si>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</si>
  <si>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</si>
  <si>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</si>
  <si>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</si>
  <si>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</si>
  <si>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</si>
  <si>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</si>
  <si>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</si>
  <si>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</si>
  <si>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</si>
  <si>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</si>
  <si>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</si>
  <si>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</si>
  <si>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</si>
  <si>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</si>
  <si>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</si>
  <si>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</si>
  <si>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</si>
  <si>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</si>
  <si>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</si>
  <si>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</si>
  <si>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</si>
  <si>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</si>
  <si>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</si>
  <si>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</si>
  <si>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</si>
  <si>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</si>
  <si>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</si>
  <si>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</si>
  <si>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</si>
  <si>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</si>
  <si>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</si>
  <si>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</si>
  <si>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</si>
  <si>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</si>
  <si>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</si>
  <si>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</si>
  <si>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</si>
  <si>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</si>
  <si>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</si>
  <si>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</si>
  <si>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</si>
  <si>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</si>
  <si>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</si>
  <si>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</si>
  <si>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</si>
  <si>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</si>
  <si>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</si>
  <si>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</si>
  <si>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</si>
  <si>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</si>
  <si>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</si>
  <si>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</si>
  <si>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</si>
  <si>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</si>
  <si>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</si>
  <si>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</si>
  <si>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</si>
  <si>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</si>
  <si>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</si>
  <si>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</si>
  <si>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</si>
  <si>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</si>
  <si>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</si>
  <si>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</si>
  <si>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</si>
  <si>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</si>
  <si>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</si>
  <si>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</si>
  <si>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</si>
  <si>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</si>
  <si>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</si>
  <si>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</si>
  <si>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</si>
  <si>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</si>
  <si>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</si>
  <si>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</si>
  <si>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</si>
  <si>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</si>
  <si>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</si>
  <si>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</si>
  <si>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</si>
  <si>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</si>
  <si>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</si>
  <si>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</si>
  <si>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</si>
  <si>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</si>
  <si>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</si>
  <si>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</si>
  <si>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</si>
  <si>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</si>
  <si>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</si>
  <si>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</si>
  <si>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</si>
  <si>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</si>
  <si>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</si>
  <si>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</si>
  <si>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</si>
  <si>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</si>
  <si>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</si>
  <si>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</si>
  <si>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</si>
  <si>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</si>
  <si>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</si>
  <si>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</si>
  <si>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</si>
  <si>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</si>
  <si>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</si>
  <si>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</si>
  <si>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</si>
  <si>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</si>
  <si>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</si>
  <si>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</si>
  <si>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</si>
  <si>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</si>
  <si>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</si>
  <si>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</si>
  <si>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</si>
  <si>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</si>
  <si>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</si>
  <si>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</si>
  <si>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</si>
  <si>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</si>
  <si>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</si>
  <si>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</si>
  <si>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</si>
  <si>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</si>
  <si>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</si>
  <si>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</si>
  <si>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</si>
  <si>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</si>
  <si>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</si>
  <si>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</si>
  <si>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</si>
  <si>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</si>
  <si>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</si>
  <si>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</si>
  <si>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</si>
  <si>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</si>
  <si>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</si>
  <si>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</si>
  <si>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</si>
  <si>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</si>
  <si>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</si>
  <si>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</si>
  <si>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</si>
  <si>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</si>
  <si>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</si>
  <si>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</si>
  <si>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</si>
  <si>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</si>
  <si>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</si>
  <si>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</si>
  <si>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</si>
  <si>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</si>
  <si>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</si>
  <si>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</si>
  <si>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</si>
  <si>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</si>
  <si>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</si>
  <si>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</si>
  <si>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</si>
  <si>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</si>
  <si>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</si>
  <si>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</si>
  <si>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</si>
  <si>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</si>
  <si>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</si>
  <si>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</si>
  <si>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</si>
  <si>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</si>
  <si>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</si>
  <si>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</si>
  <si>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</si>
  <si>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</si>
  <si>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</si>
  <si>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</si>
  <si>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</si>
  <si>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</si>
  <si>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</si>
  <si>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</si>
  <si>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</si>
  <si>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</si>
  <si>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</si>
  <si>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</si>
  <si>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</si>
  <si>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</si>
  <si>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</si>
  <si>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</si>
  <si>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</si>
  <si>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</si>
  <si>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</si>
  <si>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</si>
  <si>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</si>
  <si>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</si>
  <si>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</si>
  <si>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</si>
  <si>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</si>
  <si>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</si>
  <si>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</si>
  <si>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</si>
  <si>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</si>
  <si>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</si>
  <si>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</si>
  <si>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</si>
  <si>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</si>
  <si>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</si>
  <si>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</si>
  <si>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</si>
  <si>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</si>
  <si>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</si>
  <si>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</si>
  <si>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</si>
  <si>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</si>
  <si>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</si>
  <si>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</si>
  <si>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</si>
  <si>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</si>
  <si>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</si>
  <si>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</si>
  <si>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</si>
  <si>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</si>
  <si>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</si>
  <si>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</si>
  <si>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</si>
  <si>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</si>
  <si>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</si>
  <si>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</si>
  <si>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</si>
  <si>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</si>
  <si>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</si>
  <si>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</si>
  <si>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</si>
  <si>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</si>
  <si>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</si>
  <si>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</si>
  <si>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</si>
  <si>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</si>
  <si>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</si>
  <si>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</si>
  <si>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</si>
  <si>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</si>
  <si>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</si>
  <si>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</si>
  <si>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</si>
  <si>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</si>
  <si>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</si>
  <si>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</si>
  <si>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</si>
  <si>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</si>
  <si>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</si>
  <si>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</si>
  <si>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</si>
  <si>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</si>
  <si>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</si>
  <si>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</si>
  <si>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</si>
  <si>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</si>
  <si>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</si>
  <si>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</si>
  <si>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</si>
  <si>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</si>
  <si>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</si>
  <si>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</si>
  <si>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</si>
  <si>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</si>
  <si>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</si>
  <si>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</si>
  <si>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</si>
  <si>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</si>
  <si>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</si>
  <si>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</si>
  <si>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</si>
  <si>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</si>
  <si>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</si>
  <si>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</si>
  <si>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</si>
  <si>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</si>
  <si>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</si>
  <si>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</si>
  <si>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</si>
  <si>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</si>
  <si>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</si>
  <si>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</si>
  <si>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</si>
  <si>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</si>
  <si>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</si>
  <si>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</si>
  <si>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</si>
  <si>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</si>
  <si>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</si>
  <si>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</si>
  <si>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</si>
  <si>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</si>
  <si>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</si>
  <si>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</si>
  <si>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</si>
  <si>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</si>
  <si>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</si>
  <si>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</si>
  <si>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</si>
  <si>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</si>
  <si>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</si>
  <si>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</si>
  <si>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</si>
  <si>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</si>
  <si>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</si>
  <si>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</si>
  <si>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</si>
  <si>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</si>
  <si>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</si>
  <si>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</si>
  <si>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</si>
  <si>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</si>
  <si>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</si>
  <si>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</si>
  <si>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</si>
  <si>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</si>
  <si>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</si>
  <si>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</si>
  <si>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</si>
  <si>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</si>
  <si>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</si>
  <si>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</si>
  <si>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</si>
  <si>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</si>
  <si>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</si>
  <si>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</si>
  <si>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</si>
  <si>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</si>
  <si>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</si>
  <si>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</si>
  <si>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</si>
  <si>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</si>
  <si>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</si>
  <si>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</si>
  <si>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</si>
  <si>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</si>
  <si>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</si>
  <si>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</si>
  <si>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</si>
  <si>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</si>
  <si>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</si>
  <si>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</si>
  <si>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</si>
  <si>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</si>
  <si>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</si>
  <si>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</si>
  <si>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</si>
  <si>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</si>
  <si>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</si>
  <si>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</si>
  <si>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</si>
  <si>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</si>
  <si>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</si>
  <si>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</si>
  <si>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</si>
  <si>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</si>
  <si>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</si>
  <si>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</si>
  <si>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</si>
  <si>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</si>
  <si>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</si>
  <si>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</si>
  <si>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</si>
  <si>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</si>
  <si>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</si>
  <si>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</si>
  <si>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</si>
  <si>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</si>
  <si>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</si>
  <si>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</si>
  <si>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</si>
  <si>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</si>
  <si>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</si>
  <si>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</si>
  <si>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</si>
  <si>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</si>
  <si>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</si>
  <si>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</si>
  <si>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</si>
  <si>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</si>
  <si>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</si>
  <si>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</si>
  <si>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</si>
  <si>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</si>
  <si>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</si>
  <si>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</si>
  <si>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</si>
  <si>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</si>
  <si>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</si>
  <si>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</si>
  <si>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</si>
  <si>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</si>
  <si>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</si>
  <si>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</si>
  <si>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</si>
  <si>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</si>
  <si>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</si>
  <si>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</si>
  <si>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</si>
  <si>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</si>
  <si>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</si>
  <si>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</si>
  <si>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</si>
  <si>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</si>
  <si>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</si>
  <si>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</si>
  <si>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</si>
  <si>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</si>
  <si>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</si>
  <si>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</si>
  <si>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</si>
  <si>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</si>
  <si>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</si>
  <si>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</si>
  <si>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</si>
  <si>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</si>
  <si>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</si>
  <si>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</si>
  <si>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</si>
  <si>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</si>
  <si>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</si>
  <si>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</si>
  <si>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</si>
  <si>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</si>
  <si>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</si>
  <si>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</si>
  <si>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</si>
  <si>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</si>
  <si>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</si>
  <si>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</si>
  <si>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</si>
  <si>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</si>
  <si>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</si>
  <si>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</si>
  <si>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</si>
  <si>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</si>
  <si>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</si>
  <si>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</si>
  <si>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</si>
  <si>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</si>
  <si>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</si>
  <si>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</si>
  <si>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</si>
  <si>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</si>
  <si>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</si>
  <si>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</si>
  <si>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</si>
  <si>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</si>
  <si>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</si>
  <si>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</si>
  <si>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</si>
  <si>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</si>
  <si>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</si>
  <si>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</si>
  <si>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</si>
  <si>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</si>
  <si>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</si>
  <si>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</si>
  <si>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</si>
  <si>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</si>
  <si>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</si>
  <si>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</si>
  <si>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</si>
  <si>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</si>
  <si>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</si>
  <si>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</si>
  <si>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</si>
  <si>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</si>
  <si>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</si>
  <si>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</si>
  <si>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</si>
  <si>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</si>
  <si>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</si>
  <si>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</si>
  <si>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</si>
  <si>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</si>
  <si>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</si>
  <si>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</si>
  <si>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</si>
  <si>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</si>
  <si>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</si>
  <si>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</si>
  <si>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</si>
  <si>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</si>
  <si>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</si>
  <si>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</si>
  <si>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</si>
  <si>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</si>
  <si>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</si>
  <si>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</si>
  <si>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</si>
  <si>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</si>
  <si>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</si>
  <si>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</si>
  <si>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</si>
  <si>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</si>
  <si>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</si>
  <si>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</si>
  <si>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</si>
  <si>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</si>
  <si>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</si>
  <si>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</si>
  <si>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</si>
  <si>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</si>
  <si>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</si>
  <si>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</si>
  <si>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</si>
  <si>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</si>
  <si>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</si>
  <si>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</si>
  <si>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</si>
  <si>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</si>
  <si>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</si>
  <si>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</si>
  <si>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</si>
  <si>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</si>
  <si>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</si>
  <si>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</si>
  <si>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</si>
  <si>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</si>
  <si>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</si>
  <si>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</si>
  <si>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</si>
  <si>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</si>
  <si>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</si>
  <si>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</si>
  <si>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</si>
  <si>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</si>
  <si>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</si>
  <si>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</si>
  <si>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</si>
  <si>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</si>
  <si>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</si>
  <si>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</si>
  <si>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</si>
  <si>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</si>
  <si>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</si>
  <si>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</si>
  <si>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</si>
  <si>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</si>
  <si>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</si>
  <si>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</si>
  <si>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</si>
  <si>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</si>
  <si>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</si>
  <si>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</si>
  <si>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</si>
  <si>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</si>
  <si>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</si>
  <si>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</si>
  <si>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</si>
  <si>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</si>
  <si>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</si>
  <si>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</si>
  <si>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</si>
  <si>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</si>
  <si>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</si>
  <si>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</si>
  <si>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</si>
  <si>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</si>
  <si>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</si>
  <si>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</si>
  <si>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</si>
  <si>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</si>
  <si>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</si>
  <si>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</si>
  <si>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</si>
  <si>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</si>
  <si>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</si>
  <si>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</si>
  <si>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</si>
  <si>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</si>
  <si>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</si>
  <si>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</si>
  <si>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</si>
  <si>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</si>
  <si>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</si>
  <si>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</si>
  <si>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</si>
  <si>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</si>
  <si>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</si>
  <si>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</si>
  <si>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</si>
  <si>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</si>
  <si>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</si>
  <si>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</si>
  <si>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</si>
  <si>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</si>
  <si>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</si>
  <si>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</si>
  <si>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</si>
  <si>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</si>
  <si>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</si>
  <si>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</si>
  <si>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</si>
  <si>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</si>
  <si>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</si>
  <si>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</si>
  <si>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</si>
  <si>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</si>
  <si>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</si>
  <si>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</si>
  <si>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</si>
  <si>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Eldunarleiðbeiningar</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</si>
  <si>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</si>
  <si>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</si>
  <si>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</si>
  <si>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</si>
  <si>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</si>
  <si>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1. Hitið sósu í potti við meðalhita í 15-20 mín, hrærið reglulega.
2. Hitið kjötbollur í ofni 180°C í 10-12 mín.
3. Eldið pasta skv. leiðbeiningum á pakka.
4. Berið fram með pasta og kjötbollum í sósu.</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</si>
  <si>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</si>
  <si>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</si>
  <si>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</si>
  <si>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</si>
  <si>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1. Hitið pottrétt í ofni 160°C í 45-60 mín.
2. Potturinn er tilbúinn þegar kjötið er mjúkt og fallið frá beinunum.
3. Berið fram heitt.</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</si>
  <si>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</si>
  <si>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</si>
  <si>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</si>
  <si>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</si>
  <si>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1. Hitið karrýsósu í potti við meðalhita í 20-25 mín, hrærið reglulega.
2. Eldið hrísgrjón skv. leiðbeiningum.
3. Berið fram karrý yfir hrísgrjónum.</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</si>
  <si>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</si>
  <si>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</si>
  <si>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</si>
  <si>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</si>
  <si>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</si>
  <si>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</si>
  <si>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1. Hitið tikka masala í potti við meðalhita í 20-25 mín.
2. Eldið hrísgrjón eða naan.
3. Berið fram heitt.</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</si>
  <si>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</si>
  <si>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</si>
  <si>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</si>
  <si>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1. Hitið súpu í potti við meðalhita í 20-25 mín.
2. Bætið núðlum við 5 mín áður en þið berið fram.
3. Berið fram heitt með brauði ef við á.</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</si>
  <si>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</si>
  <si>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</si>
  <si>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</si>
  <si>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</si>
  <si>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1. Hitið gratín í ofni 180°C í 25-30 mín.
2. Gratínið er tilbúið þegar osturinn er gullinn og bólginn.
3. Látið standa í 5 mín áður en þið berið fram.</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</si>
  <si>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</si>
  <si>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</si>
  <si>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</si>
  <si>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</si>
  <si>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</si>
  <si>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1. Hitið súpu í potti við meðalhita í 20-25 mín, hrærið reglulega.
2. Berið fram með brauði eða maístortillu.</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</si>
  <si>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</si>
  <si>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</si>
  <si>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</si>
  <si>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</si>
  <si>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1. Hitið plokkfisk í potti við lágan hita í 15-20 mín, hrærið reglulega.
2. Gætið þess að brenna ekki við botn.
3. Berið fram með rúgbrauði.</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</si>
  <si>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</si>
  <si>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</si>
  <si>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</si>
  <si>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</si>
  <si>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1. Hitið grýtu í ofni 160°C í 45-60 mín eða í potti við lágan hita.
2. Berið fram með kartöflum eða brauði.</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</si>
  <si>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</si>
  <si>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</si>
  <si>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</si>
  <si>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</si>
  <si>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1. Hitið súpu í potti við meðalhita í 20-25 mín.
2. Berið fram með brauði.</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</si>
  <si>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</si>
  <si>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</si>
  <si>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</si>
  <si>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1. Hitið rjómasósu í potti við lágan hita í 15-20 mín, hrærið reglulega.
2. Eldið spaghetti skv. leiðbeiningum.
3. Blandið saman og berið fram.</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</si>
  <si>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</si>
  <si>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</si>
  <si>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</si>
  <si>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</si>
  <si>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</si>
  <si>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1. Hitið karrý í potti við meðalhita í 20-25 mín, hrærið reglulega.
2. Eldið hrísgrjón skv. leiðbeiningum.
3. Berið fram karrý yfir hrísgrjónum.</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</si>
  <si>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</si>
  <si>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</si>
  <si>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</si>
  <si>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</si>
  <si>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</si>
  <si>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</si>
  <si>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</si>
  <si>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</si>
  <si>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</si>
  <si>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</si>
  <si>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</si>
  <si>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</si>
  <si>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</si>
  <si>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</si>
  <si>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</si>
  <si>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</si>
  <si>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</si>
  <si>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</si>
  <si>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Eldunarpöntun
(1, 2, 3...)</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</si>
  <si>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</si>
  <si>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</si>
  <si>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</si>
  <si>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</si>
  <si>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</si>
  <si>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</si>
  <si>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</si>
  <si>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</si>
  <si>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Glúten (bygg), kókos</t>
  </si>
  <si>
    <t xml:space="preserve">Grænmetiskarrý</t>
  </si>
  <si>
    <t xml:space="preserve">Meðlætisbar</t>
  </si>
  <si>
    <t xml:space="preserve">Gúrka, ávextir</t>
  </si>
  <si>
    <t xml:space="preserve">Síðdegishressing</t>
  </si>
  <si>
    <t xml:space="preserve">Skólabollur með osti og gúrku, ávextir</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</si>
  <si>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</si>
  <si>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 xml:space="preserve">Glúten (rúgur, Mjólk, bygg), hveiti</t>
  </si>
  <si>
    <t xml:space="preserve">Ostur</t>
  </si>
  <si>
    <t xml:space="preserve">Ofnbökuð ýsa, smælki, brætt smjör</t>
  </si>
  <si>
    <t xml:space="preserve">Ýsa, raspur (**hveiti**, vatn, ger, salt, litarefni (E100, E160b)), hjúpur (**hveiti**, **glúten**, salt, umbreytt **hveiti**sterkja). | Kartöflur | Rjómi, salt.</t>
  </si>
  <si>
    <t xml:space="preserve">Fiskur, Mjólk, glúten, hveiti</t>
  </si>
  <si>
    <t xml:space="preserve">Kartöflusmælki</t>
  </si>
  <si>
    <t xml:space="preserve">Meðlæti</t>
  </si>
  <si>
    <t xml:space="preserve">Brætt smjör</t>
  </si>
  <si>
    <t xml:space="preserve">Grænmetisbuff, smælki, hvítlauksmæjó</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</si>
  <si>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</si>
  <si>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 xml:space="preserve">Glúten (spelt, Sinnep, hveiti), soja.</t>
  </si>
  <si>
    <t xml:space="preserve">Grænmetisbuff</t>
  </si>
  <si>
    <t xml:space="preserve">Hvítlauksmæjó</t>
  </si>
  <si>
    <t xml:space="preserve">Byggsalat, ávextir</t>
  </si>
  <si>
    <t xml:space="preserve">Maltað kornbrauð með kjúklingaáleggi og papriku, ávextir</t>
  </si>
  <si>
    <t xml:space="preserve">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</si>
  <si>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 xml:space="preserve">Kornbrauð</t>
  </si>
  <si>
    <t xml:space="preserve">Kjúklingaálegg</t>
  </si>
  <si>
    <t xml:space="preserve">Grjónagrautur, lifrarpylsa, kanill</t>
  </si>
  <si>
    <t xml:space="preserve">**Mjólk**, hrísgrjón(12%), sykur, salt. | Lambalifur 32%, lambamör, **RÚGMJÖL**, **HAFRAMJÖL**, vatn, salt.</t>
  </si>
  <si>
    <t xml:space="preserve">Glúten (RÚGMJÖL, HAFRAMJÖL), Mjólk</t>
  </si>
  <si>
    <t xml:space="preserve">Grjónagrautur</t>
  </si>
  <si>
    <t xml:space="preserve">Lifrarpylsa</t>
  </si>
  <si>
    <t xml:space="preserve">Vegan grjónagrautur, kanill</t>
  </si>
  <si>
    <t xml:space="preserve">Sólkjarnabrauð, smjör, ostur, ávöxtur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</si>
  <si>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</si>
  <si>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 xml:space="preserve">Glúten, Mjólk</t>
  </si>
  <si>
    <t xml:space="preserve">Sólkjarnabrauð</t>
  </si>
  <si>
    <t xml:space="preserve">Smjörvi</t>
  </si>
  <si>
    <t xml:space="preserve">Tekex með osti og tómat, ávextir</t>
  </si>
  <si>
    <t xml:space="preserve">Fiskibollur, smælki, karrísósa</t>
  </si>
  <si>
    <t xml:space="preserve">**Þorskur**,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</si>
  <si>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 xml:space="preserve">Fiskur, Sinnep, soja</t>
  </si>
  <si>
    <t xml:space="preserve">Fiskibollur</t>
  </si>
  <si>
    <t xml:space="preserve">Karrísósa</t>
  </si>
  <si>
    <t xml:space="preserve">Grænmetisbollur, smælki, karrísósa</t>
  </si>
  <si>
    <t xml:space="preserve">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</si>
  <si>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 xml:space="preserve">Glúten (bygg), Sinnep</t>
  </si>
  <si>
    <t xml:space="preserve">Hrásalat, ávextir</t>
  </si>
  <si>
    <t xml:space="preserve">Hrásalat</t>
  </si>
  <si>
    <t xml:space="preserve">Heimilisbrauð með kjúklingaáleggi og gúrku, ávextir</t>
  </si>
  <si>
    <t xml:space="preserve">**Hveiti**,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</si>
  <si>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</si>
  <si>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</si>
  <si>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</si>
  <si>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</si>
  <si>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</si>
  <si>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</si>
  <si>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</si>
  <si>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</si>
  <si>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</si>
  <si>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</si>
  <si>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</si>
  <si>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</si>
  <si>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Vatn, heil**hveiti**, **hveitimjöl**, brotin **rúgur**, súrdeig úr **hveiti**, **hveitiglúten**, **heilhveiti**, **durumhveiti**, ger, sólblómafræ, epli, kaldpressuð repjuolía, hörfræ, **bygg**malt, sykur, sýrustillir (sítrónusýra), salt. | Lambakjöt 80%, kjötsoð, laukduft, salt, pipar.</t>
  </si>
  <si>
    <t xml:space="preserve">Kindakæfa</t>
  </si>
  <si>
    <t xml:space="preserve">Ýsa, kartöflur, brætt smjör, rúgbrauð</t>
  </si>
  <si>
    <t xml:space="preserve">Ýsa, salt. | Kartöflur | Rjómi, salt.</t>
  </si>
  <si>
    <t xml:space="preserve">Fiskur, Mjólk</t>
  </si>
  <si>
    <t xml:space="preserve">Ýsa</t>
  </si>
  <si>
    <t xml:space="preserve">Grænmetisbuff, kartöflur, chilimæjó</t>
  </si>
  <si>
    <t xml:space="preserve">Chilimæjó</t>
  </si>
  <si>
    <t xml:space="preserve">Pólarbrauð með smjöri og gúrku, ávextir</t>
  </si>
  <si>
    <t xml:space="preserve">**Hveiti**mjöl, vatn, sykur, sigtað **rúg**mjöl, repjuolía, heilkorna **rúg**mjöl, **hveiti**glúten, heilkorna **hveiti**mjöl, ger, jurtaýruefni, lyftiefni (hjartarsalt), malt úr **byggi**, salt. | Rjómi, repjuolía, salt, A-vítamín og D-vítamín.</t>
  </si>
  <si>
    <t xml:space="preserve">Glúten (hveiti, Mjólk, bygg), rúgur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</si>
  <si>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</si>
  <si>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</si>
  <si>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</si>
  <si>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</si>
  <si>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</si>
  <si>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Heilkorna**rúg**mjöl, **spelt**flögur (**hveiti**), heilkorna**spelt**mjöl (**hveiti**), salt. | Grísakjöt (62%), vatn, kartöflumjöl, **sojaprótein**, salt, þrúgusykur, bindiefni (E451), þráavarnarefni (E301, E330), gerextrakt, þykkingarefni (E410, E407), bragðefni, rotvarnarefni (E270, E250)</t>
  </si>
  <si>
    <t xml:space="preserve">Glúten (rúg, Soja, spelt (hveiti))</t>
  </si>
  <si>
    <t xml:space="preserve">Skinka</t>
  </si>
  <si>
    <t xml:space="preserve">Ýsa í tandoori, hrísgrjón, jógúrtsósa</t>
  </si>
  <si>
    <t xml:space="preserve">Ýsa, marinering (vatn, repjuolía, pipar, engifer, kóríander, kúmen, chili, salt, sítrónusafi, sykur, rauðrófuduft, náttúruleg bragðefni, þykkingarefni xantangúmmí E415, þurrkaður hvítlaukur, rotvarnarefni kalíumsorbat E202). | Hrísgrjón 100%</t>
  </si>
  <si>
    <t xml:space="preserve">Grænmetisbollur í tandoori, hrísgrjón, vegan jógúrtsósa</t>
  </si>
  <si>
    <t xml:space="preserve">Vatn, **BYGG**, kjúklingabaunir, sætar kartöflur, svartar baunir, laukur, kartöflur, baunaprótein, repjuolía, hvítlaukur, bindiefni, tómatpúrra, salt, basil, papríkukrydd, hvítur pipar, rósmarín. | Hrísgrjón 100%</t>
  </si>
  <si>
    <t xml:space="preserve">Sólkjarnabrauð með lifrarkæfu og papriku, ávextir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</si>
  <si>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</si>
  <si>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 xml:space="preserve">Glúten, Soja</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</si>
  <si>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</si>
  <si>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</si>
  <si>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</si>
  <si>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</si>
  <si>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</si>
  <si>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</si>
  <si>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alla sem fá EKKI aðalréttinn þennan dag. 🔴 RAUTT = enginn réttur hentar, krefst sérréttar. 🟡 Gult = fær hliðarrétt eða ofnæmisrétt.</t>
  </si>
  <si>
    <t xml:space="preserve">Skóli</t>
  </si>
  <si>
    <t xml:space="preserve">Nafn</t>
  </si>
  <si>
    <t xml:space="preserve">Deild</t>
  </si>
  <si>
    <t xml:space="preserve">Ofnæmi / Óþol</t>
  </si>
  <si>
    <t xml:space="preserve">Fær rétt</t>
  </si>
  <si>
    <t xml:space="preserve">Ástæða</t>
  </si>
  <si>
    <t xml:space="preserve">2026-06-22</t>
  </si>
  <si>
    <t xml:space="preserve">Álfaberg</t>
  </si>
  <si>
    <t xml:space="preserve">Flosi</t>
  </si>
  <si>
    <t xml:space="preserve">Keili</t>
  </si>
  <si>
    <t xml:space="preserve">Pescaterian</t>
  </si>
  <si>
    <t xml:space="preserve">Má fá fisk og mjólkurvörur</t>
  </si>
  <si>
    <t xml:space="preserve">Pescaterian - réttur inniheldur kjöt</t>
  </si>
  <si>
    <t xml:space="preserve">🟡</t>
  </si>
  <si>
    <t xml:space="preserve">Freyr Sindrason</t>
  </si>
  <si>
    <t xml:space="preserve">Helgafell</t>
  </si>
  <si>
    <t xml:space="preserve">Saga Sindrason</t>
  </si>
  <si>
    <t xml:space="preserve">Sif</t>
  </si>
  <si>
    <t xml:space="preserve">Öskju</t>
  </si>
  <si>
    <t xml:space="preserve">Arnarberg</t>
  </si>
  <si>
    <t xml:space="preserve">Ewa</t>
  </si>
  <si>
    <t xml:space="preserve">vegan</t>
  </si>
  <si>
    <t xml:space="preserve">Má fá mjólkurvörur</t>
  </si>
  <si>
    <t xml:space="preserve">Vegan - réttur inniheldur kjöt</t>
  </si>
  <si>
    <t xml:space="preserve">Hörðuvellir</t>
  </si>
  <si>
    <t xml:space="preserve">Hrói Svöluson Nökkvason</t>
  </si>
  <si>
    <t xml:space="preserve">Hamar</t>
  </si>
  <si>
    <t xml:space="preserve">vegan, Jarðhnetur</t>
  </si>
  <si>
    <t xml:space="preserve">Kai Zawada</t>
  </si>
  <si>
    <t xml:space="preserve">Tanya Saori Vanegas Avila</t>
  </si>
  <si>
    <t xml:space="preserve">Antoni Malysa</t>
  </si>
  <si>
    <t xml:space="preserve">Hraun</t>
  </si>
  <si>
    <t xml:space="preserve">Agnes Ósk Viðarsdóttir</t>
  </si>
  <si>
    <t xml:space="preserve">Anna Katrín Kristmundsdóttir</t>
  </si>
  <si>
    <t xml:space="preserve">Anna Jaskulke</t>
  </si>
  <si>
    <t xml:space="preserve">Hraunvallaleikskóli</t>
  </si>
  <si>
    <t xml:space="preserve">Rósa Jóna Magnúsdóttir</t>
  </si>
  <si>
    <t xml:space="preserve">Mjólk, Kókos</t>
  </si>
  <si>
    <t xml:space="preserve">🔴 ENGINN RÉTTUR HENTAR</t>
  </si>
  <si>
    <t xml:space="preserve">KREFST SÉRRÉTTAR: Kókos - í ofnæmisvaldalistanum (kókos)</t>
  </si>
  <si>
    <t xml:space="preserve">🔴</t>
  </si>
  <si>
    <t xml:space="preserve">Galyna Oliinyk</t>
  </si>
  <si>
    <t xml:space="preserve">Nina Stoyanova Atanasova</t>
  </si>
  <si>
    <t xml:space="preserve">Skarðshlíðarleikskóli</t>
  </si>
  <si>
    <t xml:space="preserve">Brynhildur Ásgeirsdóttir</t>
  </si>
  <si>
    <t xml:space="preserve">Stekkjarás</t>
  </si>
  <si>
    <t xml:space="preserve">Kristrún Birna Birkisdóttir</t>
  </si>
  <si>
    <t xml:space="preserve">Álfheimar</t>
  </si>
  <si>
    <t xml:space="preserve">borðar ekki kjöt</t>
  </si>
  <si>
    <t xml:space="preserve">Sindri Björn Linnet</t>
  </si>
  <si>
    <t xml:space="preserve">Fífa</t>
  </si>
  <si>
    <t xml:space="preserve">Má ekki borða kjöt eða kjúkling, en hann má borða egg, mjólk og fisk</t>
  </si>
  <si>
    <t xml:space="preserve">Heena</t>
  </si>
  <si>
    <t xml:space="preserve">Tjarnarás</t>
  </si>
  <si>
    <t xml:space="preserve">Perla</t>
  </si>
  <si>
    <t xml:space="preserve">Hliðarréttur á fiskidögum</t>
  </si>
  <si>
    <t xml:space="preserve">Eva Kaldal</t>
  </si>
  <si>
    <t xml:space="preserve">Vantar deild</t>
  </si>
  <si>
    <t xml:space="preserve">Vegetarian</t>
  </si>
  <si>
    <t xml:space="preserve">Vegetarian - réttur inniheldur kjöt</t>
  </si>
  <si>
    <t xml:space="preserve">Víðivellir</t>
  </si>
  <si>
    <t xml:space="preserve">Saga Jónsdóttir</t>
  </si>
  <si>
    <t xml:space="preserve">Borðar ekki kjöt, borðar kjúkling, fisk, egg og mjólkurvörur</t>
  </si>
  <si>
    <t xml:space="preserve">Harlow Esjar Mallinson</t>
  </si>
  <si>
    <t xml:space="preserve">Kanínudeild</t>
  </si>
  <si>
    <t xml:space="preserve">borðar fisk, egg og mjólkurvörur</t>
  </si>
  <si>
    <t xml:space="preserve">Rakel Halldórs</t>
  </si>
  <si>
    <t xml:space="preserve">Norðuberg</t>
  </si>
  <si>
    <t xml:space="preserve">Anna Bielinska</t>
  </si>
  <si>
    <t xml:space="preserve">22 juni til 2. juli</t>
  </si>
  <si>
    <t xml:space="preserve">2026-06-23</t>
  </si>
  <si>
    <t xml:space="preserve">Andri Antonsson</t>
  </si>
  <si>
    <t xml:space="preserve">Esja</t>
  </si>
  <si>
    <t xml:space="preserve">Hvorki hvítan né bleikan</t>
  </si>
  <si>
    <t xml:space="preserve">Fiskur - í ofnæmisvaldalistanum (Fiskur)</t>
  </si>
  <si>
    <t xml:space="preserve">Marta</t>
  </si>
  <si>
    <t xml:space="preserve">KREFST SÉRRÉTTAR: Glúten - í ofnæmisvaldalistanum (glúten)</t>
  </si>
  <si>
    <t xml:space="preserve">Sulei</t>
  </si>
  <si>
    <t xml:space="preserve">Hlíðarberg</t>
  </si>
  <si>
    <t xml:space="preserve">Sólrún</t>
  </si>
  <si>
    <t xml:space="preserve">Borðar ekki fisk</t>
  </si>
  <si>
    <t xml:space="preserve">Marinó</t>
  </si>
  <si>
    <t xml:space="preserve">Tröllahlíð</t>
  </si>
  <si>
    <t xml:space="preserve">var með ofnæmi og á erfitt með að borða fisk núna, reynir samt</t>
  </si>
  <si>
    <t xml:space="preserve">Auður Elísabet Teitsdóttir</t>
  </si>
  <si>
    <t xml:space="preserve">Mjólk, Soya, Fiskur</t>
  </si>
  <si>
    <t xml:space="preserve">með ofnæmi fyrir mjólkurvörum og soja í öllum formum, ekki bara sojapróteini heldur líka sojabaunaolíu og sojalesitíni, ofnæmi fyrir hvitum fisk</t>
  </si>
  <si>
    <t xml:space="preserve">KREFST SÉRRÉTTAR: Fiskur - í ofnæmisvaldalistanum (Fiskur)</t>
  </si>
  <si>
    <t xml:space="preserve">Guðbjörg María Ágústsdóttir</t>
  </si>
  <si>
    <t xml:space="preserve">hliðarréttur í staðinn fyrir fisk</t>
  </si>
  <si>
    <t xml:space="preserve">Marta Sonja Maríusdótti</t>
  </si>
  <si>
    <t xml:space="preserve">laktósóþol, Fiskur</t>
  </si>
  <si>
    <t xml:space="preserve">Sara Bjartey Birgisdóttir</t>
  </si>
  <si>
    <t xml:space="preserve">Þúfa</t>
  </si>
  <si>
    <t xml:space="preserve">fiskióþol</t>
  </si>
  <si>
    <t xml:space="preserve">Ástþór Breki Hilmarsson</t>
  </si>
  <si>
    <t xml:space="preserve">Glaðheimar</t>
  </si>
  <si>
    <t xml:space="preserve">Egg, Fiskur, Baunir, Sesam, Hnetur, Möndlur</t>
  </si>
  <si>
    <t xml:space="preserve">Ástþór Breki er með ofnæmi fyrir hnetum, egg, fisk, baunum ( allar baunir NEMA gular baunir), sesam og möndlur</t>
  </si>
  <si>
    <t xml:space="preserve">Bríet Elka</t>
  </si>
  <si>
    <t xml:space="preserve">Kærleiksheimar</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</si>
  <si>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</si>
  <si>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</si>
  <si>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</si>
  <si>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Erna Rósa</t>
  </si>
  <si>
    <t xml:space="preserve">Vesturkot</t>
  </si>
  <si>
    <t xml:space="preserve">Jesica Rojas</t>
  </si>
  <si>
    <t xml:space="preserve">Hrefna Kristín Bridde</t>
  </si>
  <si>
    <t xml:space="preserve">Grænakot</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</si>
  <si>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</si>
  <si>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</si>
  <si>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KREFST SÉRRÉTTAR: Hveiti - í ofnæmisvaldalistanum (hveiti)</t>
  </si>
  <si>
    <t xml:space="preserve">Muna Abdirraxman Mawliid</t>
  </si>
  <si>
    <t xml:space="preserve">Svínakjöt, Egg, Mjólk, Fiskur</t>
  </si>
  <si>
    <t xml:space="preserve">borðar ekki svinakjöt, ofnæmi fyrir fisk, egg og mjolk</t>
  </si>
  <si>
    <t xml:space="preserve">Baldur Bragi</t>
  </si>
  <si>
    <t xml:space="preserve">Klettaborg</t>
  </si>
  <si>
    <t xml:space="preserve">Ofnæmi fyrir ýsu - 22 juni til 3. juli</t>
  </si>
  <si>
    <t xml:space="preserve">Baldur Elí</t>
  </si>
  <si>
    <t xml:space="preserve">Lundur</t>
  </si>
  <si>
    <t xml:space="preserve">Kartöflur, kartöflusterkja</t>
  </si>
  <si>
    <t xml:space="preserve">22 juni til 3. juli</t>
  </si>
  <si>
    <t xml:space="preserve">KREFST SÉRRÉTTAR: Kartöflur - "Kartöflur" í innihaldi vöru "Kartöflusmælki"</t>
  </si>
  <si>
    <t xml:space="preserve">2026-06-24</t>
  </si>
  <si>
    <t xml:space="preserve">Mjólk - í ofnæmisvaldalistanum (Mjólk)</t>
  </si>
  <si>
    <t xml:space="preserve">Glúten - í ofnæmisvaldalistanum (Glúten (RÚGMJÖL)</t>
  </si>
  <si>
    <t xml:space="preserve">Aþena</t>
  </si>
  <si>
    <t xml:space="preserve">Þröstur Xavier Ólafsson</t>
  </si>
  <si>
    <t xml:space="preserve">laktósafrítt fæði</t>
  </si>
  <si>
    <t xml:space="preserve">Sigríður</t>
  </si>
  <si>
    <t xml:space="preserve">Sunna Ýr</t>
  </si>
  <si>
    <t xml:space="preserve">Karítas Helga</t>
  </si>
  <si>
    <t xml:space="preserve">Reit</t>
  </si>
  <si>
    <t xml:space="preserve">KREFST SÉRRÉTTAR: Vegan - réttur inniheldur kjöt</t>
  </si>
  <si>
    <t xml:space="preserve">Gréta Maria Guðjónsdóttir</t>
  </si>
  <si>
    <t xml:space="preserve">Krókur</t>
  </si>
  <si>
    <t xml:space="preserve">Má alls ekki fá kúamjólkurvörur</t>
  </si>
  <si>
    <t xml:space="preserve">Bjarkarlundur</t>
  </si>
  <si>
    <t xml:space="preserve">Móey Arna</t>
  </si>
  <si>
    <t xml:space="preserve">Matsalur</t>
  </si>
  <si>
    <t xml:space="preserve">Karítas María</t>
  </si>
  <si>
    <t xml:space="preserve">Mjólk, Hafrar, Soya, Ananas</t>
  </si>
  <si>
    <t xml:space="preserve">Maja Zofia Strzop</t>
  </si>
  <si>
    <t xml:space="preserve">Mjólk, Hnetur</t>
  </si>
  <si>
    <t xml:space="preserve">Jarðhnetur og Kashjúhnetur</t>
  </si>
  <si>
    <t xml:space="preserve">Freyjar Rut</t>
  </si>
  <si>
    <t xml:space="preserve">Alexander Fannar</t>
  </si>
  <si>
    <t xml:space="preserve">Klettahlíð</t>
  </si>
  <si>
    <t xml:space="preserve">Egg, Mjólk, Hnetur</t>
  </si>
  <si>
    <t xml:space="preserve">Agnar Þór Björnsson</t>
  </si>
  <si>
    <t xml:space="preserve">Christopher Einar</t>
  </si>
  <si>
    <t xml:space="preserve">Mjólk, Egg, Hnetur, Sesam</t>
  </si>
  <si>
    <t xml:space="preserve">Ásgeir Logi Kristinsson</t>
  </si>
  <si>
    <t xml:space="preserve">Hamrahlíð</t>
  </si>
  <si>
    <t xml:space="preserve">er með mjólkuróþol. en má fá ost og sósur með mjólk í</t>
  </si>
  <si>
    <t xml:space="preserve">Lúkas Logi Aronsson</t>
  </si>
  <si>
    <t xml:space="preserve">Ellert Ómar Guðmundsson</t>
  </si>
  <si>
    <t xml:space="preserve">Laut</t>
  </si>
  <si>
    <t xml:space="preserve">mjólkurlausan mat, Sonda</t>
  </si>
  <si>
    <t xml:space="preserve">Rebekka Sól Gísladóttir</t>
  </si>
  <si>
    <t xml:space="preserve">Höfði</t>
  </si>
  <si>
    <t xml:space="preserve">Ásta Guðrún Atladóttir</t>
  </si>
  <si>
    <t xml:space="preserve">Hóll</t>
  </si>
  <si>
    <t xml:space="preserve">Ragnar Logi Hlífarsson</t>
  </si>
  <si>
    <t xml:space="preserve">Mjólk, Banani</t>
  </si>
  <si>
    <t xml:space="preserve">mjólk(hefur fengið laktosalausa og jurtaskyr)</t>
  </si>
  <si>
    <t xml:space="preserve">Tryggvi Snær Kristleifsson</t>
  </si>
  <si>
    <t xml:space="preserve">Holt</t>
  </si>
  <si>
    <t xml:space="preserve">Solrún Amari Guðmundsdóttir</t>
  </si>
  <si>
    <t xml:space="preserve">Fannar orri Styrmisson</t>
  </si>
  <si>
    <t xml:space="preserve">Hekla Marín Fannýardóttir</t>
  </si>
  <si>
    <t xml:space="preserve">Aría Heiðdal Daníelsdóttir</t>
  </si>
  <si>
    <t xml:space="preserve">Pola</t>
  </si>
  <si>
    <t xml:space="preserve">Lyng</t>
  </si>
  <si>
    <t xml:space="preserve">mjólkurlaust fæði í nokkrar vikur</t>
  </si>
  <si>
    <t xml:space="preserve">Smáralundur</t>
  </si>
  <si>
    <t xml:space="preserve">Eyram</t>
  </si>
  <si>
    <t xml:space="preserve">Brekka</t>
  </si>
  <si>
    <t xml:space="preserve">Elínam</t>
  </si>
  <si>
    <t xml:space="preserve">Móey</t>
  </si>
  <si>
    <t xml:space="preserve">Jökull Logi Ívarsson</t>
  </si>
  <si>
    <t xml:space="preserve">þolir eldaða mjólk, Mjólkuróþol, en má fá eldaðar / bakaðar mjólkurvörur</t>
  </si>
  <si>
    <t xml:space="preserve">Elma Karen Aronsdóttir</t>
  </si>
  <si>
    <t xml:space="preserve">Mjólk, Bráðofnæmi</t>
  </si>
  <si>
    <t xml:space="preserve">Bráðaofnæmi fyrir mjólk!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</si>
  <si>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</si>
  <si>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</si>
  <si>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</si>
  <si>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</si>
  <si>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</si>
  <si>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</si>
  <si>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</si>
  <si>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</si>
  <si>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</si>
  <si>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KREFST SÉRRÉTTAR: Mjólk - í ofnæmisvaldalistanum (Mjólk)</t>
  </si>
  <si>
    <t xml:space="preserve">Viktor Albert Vignisson</t>
  </si>
  <si>
    <t xml:space="preserve">Ljósheimar</t>
  </si>
  <si>
    <t xml:space="preserve">Mjólk, Hnetur, Egg</t>
  </si>
  <si>
    <t xml:space="preserve">Ásdís Arnfjörð Svavarsdóttir</t>
  </si>
  <si>
    <t xml:space="preserve">Þolir mjólk í elduðum mat.</t>
  </si>
  <si>
    <t xml:space="preserve">Ebba Ragnheiður Alexandersdóttir</t>
  </si>
  <si>
    <t xml:space="preserve">Bláakot</t>
  </si>
  <si>
    <t xml:space="preserve">Sigurður Artine Jakobson</t>
  </si>
  <si>
    <t xml:space="preserve">Gulakot</t>
  </si>
  <si>
    <t xml:space="preserve">Mjólk, Soya</t>
  </si>
  <si>
    <t xml:space="preserve">Arnhildur Rúnarsdóttir</t>
  </si>
  <si>
    <t xml:space="preserve">Mjólk, Kashjúhnetur, pistasíur, brasilískar hnetur</t>
  </si>
  <si>
    <t xml:space="preserve">Ingunn Ásta Kartansdóttir</t>
  </si>
  <si>
    <t xml:space="preserve">Mjólk, Sítrusávextir</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</si>
  <si>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</si>
  <si>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</si>
  <si>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</si>
  <si>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</si>
  <si>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</si>
  <si>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Lárus Blöndal</t>
  </si>
  <si>
    <t xml:space="preserve">Egg, Mjólk, Bráðofnæmi</t>
  </si>
  <si>
    <t xml:space="preserve">Bráða Eggja og mjólkurofnæmi</t>
  </si>
  <si>
    <t xml:space="preserve">Eyjólfur Guðni Sigurðsson</t>
  </si>
  <si>
    <t xml:space="preserve">Bangsadeild</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</si>
  <si>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</si>
  <si>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</si>
  <si>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</si>
  <si>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</si>
  <si>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</si>
  <si>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</si>
  <si>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</si>
  <si>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</si>
  <si>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Kíiljan Freyr</t>
  </si>
  <si>
    <t xml:space="preserve">Álfasteinn</t>
  </si>
  <si>
    <t xml:space="preserve">Mjólk, Egg</t>
  </si>
  <si>
    <t xml:space="preserve">Jökull Thór</t>
  </si>
  <si>
    <t xml:space="preserve">Óðinn Hinrik</t>
  </si>
  <si>
    <t xml:space="preserve">2026-06-25</t>
  </si>
  <si>
    <t xml:space="preserve">Soya - í ofnæmisvaldalistanum (soja)</t>
  </si>
  <si>
    <t xml:space="preserve">Börkur Þór</t>
  </si>
  <si>
    <t xml:space="preserve">Egg, Soya</t>
  </si>
  <si>
    <t xml:space="preserve">KREFST SÉRRÉTTAR: Athugasemd: "umbreytt sterkja" í innihaldi</t>
  </si>
  <si>
    <t xml:space="preserve">Klara Rún</t>
  </si>
  <si>
    <t xml:space="preserve">Tröllagil</t>
  </si>
  <si>
    <t xml:space="preserve">mjólkurprótein, Soya</t>
  </si>
  <si>
    <t xml:space="preserve">Vilma Eirdís</t>
  </si>
  <si>
    <t xml:space="preserve">Soya</t>
  </si>
  <si>
    <t xml:space="preserve">2026-06-26</t>
  </si>
  <si>
    <t xml:space="preserve">2026-06-29</t>
  </si>
  <si>
    <t xml:space="preserve">KREFST SÉRRÉTTAR: Tómatar - "Tómatar" í innihaldi vöru "Lambapottréttur"</t>
  </si>
  <si>
    <t xml:space="preserve">KREFST SÉRRÉTTAR: Kartöflur - "Kartöflur" í innihaldi vöru "Lambapottréttur"</t>
  </si>
  <si>
    <t xml:space="preserve">2026-06-30</t>
  </si>
  <si>
    <t xml:space="preserve">KREFST SÉRRÉTTAR: Kartöflur - "Kartöflur" í innihaldi vöru "Kartöflur"</t>
  </si>
  <si>
    <t xml:space="preserve">2026-07-01</t>
  </si>
  <si>
    <t xml:space="preserve">Vegan - réttur inniheldur mjólk</t>
  </si>
  <si>
    <t xml:space="preserve">2026-07-02</t>
  </si>
  <si>
    <t xml:space="preserve">Fiskur - í ofnæmisvaldalistanum (Fiskur (ýsa))</t>
  </si>
  <si>
    <t xml:space="preserve">KREFST SÉRRÉTTAR: Fiskur - í ofnæmisvaldalistanum (Fiskur (ýsa))</t>
  </si>
  <si>
    <t xml:space="preserve">2026-07-03</t>
  </si>
  <si>
    <t xml:space="preserve">KREFST SÉRRÉTTAR: Vegan - réttur inniheldur mjólk</t>
  </si>
  <si>
    <t xml:space="preserve">Hraunvallaskóli</t>
  </si>
  <si>
    <t xml:space="preserve">Daniel Schuldeis</t>
  </si>
  <si>
    <t xml:space="preserve">8. bekkur</t>
  </si>
  <si>
    <t xml:space="preserve">Mjólk, laktósi, Jarðhnetur, Hnetur, Egg</t>
  </si>
  <si>
    <t xml:space="preserve">gildir úm alla hnetu tegundir, öndunarefileikar og magaeinkenni fyrir ollu listuðum ofnæmi</t>
  </si>
  <si>
    <t xml:space="preserve">Vandamál í hliðarrétt: </t>
  </si>
  <si>
    <t xml:space="preserve">Dilawar Kovan Abdulkhaleq</t>
  </si>
  <si>
    <t xml:space="preserve">3. bekkur</t>
  </si>
  <si>
    <t xml:space="preserve">Svínakjöt</t>
  </si>
  <si>
    <t xml:space="preserve">Bordar ekki svinakjot</t>
  </si>
  <si>
    <t xml:space="preserve">Elísa Attigui</t>
  </si>
  <si>
    <t xml:space="preserve">Hún borðar ekki svínakjöt</t>
  </si>
  <si>
    <t xml:space="preserve">Emad Nasir Ramadhan Barkah</t>
  </si>
  <si>
    <t xml:space="preserve">Emma Ingibjörg Árnadóttir</t>
  </si>
  <si>
    <t xml:space="preserve">9. bekkur</t>
  </si>
  <si>
    <t xml:space="preserve">Hnetur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</si>
  <si>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</si>
  <si>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</si>
  <si>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</si>
  <si>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</si>
  <si>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</si>
  <si>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2. bekkur</t>
  </si>
  <si>
    <t xml:space="preserve">Farah I. M. Alzaq</t>
  </si>
  <si>
    <t xml:space="preserve">Flosi Eyvindur Báru Inguson</t>
  </si>
  <si>
    <t xml:space="preserve">1. bekkur</t>
  </si>
  <si>
    <t xml:space="preserve">Mjólk, pescetarian</t>
  </si>
  <si>
    <t xml:space="preserve">Óþol en ekki ofnæmi. Allt í lagi ef það er eitthvað sérstakt tilefni einstaka sinnum en fær illt í magann. - er vegan en borðar fisk</t>
  </si>
  <si>
    <t xml:space="preserve">Karim I. A. Albardawil</t>
  </si>
  <si>
    <t xml:space="preserve">Khava Magamadova</t>
  </si>
  <si>
    <t xml:space="preserve">7. bekkur</t>
  </si>
  <si>
    <t xml:space="preserve">pescetarian</t>
  </si>
  <si>
    <t xml:space="preserve">Borðar bara halal kjöt</t>
  </si>
  <si>
    <t xml:space="preserve">Malek I. A. Albardawil</t>
  </si>
  <si>
    <t xml:space="preserve">Medina Magamadova</t>
  </si>
  <si>
    <t xml:space="preserve">Mikael Úlfur Bjarnason</t>
  </si>
  <si>
    <t xml:space="preserve">Vantar bekk</t>
  </si>
  <si>
    <t xml:space="preserve">Einhverft</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</si>
  <si>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</si>
  <si>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Natalía Rós Davíðsdóttir</t>
  </si>
  <si>
    <t xml:space="preserve">Mjólkuróþol - þolir laktósalausa mjólk og "eldaða" mjólk. Þolir illa rúsínur.</t>
  </si>
  <si>
    <t xml:space="preserve">Oki Nugraha</t>
  </si>
  <si>
    <t xml:space="preserve">Qasem Khedri</t>
  </si>
  <si>
    <t xml:space="preserve">Turin Marwan Khalaf</t>
  </si>
  <si>
    <t xml:space="preserve">borðað ekki svínakjöt útaf trú</t>
  </si>
  <si>
    <t xml:space="preserve">Vegan kennarar</t>
  </si>
  <si>
    <t xml:space="preserve">Starfsmaður</t>
  </si>
  <si>
    <t xml:space="preserve">V. kennarar</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</si>
  <si>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</si>
  <si>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</si>
  <si>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</si>
  <si>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</si>
  <si>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</si>
  <si>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</si>
  <si>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</si>
  <si>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</si>
  <si>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</si>
  <si>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Mjólk, laktósi</t>
  </si>
  <si>
    <t xml:space="preserve">Fær er ekki mjólkurvörur. Sleppur alveg í bökuðu. Ekki elduðu. Fær útbort og kláða í húðina.</t>
  </si>
  <si>
    <t xml:space="preserve">Ísabella Panalap Smyrilsdóttir</t>
  </si>
  <si>
    <t xml:space="preserve">Egg</t>
  </si>
  <si>
    <t xml:space="preserve">klæjar ekki bráðaofnæmi</t>
  </si>
  <si>
    <t xml:space="preserve">Jayrud Joseph Oriol Yu</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</si>
  <si>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</si>
  <si>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</si>
  <si>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</si>
  <si>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</si>
  <si>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</si>
  <si>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</si>
  <si>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</si>
  <si>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Hvaleyrarskóli</t>
  </si>
  <si>
    <t xml:space="preserve">5</t>
  </si>
  <si>
    <t xml:space="preserve">Jasmin Hanna Kroknes Touil</t>
  </si>
  <si>
    <t xml:space="preserve">4. bekkur</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</si>
  <si>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</si>
  <si>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</si>
  <si>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</si>
  <si>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</si>
  <si>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</si>
  <si>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</si>
  <si>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</si>
  <si>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</si>
  <si>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6. bekkur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</si>
  <si>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</si>
  <si>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</si>
  <si>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</si>
  <si>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</si>
  <si>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</si>
  <si>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</si>
  <si>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</si>
  <si>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Borðar ekki svínakjöt</t>
  </si>
  <si>
    <t xml:space="preserve">Úlfur Ari Jökulsson</t>
  </si>
  <si>
    <t xml:space="preserve">5. bekkur</t>
  </si>
  <si>
    <t xml:space="preserve">mjólkuróþol</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</si>
  <si>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</si>
  <si>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</si>
  <si>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</si>
  <si>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</si>
  <si>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</si>
  <si>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</si>
  <si>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Hnetur, Bráðofnæmi</t>
  </si>
  <si>
    <t xml:space="preserve">Bráðaofnæmi fyrir hnetum.</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</si>
  <si>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</si>
  <si>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</si>
  <si>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</si>
  <si>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</si>
  <si>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</si>
  <si>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</si>
  <si>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</si>
  <si>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</si>
  <si>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</si>
  <si>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</si>
  <si>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</si>
  <si>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Borghildur Eldey H. Ívarsdóttir</t>
  </si>
  <si>
    <t xml:space="preserve">Mjólk, laktósi, Fiflaofnæmi, Birkiofnæmi</t>
  </si>
  <si>
    <t xml:space="preserve">fíflaofnæmi, birkiofnæmi</t>
  </si>
  <si>
    <t xml:space="preserve">má ekki borða súkkulaði</t>
  </si>
  <si>
    <t xml:space="preserve">Aríanna Máney Helgadóttir</t>
  </si>
  <si>
    <t xml:space="preserve">Fiskiofnæmi ekki bráðaofnæmi</t>
  </si>
  <si>
    <t xml:space="preserve">Helena Guðrún Hjaltadóttir</t>
  </si>
  <si>
    <t xml:space="preserve">Er með mjólkuróþol. Fær í magann og útbrot</t>
  </si>
  <si>
    <t xml:space="preserve">Lækjarskóli</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</si>
  <si>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</si>
  <si>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</si>
  <si>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</si>
  <si>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</si>
  <si>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Malín Irja Ingvarsdóttir</t>
  </si>
  <si>
    <t xml:space="preserve">Mjólkuróþol. Laktósa óþol.</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</si>
  <si>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</si>
  <si>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</si>
  <si>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</si>
  <si>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</si>
  <si>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</si>
  <si>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</si>
  <si>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</si>
  <si>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</si>
  <si>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</si>
  <si>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</si>
  <si>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</si>
  <si>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</si>
  <si>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</si>
  <si>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</si>
  <si>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</si>
  <si>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</si>
  <si>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</si>
  <si>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</si>
  <si>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</si>
  <si>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</si>
  <si>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</si>
  <si>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</si>
  <si>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</si>
  <si>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</si>
  <si>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</si>
  <si>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</si>
  <si>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</si>
  <si>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</si>
  <si>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</si>
  <si>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</si>
  <si>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</si>
  <si>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</si>
  <si>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</si>
  <si>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</si>
  <si>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Yrsa Eyþórsdóttir</t>
  </si>
  <si>
    <t xml:space="preserve">Grænmetissæta</t>
  </si>
  <si>
    <t xml:space="preserve">Grænmetisæta. Borðar ekki kjöt og fisk.</t>
  </si>
  <si>
    <t xml:space="preserve">Snæfríður Brynja Bendtsen</t>
  </si>
  <si>
    <t xml:space="preserve">10. bekkur</t>
  </si>
  <si>
    <t xml:space="preserve">Borðar ekki kjöt</t>
  </si>
  <si>
    <t xml:space="preserve">Öldutúnsskóli</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</si>
  <si>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</si>
  <si>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</si>
  <si>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</si>
  <si>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</si>
  <si>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</si>
  <si>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</si>
  <si>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</si>
  <si>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</si>
  <si>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</si>
  <si>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</si>
  <si>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</si>
  <si>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</si>
  <si>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</si>
  <si>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</si>
  <si>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</si>
  <si>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</si>
  <si>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</si>
  <si>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</si>
  <si>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</si>
  <si>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</si>
  <si>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</si>
  <si>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</si>
  <si>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</si>
  <si>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</si>
  <si>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</si>
  <si>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</si>
  <si>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</si>
  <si>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</si>
  <si>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</si>
  <si>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</si>
  <si>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</si>
  <si>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</si>
  <si>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</si>
  <si>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</si>
  <si>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</si>
  <si>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</si>
  <si>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</si>
  <si>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</si>
  <si>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</si>
  <si>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</si>
  <si>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</si>
  <si>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</si>
  <si>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</si>
  <si>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</si>
  <si>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Stefán Blær</t>
  </si>
  <si>
    <t xml:space="preserve">2 vikur, svo sjá til</t>
  </si>
  <si>
    <t xml:space="preserve">Setbergsskóli</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</si>
  <si>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</si>
  <si>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</si>
  <si>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</si>
  <si>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</si>
  <si>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</si>
  <si>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</si>
  <si>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</si>
  <si>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Hrafnkell Breki A. Sigurðarson</t>
  </si>
  <si>
    <t xml:space="preserve">Laktósaóþol- miklir kviðverkir ef t.d ny mjolk og rjomi er notað í matareiðslu.</t>
  </si>
  <si>
    <t xml:space="preserve">Arney Hlynsdóttir</t>
  </si>
  <si>
    <t xml:space="preserve">bráðaofnæmi</t>
  </si>
  <si>
    <t xml:space="preserve">Ýmir Máni Oddson</t>
  </si>
  <si>
    <t xml:space="preserve">Bráðaofnæmi fyrir heslihnetum</t>
  </si>
  <si>
    <t xml:space="preserve">Viktor Breki</t>
  </si>
  <si>
    <t xml:space="preserve">Annað</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</si>
  <si>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</si>
  <si>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</si>
  <si>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</si>
  <si>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</si>
  <si>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</si>
  <si>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</si>
  <si>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</si>
  <si>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</si>
  <si>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</si>
  <si>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</si>
  <si>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</si>
  <si>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</si>
  <si>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</si>
  <si>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</si>
  <si>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</si>
  <si>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</si>
  <si>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</si>
  <si>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</si>
  <si>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</si>
  <si>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</si>
  <si>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</si>
  <si>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</si>
  <si>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</si>
  <si>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</si>
  <si>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</si>
  <si>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</si>
  <si>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</si>
  <si>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</si>
  <si>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</si>
  <si>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</si>
  <si>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</si>
  <si>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Einar Aron Nicis Einarsson</t>
  </si>
  <si>
    <t xml:space="preserve">Einfaldur matur eldaður frá grunni er bestur. Sósur geta verið í boði til hliðar en ekki í sósunni. Karrý er of sterkt. Pasta var illa lyktandi...</t>
  </si>
  <si>
    <t xml:space="preserve">wiktor tomalak</t>
  </si>
  <si>
    <t xml:space="preserve">he want to eat by hands, my son like all bollur, like fiskbollur, kjotbollur, he also like spaghetti and cheerios without milk :)</t>
  </si>
  <si>
    <t xml:space="preserve">Stefán Mikael Gretarsson</t>
  </si>
  <si>
    <t xml:space="preserve">Má ekki borða hvítan fisk</t>
  </si>
  <si>
    <t xml:space="preserve">Helga Sóley Árnadóttir</t>
  </si>
  <si>
    <t xml:space="preserve">laktósi</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</si>
  <si>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</si>
  <si>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</si>
  <si>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</si>
  <si>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</si>
  <si>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</si>
  <si>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Katla Margrét Björgvinsdóttir</t>
  </si>
  <si>
    <t xml:space="preserve">óþol fyrir mjólkurvörum, fær alltaf illt í magan þegar hún borðar mjókurvörur.</t>
  </si>
  <si>
    <t xml:space="preserve">Skarðshlíðarskóli</t>
  </si>
  <si>
    <t xml:space="preserve">Stormur Hallsson</t>
  </si>
  <si>
    <t xml:space="preserve">krabbadýr</t>
  </si>
  <si>
    <t xml:space="preserve">Rækjur - bregst við með uppköstum</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</si>
  <si>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</si>
  <si>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</si>
  <si>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</si>
  <si>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</si>
  <si>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</si>
  <si>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</si>
  <si>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</si>
  <si>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</si>
  <si>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</si>
  <si>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Sóldís Aþena Hjörvarsdóttir</t>
  </si>
  <si>
    <t xml:space="preserve">Bráðaofnæmi sem hefur hingað til lýst sér í slæmum útbrotum.</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</si>
  <si>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</si>
  <si>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</si>
  <si>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</si>
  <si>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</si>
  <si>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</si>
  <si>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</si>
  <si>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</si>
  <si>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</si>
  <si>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</si>
  <si>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</si>
  <si>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</si>
  <si>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Karen Dís Káradóttir</t>
  </si>
  <si>
    <t xml:space="preserve">Bráðaofnæmi fyrir eggjum</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</si>
  <si>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</si>
  <si>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</si>
  <si>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</si>
  <si>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</si>
  <si>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</si>
  <si>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</si>
  <si>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</si>
  <si>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</si>
  <si>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</si>
  <si>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</si>
  <si>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</si>
  <si>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</si>
  <si>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</si>
  <si>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</si>
  <si>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</si>
  <si>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</si>
  <si>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Víðistaðaskóli</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</si>
  <si>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</si>
  <si>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</si>
  <si>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</si>
  <si>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</si>
  <si>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</si>
  <si>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</si>
  <si>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</si>
  <si>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</si>
  <si>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</si>
  <si>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</si>
  <si>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</si>
  <si>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</si>
  <si>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</si>
  <si>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</si>
  <si>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</si>
  <si>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</si>
  <si>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</si>
  <si>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</si>
  <si>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</si>
  <si>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</si>
  <si>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</si>
  <si>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</si>
  <si>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</si>
  <si>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</si>
  <si>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</si>
  <si>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</si>
  <si>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</si>
  <si>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</si>
  <si>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</si>
  <si>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</si>
  <si>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</si>
  <si>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</si>
  <si>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</si>
  <si>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</si>
  <si>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</si>
  <si>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</si>
  <si>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</si>
  <si>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</si>
  <si>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</si>
  <si>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</si>
  <si>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</si>
  <si>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</si>
  <si>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</si>
  <si>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</si>
  <si>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</si>
  <si>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Kolka Ásbjargar Arnarsdóttir</t>
  </si>
  <si>
    <t xml:space="preserve">Mohammed S. M. Qudaih</t>
  </si>
  <si>
    <t xml:space="preserve">Vandamál í aðalrétt: Grjónagrautur (Þrep 1: Mjólk (Mjólk))</t>
  </si>
  <si>
    <t xml:space="preserve">Vandamál í aðalrétt: Lifrarpylsa (Þrep 1: Glúten (Glúten (RÚGMJÖL))</t>
  </si>
  <si>
    <t xml:space="preserve">Vandamál í aðalrétt: Grjónagrautur (Þrep 1: Mjólk (Mjólk)); Lifrarpylsa (Þrep 1: Glúten (Glúten (RÚGMJÖL))</t>
  </si>
  <si>
    <t xml:space="preserve">Tómas</t>
  </si>
  <si>
    <t xml:space="preserve">Klettur</t>
  </si>
  <si>
    <t xml:space="preserve">Jarðhnetur</t>
  </si>
  <si>
    <t xml:space="preserve">Hörður</t>
  </si>
  <si>
    <t xml:space="preserve">mjólkurprótein</t>
  </si>
  <si>
    <t xml:space="preserve">KREFST SÉRRÉTTAR: Vegan: réttur inniheldur mjólkurvörur</t>
  </si>
  <si>
    <t xml:space="preserve">Matthildur Birgisdóttir</t>
  </si>
  <si>
    <t xml:space="preserve">má ekki fá hrá egg t.d. í sósum en má fá elduð egg - má ekki jarðhnetur</t>
  </si>
  <si>
    <t xml:space="preserve">Vandamál í aðalrétt: Grjónagrautur (Þrep 1: Mjólk (Mjólk)); Lifrarpylsa (Þrep 1: Hafrar (HAFRAMJÖL)))</t>
  </si>
  <si>
    <t xml:space="preserve">Arnar Leó Jónsson</t>
  </si>
  <si>
    <t xml:space="preserve">Svala Dís Kristinsdóttir</t>
  </si>
  <si>
    <t xml:space="preserve">Zoja Babjaková</t>
  </si>
  <si>
    <t xml:space="preserve">Linda Rut</t>
  </si>
  <si>
    <t xml:space="preserve">Nikkel ofnæmi, Annað</t>
  </si>
  <si>
    <t xml:space="preserve">Fá hliðarrétt á fiskidögum. Má alls ekki borða ýsu, túnfisk, hnetur</t>
  </si>
  <si>
    <t xml:space="preserve">Emil Oliversson</t>
  </si>
  <si>
    <t xml:space="preserve">ofnæmi fyrir eggjum í öllu formi.</t>
  </si>
  <si>
    <t xml:space="preserve">Sunneva Rós</t>
  </si>
  <si>
    <t xml:space="preserve">Á að forðast eggjum en má fá þau í bökuðum formi ( yfir 170 gráður)</t>
  </si>
  <si>
    <t xml:space="preserve">Eysteinn Ari</t>
  </si>
  <si>
    <t xml:space="preserve">ofnæmi fyrir egg</t>
  </si>
  <si>
    <t xml:space="preserve">Ugla Margrét Emilsdóttir</t>
  </si>
  <si>
    <t xml:space="preserve">Egg, Bráðofnæmi</t>
  </si>
  <si>
    <t xml:space="preserve">Freyja Rún Sigurðardóttir</t>
  </si>
  <si>
    <t xml:space="preserve">Stekkur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</si>
  <si>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</si>
  <si>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</si>
  <si>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</si>
  <si>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</si>
  <si>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</si>
  <si>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</si>
  <si>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Birkir Örn Sigurðsson</t>
  </si>
  <si>
    <t xml:space="preserve">Sólgarður</t>
  </si>
  <si>
    <t xml:space="preserve">Jarðhnetuofnæmi.</t>
  </si>
  <si>
    <t xml:space="preserve">Kristján José Ferreira</t>
  </si>
  <si>
    <t xml:space="preserve">laktósóþol</t>
  </si>
  <si>
    <t xml:space="preserve">laktósaóþol</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</si>
  <si>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</si>
  <si>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</si>
  <si>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</si>
  <si>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</si>
  <si>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</si>
  <si>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</si>
  <si>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</si>
  <si>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</si>
  <si>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</si>
  <si>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</si>
  <si>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KREFST SÉRRÉTTAR: Grjónagrautur (Þrep 1: Mjólk (Mjólk)); Vegan grjónagrautur (umbreytt sterkja); Lifrarpylsa (Þrep 1: Hafrar (HAFRAMJÖL))); Lifrarpylsa (Þrep 1: Glúten </t>
  </si>
  <si>
    <t xml:space="preserve">Aron Kobrybski</t>
  </si>
  <si>
    <t xml:space="preserve">Möndlur</t>
  </si>
  <si>
    <t xml:space="preserve">Ofnæmi fyrir Möndlur</t>
  </si>
  <si>
    <t xml:space="preserve">Veronika Sjöfn Theódorsdóttir</t>
  </si>
  <si>
    <t xml:space="preserve">fær möndlumjólk er með óþol fyrir mjólkursykri (lactosu)</t>
  </si>
  <si>
    <t xml:space="preserve">Vandamál í aðalrétt: Grjónagrautur (Þrep 1: Mjólk (Mjólk)); Lifrarpylsa (Þrep 1: Hafrar (HAFRAMJÖL))); Lifrarpylsa (Þrep 1: Glúten (Glúten (R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</si>
  <si>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</si>
  <si>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</si>
  <si>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</si>
  <si>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</si>
  <si>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</si>
  <si>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Birnir Blær</t>
  </si>
  <si>
    <t xml:space="preserve">Sigríður Una</t>
  </si>
  <si>
    <t xml:space="preserve">Birkiból</t>
  </si>
  <si>
    <t xml:space="preserve">22 juni til 30 juni</t>
  </si>
  <si>
    <t xml:space="preserve">Rökkvi</t>
  </si>
  <si>
    <t xml:space="preserve">Engidalsskóli</t>
  </si>
  <si>
    <t xml:space="preserve">Freyja Sif Bárðardóttir</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</si>
  <si>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</si>
  <si>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</si>
  <si>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</si>
  <si>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</si>
  <si>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</si>
  <si>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</si>
  <si>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</si>
  <si>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</si>
  <si>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</si>
  <si>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Ari Gjikolli</t>
  </si>
  <si>
    <t xml:space="preserve">borðar ekki svínakjöt vegna trúarbrögðin okkar</t>
  </si>
  <si>
    <t xml:space="preserve">Sunneva Kolbrún Eiríksdóttir</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</si>
  <si>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</si>
  <si>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</si>
  <si>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</si>
  <si>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</si>
  <si>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</si>
  <si>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</si>
  <si>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</si>
  <si>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</si>
  <si>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</si>
  <si>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</si>
  <si>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</si>
  <si>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</si>
  <si>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Viktor Örn Hafþórsson</t>
  </si>
  <si>
    <t xml:space="preserve">Viktor er með óþol fyrir fisk og þarf að fá annarskonar mat þá daga sem það er fiskur í matinn.</t>
  </si>
  <si>
    <t xml:space="preserve">Viktoría Víðisdóttir</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</si>
  <si>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</si>
  <si>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</si>
  <si>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</si>
  <si>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</si>
  <si>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</si>
  <si>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</si>
  <si>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Adam Jerzy Strzop</t>
  </si>
  <si>
    <t xml:space="preserve">Hann má ekki borða og drekka mjólkurvörur. Hann er með mjólkuróþol.</t>
  </si>
  <si>
    <t xml:space="preserve">Alaa I. M. Alzaq</t>
  </si>
  <si>
    <t xml:space="preserve">Má ekki fá svínakjöt</t>
  </si>
  <si>
    <t xml:space="preserve">Alba Elif Zengin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</si>
  <si>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</si>
  <si>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</si>
  <si>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</si>
  <si>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Arkan I. A. Albardawil</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</si>
  <si>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</si>
  <si>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</si>
  <si>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</si>
  <si>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</si>
  <si>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</si>
  <si>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</si>
  <si>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</si>
  <si>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Björgvin Unnar Helguson</t>
  </si>
  <si>
    <t xml:space="preserve">Eykur slímmyndun í lungum og veldur útbrotum.</t>
  </si>
  <si>
    <t xml:space="preserve">Daniel Noél Aleksandrsson</t>
  </si>
  <si>
    <t xml:space="preserve">Bráðofnæmi fyrir öllum hnetum.</t>
  </si>
  <si>
    <t xml:space="preserve">Vandamál í aðalrétt: Fiskibollur (Þrep 1: Fiskur (Fiskur))</t>
  </si>
  <si>
    <t xml:space="preserve">Vandamál í hliðarrétt: Grænmetisbollur (Þrep 1: Glúten (Glúten (bygg)))</t>
  </si>
  <si>
    <t xml:space="preserve">Vandamál í aðalrétt: Fiskibollur (Þrep 1: Soya (soja))</t>
  </si>
  <si>
    <t xml:space="preserve">Vandamál í aðalrétt: Fiskibollur (Þrep 1: Soya (soja)); Fiskibollur (Þrep 1: Fiskur (Fiskur))</t>
  </si>
  <si>
    <t xml:space="preserve">KREFST SÉRRÉTTAR: Fiskibollur (Þrep 1: Fiskur (Fiskur)); Grænmetisbollur (Þrep 2: "Baunir" í innihaldi)</t>
  </si>
  <si>
    <t xml:space="preserve">KREFST SÉRRÉTTAR: Grænmetisbollur (Þrep 1: Glúten (Glúten (bygg))); Fiskibollur (umbreytt sterkja); Grænmetisbollur (Þrep 1: Bygg (Glúten (bygg)))</t>
  </si>
  <si>
    <t xml:space="preserve">Vandamál í hliðarrétt: Grænmetisbollur (Þrep 1: Glúten (Glúten (bygg))); Grænmetisbollur (Þrep 1: Bygg (Glúten (bygg)))</t>
  </si>
  <si>
    <t xml:space="preserve">KREFST SÉRRÉTTAR: Kartöflusmælki (Þrep 2: "Kartöflur" í innihaldi); Karrísósa (Þrep 2: "kartöflusterkja" í innihaldi); Grænmetisbollur (Þrep 2: "Kartöflur" í innihaldi)</t>
  </si>
  <si>
    <t xml:space="preserve">Vandamál í aðalrétt: Pescaterian: réttur inniheldur kjöt</t>
  </si>
  <si>
    <t xml:space="preserve">KREFST SÉRRÉTTAR: Spaghetti með kjúkling (Þrep 1: Mjólk (Mjólk)); Pasta með grænmeti (Þrep 1: Mjólk (Mjólk))</t>
  </si>
  <si>
    <t xml:space="preserve">KREFST SÉRRÉTTAR: Vegan: réttur inniheldur mjólkurvörur; Vegan: réttur inniheldur kjöt</t>
  </si>
  <si>
    <t xml:space="preserve">Vandamál í aðalrétt: Vegetarian: réttur inniheldur kjöt</t>
  </si>
  <si>
    <t xml:space="preserve">Teodor Jezior</t>
  </si>
  <si>
    <t xml:space="preserve">Hnetur, kanill</t>
  </si>
  <si>
    <t xml:space="preserve">Vandamál í hliðarrétt: Grænmetispottréttur (Þrep 2: "kanill" í innihaldi)</t>
  </si>
  <si>
    <t xml:space="preserve">Leon Jezior</t>
  </si>
  <si>
    <t xml:space="preserve">KREFST SÉRRÉTTAR: Grænmetispottréttur (Þrep 2: "Tómatar" í innihaldi); Lambapottréttur (Þrep 2: "Tómatar" í innihaldi)</t>
  </si>
  <si>
    <t xml:space="preserve">KREFST SÉRRÉTTAR: Lambapottréttur (Þrep 2: "Kartöflur" í innihaldi); Grænmetispottréttur (Þrep 2: "Kartöflur" í innihaldi)</t>
  </si>
  <si>
    <t xml:space="preserve">Vandamál í aðalrétt: Ýsa (Þrep 1: Fiskur (Fiskur))</t>
  </si>
  <si>
    <t xml:space="preserve">Vandamál í hliðarrétt: Grænmetisbuff (Þrep 1: Glúten (Glúten (spelt))</t>
  </si>
  <si>
    <t xml:space="preserve">Vandamál í hliðarrétt: Grænmetisbuff (Þrep 1: Soya (soja.))</t>
  </si>
  <si>
    <t xml:space="preserve">KREFST SÉRRÉTTAR: Grænmetisbuff (Þrep 1: Soya (soja.)); Ýsa (Þrep 1: Fiskur (Fiskur))</t>
  </si>
  <si>
    <t xml:space="preserve">Vandamál í hliðarrétt: Grænmetisbuff (mjöl); Grænmetisbuff (Þrep 1: Spelt (Glúten (spelt)); Grænmetisbuff (Þrep 1: Glúten (Glúten (spelt)); Græ</t>
  </si>
  <si>
    <t xml:space="preserve">Vandamál í hliðarrétt: Grænmetisbuff (spelt); Grænmetisbuff (Þrep 1: Glúten (Glúten (spelt)); Grænmetisbuff (Þrep 1: Hveiti (Glúten (spelt))</t>
  </si>
  <si>
    <t xml:space="preserve">KREFST SÉRRÉTTAR: Grænmetisbuff (Þrep 2: "Kartöflur" í innihaldi); Kartöflur (Þrep 2: "Kartöflur" í innihaldi)</t>
  </si>
  <si>
    <t xml:space="preserve">Vandamál í aðalrétt: Vanilluskyr (Þrep 1: Mjólk (Mjólk))</t>
  </si>
  <si>
    <t xml:space="preserve">Vandamál í aðalrétt: Vegan: réttur inniheldur mjólkurvörur</t>
  </si>
  <si>
    <t xml:space="preserve">KREFST SÉRRÉTTAR: Vanilluskyr (Þrep 1: Mjólk (Mjólk)); Sojajógúrt (Þrep 1: Soya (Soja (sojabaunir)))</t>
  </si>
  <si>
    <t xml:space="preserve">Vandamál í hliðarrétt: Sojajógúrt (Þrep 1: Soya (Soja (sojabaunir)))</t>
  </si>
  <si>
    <t xml:space="preserve">KREFST SÉRRÉTTAR: Vanilluskyr (Þrep 1: Mjólk (Mjólk)); Sojajógúrt (umbreytt sterkja)</t>
  </si>
  <si>
    <t xml:space="preserve">Vandamál í aðalrétt: Ýsa í tandoori (Þrep 1: Fiskur (Fiskur (ýsa)))</t>
  </si>
  <si>
    <t xml:space="preserve">KREFST SÉRRÉTTAR: Ýsa í tandoori (Þrep 1: Fiskur (Fiskur (ýsa))); Grænmetisbollur (Þrep 2: "Baunir" í innihaldi)</t>
  </si>
  <si>
    <t xml:space="preserve">Vandamál í hliðarrétt: Grænmetisbollur (Þrep 2: "Kartöflur" í innihaldi)</t>
  </si>
  <si>
    <t xml:space="preserve">KREFST SÉRRÉTTAR: Pastagratín (Þrep 1: Mjólk (Mjólk)); Vegan pastagratín (Þrep 1: Mjólk (Mjólk))</t>
  </si>
  <si>
    <t xml:space="preserve">Brynja Gunnarsdóttir</t>
  </si>
  <si>
    <t xml:space="preserve">Grænmetissæta - fær aldrei kjöt</t>
  </si>
  <si>
    <t xml:space="preserve">🌿</t>
  </si>
  <si>
    <t xml:space="preserve">Pescetarian - fær aldrei kjöt (nema fisk)</t>
  </si>
  <si>
    <t xml:space="preserve">Pescaterian - fær aldrei kjöt (nema fisk)</t>
  </si>
  <si>
    <t xml:space="preserve">Vegan - fær aldrei kjöt eða mjólkurvörur</t>
  </si>
  <si>
    <t xml:space="preserve">Deildir (aðskildar með kommu)</t>
  </si>
  <si>
    <t xml:space="preserve">Einhverfurdeild</t>
  </si>
  <si>
    <t xml:space="preserve">Sérdeild</t>
  </si>
  <si>
    <t xml:space="preserve">Frístundaheimili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</si>
  <si>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</si>
  <si>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</si>
  <si>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</si>
  <si>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</si>
  <si>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</si>
  <si>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</si>
  <si>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</si>
  <si>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</si>
  <si>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Búrfell</t>
  </si>
  <si>
    <t xml:space="preserve">Bjarkalundur</t>
  </si>
  <si>
    <t xml:space="preserve">Leikskólinn við Hraunvallaskóla</t>
  </si>
  <si>
    <t xml:space="preserve">Hagi</t>
  </si>
  <si>
    <t xml:space="preserve">Leikskólinn við Skarðshlíðarskóla</t>
  </si>
  <si>
    <t xml:space="preserve">Krummakopt</t>
  </si>
  <si>
    <t xml:space="preserve">Stjörnuheimar</t>
  </si>
  <si>
    <t xml:space="preserve">Rauði kjarni</t>
  </si>
  <si>
    <t xml:space="preserve">Sesam</t>
  </si>
  <si>
    <t xml:space="preserve">Hafrar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</si>
  <si>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</si>
  <si>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</si>
  <si>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</si>
  <si>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</si>
  <si>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</si>
  <si>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</si>
  <si>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</si>
  <si>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</si>
  <si>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Skelfiskur</t>
  </si>
  <si>
    <t xml:space="preserve">Lindýr</t>
  </si>
  <si>
    <t xml:space="preserve">Súlfít</t>
  </si>
  <si>
    <t xml:space="preserve">Vegan</t>
  </si>
  <si>
    <t xml:space="preserve">Pescetarian</t>
  </si>
  <si>
    <t xml:space="preserve">Bráðaofnæmi</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</si>
  <si>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</si>
  <si>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</si>
  <si>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</si>
  <si>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</si>
  <si>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</si>
  <si>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</si>
  <si>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</si>
  <si>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</si>
  <si>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Nei</t>
  </si>
  <si>
    <t xml:space="preserve">https://matarstund.is/serfaedi?id=freyja-sif-bardardottir-engidalsskoli-6-bekkur</t>
  </si>
  <si>
    <t xml:space="preserve">https://matarstund.is/serfaedi?id=anuar-krasniqi-engidalsskoli-4-bekkur</t>
  </si>
  <si>
    <t xml:space="preserve">https://matarstund.is/serfaedi?id=liam-thor-gunnarsson-waage-engidalsskoli-5-bekkur</t>
  </si>
  <si>
    <t xml:space="preserve">https://matarstund.is/serfaedi?id=emil-gislason-engidalsskoli-6-bekkur</t>
  </si>
  <si>
    <t xml:space="preserve">Silja Aajal</t>
  </si>
  <si>
    <t xml:space="preserve">https://matarstund.is/serfaedi?id=silja-aajal-engidalsskoli-vantar-bekk</t>
  </si>
  <si>
    <t xml:space="preserve">Anir Aajal</t>
  </si>
  <si>
    <t xml:space="preserve">https://matarstund.is/serfaedi?id=anir-aajal-engidalsskoli-6-bekkur</t>
  </si>
  <si>
    <t xml:space="preserve">https://matarstund.is/serfaedi?id=ari-gjikolli-engidalsskoli-1-bekkur</t>
  </si>
  <si>
    <t xml:space="preserve">https://matarstund.is/serfaedi?id=sunneva-kolbrun-eiriksdottir-engidalsskoli-5-bekkur</t>
  </si>
  <si>
    <t xml:space="preserve">https://matarstund.is/serfaedi?id=sigrun-eva-tomasdottir-engidalsskoli-4-bekkur</t>
  </si>
  <si>
    <t xml:space="preserve">https://matarstund.is/serfaedi?id=jon-dagur-eyjolfsson-engidalsskoli-6-bekkur</t>
  </si>
  <si>
    <t xml:space="preserve">https://matarstund.is/serfaedi?id=ivar-oli-sigurgeirsson-engidalsskoli-6-bekkur</t>
  </si>
  <si>
    <t xml:space="preserve">https://matarstund.is/serfaedi?id=eva-sol-griciute-engidalsskoli-1-bekkur</t>
  </si>
  <si>
    <t xml:space="preserve">https://matarstund.is/serfaedi?id=mikael-darri-sveinsson-engidalsskoli-4-bekkur</t>
  </si>
  <si>
    <t xml:space="preserve">https://matarstund.is/serfaedi?id=samia-abu-zer-engidalsskoli-5-bekkur</t>
  </si>
  <si>
    <t xml:space="preserve">https://matarstund.is/serfaedi?id=vegan-kennarar-engidalsskoli-starfsmadur</t>
  </si>
  <si>
    <t xml:space="preserve">Danielis Visbergs</t>
  </si>
  <si>
    <t xml:space="preserve">https://matarstund.is/serfaedi?id=danielis-visbergs-engidalsskoli-vantar-bekk</t>
  </si>
  <si>
    <t xml:space="preserve">Bárður Breki Jóhönnuson</t>
  </si>
  <si>
    <t xml:space="preserve">https://matarstund.is/serfaedi?id=bardur-breki-johonnuson-engidalsskoli-vantar-bekk</t>
  </si>
  <si>
    <t xml:space="preserve">https://matarstund.is/serfaedi?id=viktor-orn-hafthorsson-engidalsskoli-4-bekkur</t>
  </si>
  <si>
    <t xml:space="preserve">Já</t>
  </si>
  <si>
    <t xml:space="preserve">https://matarstund.is/serfaedi?id=viktoria-vidisdottir-engidalsskoli-1-bekkur</t>
  </si>
  <si>
    <t xml:space="preserve">https://matarstund.is/serfaedi?id=klara-maney-sigurdardottir-engidalsskoli-2-bekkur</t>
  </si>
  <si>
    <t xml:space="preserve">https://matarstund.is/serfaedi?id=jon-frosti-unnarsson-engidalsskoli-1-bekkur</t>
  </si>
  <si>
    <t xml:space="preserve">https://matarstund.is/serfaedi?id=adam-attigui-hraunvallaskoli-5-bekkur</t>
  </si>
  <si>
    <t xml:space="preserve">https://matarstund.is/serfaedi?id=adam-jerzy-strzop-hraunvallaskoli-5-bekkur</t>
  </si>
  <si>
    <t xml:space="preserve">https://matarstund.is/serfaedi?id=alaa-i-m-alzaq-hraunvallaskoli-1-bekkur</t>
  </si>
  <si>
    <t xml:space="preserve">https://matarstund.is/serfaedi?id=alba-elif-zengin-hraunvallaskoli-5-bekkur</t>
  </si>
  <si>
    <t xml:space="preserve">https://matarstund.is/serfaedi?id=alexander-orn-natansson-hraunvallaskoli-vantar-bekk</t>
  </si>
  <si>
    <t xml:space="preserve">https://matarstund.is/serfaedi?id=alexander-orn-natansson-hraunvallaskoli-einhverfurdeild</t>
  </si>
  <si>
    <t xml:space="preserve">Andrew Elorm Adjahoe</t>
  </si>
  <si>
    <t xml:space="preserve">https://matarstund.is/serfaedi?id=andrew-elorm-adjahoe-hraunvallaskoli-einhverfurdeild</t>
  </si>
  <si>
    <t xml:space="preserve">Aría Karen K. Heiðardóttir</t>
  </si>
  <si>
    <t xml:space="preserve">https://matarstund.is/serfaedi?id=aria-karen-k-heidardottir-hraunvallaskoli-einhverfurdeild</t>
  </si>
  <si>
    <t xml:space="preserve">https://matarstund.is/serfaedi?id=arkan-i-a-albardawil-hraunvallaskoli-5-bekkur</t>
  </si>
  <si>
    <t xml:space="preserve">https://matarstund.is/serfaedi?id=arney-klara-sigurgeirsdottir-hraunvallaskoli-2-bekkur</t>
  </si>
  <si>
    <t xml:space="preserve">https://matarstund.is/serfaedi?id=arnor-kari-bjornsson-hraunvallaskoli-5-bekkur</t>
  </si>
  <si>
    <t xml:space="preserve">https://matarstund.is/serfaedi?id=ayan-h-s-albayyouk-hraunvallaskoli-1-bekkur</t>
  </si>
  <si>
    <t xml:space="preserve">https://matarstund.is/serfaedi?id=barez-marwan-khalaf-hraunvallaskoli-5-bekkur</t>
  </si>
  <si>
    <t xml:space="preserve">https://matarstund.is/serfaedi?id=bjorgvin-unnar-helguson-hraunvallaskoli-6-bekkur</t>
  </si>
  <si>
    <t xml:space="preserve">Brynjólfur Högni Lúðvíksson</t>
  </si>
  <si>
    <t xml:space="preserve">https://matarstund.is/serfaedi?id=brynjolfur-hogni-ludviksson-hraunvallaskoli-vantar-bekk</t>
  </si>
  <si>
    <t xml:space="preserve">https://matarstund.is/serfaedi?id=brynjolfur-hogni-ludviksson-hraunvallaskoli-einhverfurdeild</t>
  </si>
  <si>
    <t xml:space="preserve">Chainarong Thaiprasert</t>
  </si>
  <si>
    <t xml:space="preserve">https://matarstund.is/serfaedi?id=chainarong-thaiprasert-hraunvallaskoli-3-bekkur</t>
  </si>
  <si>
    <t xml:space="preserve">https://matarstund.is/serfaedi?id=daniel-noel-aleksandrsson-hraunvallaskoli-8-bekkur</t>
  </si>
  <si>
    <t xml:space="preserve">https://matarstund.is/serfaedi?id=daniel-schuldeis-hraunvallaskoli-8-bekkur</t>
  </si>
  <si>
    <t xml:space="preserve">https://matarstund.is/serfaedi?id=dilawar-kovan-abdulkhaleq-hraunvallaskoli-3-bekkur</t>
  </si>
  <si>
    <t xml:space="preserve">https://matarstund.is/serfaedi?id=elisa-attigui-hraunvallaskoli-8-bekkur</t>
  </si>
  <si>
    <t xml:space="preserve">https://matarstund.is/serfaedi?id=emad-nasir-ramadhan-barkah-hraunvallaskoli-3-bekkur</t>
  </si>
  <si>
    <t xml:space="preserve">https://matarstund.is/serfaedi?id=emma-ingibjorg-arnadottir-hraunvallaskoli-9-bekkur</t>
  </si>
  <si>
    <t xml:space="preserve">https://matarstund.is/serfaedi?id=erfan-khedri-hraunvallaskoli-3-bekkur</t>
  </si>
  <si>
    <t xml:space="preserve">https://matarstund.is/serfaedi?id=esam-naser-ramadan-barkah-hraunvallaskoli-2-bekkur</t>
  </si>
  <si>
    <t xml:space="preserve">https://matarstund.is/serfaedi?id=farah-i-m-alzaq-hraunvallaskoli-3-bekkur</t>
  </si>
  <si>
    <t xml:space="preserve">https://matarstund.is/serfaedi?id=flosi-eyvindur-baru-inguson-hraunvallaskoli-1-bekkur</t>
  </si>
  <si>
    <t xml:space="preserve">Guðný Huong Nhi Sigvaldadóttir</t>
  </si>
  <si>
    <t xml:space="preserve">https://matarstund.is/serfaedi?id=gudny-huong-nhi-sigvaldadottir-hraunvallaskoli-7-bekkur</t>
  </si>
  <si>
    <t xml:space="preserve">Hamad A. H. Alfarra</t>
  </si>
  <si>
    <t xml:space="preserve">https://matarstund.is/serfaedi?id=hamad-a-h-alfarra-hraunvallaskoli-1-bekkur</t>
  </si>
  <si>
    <t xml:space="preserve">Hrafndís Svana Hansdóttir</t>
  </si>
  <si>
    <t xml:space="preserve">https://matarstund.is/serfaedi?id=hrafndis-svana-hansdottir-hraunvallaskoli-einhverfurdeild</t>
  </si>
  <si>
    <t xml:space="preserve">Hrafndís Svana Hansdóttir Andersen</t>
  </si>
  <si>
    <t xml:space="preserve">https://matarstund.is/serfaedi?id=hrafndis-svana-hansdottir-andersen-hraunvallaskoli-vantar-bekk</t>
  </si>
  <si>
    <t xml:space="preserve">Hrannar Sölvi Hilmarsson</t>
  </si>
  <si>
    <t xml:space="preserve">https://matarstund.is/serfaedi?id=hrannar-solvi-hilmarsson-hraunvallaskoli-vantar-bekk</t>
  </si>
  <si>
    <t xml:space="preserve">https://matarstund.is/serfaedi?id=hrannar-solvi-hilmarsson-hraunvallaskoli-einhverfurdeild</t>
  </si>
  <si>
    <t xml:space="preserve">Kaiwan Kovan Abdulkhaleq</t>
  </si>
  <si>
    <t xml:space="preserve">https://matarstund.is/serfaedi?id=kaiwan-kovan-abdulkhaleq-hraunvallaskoli-7-bekkur</t>
  </si>
  <si>
    <t xml:space="preserve">https://matarstund.is/serfaedi?id=karim-i-a-albardawil-hraunvallaskoli-3-bekkur</t>
  </si>
  <si>
    <t xml:space="preserve">https://matarstund.is/serfaedi?id=khava-magamadova-hraunvallaskoli-7-bekkur</t>
  </si>
  <si>
    <t xml:space="preserve">Lana A. H. Alfarra</t>
  </si>
  <si>
    <t xml:space="preserve">https://matarstund.is/serfaedi?id=lana-a-h-alfarra-hraunvallaskoli-3-bekkur</t>
  </si>
  <si>
    <t xml:space="preserve">https://matarstund.is/serfaedi?id=malek-i-a-albardawil-hraunvallaskoli-2-bekkur</t>
  </si>
  <si>
    <t xml:space="preserve">Marwa Ali</t>
  </si>
  <si>
    <t xml:space="preserve">https://matarstund.is/serfaedi?id=marwa-ali-hraunvallaskoli-4-bekkur</t>
  </si>
  <si>
    <t xml:space="preserve">https://matarstund.is/serfaedi?id=medina-magamadova-hraunvallaskoli-3-bekkur</t>
  </si>
  <si>
    <t xml:space="preserve">https://matarstund.is/serfaedi?id=mikael-ulfur-bjarnason-hraunvallaskoli-vantar-bekk</t>
  </si>
  <si>
    <t xml:space="preserve">https://matarstund.is/serfaedi?id=mikael-ulfur-bjarnason-hraunvallaskoli-einhverfurdeild</t>
  </si>
  <si>
    <t xml:space="preserve">Mumtaz Mohamed Ali</t>
  </si>
  <si>
    <t xml:space="preserve">https://matarstund.is/serfaedi?id=mumtaz-mohamed-ali-hraunvallaskoli-6-bekkur</t>
  </si>
  <si>
    <t xml:space="preserve">Muscab Mohamed Ali Yassin</t>
  </si>
  <si>
    <t xml:space="preserve">https://matarstund.is/serfaedi?id=muscab-mohamed-ali-yassin-hraunvallaskoli-1-bekkur</t>
  </si>
  <si>
    <t xml:space="preserve">https://matarstund.is/serfaedi?id=natalia-ros-davidsdottir-hraunvallaskoli-7-bekkur</t>
  </si>
  <si>
    <t xml:space="preserve">https://matarstund.is/serfaedi?id=oki-nugraha-hraunvallaskoli-9-bekkur</t>
  </si>
  <si>
    <t xml:space="preserve">https://matarstund.is/serfaedi?id=qasem-khedri-hraunvallaskoli-9-bekkur</t>
  </si>
  <si>
    <t xml:space="preserve">Reynir Nils Davíðsson</t>
  </si>
  <si>
    <t xml:space="preserve">https://matarstund.is/serfaedi?id=reynir-nils-davidsson-hraunvallaskoli-vantar-bekk</t>
  </si>
  <si>
    <t xml:space="preserve">https://matarstund.is/serfaedi?id=reynir-nils-davidsson-hraunvallaskoli-einhverfurdeild</t>
  </si>
  <si>
    <t xml:space="preserve">Sigurjón Ernir Skaftason</t>
  </si>
  <si>
    <t xml:space="preserve">https://matarstund.is/serfaedi?id=sigurjon-ernir-skaftason-hraunvallaskoli-einhverfurdeild</t>
  </si>
  <si>
    <t xml:space="preserve">https://matarstund.is/serfaedi?id=turin-marwan-khalaf-hraunvallaskoli-2-bekkur</t>
  </si>
  <si>
    <t xml:space="preserve">https://matarstund.is/serfaedi?id=vegan-kennarar-hraunvallaskoli-starfsmadur</t>
  </si>
  <si>
    <t xml:space="preserve">https://matarstund.is/serfaedi?id=viktoria-osk-viktorsdottir-hraunvallaskoli-vantar-bekk</t>
  </si>
  <si>
    <t xml:space="preserve">Yassin Mohamed Ali</t>
  </si>
  <si>
    <t xml:space="preserve">https://matarstund.is/serfaedi?id=yassin-mohamed-ali-hraunvallaskoli-7-bekkur</t>
  </si>
  <si>
    <t xml:space="preserve">Isaias Manuel Gutierrez Toro</t>
  </si>
  <si>
    <t xml:space="preserve">skelfiskur</t>
  </si>
  <si>
    <t xml:space="preserve">https://matarstund.is/serfaedi?id=isaias-manuel-gutierrez-toro-hraunvallaskoli-1-bekkur-1</t>
  </si>
  <si>
    <t xml:space="preserve">https://matarstund.is/serfaedi?id=jayrud-joseph-oriol-yu-hraunvallaskoli-3-bekkur-1</t>
  </si>
  <si>
    <t xml:space="preserve">https://matarstund.is/serfaedi?id=david-andrei-ursache-hraunvallaskoli-2-bekkur</t>
  </si>
  <si>
    <t xml:space="preserve">https://matarstund.is/serfaedi?id=elmar-nokkvi-thorgeirsson-hraunvallaskoli-1-bekkur</t>
  </si>
  <si>
    <t xml:space="preserve">https://matarstund.is/serfaedi?id=isaias-manuel-gutierrez-toro-hraunvallaskoli-1-bekkur-2</t>
  </si>
  <si>
    <t xml:space="preserve">https://matarstund.is/serfaedi?id=heidrun-elva-einarsdottir-hraunvallaskoli-2-bekkur</t>
  </si>
  <si>
    <t xml:space="preserve">https://matarstund.is/serfaedi?id=isabella-panalap-smyrilsdottir-hraunvallaskoli-3-bekkur</t>
  </si>
  <si>
    <t xml:space="preserve">https://matarstund.is/serfaedi?id=jayrud-joseph-oriol-yu-hraunvallaskoli-3-bekkur-2</t>
  </si>
  <si>
    <t xml:space="preserve">https://matarstund.is/serfaedi?id=johann-freyr-s-asgrimsson-hraunvallaskoli-1-bekkur</t>
  </si>
  <si>
    <t xml:space="preserve">https://matarstund.is/serfaedi?id=kristofer-isak-hlynsson-hraunvallaskoli-2-bekkur</t>
  </si>
  <si>
    <t xml:space="preserve">https://matarstund.is/serfaedi?id=sigurjon-ernir-skaftason-hraunvallaskoli-vantar-bekk</t>
  </si>
  <si>
    <t xml:space="preserve">https://matarstund.is/serfaedi?id=vegan-kennarar-hvaleyrarskoli-starfsmadur</t>
  </si>
  <si>
    <t xml:space="preserve">https://matarstund.is/serfaedi?id=jasmin-hanna-kroknes-touil-hvaleyrarskoli-4-bekkur</t>
  </si>
  <si>
    <t xml:space="preserve">https://matarstund.is/serfaedi?id=natan-stalowski-hvaleyrarskoli-1-bekkur</t>
  </si>
  <si>
    <t xml:space="preserve">https://matarstund.is/serfaedi?id=lilianna-techmanski-hvaleyrarskoli-1-bekkur</t>
  </si>
  <si>
    <t xml:space="preserve">https://matarstund.is/serfaedi?id=enita-sol-hakonardottir-hvaleyrarskoli-6-bekkur</t>
  </si>
  <si>
    <t xml:space="preserve">https://matarstund.is/serfaedi?id=adam-mustapha-safy-hvaleyrarskoli-9-bekkur</t>
  </si>
  <si>
    <t xml:space="preserve">https://matarstund.is/serfaedi?id=alexander-tibor-valdisarson-hvaleyrarskoli-7-bekkur</t>
  </si>
  <si>
    <t xml:space="preserve">https://matarstund.is/serfaedi?id=almar-ramesson-hvaleyrarskoli-1-bekkur</t>
  </si>
  <si>
    <t xml:space="preserve">Sarlote Majevska</t>
  </si>
  <si>
    <t xml:space="preserve">https://matarstund.is/serfaedi?id=sarlote-majevska-hvaleyrarskoli-vantar-bekk</t>
  </si>
  <si>
    <t xml:space="preserve">https://matarstund.is/serfaedi?id=ulfur-ari-jokulsson-hvaleyrarskoli-5-bekkur</t>
  </si>
  <si>
    <t xml:space="preserve">Karam Alkhatib</t>
  </si>
  <si>
    <t xml:space="preserve">https://matarstund.is/serfaedi?id=karam-alkhatib-hvaleyrarskoli-1-bekkur</t>
  </si>
  <si>
    <t xml:space="preserve">https://matarstund.is/serfaedi?id=kandeh-arnar-turay-hvaleyrarskoli-8-bekkur</t>
  </si>
  <si>
    <t xml:space="preserve">https://matarstund.is/serfaedi?id=styrmir-hafnfjord-tryggvason-hvaleyrarskoli-9-bekkur</t>
  </si>
  <si>
    <t xml:space="preserve">https://matarstund.is/serfaedi?id=oskar-delroy-axelsson-hvaleyrarskoli-9-bekkur</t>
  </si>
  <si>
    <t xml:space="preserve">Alex Hubert Lewandowski</t>
  </si>
  <si>
    <t xml:space="preserve">https://matarstund.is/serfaedi?id=alex-hubert-lewandowski-hvaleyrarskoli-2-bekkur</t>
  </si>
  <si>
    <t xml:space="preserve">https://matarstund.is/serfaedi?id=sirin-milla-safy-hvaleyrarskoli-4-bekkur</t>
  </si>
  <si>
    <t xml:space="preserve">https://matarstund.is/serfaedi?id=hekla-dis-jakobsdottir-hvaleyrarskoli-6-bekkur</t>
  </si>
  <si>
    <t xml:space="preserve">https://matarstund.is/serfaedi?id=maria-ilaf-safy-hvaleyrarskoli-6-bekkur</t>
  </si>
  <si>
    <t xml:space="preserve">https://matarstund.is/serfaedi?id=lisbet-helen-shijo-hvaleyrarskoli-8-bekkur</t>
  </si>
  <si>
    <t xml:space="preserve">https://matarstund.is/serfaedi?id=oskar-kawecki-hvaleyrarskoli-4-bekkur-1</t>
  </si>
  <si>
    <t xml:space="preserve">Hilmir Magnús Heiðarsson</t>
  </si>
  <si>
    <t xml:space="preserve">https://matarstund.is/serfaedi?id=hilmir-magnus-heidarsson-hvaleyrarskoli-2-bekkur-1</t>
  </si>
  <si>
    <t xml:space="preserve">https://matarstund.is/serfaedi?id=borghildur-eldey-h-ivarsdottir-hvaleyrarskoli-3-bekkur</t>
  </si>
  <si>
    <t xml:space="preserve">https://matarstund.is/serfaedi?id=hilmir-magnus-heidarsson-hvaleyrarskoli-2-bekkur-2</t>
  </si>
  <si>
    <t xml:space="preserve">https://matarstund.is/serfaedi?id=oskar-kawecki-hvaleyrarskoli-4-bekkur-2</t>
  </si>
  <si>
    <t xml:space="preserve">Ernir Már Jökulsson</t>
  </si>
  <si>
    <t xml:space="preserve">https://matarstund.is/serfaedi?id=ernir-mar-jokulsson-hvaleyrarskoli-1-bekkur</t>
  </si>
  <si>
    <t xml:space="preserve">https://matarstund.is/serfaedi?id=arianna-maney-helgadottir-hvaleyrarskoli-1-bekkur</t>
  </si>
  <si>
    <t xml:space="preserve">https://matarstund.is/serfaedi?id=helena-gudrun-hjaltadottir-hvaleyrarskoli-1-bekkur</t>
  </si>
  <si>
    <t xml:space="preserve">https://matarstund.is/serfaedi?id=vegan-kennarar-laekjarskoli-starfsmadur</t>
  </si>
  <si>
    <t xml:space="preserve">https://matarstund.is/serfaedi?id=gudni-mar-steinarsson-laekjarskoli-5-bekkur</t>
  </si>
  <si>
    <t xml:space="preserve">Nazgal Ahmadi</t>
  </si>
  <si>
    <t xml:space="preserve">https://matarstund.is/serfaedi?id=nazgal-ahmadi-laekjarskoli-6-bekkur</t>
  </si>
  <si>
    <t xml:space="preserve">Neima Ahmadi</t>
  </si>
  <si>
    <t xml:space="preserve">https://matarstund.is/serfaedi?id=neima-ahmadi-laekjarskoli-4-bekkur</t>
  </si>
  <si>
    <t xml:space="preserve">Húr Raduan</t>
  </si>
  <si>
    <t xml:space="preserve">https://matarstund.is/serfaedi?id=hur-raduan-laekjarskoli-4-bekkur</t>
  </si>
  <si>
    <t xml:space="preserve">Abdullah Ahmed Mohamed</t>
  </si>
  <si>
    <t xml:space="preserve">https://matarstund.is/serfaedi?id=abdullah-ahmed-mohamed-laekjarskoli-7-bekkur</t>
  </si>
  <si>
    <t xml:space="preserve">Ólafía Sigrún Leiknisdóttir</t>
  </si>
  <si>
    <t xml:space="preserve">https://matarstund.is/serfaedi?id=olafia-sigrun-leiknisdottir-laekjarskoli-10-bekkur</t>
  </si>
  <si>
    <t xml:space="preserve">Yussuf Ahmed Mohamed</t>
  </si>
  <si>
    <t xml:space="preserve">https://matarstund.is/serfaedi?id=yussuf-ahmed-mohamed-laekjarskoli-8-bekkur</t>
  </si>
  <si>
    <t xml:space="preserve">https://matarstund.is/serfaedi?id=malin-irja-ingvarsdottir-laekjarskoli-2-bekkur</t>
  </si>
  <si>
    <t xml:space="preserve">Elyom Vanegas Avila</t>
  </si>
  <si>
    <t xml:space="preserve">https://matarstund.is/serfaedi?id=elyom-vanegas-avila-laekjarskoli-vantar-bekk</t>
  </si>
  <si>
    <t xml:space="preserve">https://matarstund.is/serfaedi?id=firasse-adam-eliamouni-laekjarskoli-9-bekkur</t>
  </si>
  <si>
    <t xml:space="preserve">https://matarstund.is/serfaedi?id=amir-ahmed-eliamouni-laekjarskoli-5-bekkur</t>
  </si>
  <si>
    <t xml:space="preserve">https://matarstund.is/serfaedi?id=lilja-rakel-thorvaldsdottir-laekjarskoli-7-bekkur</t>
  </si>
  <si>
    <t xml:space="preserve">https://matarstund.is/serfaedi?id=margret-laufey-gretarsdottir-laekjarskoli-6-bekkur</t>
  </si>
  <si>
    <t xml:space="preserve">https://matarstund.is/serfaedi?id=sylvia-svarassdottir-laekjarskoli-vantar-bekk</t>
  </si>
  <si>
    <t xml:space="preserve">https://matarstund.is/serfaedi?id=kristjan-logi-karlsson-laekjarskoli-3-bekkur</t>
  </si>
  <si>
    <t xml:space="preserve">Diana Sophia Fernandes</t>
  </si>
  <si>
    <t xml:space="preserve">https://matarstund.is/serfaedi?id=diana-sophia-fernandes-laekjarskoli-6-bekkur</t>
  </si>
  <si>
    <t xml:space="preserve">https://matarstund.is/serfaedi?id=valdis-eva-mccormack-laekjarskoli-9-bekkur</t>
  </si>
  <si>
    <t xml:space="preserve">https://matarstund.is/serfaedi?id=solon-theodor-hallgrimsson-laekjarskoli-6-bekkur</t>
  </si>
  <si>
    <t xml:space="preserve">https://matarstund.is/serfaedi?id=ronja-zawada-laekjarskoli-5-bekkur</t>
  </si>
  <si>
    <t xml:space="preserve">https://matarstund.is/serfaedi?id=eryk-zawada-laekjarskoli-7-bekkur</t>
  </si>
  <si>
    <t xml:space="preserve">https://matarstund.is/serfaedi?id=bjorgvin-hrafn-bergsson-laekjarskoli-3-bekkur</t>
  </si>
  <si>
    <t xml:space="preserve">https://matarstund.is/serfaedi?id=ulfur-hroi-birgisson-laekjarskoli-6-bekkur</t>
  </si>
  <si>
    <t xml:space="preserve">https://matarstund.is/serfaedi?id=mihajlo-stojanov-laekjarskoli-vantar-bekk</t>
  </si>
  <si>
    <t xml:space="preserve">https://matarstund.is/serfaedi?id=reynir-sveinn-runarsson-laekjarskoli-4-bekkur</t>
  </si>
  <si>
    <t xml:space="preserve">https://matarstund.is/serfaedi?id=stigur-ernst-laekjarskoli-6-bekkur</t>
  </si>
  <si>
    <t xml:space="preserve">Hrafndis</t>
  </si>
  <si>
    <t xml:space="preserve">https://matarstund.is/serfaedi?id=hrafndis-laekjarskoli-vantar-bekk</t>
  </si>
  <si>
    <t xml:space="preserve">Tindra Björk Christiansdóttir</t>
  </si>
  <si>
    <t xml:space="preserve">https://matarstund.is/serfaedi?id=tindra-bjork-christiansdottir-laekjarskoli-10-bekkur</t>
  </si>
  <si>
    <t xml:space="preserve">https://matarstund.is/serfaedi?id=yrsa-eythorsdottir-laekjarskoli-5-bekkur</t>
  </si>
  <si>
    <t xml:space="preserve">https://matarstund.is/serfaedi?id=snaefridur-brynja-bendtsen-laekjarskoli-10-bekkur</t>
  </si>
  <si>
    <t xml:space="preserve">https://matarstund.is/serfaedi?id=vegan-kennarar-oldutunsskoli-starfsmadur</t>
  </si>
  <si>
    <t xml:space="preserve">https://matarstund.is/serfaedi?id=elmar-freyr-hallgrimsson-oldutunsskoli-10-bekkur</t>
  </si>
  <si>
    <t xml:space="preserve">https://matarstund.is/serfaedi?id=embla-gudrun-ellertsdottir-oldutunsskoli-9-bekkur</t>
  </si>
  <si>
    <t xml:space="preserve">https://matarstund.is/serfaedi?id=sylvia-strozynska-oldutunsskoli-5-bekkur</t>
  </si>
  <si>
    <t xml:space="preserve">Eric Bao Nguyen Lo</t>
  </si>
  <si>
    <t xml:space="preserve">https://matarstund.is/serfaedi?id=eric-bao-nguyen-lo-oldutunsskoli-4-bekkur</t>
  </si>
  <si>
    <t xml:space="preserve">https://matarstund.is/serfaedi?id=olafur-birkir-brynjarsson-oldutunsskoli-4-bekkur</t>
  </si>
  <si>
    <t xml:space="preserve">https://matarstund.is/serfaedi?id=astros-sigurjonsdottir-oldutunsskoli-7-bekkur</t>
  </si>
  <si>
    <t xml:space="preserve">https://matarstund.is/serfaedi?id=margret-osk-stefansdottir-oldutunsskoli-2-bekkur</t>
  </si>
  <si>
    <t xml:space="preserve">https://matarstund.is/serfaedi?id=alex-noi-teitsson-oldutunsskoli-7-bekkur</t>
  </si>
  <si>
    <t xml:space="preserve">https://matarstund.is/serfaedi?id=david-mikael-dadason-oldutunsskoli-4-bekkur</t>
  </si>
  <si>
    <t xml:space="preserve">https://matarstund.is/serfaedi?id=aron-logi-sigurthorsson-oldutunsskoli-6-bekkur</t>
  </si>
  <si>
    <t xml:space="preserve">https://matarstund.is/serfaedi?id=runar-kormakur-arnarsson-oldutunsskoli-6-bekkur</t>
  </si>
  <si>
    <t xml:space="preserve">https://matarstund.is/serfaedi?id=bergsteinn-blaer-davidsson-oldutunsskoli-1-bekkur</t>
  </si>
  <si>
    <t xml:space="preserve">https://matarstund.is/serfaedi?id=bjarni-oli-arnason-oldutunsskoli-7-bekkur</t>
  </si>
  <si>
    <t xml:space="preserve">https://matarstund.is/serfaedi?id=elisa-dagmar-magnusdottir-oldutunsskoli-1-bekkur</t>
  </si>
  <si>
    <t xml:space="preserve">https://matarstund.is/serfaedi?id=magnus-darri-hallgrimsson-oldutunsskoli-6-bekkur</t>
  </si>
  <si>
    <t xml:space="preserve">https://matarstund.is/serfaedi?id=soley-jonsdottir-oldutunsskoli-8-bekkur</t>
  </si>
  <si>
    <t xml:space="preserve">https://matarstund.is/serfaedi?id=eyja-drofn-svoludottir-petursdottir-oldutunsskoli-8-bekkur</t>
  </si>
  <si>
    <t xml:space="preserve">https://matarstund.is/serfaedi?id=orvar-hrafn-gudmundsson-oldutunsskoli-8-bekkur</t>
  </si>
  <si>
    <t xml:space="preserve">https://matarstund.is/serfaedi?id=kasper-olafur-irisar-egilsson-oldutunsskoli-3-bekkur</t>
  </si>
  <si>
    <t xml:space="preserve">https://matarstund.is/serfaedi?id=karen-lilja-olafsdottir-oldutunsskoli-7-bekkur</t>
  </si>
  <si>
    <t xml:space="preserve">https://matarstund.is/serfaedi?id=nellija-melnalksne-oldutunsskoli-4-bekkur</t>
  </si>
  <si>
    <t xml:space="preserve">https://matarstund.is/serfaedi?id=thorunn-margret-einarsdottir-oldutunsskoli-3-bekkur</t>
  </si>
  <si>
    <t xml:space="preserve">Emma Rún Káradóttir</t>
  </si>
  <si>
    <t xml:space="preserve">https://matarstund.is/serfaedi?id=emma-run-karadottir-oldutunsskoli-5-bekkur</t>
  </si>
  <si>
    <t xml:space="preserve">https://matarstund.is/serfaedi?id=stefan-blaer-oldutunsskoli-6-bekkur</t>
  </si>
  <si>
    <t xml:space="preserve">https://matarstund.is/serfaedi?id=vegan-kennarar-setbergsskoli-starfsmadur</t>
  </si>
  <si>
    <t xml:space="preserve">https://matarstund.is/serfaedi?id=leifur-finniah-arason-setbergsskoli-10-bekkur</t>
  </si>
  <si>
    <t xml:space="preserve">https://matarstund.is/serfaedi?id=svandis-karla-elmarsdottir-setbergsskoli-6-bekkur</t>
  </si>
  <si>
    <t xml:space="preserve">https://matarstund.is/serfaedi?id=abirahman-mohamed-mustaf-setbergsskoli-5-bekkur</t>
  </si>
  <si>
    <t xml:space="preserve">Elva Björt Steinarsdóttir</t>
  </si>
  <si>
    <t xml:space="preserve">https://matarstund.is/serfaedi?id=elva-bjort-steinarsdottir-setbergsskoli-2-bekkur</t>
  </si>
  <si>
    <t xml:space="preserve">https://matarstund.is/serfaedi?id=hrafnkell-breki-a-sigurdarson-setbergsskoli-5-bekkur</t>
  </si>
  <si>
    <t xml:space="preserve">https://matarstund.is/serfaedi?id=arney-hlynsdottir-setbergsskoli-3-bekkur</t>
  </si>
  <si>
    <t xml:space="preserve">https://matarstund.is/serfaedi?id=ymir-mani-oddson-setbergsskoli-3-bekkur</t>
  </si>
  <si>
    <t xml:space="preserve">https://matarstund.is/serfaedi?id=viktor-breki-setbergsskoli-2-bekkur</t>
  </si>
  <si>
    <t xml:space="preserve">https://matarstund.is/serfaedi?id=viktoria-margret-ragnarsdottir-setbergsskoli-5-bekkur</t>
  </si>
  <si>
    <t xml:space="preserve">https://matarstund.is/serfaedi?id=viktor-berg-arnfj-sigurdarson-setbergsskoli-2-bekkur</t>
  </si>
  <si>
    <t xml:space="preserve">https://matarstund.is/serfaedi?id=dagur-thor-hrannarsson-setbergsskoli-2-bekkur</t>
  </si>
  <si>
    <t xml:space="preserve">https://matarstund.is/serfaedi?id=viktor-fannar-smarason-setbergsskoli-2-bekkur</t>
  </si>
  <si>
    <t xml:space="preserve">https://matarstund.is/serfaedi?id=bjartey-hjordis-berndsen-setbergsskoli-5-bekkur</t>
  </si>
  <si>
    <t xml:space="preserve">https://matarstund.is/serfaedi?id=karen-iva-hauksdottir-setbergsskoli-6-bekkur</t>
  </si>
  <si>
    <t xml:space="preserve">https://matarstund.is/serfaedi?id=moutasim-mousa-al-saadi-setbergsskoli-4-bekkur-1</t>
  </si>
  <si>
    <t xml:space="preserve">Elizabeth Ósk Mishchuk</t>
  </si>
  <si>
    <t xml:space="preserve">https://matarstund.is/serfaedi?id=elizabeth-osk-mishchuk-setbergsskoli-vantar-bekk</t>
  </si>
  <si>
    <t xml:space="preserve">https://matarstund.is/serfaedi?id=fanndis-embla-smaradottir-setbergsskoli-6-bekkur</t>
  </si>
  <si>
    <t xml:space="preserve">https://matarstund.is/serfaedi?id=steinunn-dilja-arelakis-setbergsskoli-6-bekkur</t>
  </si>
  <si>
    <t xml:space="preserve">https://matarstund.is/serfaedi?id=lilja-karen-sigurdardottir-setbergsskoli-4-bekkur</t>
  </si>
  <si>
    <t xml:space="preserve">https://matarstund.is/serfaedi?id=anita-rofn-hermannasdottir-setbergsskoli-vantar-bekk</t>
  </si>
  <si>
    <t xml:space="preserve">https://matarstund.is/serfaedi?id=thorri-strand-barkarson-setbergsskoli-10-bekkur</t>
  </si>
  <si>
    <t xml:space="preserve">https://matarstund.is/serfaedi?id=hafdis-sara-bragadottir-setbergsskoli-7-bekkur</t>
  </si>
  <si>
    <t xml:space="preserve">Casal Mohamed Mustaf</t>
  </si>
  <si>
    <t xml:space="preserve">https://matarstund.is/serfaedi?id=casal-mohamed-mustaf-setbergsskoli-4-bekkur</t>
  </si>
  <si>
    <t xml:space="preserve">Mursal Mohamed Ali</t>
  </si>
  <si>
    <t xml:space="preserve">https://matarstund.is/serfaedi?id=mursal-mohamed-ali-setbergsskoli-8-bekkur</t>
  </si>
  <si>
    <t xml:space="preserve">Ali Mohamed Ali</t>
  </si>
  <si>
    <t xml:space="preserve">https://matarstund.is/serfaedi?id=ali-mohamed-ali-setbergsskoli-7-bekkur</t>
  </si>
  <si>
    <t xml:space="preserve">Suheyb Mohamed Mustaf</t>
  </si>
  <si>
    <t xml:space="preserve">https://matarstund.is/serfaedi?id=suheyb-mohamed-mustaf-setbergsskoli-3-bekkur</t>
  </si>
  <si>
    <t xml:space="preserve">Mina Mohamed Ali</t>
  </si>
  <si>
    <t xml:space="preserve">https://matarstund.is/serfaedi?id=mina-mohamed-ali-setbergsskoli-10-bekkur</t>
  </si>
  <si>
    <t xml:space="preserve">Abdirahman Mohamed Mustaf</t>
  </si>
  <si>
    <t xml:space="preserve">https://matarstund.is/serfaedi?id=abdirahman-mohamed-mustaf-setbergsskoli-5-bekkur</t>
  </si>
  <si>
    <t xml:space="preserve">Vaka Logadóttir</t>
  </si>
  <si>
    <t xml:space="preserve">https://matarstund.is/serfaedi?id=vaka-logadottir-setbergsskoli-vantar-bekk</t>
  </si>
  <si>
    <t xml:space="preserve">https://matarstund.is/serfaedi?id=einar-aron-nicis-einarsson-setbergsskoli-vantar-bekk</t>
  </si>
  <si>
    <t xml:space="preserve">Joris Ambrazunas</t>
  </si>
  <si>
    <t xml:space="preserve">https://matarstund.is/serfaedi?id=joris-ambrazunas-setbergsskoli-vantar-bekk</t>
  </si>
  <si>
    <t xml:space="preserve">https://matarstund.is/serfaedi?id=wiktor-tomalak-setbergsskoli-vantar-bekk</t>
  </si>
  <si>
    <t xml:space="preserve">Garðar Hrafn Jóhannsson</t>
  </si>
  <si>
    <t xml:space="preserve">https://matarstund.is/serfaedi?id=gardar-hrafn-johannsson-setbergsskoli-vantar-bekk</t>
  </si>
  <si>
    <t xml:space="preserve">Alvar Breki Björgvinsson</t>
  </si>
  <si>
    <t xml:space="preserve">https://matarstund.is/serfaedi?id=alvar-breki-bjorgvinsson-setbergsskoli-vantar-bekk</t>
  </si>
  <si>
    <t xml:space="preserve">Róbert Fannar bergman Guðnasson</t>
  </si>
  <si>
    <t xml:space="preserve">https://matarstund.is/serfaedi?id=robert-fannar-bergman-gudnasson-setbergsskoli-vantar-bekk</t>
  </si>
  <si>
    <t xml:space="preserve">https://matarstund.is/serfaedi?id=stefan-mikael-gretarsson-setbergsskoli-vantar-bekk</t>
  </si>
  <si>
    <t xml:space="preserve">https://matarstund.is/serfaedi?id=moutasim-mousa-al-saadi-setbergsskoli-4-bekkur-2</t>
  </si>
  <si>
    <t xml:space="preserve">https://matarstund.is/serfaedi?id=helga-soley-arnadottir-setbergsskoli-8-bekkur</t>
  </si>
  <si>
    <t xml:space="preserve">https://matarstund.is/serfaedi?id=gudjon-mikael-gunnarsson-setbergsskoli-2-bekkur</t>
  </si>
  <si>
    <t xml:space="preserve">https://matarstund.is/serfaedi?id=nokkvi-mar-agustsson-setbergsskoli-4-bekkur</t>
  </si>
  <si>
    <t xml:space="preserve">https://matarstund.is/serfaedi?id=brynja-gunnarsdottir-setbergsskoli-2-bekkur</t>
  </si>
  <si>
    <t xml:space="preserve">https://matarstund.is/serfaedi?id=katla-margret-bjorgvinsdottir-setbergsskoli-4-bekkur</t>
  </si>
  <si>
    <t xml:space="preserve">https://matarstund.is/serfaedi?id=vegan-kennarar-skardshlidarskoli-starfsmadur</t>
  </si>
  <si>
    <t xml:space="preserve">https://matarstund.is/serfaedi?id=stormur-hallsson-skardshlidarskoli-1-bekkur</t>
  </si>
  <si>
    <t xml:space="preserve">Jóhanna Birna Atladóttir</t>
  </si>
  <si>
    <t xml:space="preserve">laktósi, Mjólk, Hnetur</t>
  </si>
  <si>
    <t xml:space="preserve">https://matarstund.is/serfaedi?id=johanna-birna-atladottir-skardshlidarskoli-vantar-bekk</t>
  </si>
  <si>
    <t xml:space="preserve">https://matarstund.is/serfaedi?id=josef-johannesson-skardshlidarskoli-9-bekkur</t>
  </si>
  <si>
    <t xml:space="preserve">https://matarstund.is/serfaedi?id=arngrimur-kato-kolbeinsson-skardshlidarskoli-6-bekkur</t>
  </si>
  <si>
    <t xml:space="preserve">https://matarstund.is/serfaedi?id=anna-gerda-johannesdottir-skardshlidarskoli-4-bekkur</t>
  </si>
  <si>
    <t xml:space="preserve">https://matarstund.is/serfaedi?id=isabella-hauksdottir-skardshlidarskoli-7-bekkur</t>
  </si>
  <si>
    <t xml:space="preserve">Egg, Jarðhnetur</t>
  </si>
  <si>
    <t xml:space="preserve">https://matarstund.is/serfaedi?id=karen-dis-karadottir-skardshlidarskoli-8-bekkur-1</t>
  </si>
  <si>
    <t xml:space="preserve">https://matarstund.is/serfaedi?id=soldis-athena-hjorvarsdottir-skardshlidarskoli-3-bekkur</t>
  </si>
  <si>
    <t xml:space="preserve">Alda Karen Gunnarsdóttir</t>
  </si>
  <si>
    <t xml:space="preserve">Sellerí, Hnetur</t>
  </si>
  <si>
    <t xml:space="preserve">https://matarstund.is/serfaedi?id=alda-karen-gunnarsdottir-skardshlidarskoli-vantar-bekk</t>
  </si>
  <si>
    <t xml:space="preserve">https://matarstund.is/serfaedi?id=berglind-julia-hilmarsdottir-skardshlidarskoli-8-bekkur</t>
  </si>
  <si>
    <t xml:space="preserve">https://matarstund.is/serfaedi?id=valdimar-orn-sigurdsson-skardshlidarskoli-8-bekkur</t>
  </si>
  <si>
    <t xml:space="preserve">https://matarstund.is/serfaedi?id=yarub-nasif-skardshlidarskoli-10-bekkur</t>
  </si>
  <si>
    <t xml:space="preserve">https://matarstund.is/serfaedi?id=maya-nasif-skardshlidarskoli-2-bekkur</t>
  </si>
  <si>
    <t xml:space="preserve">https://matarstund.is/serfaedi?id=isold-hauksdottir-skardshlidarskoli-4-bekkur</t>
  </si>
  <si>
    <t xml:space="preserve">Abdallah Shah Radh</t>
  </si>
  <si>
    <t xml:space="preserve">https://matarstund.is/serfaedi?id=abdallah-shah-radh-skardshlidarskoli-vantar-bekk</t>
  </si>
  <si>
    <t xml:space="preserve">https://matarstund.is/serfaedi?id=heida-maria-jonsdottir-skardshlidarskoli-6-bekkur</t>
  </si>
  <si>
    <t xml:space="preserve">Tamanna Saidi</t>
  </si>
  <si>
    <t xml:space="preserve">https://matarstund.is/serfaedi?id=tamanna-saidi-skardshlidarskoli-3-bekkur</t>
  </si>
  <si>
    <t xml:space="preserve">Sana Saidi</t>
  </si>
  <si>
    <t xml:space="preserve">https://matarstund.is/serfaedi?id=sana-saidi-skardshlidarskoli-6-bekkur</t>
  </si>
  <si>
    <t xml:space="preserve">https://matarstund.is/serfaedi?id=karen-dis-karadottir-skardshlidarskoli-8-bekkur-2</t>
  </si>
  <si>
    <t xml:space="preserve">Abdirahin Omar Alasow</t>
  </si>
  <si>
    <t xml:space="preserve">https://matarstund.is/serfaedi?id=abdirahin-omar-alasow-skardshlidarskoli-vantar-bekk</t>
  </si>
  <si>
    <t xml:space="preserve">Ameer Shujaa</t>
  </si>
  <si>
    <t xml:space="preserve">https://matarstund.is/serfaedi?id=ameer-shujaa-skardshlidarskoli-vantar-bekk</t>
  </si>
  <si>
    <t xml:space="preserve">Bilal Saidi</t>
  </si>
  <si>
    <t xml:space="preserve">https://matarstund.is/serfaedi?id=bilal-saidi-skardshlidarskoli-8-bekkur</t>
  </si>
  <si>
    <t xml:space="preserve">Haidar S. M. Albayyouk</t>
  </si>
  <si>
    <t xml:space="preserve">https://matarstund.is/serfaedi?id=haidar-s-m-albayyouk-skardshlidarskoli-vantar-bekk</t>
  </si>
  <si>
    <t xml:space="preserve">Hussein Mohammed Qasim Alzaibei</t>
  </si>
  <si>
    <t xml:space="preserve">https://matarstund.is/serfaedi?id=hussein-mohammed-qasim-alzaibei-skardshlidarskoli-vantar-bekk</t>
  </si>
  <si>
    <t xml:space="preserve">Marcel Bæssamsdóttir</t>
  </si>
  <si>
    <t xml:space="preserve">https://matarstund.is/serfaedi?id=marcel-baessamsdottir-skardshlidarskoli-vantar-bekk</t>
  </si>
  <si>
    <t xml:space="preserve">Maryam Shah Radh</t>
  </si>
  <si>
    <t xml:space="preserve">https://matarstund.is/serfaedi?id=maryam-shah-radh-skardshlidarskoli-vantar-bekk</t>
  </si>
  <si>
    <t xml:space="preserve">Ashkan Rasul Raouf</t>
  </si>
  <si>
    <t xml:space="preserve">https://matarstund.is/serfaedi?id=ashkan-rasul-raouf-skardshlidarskoli-vantar-bekk</t>
  </si>
  <si>
    <t xml:space="preserve">Bebars Óliver Bæssamsson</t>
  </si>
  <si>
    <t xml:space="preserve">https://matarstund.is/serfaedi?id=bebars-oliver-baessamsson-skardshlidarskoli-vantar-bekk</t>
  </si>
  <si>
    <t xml:space="preserve">Lamar Shujaa</t>
  </si>
  <si>
    <t xml:space="preserve">https://matarstund.is/serfaedi?id=lamar-shujaa-skardshlidarskoli-vantar-bekk</t>
  </si>
  <si>
    <t xml:space="preserve">Mayar Shujaa</t>
  </si>
  <si>
    <t xml:space="preserve">https://matarstund.is/serfaedi?id=mayar-shujaa-skardshlidarskoli-vantar-bekk</t>
  </si>
  <si>
    <t xml:space="preserve">Salma Angelina Naser</t>
  </si>
  <si>
    <t xml:space="preserve">https://matarstund.is/serfaedi?id=salma-angelina-naser-skardshlidarskoli-vantar-bekk</t>
  </si>
  <si>
    <t xml:space="preserve">Dieb Zed Alyousef Nasser</t>
  </si>
  <si>
    <t xml:space="preserve">https://matarstund.is/serfaedi?id=dieb-zed-alyousef-nasser-skardshlidarskoli-vantar-bekk</t>
  </si>
  <si>
    <t xml:space="preserve">Eilin Nasif</t>
  </si>
  <si>
    <t xml:space="preserve">https://matarstund.is/serfaedi?id=eilin-nasif-skardshlidarskoli-3-bekkur</t>
  </si>
  <si>
    <t xml:space="preserve">Jad Shujaa</t>
  </si>
  <si>
    <t xml:space="preserve">https://matarstund.is/serfaedi?id=jad-shujaa-skardshlidarskoli-4-bekkur</t>
  </si>
  <si>
    <t xml:space="preserve">Lawrence Gestur Bæssamsson</t>
  </si>
  <si>
    <t xml:space="preserve">https://matarstund.is/serfaedi?id=lawrence-gestur-baessamsson-skardshlidarskoli-4-bekkur</t>
  </si>
  <si>
    <t xml:space="preserve">Mayar Naser</t>
  </si>
  <si>
    <t xml:space="preserve">https://matarstund.is/serfaedi?id=mayar-naser-skardshlidarskoli-3-bekkur</t>
  </si>
  <si>
    <t xml:space="preserve">Nawar Shujaa</t>
  </si>
  <si>
    <t xml:space="preserve">https://matarstund.is/serfaedi?id=nawar-shujaa-skardshlidarskoli-1-bekkur</t>
  </si>
  <si>
    <t xml:space="preserve">Twart Hildur Bæssamsdóttir</t>
  </si>
  <si>
    <t xml:space="preserve">https://matarstund.is/serfaedi?id=twart-hildur-baessamsdottir-skardshlidarskoli-2-bekkur</t>
  </si>
  <si>
    <t xml:space="preserve">https://matarstund.is/serfaedi?id=antoni-jakub-sobieraj-skardshlidarskoli-6-bekkur</t>
  </si>
  <si>
    <t xml:space="preserve">https://matarstund.is/serfaedi?id=andrea-heiddal-skardshlidarskoli-vantar-bekk</t>
  </si>
  <si>
    <t xml:space="preserve">Mikael Steinar Hjartarson</t>
  </si>
  <si>
    <t xml:space="preserve">https://matarstund.is/serfaedi?id=mikael-steinar-hjartarson-skardshlidarskoli-vantar-bekk</t>
  </si>
  <si>
    <t xml:space="preserve">Niima Sheriff Alhassan</t>
  </si>
  <si>
    <t xml:space="preserve">https://matarstund.is/serfaedi?id=niima-sheriff-alhassan-skardshlidarskoli-1-bekkur</t>
  </si>
  <si>
    <t xml:space="preserve">https://matarstund.is/serfaedi?id=tindur-osmann-esrason-skardshlidarskoli-4-bekkur</t>
  </si>
  <si>
    <t xml:space="preserve">https://matarstund.is/serfaedi?id=gunnar-orn-fannarsson-skardshlidarskoli-1-bekkur</t>
  </si>
  <si>
    <t xml:space="preserve">https://matarstund.is/serfaedi?id=maria-gretarsdottir-skardshlidarskoli-3-bekkur</t>
  </si>
  <si>
    <t xml:space="preserve">https://matarstund.is/serfaedi?id=aron-meraja-skardshlidarskoli-1-bekkur</t>
  </si>
  <si>
    <t xml:space="preserve">https://matarstund.is/serfaedi?id=athena-ran-gudjonsdottir-skardshlidarskoli-4-bekkur</t>
  </si>
  <si>
    <t xml:space="preserve">Lúna sól Óskarsdóttir</t>
  </si>
  <si>
    <t xml:space="preserve">https://matarstund.is/serfaedi?id=luna-sol-oskarsdottir-skardshlidarskoli-4-bekkur</t>
  </si>
  <si>
    <t xml:space="preserve">https://matarstund.is/serfaedi?id=vegan-kennarar-vidistadaskoli-starfsmadur</t>
  </si>
  <si>
    <t xml:space="preserve">https://matarstund.is/serfaedi?id=astridur-osp-sigurdardottir-vidistadaskoli-9-bekkur</t>
  </si>
  <si>
    <t xml:space="preserve">https://matarstund.is/serfaedi?id=fanney-kara-sveinsdottir-vidistadaskoli-8-bekkur</t>
  </si>
  <si>
    <t xml:space="preserve">https://matarstund.is/serfaedi?id=frodi-egilsson-vidistadaskoli-7-bekkur</t>
  </si>
  <si>
    <t xml:space="preserve">https://matarstund.is/serfaedi?id=mani-egilsson-vidistadaskoli-7-bekkur</t>
  </si>
  <si>
    <t xml:space="preserve">https://matarstund.is/serfaedi?id=ragnar-gisli-bjarkason-vidistadaskoli-6-bekkur</t>
  </si>
  <si>
    <t xml:space="preserve">https://matarstund.is/serfaedi?id=kjartan-hjaltalin-palsson-vidistadaskoli-9-bekkur</t>
  </si>
  <si>
    <t xml:space="preserve">https://matarstund.is/serfaedi?id=thelma-ros-jonsdottir-vidistadaskoli-7-bekkur</t>
  </si>
  <si>
    <t xml:space="preserve">https://matarstund.is/serfaedi?id=aron-hrafn-sveinsson-vidistadaskoli-5-bekkur</t>
  </si>
  <si>
    <t xml:space="preserve">https://matarstund.is/serfaedi?id=kari-steinar-magnusson-vidistadaskoli-9-bekkur</t>
  </si>
  <si>
    <t xml:space="preserve">https://matarstund.is/serfaedi?id=karitas-yr-ingimundardottir-vidistadaskoli-10-bekkur</t>
  </si>
  <si>
    <t xml:space="preserve">https://matarstund.is/serfaedi?id=rafael-mar-bjornsson-huby-vidistadaskoli-5-bekkur</t>
  </si>
  <si>
    <t xml:space="preserve">https://matarstund.is/serfaedi?id=rejhana-bajramovska-vidistadaskoli-3-bekkur</t>
  </si>
  <si>
    <t xml:space="preserve">https://matarstund.is/serfaedi?id=gudlaug-soley-jokumsen-bergmann-vidistadaskoli-6-bekkur</t>
  </si>
  <si>
    <t xml:space="preserve">https://matarstund.is/serfaedi?id=anna-kristin-johannesdottir-vidistadaskoli-vantar-bekk</t>
  </si>
  <si>
    <t xml:space="preserve">https://matarstund.is/serfaedi?id=milad-rasouli-vidistadaskoli-4-bekkur</t>
  </si>
  <si>
    <t xml:space="preserve">https://matarstund.is/serfaedi?id=alma-bajramovska-vidistadaskoli-10-bekkur</t>
  </si>
  <si>
    <t xml:space="preserve">https://matarstund.is/serfaedi?id=ali-alkaie-vidistadaskoli-4-bekkur</t>
  </si>
  <si>
    <t xml:space="preserve">https://matarstund.is/serfaedi?id=elina-rasouli-vidistadaskoli-1-bekkur</t>
  </si>
  <si>
    <t xml:space="preserve">https://matarstund.is/serfaedi?id=omar-mohammed-ahmed-issa-vidistadaskoli-4-bekkur</t>
  </si>
  <si>
    <t xml:space="preserve">https://matarstund.is/serfaedi?id=zaina-alkaie-vidistadaskoli-2-bekkur</t>
  </si>
  <si>
    <t xml:space="preserve">https://matarstund.is/serfaedi?id=jawad-rami-hassan-abu-rajab-vidistadaskoli-1-bekkur</t>
  </si>
  <si>
    <t xml:space="preserve">https://matarstund.is/serfaedi?id=wissam-rami-hassan-abu-rajab-vidistadaskoli-1-bekkur</t>
  </si>
  <si>
    <t xml:space="preserve">https://matarstund.is/serfaedi?id=zain-s-m-qudaih-vidistadaskoli-9-bekkur</t>
  </si>
  <si>
    <t xml:space="preserve">https://matarstund.is/serfaedi?id=talia-s-m-qudaih-vidistadaskoli-5-bekkur</t>
  </si>
  <si>
    <t xml:space="preserve">https://matarstund.is/serfaedi?id=qais-s-m-qudaih-vidistadaskoli-7-bekkur</t>
  </si>
  <si>
    <t xml:space="preserve">Razan A. M. Alaqad</t>
  </si>
  <si>
    <t xml:space="preserve">https://matarstund.is/serfaedi?id=razan-a-m-alaqad-vidistadaskoli-1-bekkur</t>
  </si>
  <si>
    <t xml:space="preserve">Bond.. John bond</t>
  </si>
  <si>
    <t xml:space="preserve">https://matarstund.is/serfaedi?id=bond-john-bond-vidistadaskoli-vantar-bekk</t>
  </si>
  <si>
    <t xml:space="preserve">Emil</t>
  </si>
  <si>
    <t xml:space="preserve">https://matarstund.is/serfaedi?id=emil-vidistadaskoli-vantar-bekk</t>
  </si>
  <si>
    <t xml:space="preserve">https://matarstund.is/serfaedi?id=kolka-asbjargar-arnarsdottir-vidistadaskoli-3-bekkur</t>
  </si>
  <si>
    <t xml:space="preserve">https://matarstund.is/serfaedi?id=mohammed-s-m-qudaih-vidistadaskoli-1-bekkur</t>
  </si>
  <si>
    <t xml:space="preserve">NEMENDASKRÁ — LEIKSKÓLAR</t>
  </si>
  <si>
    <t xml:space="preserve">💡 Allir leikskólabörn fá hádegismat og hressingu. Einhverfudeild/Sérdeild: Já = einfaldari útgáfa af rétti (engar blandaðar sósur o.fl.).</t>
  </si>
  <si>
    <t xml:space="preserve">https://matarstund.is/serfaedi?id=flosi-alfaberg-keili</t>
  </si>
  <si>
    <t xml:space="preserve">Alma Líf</t>
  </si>
  <si>
    <t xml:space="preserve">https://matarstund.is/serfaedi?id=alma-lif-alfaberg-helgafell</t>
  </si>
  <si>
    <t xml:space="preserve">https://matarstund.is/serfaedi?id=andri-antonsson-alfaberg-esja</t>
  </si>
  <si>
    <t xml:space="preserve">https://matarstund.is/serfaedi?id=marta-alfaberg</t>
  </si>
  <si>
    <t xml:space="preserve">https://matarstund.is/serfaedi?id=sulei-alfaberg</t>
  </si>
  <si>
    <t xml:space="preserve">https://matarstund.is/serfaedi?id=athena-alfaberg-keili</t>
  </si>
  <si>
    <t xml:space="preserve">https://matarstund.is/serfaedi?id=throstur-xavier-olafsson-alfaberg-oskju</t>
  </si>
  <si>
    <t xml:space="preserve">https://matarstund.is/serfaedi?id=sigridur-alfaberg</t>
  </si>
  <si>
    <t xml:space="preserve">Sandy</t>
  </si>
  <si>
    <t xml:space="preserve">https://matarstund.is/serfaedi?id=sandy-alfaberg-oskju</t>
  </si>
  <si>
    <t xml:space="preserve">Layla</t>
  </si>
  <si>
    <t xml:space="preserve">https://matarstund.is/serfaedi?id=layla-alfaberg-burfell</t>
  </si>
  <si>
    <t xml:space="preserve">https://matarstund.is/serfaedi?id=freyr-sindrason-alfaberg-helgafell</t>
  </si>
  <si>
    <t xml:space="preserve">https://matarstund.is/serfaedi?id=saga-sindrason-alfaberg-helgafell</t>
  </si>
  <si>
    <t xml:space="preserve">https://matarstund.is/serfaedi?id=sif-alfaberg-oskju</t>
  </si>
  <si>
    <t xml:space="preserve">https://matarstund.is/serfaedi?id=tomas-arnarberg-klettur</t>
  </si>
  <si>
    <t xml:space="preserve">https://matarstund.is/serfaedi?id=sunna-yr-arnarberg-hamar</t>
  </si>
  <si>
    <t xml:space="preserve">https://matarstund.is/serfaedi?id=hordur-arnarberg-reit</t>
  </si>
  <si>
    <t xml:space="preserve">https://matarstund.is/serfaedi?id=karitas-helga-arnarberg-reit</t>
  </si>
  <si>
    <t xml:space="preserve">https://matarstund.is/serfaedi?id=ewa-arnarberg</t>
  </si>
  <si>
    <t xml:space="preserve">https://matarstund.is/serfaedi?id=greta-maria-gudjonsdottir-arnarberg-krokur</t>
  </si>
  <si>
    <t xml:space="preserve">https://matarstund.is/serfaedi?id=matthildur-birgisdottir-bjarkarlundur-matsalur</t>
  </si>
  <si>
    <t xml:space="preserve">https://matarstund.is/serfaedi?id=moey-arna-bjarkarlundur-matsalur</t>
  </si>
  <si>
    <t xml:space="preserve">https://matarstund.is/serfaedi?id=karitas-maria-bjarkarlundur-matsalur</t>
  </si>
  <si>
    <t xml:space="preserve">https://matarstund.is/serfaedi?id=maja-zofia-strzop-bjarkarlundur-matsalur</t>
  </si>
  <si>
    <t xml:space="preserve">Abdullah Omer Al Haw</t>
  </si>
  <si>
    <t xml:space="preserve">https://matarstund.is/serfaedi?id=abdullah-omer-al-haw-bjarkarlundur-matsalur</t>
  </si>
  <si>
    <t xml:space="preserve">Alexandra</t>
  </si>
  <si>
    <t xml:space="preserve">https://matarstund.is/serfaedi?id=alexandra-bjarkarlundur-matsalur</t>
  </si>
  <si>
    <t xml:space="preserve">https://matarstund.is/serfaedi?id=freyjar-rut-bjarkarlundur-matsalur</t>
  </si>
  <si>
    <t xml:space="preserve">https://matarstund.is/serfaedi?id=borkur-thor-hlidarberg-vantar-deild</t>
  </si>
  <si>
    <t xml:space="preserve">Emilía Helga Hergilsdóttir</t>
  </si>
  <si>
    <t xml:space="preserve">https://matarstund.is/serfaedi?id=emilia-helga-hergilsdottir-hlidarberg-vantar-deild</t>
  </si>
  <si>
    <t xml:space="preserve">https://matarstund.is/serfaedi?id=alexander-fannar-hlidarberg-klettahlid</t>
  </si>
  <si>
    <t xml:space="preserve">https://matarstund.is/serfaedi?id=solrun-hlidarberg</t>
  </si>
  <si>
    <t xml:space="preserve">https://matarstund.is/serfaedi?id=marino-hlidarberg-trollahlid</t>
  </si>
  <si>
    <t xml:space="preserve">https://matarstund.is/serfaedi?id=agnar-thor-bjornsson-hlidarberg-trollahlid</t>
  </si>
  <si>
    <t xml:space="preserve">https://matarstund.is/serfaedi?id=christopher-einar-hlidarberg-klettahlid</t>
  </si>
  <si>
    <t xml:space="preserve">https://matarstund.is/serfaedi?id=audur-elisabet-teitsdottir-hlidarberg-trollahlid</t>
  </si>
  <si>
    <t xml:space="preserve">https://matarstund.is/serfaedi?id=asgeir-logi-kristinsson-hlidarberg-hamrahlid</t>
  </si>
  <si>
    <t xml:space="preserve">https://matarstund.is/serfaedi?id=lukas-logi-aronsson-hlidarberg-hamrahlid</t>
  </si>
  <si>
    <t xml:space="preserve">https://matarstund.is/serfaedi?id=ellert-omar-gudmundsson-horduvellir-laut</t>
  </si>
  <si>
    <t xml:space="preserve">https://matarstund.is/serfaedi?id=hroi-svoluson-nokkvason-horduvellir-hamar</t>
  </si>
  <si>
    <t xml:space="preserve">https://matarstund.is/serfaedi?id=kai-zawada-horduvellir-hamar</t>
  </si>
  <si>
    <t xml:space="preserve">https://matarstund.is/serfaedi?id=tanya-saori-vanegas-avila-horduvellir-hamar</t>
  </si>
  <si>
    <t xml:space="preserve">https://matarstund.is/serfaedi?id=antoni-malysa-horduvellir-hraun</t>
  </si>
  <si>
    <t xml:space="preserve">https://matarstund.is/serfaedi?id=agnes-osk-vidarsdottir-horduvellir</t>
  </si>
  <si>
    <t xml:space="preserve">https://matarstund.is/serfaedi?id=anna-katrin-kristmundsdottir-horduvellir</t>
  </si>
  <si>
    <t xml:space="preserve">https://matarstund.is/serfaedi?id=anna-jaskulke-horduvellir</t>
  </si>
  <si>
    <t xml:space="preserve">https://matarstund.is/serfaedi?id=arnar-leo-jonsson-hraunvallaleikskoli-hofdi</t>
  </si>
  <si>
    <t xml:space="preserve">https://matarstund.is/serfaedi?id=svala-dis-kristinsdottir-hraunvallaleikskoli-holl</t>
  </si>
  <si>
    <t xml:space="preserve">https://matarstund.is/serfaedi?id=zoja-babjakova-hraunvallaleikskoli-hofdi</t>
  </si>
  <si>
    <t xml:space="preserve">https://matarstund.is/serfaedi?id=rebekka-sol-gisladottir-hraunvallaleikskoli-hofdi</t>
  </si>
  <si>
    <t xml:space="preserve">https://matarstund.is/serfaedi?id=asta-gudrun-atladottir-hraunvallaleikskoli-holl</t>
  </si>
  <si>
    <t xml:space="preserve">https://matarstund.is/serfaedi?id=ragnar-logi-hlifarsson-hraunvallaleikskoli-holl</t>
  </si>
  <si>
    <t xml:space="preserve">https://matarstund.is/serfaedi?id=tryggvi-snaer-kristleifsson-hraunvallaleikskoli-holt</t>
  </si>
  <si>
    <t xml:space="preserve">https://matarstund.is/serfaedi?id=rosa-jona-magnusdottir-hraunvallaleikskoli</t>
  </si>
  <si>
    <t xml:space="preserve">Elsa Rui Thong Lo</t>
  </si>
  <si>
    <t xml:space="preserve">https://matarstund.is/serfaedi?id=elsa-rui-thong-lo-hraunvallaleikskoli-hofdi</t>
  </si>
  <si>
    <t xml:space="preserve">Klodian Bylykbashi</t>
  </si>
  <si>
    <t xml:space="preserve">https://matarstund.is/serfaedi?id=klodian-bylykbashi-hraunvallaleikskoli-hagi</t>
  </si>
  <si>
    <t xml:space="preserve">Mohamed Albayyouk</t>
  </si>
  <si>
    <t xml:space="preserve">https://matarstund.is/serfaedi?id=mohamed-albayyouk-hraunvallaleikskoli-hagi</t>
  </si>
  <si>
    <t xml:space="preserve">Ahmed H. S. Albayyouk</t>
  </si>
  <si>
    <t xml:space="preserve">https://matarstund.is/serfaedi?id=ahmed-h-s-albayyouk-hraunvallaleikskoli-hofdi</t>
  </si>
  <si>
    <t xml:space="preserve">Mustafa Asad Ali Salad</t>
  </si>
  <si>
    <t xml:space="preserve">https://matarstund.is/serfaedi?id=mustafa-asad-ali-salad-hraunvallaleikskoli-hofdi</t>
  </si>
  <si>
    <t xml:space="preserve">Adli H. S. Albayyouk</t>
  </si>
  <si>
    <t xml:space="preserve">https://matarstund.is/serfaedi?id=adli-h-s-albayyouk-hraunvallaleikskoli-holl</t>
  </si>
  <si>
    <t xml:space="preserve">Sham I. M. Alzaq</t>
  </si>
  <si>
    <t xml:space="preserve">https://matarstund.is/serfaedi?id=sham-i-m-alzaq-hraunvallaleikskoli-holl</t>
  </si>
  <si>
    <t xml:space="preserve">https://matarstund.is/serfaedi?id=galyna-oliinyk-hraunvallaleikskoli</t>
  </si>
  <si>
    <t xml:space="preserve">https://matarstund.is/serfaedi?id=nina-stoyanova-atanasova-hraunvallaleikskoli</t>
  </si>
  <si>
    <t xml:space="preserve">Indíanaa Lea Almarsdóttir</t>
  </si>
  <si>
    <t xml:space="preserve">https://matarstund.is/serfaedi?id=indianaa-lea-almarsdottir-hraunvallaleikskoli-holl</t>
  </si>
  <si>
    <t xml:space="preserve">https://matarstund.is/serfaedi?id=solrun-amari-gudmundsdottir-hraunvallaleikskoli-holt</t>
  </si>
  <si>
    <t xml:space="preserve">https://matarstund.is/serfaedi?id=linda-rut-hraunvallaleikskoli</t>
  </si>
  <si>
    <t xml:space="preserve">https://matarstund.is/serfaedi?id=gudbjorg-maria-agustsdottir-hraunvallaleikskoli</t>
  </si>
  <si>
    <t xml:space="preserve">https://matarstund.is/serfaedi?id=emil-oliversson-skardshlidarleikskoli-laut</t>
  </si>
  <si>
    <t xml:space="preserve">https://matarstund.is/serfaedi?id=sunneva-ros-skardshlidarleikskoli-vantar-deild</t>
  </si>
  <si>
    <t xml:space="preserve">https://matarstund.is/serfaedi?id=teodor-jezior-skardshlidarleikskoli-holl</t>
  </si>
  <si>
    <t xml:space="preserve">https://matarstund.is/serfaedi?id=leon-jezior-skardshlidarleikskoli-hraun</t>
  </si>
  <si>
    <t xml:space="preserve">Emma Jónasdóttir</t>
  </si>
  <si>
    <t xml:space="preserve">https://matarstund.is/serfaedi?id=emma-jonasdottir-skardshlidarleikskoli</t>
  </si>
  <si>
    <t xml:space="preserve">Hrafnhildur Ósk Maríusdóttir</t>
  </si>
  <si>
    <t xml:space="preserve">https://matarstund.is/serfaedi?id=hrafnhildur-osk-mariusdottir-skardshlidarleikskoli</t>
  </si>
  <si>
    <t xml:space="preserve">https://matarstund.is/serfaedi?id=marta-sonja-mariusdotti-skardshlidarleikskoli</t>
  </si>
  <si>
    <t xml:space="preserve">https://matarstund.is/serfaedi?id=fannar-orri-styrmisson-skardshlidarleikskoli-holl</t>
  </si>
  <si>
    <t xml:space="preserve">https://matarstund.is/serfaedi?id=hekla-marin-fannyardottir-skardshlidarleikskoli-holl</t>
  </si>
  <si>
    <t xml:space="preserve">https://matarstund.is/serfaedi?id=aria-heiddal-danielsdottir-skardshlidarleikskoli-hraun</t>
  </si>
  <si>
    <t xml:space="preserve">Cyprian Konráð Sztuba</t>
  </si>
  <si>
    <t xml:space="preserve">https://matarstund.is/serfaedi?id=cyprian-konrad-sztuba-skardshlidarleikskoli-lyng</t>
  </si>
  <si>
    <t xml:space="preserve">Líam Rökkvi Hákonarson</t>
  </si>
  <si>
    <t xml:space="preserve">https://matarstund.is/serfaedi?id=liam-rokkvi-hakonarson-skardshlidarleikskoli-lyng</t>
  </si>
  <si>
    <t xml:space="preserve">Iman sheriff</t>
  </si>
  <si>
    <t xml:space="preserve">https://matarstund.is/serfaedi?id=iman-sheriff-skardshlidarleikskoli-laut</t>
  </si>
  <si>
    <t xml:space="preserve">https://matarstund.is/serfaedi?id=brynhildur-asgeirsdottir-skardshlidarleikskoli</t>
  </si>
  <si>
    <t xml:space="preserve">https://matarstund.is/serfaedi?id=pola-skardshlidarleikskoli-lyng</t>
  </si>
  <si>
    <t xml:space="preserve">Tarek Junior Naser</t>
  </si>
  <si>
    <t xml:space="preserve">https://matarstund.is/serfaedi?id=tarek-junior-naser-skardshlidarleikskoli-lyng</t>
  </si>
  <si>
    <t xml:space="preserve">https://matarstund.is/serfaedi?id=eysteinn-ari-smaralundur-thufa</t>
  </si>
  <si>
    <t xml:space="preserve">https://matarstund.is/serfaedi?id=eyram-smaralundur-brekka</t>
  </si>
  <si>
    <t xml:space="preserve">https://matarstund.is/serfaedi?id=elinam-smaralundur-lundur</t>
  </si>
  <si>
    <t xml:space="preserve">https://matarstund.is/serfaedi?id=moey-smaralundur-lundur</t>
  </si>
  <si>
    <t xml:space="preserve">Masa</t>
  </si>
  <si>
    <t xml:space="preserve">https://matarstund.is/serfaedi?id=masa-smaralundur-brekka</t>
  </si>
  <si>
    <t xml:space="preserve">Mohammed</t>
  </si>
  <si>
    <t xml:space="preserve">https://matarstund.is/serfaedi?id=mohammed-smaralundur-thufa</t>
  </si>
  <si>
    <t xml:space="preserve">Kristínn</t>
  </si>
  <si>
    <t xml:space="preserve">Kashjúhnetur</t>
  </si>
  <si>
    <t xml:space="preserve">https://matarstund.is/serfaedi?id=kristinn-smaralundur-thufa</t>
  </si>
  <si>
    <t xml:space="preserve">Ívar Atli Þorsteinsson</t>
  </si>
  <si>
    <t xml:space="preserve">https://matarstund.is/serfaedi?id=ivar-atli-thorsteinsson-stekkjaras-alfheimar</t>
  </si>
  <si>
    <t xml:space="preserve">https://matarstund.is/serfaedi?id=ugla-margret-emilsdottir-stekkjaras-gladheimar</t>
  </si>
  <si>
    <t xml:space="preserve">https://matarstund.is/serfaedi?id=freyja-run-sigurdardottir-stekkjaras-stekkur</t>
  </si>
  <si>
    <t xml:space="preserve">https://matarstund.is/serfaedi?id=johann-aron-mognuson-stekkjaras-thufa</t>
  </si>
  <si>
    <t xml:space="preserve">https://matarstund.is/serfaedi?id=audur-jara-asgeirsdottir-stekkjaras-alfheimar</t>
  </si>
  <si>
    <t xml:space="preserve">https://matarstund.is/serfaedi?id=sara-bjartey-birgisdottir-stekkjaras-thufa</t>
  </si>
  <si>
    <t xml:space="preserve">Úlfur Hlynsson</t>
  </si>
  <si>
    <t xml:space="preserve">https://matarstund.is/serfaedi?id=ulfur-hlynsson-stekkjaras-alfheimar</t>
  </si>
  <si>
    <t xml:space="preserve">https://matarstund.is/serfaedi?id=astthor-breki-hilmarsson-stekkjaras-gladheimar</t>
  </si>
  <si>
    <t xml:space="preserve">https://matarstund.is/serfaedi?id=birkir-orn-sigurdsson-stekkjaras-solgardur</t>
  </si>
  <si>
    <t xml:space="preserve">https://matarstund.is/serfaedi?id=kristrun-birna-birkisdottir-stekkjaras-alfheimar</t>
  </si>
  <si>
    <t xml:space="preserve">https://matarstund.is/serfaedi?id=sindri-bjorn-linnet-stekkjaras-fifa</t>
  </si>
  <si>
    <t xml:space="preserve">https://matarstund.is/serfaedi?id=kristjan-jose-ferreira-stekkjaras-alfheimar</t>
  </si>
  <si>
    <t xml:space="preserve">https://matarstund.is/serfaedi?id=jokull-logi-ivarsson-stekkjaras-gladheimar</t>
  </si>
  <si>
    <t xml:space="preserve">https://matarstund.is/serfaedi?id=elma-karen-aronsdottir-stekkjaras-thufa</t>
  </si>
  <si>
    <t xml:space="preserve">Móeiður Yrsa</t>
  </si>
  <si>
    <t xml:space="preserve">https://matarstund.is/serfaedi?id=moeidur-yrsa-stekkjaras-fifa</t>
  </si>
  <si>
    <t xml:space="preserve">Hinrik Logi Kristófersson</t>
  </si>
  <si>
    <t xml:space="preserve">https://matarstund.is/serfaedi?id=hinrik-logi-kristofersson-stekkjaras-krummakopt</t>
  </si>
  <si>
    <t xml:space="preserve">Siham</t>
  </si>
  <si>
    <t xml:space="preserve">https://matarstund.is/serfaedi?id=siham-stekkjaras-vantar-deild</t>
  </si>
  <si>
    <t xml:space="preserve">https://matarstund.is/serfaedi?id=heena-stekkjaras</t>
  </si>
  <si>
    <t xml:space="preserve">Baldur Loki</t>
  </si>
  <si>
    <t xml:space="preserve">https://matarstund.is/serfaedi?id=baldur-loki-stekkjaras-vantar-deild</t>
  </si>
  <si>
    <t xml:space="preserve">https://matarstund.is/serfaedi?id=fjolnir-freyr-helgason-stekkjaras-vantar-deild</t>
  </si>
  <si>
    <t xml:space="preserve">https://matarstund.is/serfaedi?id=gauti-orrason-stekkjaras-vantar-deild</t>
  </si>
  <si>
    <t xml:space="preserve">https://matarstund.is/serfaedi?id=ivar-stekkjaras-vantar-deild</t>
  </si>
  <si>
    <t xml:space="preserve">https://matarstund.is/serfaedi?id=brynjar-mani-tjarnaras-kaerleiksheimar</t>
  </si>
  <si>
    <t xml:space="preserve">https://matarstund.is/serfaedi?id=briet-elka-tjarnaras-kaerleiksheimar</t>
  </si>
  <si>
    <t xml:space="preserve">Gabríela Ósk</t>
  </si>
  <si>
    <t xml:space="preserve">https://matarstund.is/serfaedi?id=gabriela-osk-tjarnaras-stjornuheimar</t>
  </si>
  <si>
    <t xml:space="preserve">https://matarstund.is/serfaedi?id=kamilla-mjoll-tjarnaras-gladheimar</t>
  </si>
  <si>
    <t xml:space="preserve">https://matarstund.is/serfaedi?id=rebekka-ran-tjarnaras-gladheimar</t>
  </si>
  <si>
    <t xml:space="preserve">https://matarstund.is/serfaedi?id=julian-tyr-tjarnaras-kaerleiksheimar</t>
  </si>
  <si>
    <t xml:space="preserve">https://matarstund.is/serfaedi?id=rakel-bjort-tjarnaras-kaerleiksheimar</t>
  </si>
  <si>
    <t xml:space="preserve">https://matarstund.is/serfaedi?id=rurik-thor-tjarnaras-kaerleiksheimar</t>
  </si>
  <si>
    <t xml:space="preserve">Víkingur Geir Wíum Daníelsson</t>
  </si>
  <si>
    <t xml:space="preserve">https://matarstund.is/serfaedi?id=vikingur-geir-wium-danielsson-tjarnaras-ljosheimar</t>
  </si>
  <si>
    <t xml:space="preserve">https://matarstund.is/serfaedi?id=rurik-hilmir-tjarnaras-gladheimar</t>
  </si>
  <si>
    <t xml:space="preserve">https://matarstund.is/serfaedi?id=viktor-albert-vignisson-tjarnaras-ljosheimar</t>
  </si>
  <si>
    <t xml:space="preserve">Halimeh</t>
  </si>
  <si>
    <t xml:space="preserve">https://matarstund.is/serfaedi?id=halimeh-tjarnaras</t>
  </si>
  <si>
    <t xml:space="preserve">Shaheen</t>
  </si>
  <si>
    <t xml:space="preserve">https://matarstund.is/serfaedi?id=shaheen-tjarnaras-stjornuheimar</t>
  </si>
  <si>
    <t xml:space="preserve">https://matarstund.is/serfaedi?id=perla-tjarnaras</t>
  </si>
  <si>
    <t xml:space="preserve">https://matarstund.is/serfaedi?id=erna-rosa-tjarnaras</t>
  </si>
  <si>
    <t xml:space="preserve">https://matarstund.is/serfaedi?id=asdis-arnfjord-svavarsdottir-tjarnaras-vantar-deild</t>
  </si>
  <si>
    <t xml:space="preserve">https://matarstund.is/serfaedi?id=eva-kaldal-tjarnaras-vantar-deild</t>
  </si>
  <si>
    <t xml:space="preserve">https://matarstund.is/serfaedi?id=jesica-rojas-vesturkot</t>
  </si>
  <si>
    <t xml:space="preserve">https://matarstund.is/serfaedi?id=aron-kobrybski-vesturkot-blaakot</t>
  </si>
  <si>
    <t xml:space="preserve">Luka Racunisa</t>
  </si>
  <si>
    <t xml:space="preserve">https://matarstund.is/serfaedi?id=luka-racunisa-vesturkot-gulakot</t>
  </si>
  <si>
    <t xml:space="preserve">https://matarstund.is/serfaedi?id=ebba-ragnheidur-alexandersdottir-vesturkot-blaakot</t>
  </si>
  <si>
    <t xml:space="preserve">https://matarstund.is/serfaedi?id=veronika-sjofn-theodorsdottir-vesturkot-blaakot</t>
  </si>
  <si>
    <t xml:space="preserve">https://matarstund.is/serfaedi?id=sigurdur-artine-jakobson-vesturkot-gulakot</t>
  </si>
  <si>
    <t xml:space="preserve">https://matarstund.is/serfaedi?id=hrefna-kristin-bridde-vesturkot-graenakot</t>
  </si>
  <si>
    <t xml:space="preserve">https://matarstund.is/serfaedi?id=arnhildur-runarsdottir-vesturkot-graenakot</t>
  </si>
  <si>
    <t xml:space="preserve">https://matarstund.is/serfaedi?id=ingunn-asta-kartansdottir-vesturkot-blaakot</t>
  </si>
  <si>
    <t xml:space="preserve">Lidia Sztejter</t>
  </si>
  <si>
    <t xml:space="preserve">https://matarstund.is/serfaedi?id=lidia-sztejter-vesturkot-blaakot</t>
  </si>
  <si>
    <t xml:space="preserve">Abdulmalik Mahmoud Alala</t>
  </si>
  <si>
    <t xml:space="preserve">https://matarstund.is/serfaedi?id=abdulmalik-mahmoud-alala-vesturkot-blaakot</t>
  </si>
  <si>
    <t xml:space="preserve">Abdrahamane Toure</t>
  </si>
  <si>
    <t xml:space="preserve">rauði kjarni</t>
  </si>
  <si>
    <t xml:space="preserve">https://matarstund.is/serfaedi?id=abdrahamane-toure-vesturkot-raudi-kjarni</t>
  </si>
  <si>
    <t xml:space="preserve">Yana</t>
  </si>
  <si>
    <t xml:space="preserve">Svínakjöt, lamb</t>
  </si>
  <si>
    <t xml:space="preserve">https://matarstund.is/serfaedi?id=yana-vesturkot</t>
  </si>
  <si>
    <t xml:space="preserve">https://matarstund.is/serfaedi?id=elias-mani-petursson-vesturkot-blaakot</t>
  </si>
  <si>
    <t xml:space="preserve">https://matarstund.is/serfaedi?id=dusan-vesturkot-blaakot</t>
  </si>
  <si>
    <t xml:space="preserve">https://matarstund.is/serfaedi?id=saga-jonsdottir-vidivellir</t>
  </si>
  <si>
    <t xml:space="preserve">https://matarstund.is/serfaedi?id=junia-kristin-sigurdardottir-vidivellir</t>
  </si>
  <si>
    <t xml:space="preserve">https://matarstund.is/serfaedi?id=mikael-breki-kjartansson-vidivellir-bangsadeild</t>
  </si>
  <si>
    <t xml:space="preserve">Dagmar Líf Þórarinsdóttir</t>
  </si>
  <si>
    <t xml:space="preserve">https://matarstund.is/serfaedi?id=dagmar-lif-thorarinsdottir-vidivellir</t>
  </si>
  <si>
    <t xml:space="preserve">https://matarstund.is/serfaedi?id=muna-abdirraxman-mawliid-vidivellir-kaninudeild</t>
  </si>
  <si>
    <t xml:space="preserve">https://matarstund.is/serfaedi?id=larus-blondal-vidivellir-vantar-deild</t>
  </si>
  <si>
    <t xml:space="preserve">https://matarstund.is/serfaedi?id=eyjolfur-gudni-sigurdsson-vidivellir-bangsadeild</t>
  </si>
  <si>
    <t xml:space="preserve">https://matarstund.is/serfaedi?id=elmar-andri-jonsson-vidivellir-kaninudeild</t>
  </si>
  <si>
    <t xml:space="preserve">https://matarstund.is/serfaedi?id=harlow-esjar-mallinson-vidivellir-kaninudeild</t>
  </si>
  <si>
    <t xml:space="preserve">Arman Ali Rezai</t>
  </si>
  <si>
    <t xml:space="preserve">https://matarstund.is/serfaedi?id=arman-ali-rezai-vidivellir-bangsadeild</t>
  </si>
  <si>
    <t xml:space="preserve">https://matarstund.is/serfaedi?id=rakel-halldors-vidivellir</t>
  </si>
  <si>
    <t xml:space="preserve">https://matarstund.is/serfaedi?id=huginn-freyr-fridriksson-vidivellir</t>
  </si>
  <si>
    <t xml:space="preserve">https://matarstund.is/serfaedi?id=harlow-vidivellir-kaninudeild</t>
  </si>
  <si>
    <t xml:space="preserve">https://matarstund.is/serfaedi?id=anna-bielinska-norduberg</t>
  </si>
  <si>
    <t xml:space="preserve">https://matarstund.is/serfaedi?id=kiiljan-freyr-norduberg-alfasteinn</t>
  </si>
  <si>
    <t xml:space="preserve">https://matarstund.is/serfaedi?id=birnir-blaer-norduberg-klettaborg</t>
  </si>
  <si>
    <t xml:space="preserve">https://matarstund.is/serfaedi?id=baldur-bragi-norduberg-klettaborg</t>
  </si>
  <si>
    <t xml:space="preserve">https://matarstund.is/serfaedi?id=jokull-thor-norduberg-klettaborg</t>
  </si>
  <si>
    <t xml:space="preserve">https://matarstund.is/serfaedi?id=odinn-hinrik-norduberg-alfasteinn</t>
  </si>
  <si>
    <t xml:space="preserve">https://matarstund.is/serfaedi?id=sigridur-una-norduberg-birkibol</t>
  </si>
  <si>
    <t xml:space="preserve">https://matarstund.is/serfaedi?id=klara-run-norduberg-trollagil</t>
  </si>
  <si>
    <t xml:space="preserve">https://matarstund.is/serfaedi?id=rokkvi-norduberg-trollagil</t>
  </si>
  <si>
    <t xml:space="preserve">https://matarstund.is/serfaedi?id=baldur-eli-norduberg-lundur</t>
  </si>
  <si>
    <t xml:space="preserve">https://matarstund.is/serfaedi?id=vilma-eirdis-norduberg-lundur</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</si>
  <si>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</si>
  <si>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</si>
  <si>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</si>
  <si>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</si>
  <si>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</si>
  <si>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</si>
  <si>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</si>
  <si>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</si>
  <si>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</si>
  <si>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</si>
  <si>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</si>
  <si>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</si>
  <si>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</si>
  <si>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</si>
  <si>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</si>
  <si>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</si>
  <si>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</si>
  <si>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</si>
  <si>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</si>
  <si>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</si>
  <si>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</si>
  <si>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</si>
  <si>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</si>
  <si>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</si>
  <si>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</si>
  <si>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</si>
  <si>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</si>
  <si>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</si>
  <si>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</si>
  <si>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</si>
  <si>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</si>
  <si>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</si>
  <si>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</si>
  <si>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</si>
  <si>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</si>
  <si>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</si>
  <si>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Skólahlekkur</t>
  </si>
  <si>
    <t xml:space="preserve">Eldhúshlekkur</t>
  </si>
  <si>
    <t xml:space="preserve">Flokkunarkóði</t>
  </si>
  <si>
    <t xml:space="preserve">Grunnskóli</t>
  </si>
  <si>
    <t xml:space="preserve">Breiðvang 42, 220 Hafnarfjörður</t>
  </si>
  <si>
    <t xml:space="preserve">https://matarstund.is/serfaedi-skolar?id=engidalsskoli-xaji0</t>
  </si>
  <si>
    <t xml:space="preserve">https://matarstund.is/eldhus?id=engidalsskoli-ohgi1j</t>
  </si>
  <si>
    <t xml:space="preserve">en-1</t>
  </si>
  <si>
    <t xml:space="preserve">Drekavellir 9, 221 Hafnarfjörður</t>
  </si>
  <si>
    <t xml:space="preserve">https://matarstund.is/serfaedi-skolar?id=hraunvallaskoli-y6dpb</t>
  </si>
  <si>
    <t xml:space="preserve">https://matarstund.is/eldhus?id=hraunvallaskoli-nyt7rp</t>
  </si>
  <si>
    <t xml:space="preserve">hr-1</t>
  </si>
  <si>
    <t xml:space="preserve">Akurholt 1, 220 Hafnarfjörður</t>
  </si>
  <si>
    <t xml:space="preserve">https://matarstund.is/serfaedi-skolar?id=hvaleyrarskoli-hsahx</t>
  </si>
  <si>
    <t xml:space="preserve">https://matarstund.is/eldhus?id=hvaleyrarskoli-wh6nny</t>
  </si>
  <si>
    <t xml:space="preserve">hv-1</t>
  </si>
  <si>
    <t xml:space="preserve">Sólvangsvegur 4, 220 Hafnarfjörður</t>
  </si>
  <si>
    <t xml:space="preserve">https://matarstund.is/serfaedi-skolar?id=laekjarskoli-thv3a</t>
  </si>
  <si>
    <t xml:space="preserve">https://matarstund.is/eldhus?id=laekjarskoli-fx4m8t</t>
  </si>
  <si>
    <t xml:space="preserve">la-1</t>
  </si>
  <si>
    <t xml:space="preserve">Öldutún 9, 220 Hafnarfjörður</t>
  </si>
  <si>
    <t xml:space="preserve">https://matarstund.is/serfaedi-skolar?id=oldutunsskoli-3zmf8</t>
  </si>
  <si>
    <t xml:space="preserve">https://matarstund.is/eldhus?id=oldutunsskoli-1qojah</t>
  </si>
  <si>
    <t xml:space="preserve">ol-1</t>
  </si>
  <si>
    <t xml:space="preserve">Hlíðarberg 2, 220 Hafnarfjörður</t>
  </si>
  <si>
    <t xml:space="preserve">https://matarstund.is/serfaedi-skolar?id=setbergsskoli-mdd4v</t>
  </si>
  <si>
    <t xml:space="preserve">https://matarstund.is/eldhus?id=setbergsskoli-9tq6v9</t>
  </si>
  <si>
    <t xml:space="preserve">se-1</t>
  </si>
  <si>
    <t xml:space="preserve">Hádegisskarð 1, 221 Hafnarfjörður</t>
  </si>
  <si>
    <t xml:space="preserve">https://matarstund.is/serfaedi-skolar?id=skardshlidarskoli-30t9n</t>
  </si>
  <si>
    <t xml:space="preserve">https://matarstund.is/eldhus?id=skardshlidarskoli-mh7f2v</t>
  </si>
  <si>
    <t xml:space="preserve">sk-1</t>
  </si>
  <si>
    <t xml:space="preserve">Hrauntunga 7, 220 Hafnarfjörður</t>
  </si>
  <si>
    <t xml:space="preserve">https://matarstund.is/serfaedi-skolar?id=vidistadaskoli-t3w5u</t>
  </si>
  <si>
    <t xml:space="preserve">https://matarstund.is/eldhus?id=vidistadaskoli-97xbar</t>
  </si>
  <si>
    <t xml:space="preserve">vi-1</t>
  </si>
  <si>
    <t xml:space="preserve">Breiðvangur 42, 220 Hafnarfjörður</t>
  </si>
  <si>
    <t xml:space="preserve">https://matarstund.is/serfaedi-skolar?id=alfaberg-zbikc</t>
  </si>
  <si>
    <t xml:space="preserve">en-2</t>
  </si>
  <si>
    <t xml:space="preserve">Haukahraun 2, 220 Hafnarfjörður</t>
  </si>
  <si>
    <t xml:space="preserve">https://matarstund.is/serfaedi-skolar?id=arnarberg-idkwn</t>
  </si>
  <si>
    <t xml:space="preserve">https://matarstund.is/eldhus?id=arnarberg-3cpdla</t>
  </si>
  <si>
    <t xml:space="preserve">ar-2</t>
  </si>
  <si>
    <t xml:space="preserve">Bjarkavellir 3, 221 Hafnarfjörður</t>
  </si>
  <si>
    <t xml:space="preserve">https://matarstund.is/serfaedi-skolar?id=bjarkalundur-nhj7x</t>
  </si>
  <si>
    <t xml:space="preserve">https://matarstund.is/eldhus?id=bjarkalundur-lsh2bh</t>
  </si>
  <si>
    <t xml:space="preserve">bj-2</t>
  </si>
  <si>
    <t xml:space="preserve">Hlíðarberg 1, 221 Hafnarfjörður</t>
  </si>
  <si>
    <t xml:space="preserve">https://matarstund.is/serfaedi-skolar?id=hlidarberg-vg0fn</t>
  </si>
  <si>
    <t xml:space="preserve">https://matarstund.is/eldhus?id=hlidarberg-jo1mz7</t>
  </si>
  <si>
    <t xml:space="preserve">hl-2</t>
  </si>
  <si>
    <t xml:space="preserve">Tjarnarbraut 30, 220 Hafnarfjörður</t>
  </si>
  <si>
    <t xml:space="preserve">https://matarstund.is/serfaedi-skolar?id=horduvellir-9xuy4</t>
  </si>
  <si>
    <t xml:space="preserve">https://matarstund.is/eldhus?id=horduvellir-e5v0vo</t>
  </si>
  <si>
    <t xml:space="preserve">ho-2</t>
  </si>
  <si>
    <t xml:space="preserve">https://matarstund.is/serfaedi-skolar?id=leikskolinn-vid-hraunvallaskola-1iblj</t>
  </si>
  <si>
    <t xml:space="preserve">hr-2</t>
  </si>
  <si>
    <t xml:space="preserve">https://matarstund.is/serfaedi-skolar?id=leikskolinn-vid-skardshlidarskola-h75lx</t>
  </si>
  <si>
    <t xml:space="preserve">sk-2</t>
  </si>
  <si>
    <t xml:space="preserve">Smárabarð 1, 220 Hafnarfjörður</t>
  </si>
  <si>
    <t xml:space="preserve">https://matarstund.is/serfaedi-skolar?id=smaralundur-o6qji</t>
  </si>
  <si>
    <t xml:space="preserve">https://matarstund.is/eldhus?id=smaralundur-dfggfh</t>
  </si>
  <si>
    <t xml:space="preserve">sm-2</t>
  </si>
  <si>
    <t xml:space="preserve">Ásbraut 4, 221 Hafnarfjörður</t>
  </si>
  <si>
    <t xml:space="preserve">https://matarstund.is/serfaedi-skolar?id=stekkjaras-ujv6o</t>
  </si>
  <si>
    <t xml:space="preserve">https://matarstund.is/eldhus?id=stekkjaras-u124e3</t>
  </si>
  <si>
    <t xml:space="preserve">st-2</t>
  </si>
  <si>
    <t xml:space="preserve">Kríuás 2, 221 Hafnarfjörður</t>
  </si>
  <si>
    <t xml:space="preserve">https://matarstund.is/serfaedi-skolar?id=tjarnaras-h9sdb</t>
  </si>
  <si>
    <t xml:space="preserve">https://matarstund.is/eldhus?id=tjarnaras-gckvbh</t>
  </si>
  <si>
    <t xml:space="preserve">tj-2</t>
  </si>
  <si>
    <t xml:space="preserve">Miklaholt 1, 220 Hafnarfjörður</t>
  </si>
  <si>
    <t xml:space="preserve">https://matarstund.is/serfaedi-skolar?id=vesturkot-dw2pc</t>
  </si>
  <si>
    <t xml:space="preserve">https://matarstund.is/eldhus?id=vesturkot-o3oond</t>
  </si>
  <si>
    <t xml:space="preserve">ve-2</t>
  </si>
  <si>
    <t xml:space="preserve">Miðvangur 39, 220 Hafnarfjörður</t>
  </si>
  <si>
    <t xml:space="preserve">https://matarstund.is/serfaedi-skolar?id=vidivellir-n9t84</t>
  </si>
  <si>
    <t xml:space="preserve">https://matarstund.is/eldhus?id=vidivellir-57zopl</t>
  </si>
  <si>
    <t xml:space="preserve">vv-2</t>
  </si>
  <si>
    <t xml:space="preserve">https://matarstund.is/serfaedi-skolar?id=alfakot-azytj</t>
  </si>
  <si>
    <t xml:space="preserve">https://matarstund.is/serfaedi-skolar?id=hraunsel-xepq8</t>
  </si>
  <si>
    <t xml:space="preserve">https://matarstund.is/serfaedi-skolar?id=holtasel-5jsg6</t>
  </si>
  <si>
    <t xml:space="preserve">https://matarstund.is/serfaedi-skolar?id=laekjarsel-5kxvf</t>
  </si>
  <si>
    <t xml:space="preserve">https://matarstund.is/serfaedi-skolar?id=selid-1t2ta</t>
  </si>
  <si>
    <t xml:space="preserve">Hlíðarberg 2, 221 Hafnarfjörður</t>
  </si>
  <si>
    <t xml:space="preserve">https://matarstund.is/serfaedi-skolar?id=krakkaberg-la753</t>
  </si>
  <si>
    <t xml:space="preserve">https://matarstund.is/serfaedi-skolar?id=skardssel-lc58d</t>
  </si>
  <si>
    <t xml:space="preserve">https://matarstund.is/serfaedi-skolar?id=hraunkot-rc11e</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</si>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</sst>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21">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sz val="10"/>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sz val="10"/>
      <color rgb="FFB71C1C"/>
      <name val="Arial"/>
      <family val="0"/>
      <charset val="1"/>
    </font>
    <font>
      <b val="true"/>
      <sz val="10"/>
      <color rgb="FFB71C1C"/>
      <name val="Arial"/>
      <family val="0"/>
      <charset val="1"/>
    </font>
    <font>
      <sz val="10"/>
      <color rgb="FF1B5E20"/>
      <name val="Arial"/>
      <family val="0"/>
      <charset val="1"/>
    </font>
    <font>
      <i val="true"/>
      <sz val="10"/>
      <color rgb="FF0D47A1"/>
      <name val="Arial"/>
      <family val="0"/>
      <charset val="1"/>
    </font>
    <font>
      <b val="true"/>
      <sz val="11"/>
      <color rgb="FFFFFFFF"/>
      <name val="Arial"/>
      <family val="0"/>
      <charset val="1"/>
    </font>
    <font>
      <sz val="10"/>
      <color rgb="FF1565C0"/>
      <name val="Arial"/>
      <family val="0"/>
      <charset val="1"/>
    </font>
    <font>
      <b val="true"/>
      <sz val="10"/>
      <color rgb="FF6A1B9A"/>
      <name val="Arial"/>
      <family val="0"/>
      <charset val="1"/>
    </font>
    <font>
      <b val="true"/>
      <sz val="10"/>
      <color rgb="FF212121"/>
      <name val="Arial"/>
      <family val="0"/>
      <charset val="1"/>
    </font>
    <font>
      <sz val="9"/>
      <color rgb="FF1B5E20"/>
      <name val="Courier New"/>
      <family val="0"/>
      <charset val="1"/>
    </font>
  </fonts>
  <fills count="2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FEBEE"/>
        <bgColor rgb="FFFCE4EC"/>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7" fillId="7" borderId="1" xfId="0" applyFont="true" applyBorder="true" applyAlignment="true" applyProtection="false">
      <alignment horizontal="general" vertical="top"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5" fontId="8" fillId="10" borderId="1" xfId="0" applyFont="true" applyBorder="true" applyAlignment="true" applyProtection="false">
      <alignment horizontal="left" vertical="center" textRotation="0" wrapText="true" indent="0" shrinkToFit="false"/>
      <protection locked="true" hidden="false"/>
    </xf>
    <xf numFmtId="166" fontId="8"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7" fontId="7" fillId="13" borderId="1" xfId="0" applyFont="true" applyBorder="true" applyAlignment="true" applyProtection="false">
      <alignment horizontal="general" vertical="top"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9"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true" indent="0" shrinkToFit="false"/>
      <protection locked="true" hidden="false"/>
    </xf>
    <xf numFmtId="164" fontId="11"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8" fontId="12" fillId="14" borderId="1" xfId="0" applyFont="true" applyBorder="true" applyAlignment="true" applyProtection="false">
      <alignment horizontal="left" vertical="center" textRotation="0" wrapText="true" indent="0" shrinkToFit="false"/>
      <protection locked="true" hidden="false"/>
    </xf>
    <xf numFmtId="164" fontId="12" fillId="14" borderId="1" xfId="0" applyFont="true" applyBorder="true" applyAlignment="true" applyProtection="false">
      <alignment horizontal="left" vertical="center" textRotation="0" wrapText="true" indent="0" shrinkToFit="false"/>
      <protection locked="true" hidden="false"/>
    </xf>
    <xf numFmtId="164" fontId="13" fillId="14" borderId="1"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3" fillId="7" borderId="1" xfId="0" applyFont="true" applyBorder="true" applyAlignment="true" applyProtection="false">
      <alignment horizontal="left" vertical="center" textRotation="0" wrapText="true" indent="0" shrinkToFit="false"/>
      <protection locked="true" hidden="false"/>
    </xf>
    <xf numFmtId="164" fontId="14" fillId="12" borderId="1" xfId="0" applyFont="true" applyBorder="true" applyAlignment="true" applyProtection="false">
      <alignment horizontal="left" vertical="center" textRotation="0" wrapText="true" indent="0" shrinkToFit="false"/>
      <protection locked="true" hidden="false"/>
    </xf>
    <xf numFmtId="164" fontId="4" fillId="15" borderId="0" xfId="0" applyFont="true" applyBorder="true" applyAlignment="true" applyProtection="false">
      <alignment horizontal="center" vertical="center" textRotation="0" wrapText="true" indent="0" shrinkToFit="false"/>
      <protection locked="true" hidden="false"/>
    </xf>
    <xf numFmtId="164" fontId="11" fillId="6" borderId="0"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6" fillId="19" borderId="1" xfId="0" applyFont="true" applyBorder="true" applyAlignment="true" applyProtection="false">
      <alignment horizontal="left" vertical="center" textRotation="0" wrapText="true" indent="0" shrinkToFit="false"/>
      <protection locked="true" hidden="false"/>
    </xf>
    <xf numFmtId="164" fontId="15" fillId="10"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5" fillId="21" borderId="1" xfId="0" applyFont="true" applyBorder="true" applyAlignment="true" applyProtection="false">
      <alignment horizontal="center" vertical="center" textRotation="0" wrapText="true" indent="0" shrinkToFit="false"/>
      <protection locked="true" hidden="false"/>
    </xf>
    <xf numFmtId="164" fontId="6" fillId="22" borderId="1" xfId="0" applyFont="true" applyBorder="true" applyAlignment="true" applyProtection="false">
      <alignment horizontal="left" vertical="center" textRotation="0" wrapText="true" indent="0" shrinkToFit="false"/>
      <protection locked="true" hidden="false"/>
    </xf>
    <xf numFmtId="164" fontId="4" fillId="16" borderId="0"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3" borderId="1" xfId="0" applyFont="true" applyBorder="true" applyAlignment="true" applyProtection="false">
      <alignment horizontal="left" vertical="center" textRotation="0" wrapText="true" indent="0" shrinkToFit="false"/>
      <protection locked="true" hidden="false"/>
    </xf>
    <xf numFmtId="168" fontId="6" fillId="23" borderId="1" xfId="0" applyFont="true" applyBorder="true" applyAlignment="true" applyProtection="false">
      <alignment horizontal="left" vertical="center" textRotation="0" wrapText="true" indent="0" shrinkToFit="false"/>
      <protection locked="true" hidden="false"/>
    </xf>
    <xf numFmtId="167" fontId="6" fillId="23"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4" fillId="24" borderId="0" xfId="0" applyFont="true" applyBorder="true" applyAlignment="true" applyProtection="false">
      <alignment horizontal="center" vertical="center" textRotation="0" wrapText="true" indent="0" shrinkToFit="false"/>
      <protection locked="true" hidden="false"/>
    </xf>
    <xf numFmtId="164" fontId="5" fillId="24"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5" borderId="0" xfId="0" applyFont="true" applyBorder="true" applyAlignment="true" applyProtection="false">
      <alignment horizontal="center" vertical="center" textRotation="0" wrapText="true" indent="0" shrinkToFit="false"/>
      <protection locked="true" hidden="false"/>
    </xf>
    <xf numFmtId="164" fontId="5" fillId="25" borderId="1" xfId="0" applyFont="true" applyBorder="true" applyAlignment="true" applyProtection="false">
      <alignment horizontal="center" vertical="center" textRotation="0" wrapText="true" indent="0" shrinkToFit="false"/>
      <protection locked="true" hidden="false"/>
    </xf>
    <xf numFmtId="164" fontId="16" fillId="26" borderId="0" xfId="0" applyFont="true" applyBorder="false" applyAlignment="true" applyProtection="false">
      <alignment horizontal="center" vertical="bottom" textRotation="0" wrapText="false" indent="0" shrinkToFit="false"/>
      <protection locked="true" hidden="false"/>
    </xf>
    <xf numFmtId="164" fontId="16" fillId="3" borderId="0" xfId="0" applyFont="true" applyBorder="false" applyAlignment="true" applyProtection="false">
      <alignment horizontal="center" vertical="bottom" textRotation="0" wrapText="false" indent="0" shrinkToFit="false"/>
      <protection locked="true" hidden="false"/>
    </xf>
    <xf numFmtId="164" fontId="16" fillId="21"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18" fillId="0" borderId="0" xfId="0" applyFont="true" applyBorder="false" applyAlignment="true" applyProtection="false">
      <alignment horizontal="center" vertical="bottom" textRotation="0" wrapText="false" indent="0" shrinkToFit="false"/>
      <protection locked="true" hidden="false"/>
    </xf>
    <xf numFmtId="164" fontId="4" fillId="24" borderId="0" xfId="0" applyFont="true" applyBorder="true" applyAlignment="true" applyProtection="false">
      <alignment horizontal="center" vertical="center" textRotation="0" wrapText="false" indent="0" shrinkToFit="false"/>
      <protection locked="true" hidden="false"/>
    </xf>
    <xf numFmtId="164" fontId="16" fillId="24" borderId="0" xfId="0" applyFont="true" applyBorder="true" applyAlignment="true" applyProtection="false">
      <alignment horizontal="left" vertical="center" textRotation="0" wrapText="false" indent="0" shrinkToFit="false"/>
      <protection locked="true" hidden="false"/>
    </xf>
    <xf numFmtId="164" fontId="19" fillId="7" borderId="1" xfId="0" applyFont="true" applyBorder="true" applyAlignment="true" applyProtection="false">
      <alignment horizontal="left" vertical="center" textRotation="0" wrapText="true" indent="0" shrinkToFit="false"/>
      <protection locked="true" hidden="false"/>
    </xf>
    <xf numFmtId="164" fontId="16" fillId="16" borderId="0" xfId="0" applyFont="true" applyBorder="true" applyAlignment="true" applyProtection="false">
      <alignment horizontal="left" vertical="center" textRotation="0" wrapText="false" indent="0" shrinkToFit="false"/>
      <protection locked="true" hidden="false"/>
    </xf>
    <xf numFmtId="164" fontId="19" fillId="12" borderId="1" xfId="0" applyFont="true" applyBorder="true" applyAlignment="true" applyProtection="false">
      <alignment horizontal="left" vertical="center" textRotation="0" wrapText="true" indent="0" shrinkToFit="false"/>
      <protection locked="true" hidden="false"/>
    </xf>
    <xf numFmtId="164" fontId="19" fillId="14" borderId="1" xfId="0" applyFont="true" applyBorder="true" applyAlignment="true" applyProtection="false">
      <alignment horizontal="left"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4" fontId="19" fillId="23" borderId="1" xfId="0" applyFont="true" applyBorder="true" applyAlignment="true" applyProtection="false">
      <alignment horizontal="left" vertical="center" textRotation="0" wrapText="true" indent="0" shrinkToFit="false"/>
      <protection locked="true" hidden="false"/>
    </xf>
    <xf numFmtId="164" fontId="19" fillId="6" borderId="1" xfId="0" applyFont="true" applyBorder="true" applyAlignment="true" applyProtection="false">
      <alignment horizontal="left" vertical="center" textRotation="0" wrapText="true" indent="0" shrinkToFit="false"/>
      <protection locked="true" hidden="false"/>
    </xf>
    <xf numFmtId="164" fontId="16" fillId="15" borderId="0" xfId="0" applyFont="true" applyBorder="true" applyAlignment="true" applyProtection="false">
      <alignment horizontal="left" vertical="center" textRotation="0" wrapText="false" indent="0" shrinkToFit="false"/>
      <protection locked="true" hidden="false"/>
    </xf>
    <xf numFmtId="164" fontId="16" fillId="8" borderId="0" xfId="0" applyFont="true" applyBorder="true" applyAlignment="true" applyProtection="false">
      <alignment horizontal="left" vertical="center" textRotation="0" wrapText="false" indent="0" shrinkToFit="false"/>
      <protection locked="true" hidden="false"/>
    </xf>
    <xf numFmtId="164" fontId="19" fillId="12" borderId="1" xfId="0" applyFont="true" applyBorder="true" applyAlignment="true" applyProtection="false">
      <alignment horizontal="left" vertical="top" textRotation="0" wrapText="false" indent="0" shrinkToFit="false"/>
      <protection locked="true" hidden="false"/>
    </xf>
    <xf numFmtId="164" fontId="20" fillId="27"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008080"/>
      <rgbColor rgb="FFBDBDBD"/>
      <rgbColor rgb="FF455A64"/>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50"/>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4" t="s">
        <v>687</v>
      </c>
      <c r="R2" s="19" t="s">
        <v>688</v>
      </c>
    </row>
    <row r="3" customFormat="false" ht="79.5" hidden="false" customHeight="true" outlineLevel="0" collapsed="false">
      <c r="A3" s="20" t="s">
        <v>689</v>
      </c>
      <c r="B3" s="20"/>
      <c r="C3" s="21"/>
      <c r="D3" s="22" t="s">
        <v>690</v>
      </c>
      <c r="E3" s="22" t="s">
        <v>167</v>
      </c>
      <c r="F3" s="22" t="s">
        <v>691</v>
      </c>
      <c r="G3" s="23" t="n">
        <v>99.39</v>
      </c>
      <c r="H3" s="23" t="n">
        <v>5.4</v>
      </c>
      <c r="I3" s="23" t="n">
        <v>2.62</v>
      </c>
      <c r="J3" s="23" t="n">
        <v>14.95</v>
      </c>
      <c r="K3" s="23" t="n">
        <v>5.79</v>
      </c>
      <c r="L3" s="23" t="n">
        <v>7.28</v>
      </c>
      <c r="M3" s="23" t="n">
        <v>2.13</v>
      </c>
      <c r="N3" s="23" t="n">
        <v>0.32</v>
      </c>
      <c r="O3" s="24" t="str">
        <f aca="false">IF(OR(B3="",C3=""),"",IFERROR(C3/1000*IFERROR(INDEX(Vöruskrá!R:R,MATCH(B3,Vöruskrá!B:B,0)),0)/1000,""))</f>
        <v/>
      </c>
      <c r="P3" s="20" t="s">
        <v>692</v>
      </c>
      <c r="Q3" s="25" t="s">
        <v>693</v>
      </c>
      <c r="R3" s="9" t="s">
        <v>694</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33"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33"/>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33"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33"/>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33"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33"/>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33"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33"/>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33" t="n">
        <v>1200</v>
      </c>
      <c r="D13" s="28" t="s">
        <v>537</v>
      </c>
      <c r="E13" s="28"/>
      <c r="F13" s="28"/>
      <c r="G13" s="29"/>
      <c r="H13" s="29"/>
      <c r="I13" s="29"/>
      <c r="J13" s="29"/>
      <c r="K13" s="29"/>
      <c r="L13" s="29"/>
      <c r="M13" s="29"/>
      <c r="N13" s="29"/>
      <c r="O13" s="30" t="n">
        <f aca="false">IF(OR(B13="",C13=""),"",IFERROR(C13/1000*IFERROR(INDEX(Vöruskrá!R:R,MATCH(B13,Vöruskrá!B:B,0)),0)/1000,""))</f>
        <v>0</v>
      </c>
      <c r="P13" s="9"/>
      <c r="Q13" s="33"/>
      <c r="R13" s="9"/>
    </row>
    <row r="14" customFormat="false" ht="79.5" hidden="false" customHeight="true" outlineLevel="0" collapsed="false">
      <c r="A14" s="34" t="s">
        <v>695</v>
      </c>
      <c r="B14" s="34"/>
      <c r="C14" s="35"/>
      <c r="D14" s="22" t="s">
        <v>696</v>
      </c>
      <c r="E14" s="22" t="s">
        <v>167</v>
      </c>
      <c r="F14" s="22" t="s">
        <v>691</v>
      </c>
      <c r="G14" s="23" t="n">
        <v>63.27</v>
      </c>
      <c r="H14" s="23" t="n">
        <v>0.13</v>
      </c>
      <c r="I14" s="23" t="n">
        <v>0</v>
      </c>
      <c r="J14" s="23" t="n">
        <v>14</v>
      </c>
      <c r="K14" s="23" t="n">
        <v>2.34</v>
      </c>
      <c r="L14" s="23" t="n">
        <v>1.58</v>
      </c>
      <c r="M14" s="23" t="n">
        <v>1.02</v>
      </c>
      <c r="N14" s="23" t="n">
        <v>1.82</v>
      </c>
      <c r="O14" s="24" t="str">
        <f aca="false">IF(OR(B14="",C14=""),"",IFERROR(C14/1000*IFERROR(INDEX(Vöruskrá!R:R,MATCH(B14,Vöruskrá!B:B,0)),0)/1000,""))</f>
        <v/>
      </c>
      <c r="P14" s="34" t="s">
        <v>697</v>
      </c>
      <c r="Q14" s="36" t="s">
        <v>698</v>
      </c>
      <c r="R14" s="32" t="s">
        <v>699</v>
      </c>
    </row>
    <row r="15" customFormat="false" ht="15" hidden="false" customHeight="true" outlineLevel="0" collapsed="false">
      <c r="A15" s="9"/>
      <c r="B15" s="9" t="s">
        <v>661</v>
      </c>
      <c r="C15" s="33"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33"/>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33"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33"/>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33"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33"/>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33"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33"/>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79.5" hidden="false" customHeight="true" outlineLevel="0" collapsed="false">
      <c r="A23" s="20" t="s">
        <v>700</v>
      </c>
      <c r="B23" s="20"/>
      <c r="C23" s="21"/>
      <c r="D23" s="22" t="s">
        <v>701</v>
      </c>
      <c r="E23" s="22" t="s">
        <v>528</v>
      </c>
      <c r="F23" s="22" t="s">
        <v>691</v>
      </c>
      <c r="G23" s="23" t="n">
        <v>169.2</v>
      </c>
      <c r="H23" s="23" t="n">
        <v>6.78</v>
      </c>
      <c r="I23" s="23" t="n">
        <v>3.05</v>
      </c>
      <c r="J23" s="23" t="n">
        <v>19.1</v>
      </c>
      <c r="K23" s="23" t="n">
        <v>1.02</v>
      </c>
      <c r="L23" s="23" t="n">
        <v>7.34</v>
      </c>
      <c r="M23" s="23" t="n">
        <v>0.98</v>
      </c>
      <c r="N23" s="23" t="n">
        <v>0.68</v>
      </c>
      <c r="O23" s="24" t="str">
        <f aca="false">IF(OR(B23="",C23=""),"",IFERROR(C23/1000*IFERROR(INDEX(Vöruskrá!R:R,MATCH(B23,Vöruskrá!B:B,0)),0)/1000,""))</f>
        <v/>
      </c>
      <c r="P23" s="20" t="s">
        <v>702</v>
      </c>
      <c r="Q23" s="25" t="s">
        <v>703</v>
      </c>
      <c r="R23" s="9" t="s">
        <v>704</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33" t="n">
        <v>18000</v>
      </c>
      <c r="D25" s="28" t="s">
        <v>532</v>
      </c>
      <c r="E25" s="28"/>
      <c r="F25" s="28"/>
      <c r="G25" s="29"/>
      <c r="H25" s="29"/>
      <c r="I25" s="29"/>
      <c r="J25" s="29"/>
      <c r="K25" s="29"/>
      <c r="L25" s="29"/>
      <c r="M25" s="29"/>
      <c r="N25" s="29"/>
      <c r="O25" s="30" t="n">
        <f aca="false">IF(OR(B25="",C25=""),"",IFERROR(C25/1000*IFERROR(INDEX(Vöruskrá!R:R,MATCH(B25,Vöruskrá!B:B,0)),0)/1000,""))</f>
        <v>0</v>
      </c>
      <c r="P25" s="9"/>
      <c r="Q25" s="33"/>
      <c r="R25" s="9" t="s">
        <v>705</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33"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33"/>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33"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33"/>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33"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33"/>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33"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33"/>
      <c r="R33" s="9"/>
    </row>
    <row r="34" customFormat="false" ht="79.5" hidden="false" customHeight="true" outlineLevel="0" collapsed="false">
      <c r="A34" s="34" t="s">
        <v>706</v>
      </c>
      <c r="B34" s="34"/>
      <c r="C34" s="35"/>
      <c r="D34" s="22" t="s">
        <v>707</v>
      </c>
      <c r="E34" s="22" t="s">
        <v>708</v>
      </c>
      <c r="F34" s="22" t="s">
        <v>691</v>
      </c>
      <c r="G34" s="23" t="n">
        <v>139.84</v>
      </c>
      <c r="H34" s="23" t="n">
        <v>8.55</v>
      </c>
      <c r="I34" s="23" t="n">
        <v>2.67</v>
      </c>
      <c r="J34" s="23" t="n">
        <v>5</v>
      </c>
      <c r="K34" s="23" t="n">
        <v>3.83</v>
      </c>
      <c r="L34" s="23" t="n">
        <v>10.48</v>
      </c>
      <c r="M34" s="23" t="n">
        <v>1.57</v>
      </c>
      <c r="N34" s="23" t="n">
        <v>0.34</v>
      </c>
      <c r="O34" s="24" t="str">
        <f aca="false">IF(OR(B34="",C34=""),"",IFERROR(C34/1000*IFERROR(INDEX(Vöruskrá!R:R,MATCH(B34,Vöruskrá!B:B,0)),0)/1000,""))</f>
        <v/>
      </c>
      <c r="P34" s="34" t="s">
        <v>709</v>
      </c>
      <c r="Q34" s="36" t="s">
        <v>710</v>
      </c>
      <c r="R34" s="32" t="s">
        <v>704</v>
      </c>
    </row>
    <row r="35" customFormat="false" ht="15" hidden="false" customHeight="true" outlineLevel="0" collapsed="false">
      <c r="A35" s="9"/>
      <c r="B35" s="9" t="s">
        <v>196</v>
      </c>
      <c r="C35" s="33"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33"/>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33"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33"/>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33"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33"/>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33"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33"/>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33"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33"/>
      <c r="R43" s="9"/>
    </row>
    <row r="44" customFormat="false" ht="79.5" hidden="false" customHeight="true" outlineLevel="0" collapsed="false">
      <c r="A44" s="34" t="s">
        <v>711</v>
      </c>
      <c r="B44" s="34"/>
      <c r="C44" s="35"/>
      <c r="D44" s="22" t="s">
        <v>712</v>
      </c>
      <c r="E44" s="22" t="s">
        <v>337</v>
      </c>
      <c r="F44" s="22" t="s">
        <v>691</v>
      </c>
      <c r="G44" s="23" t="n">
        <v>64.06</v>
      </c>
      <c r="H44" s="23" t="n">
        <v>2.69</v>
      </c>
      <c r="I44" s="23" t="n">
        <v>0.67</v>
      </c>
      <c r="J44" s="23" t="n">
        <v>4.89</v>
      </c>
      <c r="K44" s="23" t="n">
        <v>2.75</v>
      </c>
      <c r="L44" s="23" t="n">
        <v>5.07</v>
      </c>
      <c r="M44" s="23" t="n">
        <v>2.24</v>
      </c>
      <c r="N44" s="23" t="n">
        <v>0.3</v>
      </c>
      <c r="O44" s="24" t="str">
        <f aca="false">IF(OR(B44="",C44=""),"",IFERROR(C44/1000*IFERROR(INDEX(Vöruskrá!R:R,MATCH(B44,Vöruskrá!B:B,0)),0)/1000,""))</f>
        <v/>
      </c>
      <c r="P44" s="34" t="s">
        <v>713</v>
      </c>
      <c r="Q44" s="36" t="s">
        <v>714</v>
      </c>
      <c r="R44" s="32" t="s">
        <v>715</v>
      </c>
    </row>
    <row r="45" customFormat="false" ht="15" hidden="false" customHeight="true" outlineLevel="0" collapsed="false">
      <c r="A45" s="9"/>
      <c r="B45" s="9" t="s">
        <v>196</v>
      </c>
      <c r="C45" s="33"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33"/>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33"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33"/>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33"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33"/>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33"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33"/>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33"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33"/>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79.5" hidden="false" customHeight="true" outlineLevel="0" collapsed="false">
      <c r="A55" s="20" t="s">
        <v>716</v>
      </c>
      <c r="B55" s="20"/>
      <c r="C55" s="21"/>
      <c r="D55" s="22" t="s">
        <v>717</v>
      </c>
      <c r="E55" s="22" t="s">
        <v>146</v>
      </c>
      <c r="F55" s="22" t="s">
        <v>691</v>
      </c>
      <c r="G55" s="23" t="n">
        <v>162.91</v>
      </c>
      <c r="H55" s="23" t="n">
        <v>10.02</v>
      </c>
      <c r="I55" s="23" t="n">
        <v>5.73</v>
      </c>
      <c r="J55" s="23" t="n">
        <v>6.64</v>
      </c>
      <c r="K55" s="23" t="n">
        <v>3</v>
      </c>
      <c r="L55" s="23" t="n">
        <v>11.03</v>
      </c>
      <c r="M55" s="23" t="n">
        <v>1.48</v>
      </c>
      <c r="N55" s="23" t="n">
        <v>0.38</v>
      </c>
      <c r="O55" s="24" t="str">
        <f aca="false">IF(OR(B55="",C55=""),"",IFERROR(C55/1000*IFERROR(INDEX(Vöruskrá!R:R,MATCH(B55,Vöruskrá!B:B,0)),0)/1000,""))</f>
        <v/>
      </c>
      <c r="P55" s="20" t="s">
        <v>718</v>
      </c>
      <c r="Q55" s="25" t="s">
        <v>719</v>
      </c>
      <c r="R55" s="9" t="s">
        <v>720</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33"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33"/>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33"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33"/>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33"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33"/>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79.5" hidden="false" customHeight="true" outlineLevel="0" collapsed="false">
      <c r="A63" s="20" t="s">
        <v>721</v>
      </c>
      <c r="B63" s="20"/>
      <c r="C63" s="21"/>
      <c r="D63" s="22" t="s">
        <v>722</v>
      </c>
      <c r="E63" s="22" t="s">
        <v>167</v>
      </c>
      <c r="F63" s="22" t="s">
        <v>723</v>
      </c>
      <c r="G63" s="23" t="n">
        <v>54.16</v>
      </c>
      <c r="H63" s="23" t="n">
        <v>2.3</v>
      </c>
      <c r="I63" s="23" t="n">
        <v>0.85</v>
      </c>
      <c r="J63" s="23" t="n">
        <v>6.71</v>
      </c>
      <c r="K63" s="23" t="n">
        <v>3.8</v>
      </c>
      <c r="L63" s="23" t="n">
        <v>1.34</v>
      </c>
      <c r="M63" s="23" t="n">
        <v>2.64</v>
      </c>
      <c r="N63" s="23" t="n">
        <v>0.66</v>
      </c>
      <c r="O63" s="24" t="str">
        <f aca="false">IF(OR(B63="",C63=""),"",IFERROR(C63/1000*IFERROR(INDEX(Vöruskrá!R:R,MATCH(B63,Vöruskrá!B:B,0)),0)/1000,""))</f>
        <v/>
      </c>
      <c r="P63" s="20" t="s">
        <v>724</v>
      </c>
      <c r="Q63" s="25" t="s">
        <v>725</v>
      </c>
      <c r="R63" s="9" t="s">
        <v>726</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33"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33"/>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33"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33"/>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33"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33"/>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33"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33"/>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79.5" hidden="false" customHeight="true" outlineLevel="0" collapsed="false">
      <c r="A73" s="20" t="s">
        <v>727</v>
      </c>
      <c r="B73" s="20"/>
      <c r="C73" s="21"/>
      <c r="D73" s="22" t="s">
        <v>728</v>
      </c>
      <c r="E73" s="22" t="s">
        <v>217</v>
      </c>
      <c r="F73" s="22" t="s">
        <v>691</v>
      </c>
      <c r="G73" s="23" t="n">
        <v>92.03</v>
      </c>
      <c r="H73" s="23" t="n">
        <v>3.53</v>
      </c>
      <c r="I73" s="23" t="n">
        <v>2.56</v>
      </c>
      <c r="J73" s="23" t="n">
        <v>8.94</v>
      </c>
      <c r="K73" s="23" t="n">
        <v>0.49</v>
      </c>
      <c r="L73" s="23" t="n">
        <v>6.53</v>
      </c>
      <c r="M73" s="23" t="n">
        <v>1.7</v>
      </c>
      <c r="N73" s="23" t="n">
        <v>0.91</v>
      </c>
      <c r="O73" s="24" t="str">
        <f aca="false">IF(OR(B73="",C73=""),"",IFERROR(C73/1000*IFERROR(INDEX(Vöruskrá!R:R,MATCH(B73,Vöruskrá!B:B,0)),0)/1000,""))</f>
        <v/>
      </c>
      <c r="P73" s="20" t="s">
        <v>729</v>
      </c>
      <c r="Q73" s="25" t="s">
        <v>730</v>
      </c>
      <c r="R73" s="9" t="s">
        <v>731</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33"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33"/>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33"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33"/>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33" t="n">
        <v>1800</v>
      </c>
      <c r="D79" s="28" t="s">
        <v>537</v>
      </c>
      <c r="E79" s="28"/>
      <c r="F79" s="28"/>
      <c r="G79" s="29"/>
      <c r="H79" s="29"/>
      <c r="I79" s="29"/>
      <c r="J79" s="29"/>
      <c r="K79" s="29"/>
      <c r="L79" s="29"/>
      <c r="M79" s="29"/>
      <c r="N79" s="29"/>
      <c r="O79" s="30" t="n">
        <f aca="false">IF(OR(B79="",C79=""),"",IFERROR(C79/1000*IFERROR(INDEX(Vöruskrá!R:R,MATCH(B79,Vöruskrá!B:B,0)),0)/1000,""))</f>
        <v>0</v>
      </c>
      <c r="P79" s="9"/>
      <c r="Q79" s="33"/>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33"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33"/>
      <c r="R81" s="9"/>
    </row>
    <row r="82" customFormat="false" ht="79.5" hidden="false" customHeight="true" outlineLevel="0" collapsed="false">
      <c r="A82" s="34" t="s">
        <v>732</v>
      </c>
      <c r="B82" s="34"/>
      <c r="C82" s="35"/>
      <c r="D82" s="22" t="s">
        <v>733</v>
      </c>
      <c r="E82" s="22" t="s">
        <v>337</v>
      </c>
      <c r="F82" s="22" t="s">
        <v>691</v>
      </c>
      <c r="G82" s="23" t="n">
        <v>76.67</v>
      </c>
      <c r="H82" s="23" t="n">
        <v>3.91</v>
      </c>
      <c r="I82" s="23" t="n">
        <v>1.1</v>
      </c>
      <c r="J82" s="23" t="n">
        <v>2.61</v>
      </c>
      <c r="K82" s="23" t="n">
        <v>1.1</v>
      </c>
      <c r="L82" s="23" t="n">
        <v>7.46</v>
      </c>
      <c r="M82" s="23" t="n">
        <v>0.76</v>
      </c>
      <c r="N82" s="23" t="n">
        <v>0.42</v>
      </c>
      <c r="O82" s="24" t="str">
        <f aca="false">IF(OR(B82="",C82=""),"",IFERROR(C82/1000*IFERROR(INDEX(Vöruskrá!R:R,MATCH(B82,Vöruskrá!B:B,0)),0)/1000,""))</f>
        <v/>
      </c>
      <c r="P82" s="34" t="s">
        <v>734</v>
      </c>
      <c r="Q82" s="36" t="s">
        <v>735</v>
      </c>
      <c r="R82" s="32" t="s">
        <v>736</v>
      </c>
    </row>
    <row r="83" customFormat="false" ht="15" hidden="false" customHeight="true" outlineLevel="0" collapsed="false">
      <c r="A83" s="9"/>
      <c r="B83" s="9" t="s">
        <v>628</v>
      </c>
      <c r="C83" s="33"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33"/>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33"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33"/>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33"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33"/>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33"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33"/>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33"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33"/>
      <c r="R91" s="9"/>
    </row>
    <row r="92" customFormat="false" ht="79.5" hidden="false" customHeight="true" outlineLevel="0" collapsed="false">
      <c r="A92" s="34" t="s">
        <v>737</v>
      </c>
      <c r="B92" s="34"/>
      <c r="C92" s="35"/>
      <c r="D92" s="22" t="s">
        <v>738</v>
      </c>
      <c r="E92" s="22" t="s">
        <v>167</v>
      </c>
      <c r="F92" s="22" t="s">
        <v>691</v>
      </c>
      <c r="G92" s="23" t="n">
        <v>85.43</v>
      </c>
      <c r="H92" s="23" t="n">
        <v>3.39</v>
      </c>
      <c r="I92" s="23" t="n">
        <v>0.94</v>
      </c>
      <c r="J92" s="23" t="n">
        <v>6.81</v>
      </c>
      <c r="K92" s="23" t="n">
        <v>1.64</v>
      </c>
      <c r="L92" s="23" t="n">
        <v>6.91</v>
      </c>
      <c r="M92" s="23" t="n">
        <v>0.67</v>
      </c>
      <c r="N92" s="23" t="n">
        <v>1.05</v>
      </c>
      <c r="O92" s="24" t="str">
        <f aca="false">IF(OR(B92="",C92=""),"",IFERROR(C92/1000*IFERROR(INDEX(Vöruskrá!R:R,MATCH(B92,Vöruskrá!B:B,0)),0)/1000,""))</f>
        <v/>
      </c>
      <c r="P92" s="34" t="s">
        <v>739</v>
      </c>
      <c r="Q92" s="36" t="s">
        <v>740</v>
      </c>
      <c r="R92" s="32" t="s">
        <v>736</v>
      </c>
    </row>
    <row r="93" customFormat="false" ht="15" hidden="false" customHeight="true" outlineLevel="0" collapsed="false">
      <c r="A93" s="9"/>
      <c r="B93" s="9" t="s">
        <v>628</v>
      </c>
      <c r="C93" s="33"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33"/>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33"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33"/>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33"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33"/>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33"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33"/>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33"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33"/>
      <c r="R101" s="9"/>
    </row>
    <row r="102" customFormat="false" ht="79.5" hidden="false" customHeight="true" outlineLevel="0" collapsed="false">
      <c r="A102" s="34" t="s">
        <v>741</v>
      </c>
      <c r="B102" s="34"/>
      <c r="C102" s="35"/>
      <c r="D102" s="22" t="s">
        <v>742</v>
      </c>
      <c r="E102" s="22" t="s">
        <v>146</v>
      </c>
      <c r="F102" s="22" t="s">
        <v>691</v>
      </c>
      <c r="G102" s="23" t="n">
        <v>108.01</v>
      </c>
      <c r="H102" s="23" t="n">
        <v>6.25</v>
      </c>
      <c r="I102" s="23" t="n">
        <v>2.12</v>
      </c>
      <c r="J102" s="23" t="n">
        <v>4.05</v>
      </c>
      <c r="K102" s="23" t="n">
        <v>1.54</v>
      </c>
      <c r="L102" s="23" t="n">
        <v>8.9</v>
      </c>
      <c r="M102" s="23" t="n">
        <v>0.79</v>
      </c>
      <c r="N102" s="23" t="n">
        <v>0.29</v>
      </c>
      <c r="O102" s="24" t="str">
        <f aca="false">IF(OR(B102="",C102=""),"",IFERROR(C102/1000*IFERROR(INDEX(Vöruskrá!R:R,MATCH(B102,Vöruskrá!B:B,0)),0)/1000,""))</f>
        <v/>
      </c>
      <c r="P102" s="34" t="s">
        <v>743</v>
      </c>
      <c r="Q102" s="36" t="s">
        <v>744</v>
      </c>
      <c r="R102" s="32" t="s">
        <v>745</v>
      </c>
    </row>
    <row r="103" customFormat="false" ht="15" hidden="false" customHeight="true" outlineLevel="0" collapsed="false">
      <c r="A103" s="9"/>
      <c r="B103" s="9" t="s">
        <v>196</v>
      </c>
      <c r="C103" s="33"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33"/>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33"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33"/>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33"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33"/>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33"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33"/>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33"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33"/>
      <c r="R111" s="9"/>
    </row>
    <row r="112" customFormat="false" ht="79.5" hidden="false" customHeight="true" outlineLevel="0" collapsed="false">
      <c r="A112" s="34" t="s">
        <v>746</v>
      </c>
      <c r="B112" s="34"/>
      <c r="C112" s="35"/>
      <c r="D112" s="22" t="s">
        <v>747</v>
      </c>
      <c r="E112" s="22" t="s">
        <v>748</v>
      </c>
      <c r="F112" s="22" t="s">
        <v>691</v>
      </c>
      <c r="G112" s="23" t="n">
        <v>197.08</v>
      </c>
      <c r="H112" s="23" t="n">
        <v>4.34</v>
      </c>
      <c r="I112" s="23" t="n">
        <v>2.52</v>
      </c>
      <c r="J112" s="23" t="n">
        <v>32.85</v>
      </c>
      <c r="K112" s="23" t="n">
        <v>1.58</v>
      </c>
      <c r="L112" s="23" t="n">
        <v>4.78</v>
      </c>
      <c r="M112" s="23" t="n">
        <v>1.03</v>
      </c>
      <c r="N112" s="23" t="n">
        <v>3.15</v>
      </c>
      <c r="O112" s="24" t="str">
        <f aca="false">IF(OR(B112="",C112=""),"",IFERROR(C112/1000*IFERROR(INDEX(Vöruskrá!R:R,MATCH(B112,Vöruskrá!B:B,0)),0)/1000,""))</f>
        <v/>
      </c>
      <c r="P112" s="34" t="s">
        <v>749</v>
      </c>
      <c r="Q112" s="36" t="s">
        <v>750</v>
      </c>
      <c r="R112" s="32" t="s">
        <v>751</v>
      </c>
    </row>
    <row r="113" customFormat="false" ht="15" hidden="false" customHeight="true" outlineLevel="0" collapsed="false">
      <c r="A113" s="9"/>
      <c r="B113" s="9" t="s">
        <v>294</v>
      </c>
      <c r="C113" s="33"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33"/>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705</v>
      </c>
    </row>
    <row r="115" customFormat="false" ht="15" hidden="false" customHeight="true" outlineLevel="0" collapsed="false">
      <c r="A115" s="9"/>
      <c r="B115" s="9" t="s">
        <v>382</v>
      </c>
      <c r="C115" s="33"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33"/>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33"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33"/>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33"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33"/>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33"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33"/>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33"/>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33"/>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33"/>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33"/>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33"/>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33"/>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33"/>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33"/>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33"/>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33"/>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33"/>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33"/>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33"/>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33"/>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33"/>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33"/>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33"/>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33"/>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33"/>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33"/>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33"/>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33"/>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33"/>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33"/>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33"/>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33"/>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33"/>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33"/>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33"/>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33"/>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33"/>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33"/>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33"/>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33"/>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33"/>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33"/>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33"/>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33"/>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33"/>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33"/>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33"/>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33"/>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33"/>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33"/>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33"/>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33"/>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33"/>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33"/>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33"/>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33"/>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33"/>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33"/>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33"/>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33"/>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33"/>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33"/>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33"/>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33"/>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33"/>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33"/>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33"/>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33"/>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33"/>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33"/>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33"/>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33"/>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33"/>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33"/>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33"/>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33"/>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33"/>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33"/>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33"/>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33"/>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33"/>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33"/>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33"/>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33"/>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33"/>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33"/>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33"/>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33"/>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33"/>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33"/>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33"/>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33"/>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33"/>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33"/>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33"/>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33"/>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33"/>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33"/>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33"/>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33"/>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33"/>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33"/>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33"/>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33"/>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33"/>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33"/>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33"/>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33"/>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33"/>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33"/>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33"/>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33"/>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33"/>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33"/>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33"/>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33"/>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33"/>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33"/>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33"/>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33"/>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33"/>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33"/>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33"/>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33"/>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33"/>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33"/>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33"/>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33"/>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33"/>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33"/>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33"/>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33"/>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33"/>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33"/>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33"/>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33"/>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33"/>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33"/>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33"/>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33"/>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33"/>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33"/>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33"/>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33"/>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33"/>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33"/>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33"/>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33"/>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33"/>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33"/>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33"/>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33"/>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33"/>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33"/>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33"/>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33"/>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33"/>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33"/>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33"/>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33"/>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33"/>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33"/>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33"/>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33"/>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33"/>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33"/>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33"/>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33"/>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33"/>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33"/>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33"/>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33"/>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33"/>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33"/>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33"/>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33"/>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33"/>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33"/>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33"/>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33"/>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33"/>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33"/>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33"/>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33"/>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33"/>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33"/>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33"/>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33"/>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33"/>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33"/>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33"/>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33"/>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33"/>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33"/>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33"/>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33"/>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33"/>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33"/>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33"/>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33"/>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33"/>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33"/>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33"/>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33"/>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33"/>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33"/>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33"/>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33"/>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33"/>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33"/>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33"/>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33"/>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33"/>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33"/>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33"/>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33"/>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33"/>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33"/>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33"/>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33"/>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33"/>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33"/>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33"/>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33"/>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33"/>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33"/>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33"/>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33"/>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33"/>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33"/>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33"/>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33"/>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33"/>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33"/>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33"/>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33"/>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33"/>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33"/>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33"/>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33"/>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33"/>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33"/>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33"/>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33"/>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33"/>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33"/>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33"/>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33"/>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33"/>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33"/>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33"/>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33"/>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33"/>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33"/>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33"/>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33"/>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33"/>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33"/>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33"/>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33"/>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33"/>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33"/>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33"/>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33"/>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33"/>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33"/>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33"/>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33"/>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33"/>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33"/>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33"/>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33"/>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33"/>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33"/>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33"/>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33"/>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33"/>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33"/>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33"/>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33"/>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33"/>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33"/>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33"/>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33"/>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33"/>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33"/>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33"/>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33"/>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33"/>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33"/>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33"/>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33"/>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33"/>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33"/>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33"/>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33"/>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33"/>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33"/>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33"/>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33"/>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33"/>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33"/>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33"/>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33"/>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33"/>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33"/>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33"/>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33"/>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33"/>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33"/>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33"/>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33"/>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33"/>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33"/>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33"/>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33"/>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33"/>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33"/>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33"/>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33"/>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33"/>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33"/>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33"/>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33"/>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33"/>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33"/>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33"/>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33"/>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33"/>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33"/>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33"/>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33"/>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33"/>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33"/>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33"/>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33"/>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33"/>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33"/>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33"/>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33"/>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33"/>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33"/>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33"/>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33"/>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33"/>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33"/>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33"/>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33"/>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33"/>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33"/>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33"/>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33"/>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33"/>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33"/>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33"/>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33"/>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33"/>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33"/>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33"/>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33"/>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33"/>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33"/>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33"/>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33"/>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33"/>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33"/>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33"/>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33"/>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33"/>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33"/>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33"/>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33"/>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33"/>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33"/>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33"/>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33"/>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33"/>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33"/>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33"/>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33"/>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33"/>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33"/>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33"/>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33"/>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33"/>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33"/>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33"/>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33"/>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33"/>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33"/>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33"/>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33"/>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33"/>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33"/>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33"/>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33"/>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33"/>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33"/>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33"/>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33"/>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33"/>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33"/>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33"/>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33"/>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33"/>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33"/>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33"/>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33"/>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33"/>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33"/>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33"/>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33"/>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33"/>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33"/>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33"/>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33"/>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33"/>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33"/>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33"/>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33"/>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33"/>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33"/>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33"/>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33"/>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33"/>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33"/>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33"/>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33"/>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33"/>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33"/>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33"/>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33"/>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33"/>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33"/>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33"/>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33"/>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33"/>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33"/>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33"/>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33"/>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33"/>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33"/>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33"/>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33"/>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33"/>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33"/>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33"/>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33"/>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33"/>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33"/>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33"/>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33"/>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33"/>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33"/>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33"/>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33"/>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33"/>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33"/>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33"/>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33"/>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33"/>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33"/>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33"/>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33"/>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33"/>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33"/>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33"/>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33"/>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33"/>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33"/>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33"/>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33"/>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33"/>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33"/>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33"/>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33"/>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33"/>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33"/>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33"/>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33"/>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33"/>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33"/>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33"/>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33"/>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33"/>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33"/>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33"/>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33"/>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33"/>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33"/>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33"/>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33"/>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33"/>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33"/>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33"/>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33"/>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33"/>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33"/>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33"/>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33"/>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33"/>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33"/>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33"/>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33"/>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33"/>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33"/>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33"/>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33"/>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33"/>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33"/>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33"/>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33"/>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33"/>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33"/>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33"/>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33"/>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33"/>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33"/>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33"/>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33"/>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33"/>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33"/>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33"/>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33"/>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33"/>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33"/>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33"/>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33"/>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33"/>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33"/>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33"/>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33"/>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33"/>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33"/>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33"/>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33"/>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33"/>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33"/>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33"/>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33"/>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33"/>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33"/>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33"/>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33"/>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33"/>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33"/>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33"/>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33"/>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33"/>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33"/>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33"/>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33"/>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33"/>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33"/>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33"/>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33"/>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33"/>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33"/>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33"/>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33"/>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33"/>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33"/>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33"/>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33"/>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33"/>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33"/>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33"/>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33"/>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33"/>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33"/>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33"/>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33"/>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33"/>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33"/>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33"/>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33"/>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33"/>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33"/>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33"/>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33"/>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33"/>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33"/>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33"/>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33"/>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33"/>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33"/>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33"/>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33"/>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33"/>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33"/>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33"/>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33"/>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33"/>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33"/>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33"/>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33"/>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33"/>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33"/>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33"/>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33"/>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33"/>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33"/>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33"/>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33"/>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33"/>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33"/>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33"/>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33"/>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33"/>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33"/>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33"/>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33"/>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33"/>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33"/>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33"/>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33"/>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33"/>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33"/>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33"/>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33"/>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33"/>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33"/>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33"/>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33"/>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33"/>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33"/>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33"/>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33"/>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33"/>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33"/>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33"/>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33"/>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33"/>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33"/>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33"/>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33"/>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33"/>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33"/>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33"/>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33"/>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33"/>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33"/>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33"/>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33"/>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33"/>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33"/>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33"/>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33"/>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33"/>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33"/>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33"/>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33"/>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33"/>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33"/>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33"/>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33"/>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33"/>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33"/>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33"/>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33"/>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33"/>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33"/>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33"/>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33"/>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33"/>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33"/>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33"/>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33"/>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33"/>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33"/>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33"/>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33"/>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33"/>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33"/>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33"/>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33"/>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33"/>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33"/>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33"/>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33"/>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33"/>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33"/>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33"/>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33"/>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33"/>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33"/>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33"/>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33"/>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33"/>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33"/>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33"/>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33"/>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33"/>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33"/>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33"/>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33"/>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33"/>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33"/>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33"/>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33"/>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33"/>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33"/>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33"/>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33"/>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33"/>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33"/>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33"/>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33"/>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33"/>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33"/>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33"/>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33"/>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33"/>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33"/>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33"/>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33"/>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33"/>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33"/>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33"/>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33"/>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33"/>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33"/>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33"/>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33"/>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33"/>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33"/>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33"/>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33"/>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33"/>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33"/>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33"/>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33"/>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33"/>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33"/>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33"/>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33"/>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33"/>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33"/>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33"/>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33"/>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33"/>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33"/>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33"/>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33"/>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33"/>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33"/>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33"/>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33"/>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33"/>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33"/>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33"/>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33"/>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33"/>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33"/>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33"/>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33"/>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33"/>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33"/>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33"/>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33"/>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33"/>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33"/>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33"/>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33"/>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33"/>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33"/>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33"/>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33"/>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33"/>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33"/>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33"/>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33"/>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33"/>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33"/>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33"/>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33"/>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33"/>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33"/>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33"/>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33"/>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33"/>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33"/>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33"/>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33"/>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33"/>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33"/>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33"/>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33"/>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33"/>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33"/>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33"/>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33"/>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33"/>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33"/>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33"/>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33"/>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33"/>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33"/>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33"/>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33"/>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33"/>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33"/>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33"/>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33"/>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33"/>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33"/>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33"/>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33"/>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33"/>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33"/>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33"/>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33"/>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33"/>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33"/>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33"/>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33"/>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33"/>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33"/>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33"/>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33"/>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33"/>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33"/>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33"/>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33"/>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33"/>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33"/>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33"/>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33"/>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33"/>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33"/>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33"/>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33"/>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33"/>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33"/>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33"/>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33"/>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33"/>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33"/>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33"/>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33"/>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33"/>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33"/>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33"/>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33"/>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33"/>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33"/>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33"/>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33"/>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33"/>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33"/>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33"/>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33"/>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33"/>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33"/>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33"/>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33"/>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33"/>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33"/>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33"/>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33"/>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33"/>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33"/>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33"/>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33"/>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33"/>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33"/>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33"/>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33"/>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33"/>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33"/>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33"/>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33"/>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33"/>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33"/>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33"/>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33"/>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33"/>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33"/>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33"/>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33"/>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33"/>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33"/>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33"/>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33"/>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752</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753</v>
      </c>
      <c r="B2" s="18" t="s">
        <v>754</v>
      </c>
      <c r="C2" s="18" t="s">
        <v>755</v>
      </c>
      <c r="D2" s="16" t="s">
        <v>756</v>
      </c>
      <c r="E2" s="16" t="s">
        <v>757</v>
      </c>
      <c r="F2" s="16" t="s">
        <v>758</v>
      </c>
      <c r="G2" s="17" t="s">
        <v>759</v>
      </c>
      <c r="H2" s="17" t="s">
        <v>760</v>
      </c>
      <c r="I2" s="16" t="s">
        <v>761</v>
      </c>
      <c r="J2" s="5" t="s">
        <v>762</v>
      </c>
      <c r="K2" s="18" t="s">
        <v>682</v>
      </c>
      <c r="L2" s="18" t="s">
        <v>683</v>
      </c>
      <c r="M2" s="18" t="s">
        <v>684</v>
      </c>
      <c r="N2" s="18" t="s">
        <v>763</v>
      </c>
      <c r="O2" s="18" t="s">
        <v>764</v>
      </c>
      <c r="P2" s="18" t="s">
        <v>765</v>
      </c>
      <c r="Q2" s="18" t="s">
        <v>766</v>
      </c>
      <c r="R2" s="18" t="s">
        <v>767</v>
      </c>
      <c r="S2" s="18" t="s">
        <v>768</v>
      </c>
      <c r="T2" s="19" t="s">
        <v>769</v>
      </c>
      <c r="U2" s="19" t="s">
        <v>770</v>
      </c>
    </row>
    <row r="3" customFormat="false" ht="15" hidden="false" customHeight="true" outlineLevel="0" collapsed="false">
      <c r="A3" s="37" t="n">
        <v>46195</v>
      </c>
      <c r="B3" s="38"/>
      <c r="C3" s="38"/>
      <c r="D3" s="39" t="s">
        <v>771</v>
      </c>
      <c r="E3" s="39" t="s">
        <v>772</v>
      </c>
      <c r="F3" s="40"/>
      <c r="G3" s="39" t="s">
        <v>773</v>
      </c>
      <c r="H3" s="41"/>
      <c r="I3" s="41"/>
      <c r="J3" s="42"/>
      <c r="K3" s="28" t="s">
        <v>701</v>
      </c>
      <c r="L3" s="28" t="s">
        <v>528</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33"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7"/>
      <c r="B4" s="38"/>
      <c r="C4" s="38"/>
      <c r="D4" s="39" t="s">
        <v>771</v>
      </c>
      <c r="E4" s="39" t="s">
        <v>772</v>
      </c>
      <c r="F4" s="40" t="s">
        <v>700</v>
      </c>
      <c r="G4" s="39" t="s">
        <v>774</v>
      </c>
      <c r="H4" s="41" t="n">
        <v>250</v>
      </c>
      <c r="I4" s="41"/>
      <c r="J4" s="42"/>
      <c r="K4" s="28" t="str">
        <f aca="false">IFERROR(INDEX(Vöruskrá!$F:$F,MATCH(F4,Vöruskrá!$B:$B,0)),IFERROR(INDEX(Réttabanki!$D:$D,MATCH(F4,Réttabanki!$A:$A,0)),""))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v>
      </c>
      <c r="L4" s="28" t="str">
        <f aca="false">IFERROR(INDEX(Vöruskrá!$G:$G,MATCH(F4,Vöruskrá!$B:$B,0)),IFERROR(INDEX(Réttabanki!$E:$E,MATCH(F4,Réttabanki!$A:$A,0)),""))</f>
        <v>kókos</v>
      </c>
      <c r="M4" s="28" t="str">
        <f aca="false">IFERROR(INDEX(Vöruskrá!$H:$H,MATCH(F4,Vöruskrá!$B:$B,0)),IFERROR(INDEX(Réttabanki!$F:$F,MATCH(F4,Réttabanki!$A:$A,0)),""))</f>
        <v>Getur innihaldið snefil af egg, fisk, glúten, krabbadýr, lindýr, mjólk, sellerí, sesam, sinnep og sesam, soja, soja og sinnep.</v>
      </c>
      <c r="N4" s="29" t="n">
        <f aca="false">IFERROR(INDEX(Vöruskrá!$J:$J,MATCH(F4,Vöruskrá!$B:$B,0))*H4/100,IFERROR(INDEX(Réttabanki!$G:$G,MATCH(F4,Réttabanki!$A:$A,0))*H4/100,""))</f>
        <v>423</v>
      </c>
      <c r="O4" s="29" t="n">
        <f aca="false">IFERROR(INDEX(Vöruskrá!$K:$K,MATCH(F4,Vöruskrá!$B:$B,0))*H4/100,IFERROR(INDEX(Réttabanki!$H:$H,MATCH(F4,Réttabanki!$A:$A,0))*H4/100,""))</f>
        <v>16.95</v>
      </c>
      <c r="P4" s="29" t="n">
        <f aca="false">IFERROR(INDEX(Vöruskrá!$L:$L,MATCH(F4,Vöruskrá!$B:$B,0))*H4/100,IFERROR(INDEX(Réttabanki!$I:$I,MATCH(F4,Réttabanki!$A:$A,0))*H4/100,""))</f>
        <v>7.625</v>
      </c>
      <c r="Q4" s="29" t="n">
        <f aca="false">IFERROR(INDEX(Vöruskrá!$M:$M,MATCH(F4,Vöruskrá!$B:$B,0))*H4/100,IFERROR(INDEX(Réttabanki!$J:$J,MATCH(F4,Réttabanki!$A:$A,0))*H4/100,""))</f>
        <v>47.75</v>
      </c>
      <c r="R4" s="29" t="n">
        <f aca="false">IFERROR(INDEX(Vöruskrá!$O:$O,MATCH(F4,Vöruskrá!$B:$B,0))*H4/100,IFERROR(INDEX(Réttabanki!$L:$L,MATCH(F4,Réttabanki!$A:$A,0))*H4/100,""))</f>
        <v>18.35</v>
      </c>
      <c r="S4" s="29" t="n">
        <f aca="false">IFERROR(INDEX(Vöruskrá!$P:$P,MATCH(F4,Vöruskrá!$B:$B,0))*H4/100,IFERROR(INDEX(Réttabanki!$M:$M,MATCH(F4,Réttabanki!$A:$A,0))*H4/100,""))</f>
        <v>2.45</v>
      </c>
      <c r="T4" s="31" t="str">
        <f aca="false">IF(F4="","",IFERROR(INDEX(Réttabanki!Q:Q,MATCH(F4,Réttabanki!A:A,0)),IFERROR(INDEX(Réttabanki!Q:Q,MATCH(F4,Réttabanki!B:B,0)),"")))</f>
        <v>1. Hitið karrýsósu í potti við meðalhita í 20-25 mín, hrærið reglulega.
2. Eldið hrísgrjón skv. leiðbeiningum.
3. Berið fram karrý yfir hrísgrjónum.</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7"/>
      <c r="B5" s="38"/>
      <c r="C5" s="38"/>
      <c r="D5" s="39" t="s">
        <v>771</v>
      </c>
      <c r="E5" s="39" t="s">
        <v>772</v>
      </c>
      <c r="F5" s="40" t="s">
        <v>530</v>
      </c>
      <c r="G5" s="39" t="s">
        <v>775</v>
      </c>
      <c r="H5" s="41" t="n">
        <v>80</v>
      </c>
      <c r="I5" s="41"/>
      <c r="J5" s="42"/>
      <c r="K5" s="28" t="str">
        <f aca="false">IFERROR(INDEX(Vöruskrá!$F:$F,MATCH(F5,Vöruskrá!$B:$B,0)),IFERROR(INDEX(Réttabanki!$D:$D,MATCH(F5,Réttabanki!$A:$A,0)),""))</f>
        <v>Hrísgrjón 100%</v>
      </c>
      <c r="L5" s="28" t="n">
        <f aca="false">IFERROR(INDEX(Vöruskrá!$G:$G,MATCH(F5,Vöruskrá!$B:$B,0)),IFERROR(INDEX(Réttabanki!$E:$E,MATCH(F5,Réttabanki!$A:$A,0)),""))</f>
        <v>0</v>
      </c>
      <c r="M5" s="28" t="n">
        <f aca="false">IFERROR(INDEX(Vöruskrá!$H:$H,MATCH(F5,Vöruskrá!$B:$B,0)),IFERROR(INDEX(Réttabanki!$F:$F,MATCH(F5,Réttabanki!$A:$A,0)),""))</f>
        <v>0</v>
      </c>
      <c r="N5" s="29" t="n">
        <f aca="false">IFERROR(INDEX(Vöruskrá!$J:$J,MATCH(F5,Vöruskrá!$B:$B,0))*H5/100,IFERROR(INDEX(Réttabanki!$G:$G,MATCH(F5,Réttabanki!$A:$A,0))*H5/100,""))</f>
        <v>292</v>
      </c>
      <c r="O5" s="29" t="n">
        <f aca="false">IFERROR(INDEX(Vöruskrá!$K:$K,MATCH(F5,Vöruskrá!$B:$B,0))*H5/100,IFERROR(INDEX(Réttabanki!$H:$H,MATCH(F5,Réttabanki!$A:$A,0))*H5/100,""))</f>
        <v>0.56</v>
      </c>
      <c r="P5" s="29" t="n">
        <f aca="false">IFERROR(INDEX(Vöruskrá!$L:$L,MATCH(F5,Vöruskrá!$B:$B,0))*H5/100,IFERROR(INDEX(Réttabanki!$I:$I,MATCH(F5,Réttabanki!$A:$A,0))*H5/100,""))</f>
        <v>0.16</v>
      </c>
      <c r="Q5" s="29" t="n">
        <f aca="false">IFERROR(INDEX(Vöruskrá!$M:$M,MATCH(F5,Vöruskrá!$B:$B,0))*H5/100,IFERROR(INDEX(Réttabanki!$J:$J,MATCH(F5,Réttabanki!$A:$A,0))*H5/100,""))</f>
        <v>64</v>
      </c>
      <c r="R5" s="29" t="n">
        <f aca="false">IFERROR(INDEX(Vöruskrá!$O:$O,MATCH(F5,Vöruskrá!$B:$B,0))*H5/100,IFERROR(INDEX(Réttabanki!$L:$L,MATCH(F5,Réttabanki!$A:$A,0))*H5/100,""))</f>
        <v>5.6</v>
      </c>
      <c r="S5" s="29" t="n">
        <f aca="false">IFERROR(INDEX(Vöruskrá!$P:$P,MATCH(F5,Vöruskrá!$B:$B,0))*H5/100,IFERROR(INDEX(Réttabanki!$M:$M,MATCH(F5,Réttabanki!$A:$A,0))*H5/100,""))</f>
        <v>0</v>
      </c>
      <c r="T5" s="33"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7"/>
      <c r="B6" s="38"/>
      <c r="C6" s="38"/>
      <c r="D6" s="39" t="s">
        <v>771</v>
      </c>
      <c r="E6" s="39" t="s">
        <v>776</v>
      </c>
      <c r="F6" s="40"/>
      <c r="G6" s="39" t="s">
        <v>777</v>
      </c>
      <c r="H6" s="41"/>
      <c r="I6" s="41"/>
      <c r="J6" s="42"/>
      <c r="K6" s="28" t="s">
        <v>747</v>
      </c>
      <c r="L6" s="28" t="s">
        <v>778</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7"/>
      <c r="B7" s="38"/>
      <c r="C7" s="38"/>
      <c r="D7" s="39" t="s">
        <v>771</v>
      </c>
      <c r="E7" s="39" t="s">
        <v>776</v>
      </c>
      <c r="F7" s="40" t="s">
        <v>746</v>
      </c>
      <c r="G7" s="39" t="s">
        <v>779</v>
      </c>
      <c r="H7" s="41" t="n">
        <v>250</v>
      </c>
      <c r="I7" s="41"/>
      <c r="J7" s="42"/>
      <c r="K7" s="28" t="str">
        <f aca="false">IFERROR(INDEX(Vöruskrá!$F:$F,MATCH(F7,Vöruskrá!$B:$B,0)),IFERROR(INDEX(Réttabanki!$D:$D,MATCH(F7,Réttabanki!$A:$A,0)),""))</f>
        <v>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v>
      </c>
      <c r="L7" s="28" t="str">
        <f aca="false">IFERROR(INDEX(Vöruskrá!$G:$G,MATCH(F7,Vöruskrá!$B:$B,0)),IFERROR(INDEX(Réttabanki!$E:$E,MATCH(F7,Réttabanki!$A:$A,0)),""))</f>
        <v>Glúten, kókos</v>
      </c>
      <c r="M7" s="28" t="str">
        <f aca="false">IFERROR(INDEX(Vöruskrá!$H:$H,MATCH(F7,Vöruskrá!$B:$B,0)),IFERROR(INDEX(Réttabanki!$F:$F,MATCH(F7,Réttabanki!$A:$A,0)),""))</f>
        <v>Getur innihaldið snefil af egg, fisk, glúten, krabbadýr, lindýr, mjólk, sellerí, sesam, sinnep og sesam, soja, soja og sinnep.</v>
      </c>
      <c r="N7" s="29" t="n">
        <f aca="false">IFERROR(INDEX(Vöruskrá!$J:$J,MATCH(F7,Vöruskrá!$B:$B,0))*H7/100,IFERROR(INDEX(Réttabanki!$G:$G,MATCH(F7,Réttabanki!$A:$A,0))*H7/100,""))</f>
        <v>492.7</v>
      </c>
      <c r="O7" s="29" t="n">
        <f aca="false">IFERROR(INDEX(Vöruskrá!$K:$K,MATCH(F7,Vöruskrá!$B:$B,0))*H7/100,IFERROR(INDEX(Réttabanki!$H:$H,MATCH(F7,Réttabanki!$A:$A,0))*H7/100,""))</f>
        <v>10.85</v>
      </c>
      <c r="P7" s="29" t="n">
        <f aca="false">IFERROR(INDEX(Vöruskrá!$L:$L,MATCH(F7,Vöruskrá!$B:$B,0))*H7/100,IFERROR(INDEX(Réttabanki!$I:$I,MATCH(F7,Réttabanki!$A:$A,0))*H7/100,""))</f>
        <v>6.3</v>
      </c>
      <c r="Q7" s="29" t="n">
        <f aca="false">IFERROR(INDEX(Vöruskrá!$M:$M,MATCH(F7,Vöruskrá!$B:$B,0))*H7/100,IFERROR(INDEX(Réttabanki!$J:$J,MATCH(F7,Réttabanki!$A:$A,0))*H7/100,""))</f>
        <v>82.125</v>
      </c>
      <c r="R7" s="29" t="n">
        <f aca="false">IFERROR(INDEX(Vöruskrá!$O:$O,MATCH(F7,Vöruskrá!$B:$B,0))*H7/100,IFERROR(INDEX(Réttabanki!$L:$L,MATCH(F7,Réttabanki!$A:$A,0))*H7/100,""))</f>
        <v>11.95</v>
      </c>
      <c r="S7" s="29" t="n">
        <f aca="false">IFERROR(INDEX(Vöruskrá!$P:$P,MATCH(F7,Vöruskrá!$B:$B,0))*H7/100,IFERROR(INDEX(Réttabanki!$M:$M,MATCH(F7,Réttabanki!$A:$A,0))*H7/100,""))</f>
        <v>2.575</v>
      </c>
      <c r="T7" s="33" t="str">
        <f aca="false">IF(F7="","",IFERROR(INDEX(Réttabanki!Q:Q,MATCH(F7,Réttabanki!A:A,0)),IFERROR(INDEX(Réttabanki!Q:Q,MATCH(F7,Réttabanki!B:B,0)),"")))</f>
        <v>1. Hitið karrý í potti við meðalhita í 20-25 mín, hrærið reglulega.
2. Eldið hrísgrjón skv. leiðbeiningum.
3. Berið fram karrý yfir hrísgrjónum.</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7"/>
      <c r="B8" s="38"/>
      <c r="C8" s="38"/>
      <c r="D8" s="39" t="s">
        <v>771</v>
      </c>
      <c r="E8" s="39" t="s">
        <v>776</v>
      </c>
      <c r="F8" s="40" t="s">
        <v>530</v>
      </c>
      <c r="G8" s="39" t="s">
        <v>775</v>
      </c>
      <c r="H8" s="41" t="n">
        <v>80</v>
      </c>
      <c r="I8" s="41"/>
      <c r="J8" s="42"/>
      <c r="K8" s="28" t="str">
        <f aca="false">IFERROR(INDEX(Vöruskrá!$F:$F,MATCH(F8,Vöruskrá!$B:$B,0)),IFERROR(INDEX(Réttabanki!$D:$D,MATCH(F8,Réttabanki!$A:$A,0)),""))</f>
        <v>Hrísgrjón 100%</v>
      </c>
      <c r="L8" s="28" t="n">
        <f aca="false">IFERROR(INDEX(Vöruskrá!$G:$G,MATCH(F8,Vöruskrá!$B:$B,0)),IFERROR(INDEX(Réttabanki!$E:$E,MATCH(F8,Réttabanki!$A:$A,0)),""))</f>
        <v>0</v>
      </c>
      <c r="M8" s="28" t="n">
        <f aca="false">IFERROR(INDEX(Vöruskrá!$H:$H,MATCH(F8,Vöruskrá!$B:$B,0)),IFERROR(INDEX(Réttabanki!$F:$F,MATCH(F8,Réttabanki!$A:$A,0)),""))</f>
        <v>0</v>
      </c>
      <c r="N8" s="29" t="n">
        <f aca="false">IFERROR(INDEX(Vöruskrá!$J:$J,MATCH(F8,Vöruskrá!$B:$B,0))*H8/100,IFERROR(INDEX(Réttabanki!$G:$G,MATCH(F8,Réttabanki!$A:$A,0))*H8/100,""))</f>
        <v>292</v>
      </c>
      <c r="O8" s="29" t="n">
        <f aca="false">IFERROR(INDEX(Vöruskrá!$K:$K,MATCH(F8,Vöruskrá!$B:$B,0))*H8/100,IFERROR(INDEX(Réttabanki!$H:$H,MATCH(F8,Réttabanki!$A:$A,0))*H8/100,""))</f>
        <v>0.56</v>
      </c>
      <c r="P8" s="29" t="n">
        <f aca="false">IFERROR(INDEX(Vöruskrá!$L:$L,MATCH(F8,Vöruskrá!$B:$B,0))*H8/100,IFERROR(INDEX(Réttabanki!$I:$I,MATCH(F8,Réttabanki!$A:$A,0))*H8/100,""))</f>
        <v>0.16</v>
      </c>
      <c r="Q8" s="29" t="n">
        <f aca="false">IFERROR(INDEX(Vöruskrá!$M:$M,MATCH(F8,Vöruskrá!$B:$B,0))*H8/100,IFERROR(INDEX(Réttabanki!$J:$J,MATCH(F8,Réttabanki!$A:$A,0))*H8/100,""))</f>
        <v>64</v>
      </c>
      <c r="R8" s="29" t="n">
        <f aca="false">IFERROR(INDEX(Vöruskrá!$O:$O,MATCH(F8,Vöruskrá!$B:$B,0))*H8/100,IFERROR(INDEX(Réttabanki!$L:$L,MATCH(F8,Réttabanki!$A:$A,0))*H8/100,""))</f>
        <v>5.6</v>
      </c>
      <c r="S8" s="29" t="n">
        <f aca="false">IFERROR(INDEX(Vöruskrá!$P:$P,MATCH(F8,Vöruskrá!$B:$B,0))*H8/100,IFERROR(INDEX(Réttabanki!$M:$M,MATCH(F8,Réttabanki!$A:$A,0))*H8/100,""))</f>
        <v>0</v>
      </c>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7"/>
      <c r="B9" s="38"/>
      <c r="C9" s="38"/>
      <c r="D9" s="39" t="s">
        <v>771</v>
      </c>
      <c r="E9" s="39" t="s">
        <v>780</v>
      </c>
      <c r="F9" s="40"/>
      <c r="G9" s="39" t="s">
        <v>781</v>
      </c>
      <c r="H9" s="41"/>
      <c r="I9" s="41"/>
      <c r="J9" s="42"/>
      <c r="K9" s="28"/>
      <c r="L9" s="28" t="s">
        <v>167</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33"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7"/>
      <c r="B10" s="38"/>
      <c r="C10" s="38"/>
      <c r="D10" s="39" t="s">
        <v>771</v>
      </c>
      <c r="E10" s="39" t="s">
        <v>782</v>
      </c>
      <c r="F10" s="40"/>
      <c r="G10" s="39" t="s">
        <v>783</v>
      </c>
      <c r="H10" s="41"/>
      <c r="I10" s="41"/>
      <c r="J10" s="42"/>
      <c r="K10" s="28" t="s">
        <v>784</v>
      </c>
      <c r="L10" s="28" t="s">
        <v>785</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7"/>
      <c r="B11" s="38"/>
      <c r="C11" s="38"/>
      <c r="D11" s="39" t="s">
        <v>771</v>
      </c>
      <c r="E11" s="39" t="s">
        <v>782</v>
      </c>
      <c r="F11" s="40" t="s">
        <v>114</v>
      </c>
      <c r="G11" s="39" t="s">
        <v>114</v>
      </c>
      <c r="H11" s="41" t="n">
        <v>45</v>
      </c>
      <c r="I11" s="41"/>
      <c r="J11" s="42"/>
      <c r="K11" s="28" t="str">
        <f aca="false">IFERROR(INDEX(Vöruskrá!$F:$F,MATCH(F11,Vöruskrá!$B:$B,0)),IFERROR(INDEX(Réttabanki!$D:$D,MATCH(F11,Réttabanki!$A:$A,0)),""))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1" s="28" t="str">
        <f aca="false">IFERROR(INDEX(Vöruskrá!$G:$G,MATCH(F11,Vöruskrá!$B:$B,0)),IFERROR(INDEX(Réttabanki!$E:$E,MATCH(F11,Réttabanki!$A:$A,0)),""))</f>
        <v>Glúten (rúgur, hveiti, bygg)</v>
      </c>
      <c r="M11" s="28" t="str">
        <f aca="false">IFERROR(INDEX(Vöruskrá!$H:$H,MATCH(F11,Vöruskrá!$B:$B,0)),IFERROR(INDEX(Réttabanki!$F:$F,MATCH(F11,Réttabanki!$A:$A,0)),""))</f>
        <v>Framleitt á svæði þar sem unnið er með sesamfræ, egg, mjólk og lúpínu</v>
      </c>
      <c r="N11" s="29" t="n">
        <f aca="false">IFERROR(INDEX(Vöruskrá!$J:$J,MATCH(F11,Vöruskrá!$B:$B,0))*H11/100,IFERROR(INDEX(Réttabanki!$G:$G,MATCH(F11,Réttabanki!$A:$A,0))*H11/100,""))</f>
        <v>99.45</v>
      </c>
      <c r="O11" s="29" t="n">
        <f aca="false">IFERROR(INDEX(Vöruskrá!$K:$K,MATCH(F11,Vöruskrá!$B:$B,0))*H11/100,IFERROR(INDEX(Réttabanki!$H:$H,MATCH(F11,Réttabanki!$A:$A,0))*H11/100,""))</f>
        <v>1.26</v>
      </c>
      <c r="P11" s="29" t="n">
        <f aca="false">IFERROR(INDEX(Vöruskrá!$L:$L,MATCH(F11,Vöruskrá!$B:$B,0))*H11/100,IFERROR(INDEX(Réttabanki!$I:$I,MATCH(F11,Réttabanki!$A:$A,0))*H11/100,""))</f>
        <v>0.225</v>
      </c>
      <c r="Q11" s="29" t="n">
        <f aca="false">IFERROR(INDEX(Vöruskrá!$M:$M,MATCH(F11,Vöruskrá!$B:$B,0))*H11/100,IFERROR(INDEX(Réttabanki!$J:$J,MATCH(F11,Réttabanki!$A:$A,0))*H11/100,""))</f>
        <v>15.3</v>
      </c>
      <c r="R11" s="29" t="n">
        <f aca="false">IFERROR(INDEX(Vöruskrá!$O:$O,MATCH(F11,Vöruskrá!$B:$B,0))*H11/100,IFERROR(INDEX(Réttabanki!$L:$L,MATCH(F11,Réttabanki!$A:$A,0))*H11/100,""))</f>
        <v>4.95</v>
      </c>
      <c r="S11" s="29" t="n">
        <f aca="false">IFERROR(INDEX(Vöruskrá!$P:$P,MATCH(F11,Vöruskrá!$B:$B,0))*H11/100,IFERROR(INDEX(Réttabanki!$M:$M,MATCH(F11,Réttabanki!$A:$A,0))*H11/100,""))</f>
        <v>0.495</v>
      </c>
      <c r="T11" s="33"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7"/>
      <c r="B12" s="38"/>
      <c r="C12" s="38"/>
      <c r="D12" s="39" t="s">
        <v>771</v>
      </c>
      <c r="E12" s="39" t="s">
        <v>782</v>
      </c>
      <c r="F12" s="40" t="s">
        <v>579</v>
      </c>
      <c r="G12" s="39" t="s">
        <v>786</v>
      </c>
      <c r="H12" s="41" t="n">
        <v>15</v>
      </c>
      <c r="I12" s="41"/>
      <c r="J12" s="42"/>
      <c r="K12" s="28" t="str">
        <f aca="false">IFERROR(INDEX(Vöruskrá!$F:$F,MATCH(F12,Vöruskrá!$B:$B,0)),IFERROR(INDEX(Réttabanki!$D:$D,MATCH(F12,Réttabanki!$A:$A,0)),""))</f>
        <v>Mjólk, undanrenna, salt, ostahleypir.</v>
      </c>
      <c r="L12" s="28" t="str">
        <f aca="false">IFERROR(INDEX(Vöruskrá!$G:$G,MATCH(F12,Vöruskrá!$B:$B,0)),IFERROR(INDEX(Réttabanki!$E:$E,MATCH(F12,Réttabanki!$A:$A,0)),""))</f>
        <v>Mjólk</v>
      </c>
      <c r="M12" s="28" t="n">
        <f aca="false">IFERROR(INDEX(Vöruskrá!$H:$H,MATCH(F12,Vöruskrá!$B:$B,0)),IFERROR(INDEX(Réttabanki!$F:$F,MATCH(F12,Réttabanki!$A:$A,0)),""))</f>
        <v>0</v>
      </c>
      <c r="N12" s="29" t="n">
        <f aca="false">IFERROR(INDEX(Vöruskrá!$J:$J,MATCH(F12,Vöruskrá!$B:$B,0))*H12/100,IFERROR(INDEX(Réttabanki!$G:$G,MATCH(F12,Réttabanki!$A:$A,0))*H12/100,""))</f>
        <v>49.5</v>
      </c>
      <c r="O12" s="29" t="n">
        <f aca="false">IFERROR(INDEX(Vöruskrá!$K:$K,MATCH(F12,Vöruskrá!$B:$B,0))*H12/100,IFERROR(INDEX(Réttabanki!$H:$H,MATCH(F12,Réttabanki!$A:$A,0))*H12/100,""))</f>
        <v>3.9</v>
      </c>
      <c r="P12" s="29" t="n">
        <f aca="false">IFERROR(INDEX(Vöruskrá!$L:$L,MATCH(F12,Vöruskrá!$B:$B,0))*H12/100,IFERROR(INDEX(Réttabanki!$I:$I,MATCH(F12,Réttabanki!$A:$A,0))*H12/100,""))</f>
        <v>2.1</v>
      </c>
      <c r="Q12" s="29" t="n">
        <f aca="false">IFERROR(INDEX(Vöruskrá!$M:$M,MATCH(F12,Vöruskrá!$B:$B,0))*H12/100,IFERROR(INDEX(Réttabanki!$J:$J,MATCH(F12,Réttabanki!$A:$A,0))*H12/100,""))</f>
        <v>0</v>
      </c>
      <c r="R12" s="29" t="n">
        <f aca="false">IFERROR(INDEX(Vöruskrá!$O:$O,MATCH(F12,Vöruskrá!$B:$B,0))*H12/100,IFERROR(INDEX(Réttabanki!$L:$L,MATCH(F12,Réttabanki!$A:$A,0))*H12/100,""))</f>
        <v>3.75</v>
      </c>
      <c r="S12" s="29" t="n">
        <f aca="false">IFERROR(INDEX(Vöruskrá!$P:$P,MATCH(F12,Vöruskrá!$B:$B,0))*H12/100,IFERROR(INDEX(Réttabanki!$M:$M,MATCH(F12,Réttabanki!$A:$A,0))*H12/100,""))</f>
        <v>0.225</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7" t="n">
        <v>46196</v>
      </c>
      <c r="B13" s="38"/>
      <c r="C13" s="38"/>
      <c r="D13" s="39" t="s">
        <v>771</v>
      </c>
      <c r="E13" s="39" t="s">
        <v>772</v>
      </c>
      <c r="F13" s="40"/>
      <c r="G13" s="39" t="s">
        <v>787</v>
      </c>
      <c r="H13" s="41"/>
      <c r="I13" s="41"/>
      <c r="J13" s="42"/>
      <c r="K13" s="28" t="s">
        <v>788</v>
      </c>
      <c r="L13" s="28" t="s">
        <v>789</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33"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7"/>
      <c r="B14" s="38"/>
      <c r="C14" s="38"/>
      <c r="D14" s="39" t="s">
        <v>771</v>
      </c>
      <c r="E14" s="39" t="s">
        <v>772</v>
      </c>
      <c r="F14" s="40" t="s">
        <v>214</v>
      </c>
      <c r="G14" s="39" t="s">
        <v>214</v>
      </c>
      <c r="H14" s="41" t="n">
        <v>130</v>
      </c>
      <c r="I14" s="41"/>
      <c r="J14" s="42"/>
      <c r="K14" s="28" t="str">
        <f aca="false">IFERROR(INDEX(Vöruskrá!$F:$F,MATCH(F14,Vöruskrá!$B:$B,0)),IFERROR(INDEX(Réttabanki!$D:$D,MATCH(F14,Réttabanki!$A:$A,0)),""))</f>
        <v>Ýsa, raspur (**hveiti**, vatn, ger, salt, litarefni (E100, E160b)), hjúpur (**hveiti**, **glúten**, salt, umbreytt **hveiti**sterkja).</v>
      </c>
      <c r="L14" s="28" t="str">
        <f aca="false">IFERROR(INDEX(Vöruskrá!$G:$G,MATCH(F14,Vöruskrá!$B:$B,0)),IFERROR(INDEX(Réttabanki!$E:$E,MATCH(F14,Réttabanki!$A:$A,0)),""))</f>
        <v>Fiskur, hveiti, glúten</v>
      </c>
      <c r="M14" s="28" t="n">
        <f aca="false">IFERROR(INDEX(Vöruskrá!$H:$H,MATCH(F14,Vöruskrá!$B:$B,0)),IFERROR(INDEX(Réttabanki!$F:$F,MATCH(F14,Réttabanki!$A:$A,0)),""))</f>
        <v>0</v>
      </c>
      <c r="N14" s="29" t="n">
        <f aca="false">IFERROR(INDEX(Vöruskrá!$J:$J,MATCH(F14,Vöruskrá!$B:$B,0))*H14/100,IFERROR(INDEX(Réttabanki!$G:$G,MATCH(F14,Réttabanki!$A:$A,0))*H14/100,""))</f>
        <v>162.5</v>
      </c>
      <c r="O14" s="29" t="n">
        <f aca="false">IFERROR(INDEX(Vöruskrá!$K:$K,MATCH(F14,Vöruskrá!$B:$B,0))*H14/100,IFERROR(INDEX(Réttabanki!$H:$H,MATCH(F14,Réttabanki!$A:$A,0))*H14/100,""))</f>
        <v>1.3</v>
      </c>
      <c r="P14" s="29" t="n">
        <f aca="false">IFERROR(INDEX(Vöruskrá!$L:$L,MATCH(F14,Vöruskrá!$B:$B,0))*H14/100,IFERROR(INDEX(Réttabanki!$I:$I,MATCH(F14,Réttabanki!$A:$A,0))*H14/100,""))</f>
        <v>0.39</v>
      </c>
      <c r="Q14" s="29" t="n">
        <f aca="false">IFERROR(INDEX(Vöruskrá!$M:$M,MATCH(F14,Vöruskrá!$B:$B,0))*H14/100,IFERROR(INDEX(Réttabanki!$J:$J,MATCH(F14,Réttabanki!$A:$A,0))*H14/100,""))</f>
        <v>14.3</v>
      </c>
      <c r="R14" s="29" t="n">
        <f aca="false">IFERROR(INDEX(Vöruskrá!$O:$O,MATCH(F14,Vöruskrá!$B:$B,0))*H14/100,IFERROR(INDEX(Réttabanki!$L:$L,MATCH(F14,Réttabanki!$A:$A,0))*H14/100,""))</f>
        <v>23.4</v>
      </c>
      <c r="S14" s="29" t="n">
        <f aca="false">IFERROR(INDEX(Vöruskrá!$P:$P,MATCH(F14,Vöruskrá!$B:$B,0))*H14/100,IFERROR(INDEX(Réttabanki!$M:$M,MATCH(F14,Réttabanki!$A:$A,0))*H14/100,""))</f>
        <v>0.91</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7"/>
      <c r="B15" s="38"/>
      <c r="C15" s="38"/>
      <c r="D15" s="39" t="s">
        <v>771</v>
      </c>
      <c r="E15" s="39" t="s">
        <v>772</v>
      </c>
      <c r="F15" s="40" t="s">
        <v>656</v>
      </c>
      <c r="G15" s="39" t="s">
        <v>790</v>
      </c>
      <c r="H15" s="41" t="n">
        <v>100</v>
      </c>
      <c r="I15" s="41"/>
      <c r="J15" s="42"/>
      <c r="K15" s="28" t="str">
        <f aca="false">IFERROR(INDEX(Vöruskrá!$F:$F,MATCH(F15,Vöruskrá!$B:$B,0)),IFERROR(INDEX(Réttabanki!$D:$D,MATCH(F15,Réttabanki!$A:$A,0)),""))</f>
        <v>Kartöflur</v>
      </c>
      <c r="L15" s="28" t="str">
        <f aca="false">IFERROR(INDEX(Vöruskrá!$G:$G,MATCH(F15,Vöruskrá!$B:$B,0)),IFERROR(INDEX(Réttabanki!$E:$E,MATCH(F15,Réttabanki!$A:$A,0)),""))</f>
        <v>Engir skráðir</v>
      </c>
      <c r="M15" s="28" t="n">
        <f aca="false">IFERROR(INDEX(Vöruskrá!$H:$H,MATCH(F15,Vöruskrá!$B:$B,0)),IFERROR(INDEX(Réttabanki!$F:$F,MATCH(F15,Réttabanki!$A:$A,0)),""))</f>
        <v>0</v>
      </c>
      <c r="N15" s="29" t="n">
        <f aca="false">IFERROR(INDEX(Vöruskrá!$J:$J,MATCH(F15,Vöruskrá!$B:$B,0))*H15/100,IFERROR(INDEX(Réttabanki!$G:$G,MATCH(F15,Réttabanki!$A:$A,0))*H15/100,""))</f>
        <v>77</v>
      </c>
      <c r="O15" s="29" t="n">
        <f aca="false">IFERROR(INDEX(Vöruskrá!$K:$K,MATCH(F15,Vöruskrá!$B:$B,0))*H15/100,IFERROR(INDEX(Réttabanki!$H:$H,MATCH(F15,Réttabanki!$A:$A,0))*H15/100,""))</f>
        <v>0.1</v>
      </c>
      <c r="P15" s="29" t="n">
        <f aca="false">IFERROR(INDEX(Vöruskrá!$L:$L,MATCH(F15,Vöruskrá!$B:$B,0))*H15/100,IFERROR(INDEX(Réttabanki!$I:$I,MATCH(F15,Réttabanki!$A:$A,0))*H15/100,""))</f>
        <v>0</v>
      </c>
      <c r="Q15" s="29" t="n">
        <f aca="false">IFERROR(INDEX(Vöruskrá!$M:$M,MATCH(F15,Vöruskrá!$B:$B,0))*H15/100,IFERROR(INDEX(Réttabanki!$J:$J,MATCH(F15,Réttabanki!$A:$A,0))*H15/100,""))</f>
        <v>16.3</v>
      </c>
      <c r="R15" s="29" t="n">
        <f aca="false">IFERROR(INDEX(Vöruskrá!$O:$O,MATCH(F15,Vöruskrá!$B:$B,0))*H15/100,IFERROR(INDEX(Réttabanki!$L:$L,MATCH(F15,Réttabanki!$A:$A,0))*H15/100,""))</f>
        <v>1.8</v>
      </c>
      <c r="S15" s="29" t="n">
        <f aca="false">IFERROR(INDEX(Vöruskrá!$P:$P,MATCH(F15,Vöruskrá!$B:$B,0))*H15/100,IFERROR(INDEX(Réttabanki!$M:$M,MATCH(F15,Réttabanki!$A:$A,0))*H15/100,""))</f>
        <v>0</v>
      </c>
      <c r="T15" s="33"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7"/>
      <c r="B16" s="38"/>
      <c r="C16" s="38"/>
      <c r="D16" s="39" t="s">
        <v>771</v>
      </c>
      <c r="E16" s="39" t="s">
        <v>791</v>
      </c>
      <c r="F16" s="40" t="s">
        <v>569</v>
      </c>
      <c r="G16" s="39" t="s">
        <v>792</v>
      </c>
      <c r="H16" s="41" t="n">
        <v>10</v>
      </c>
      <c r="I16" s="41"/>
      <c r="J16" s="42"/>
      <c r="K16" s="28" t="str">
        <f aca="false">IFERROR(INDEX(Vöruskrá!$F:$F,MATCH(F16,Vöruskrá!$B:$B,0)),IFERROR(INDEX(Réttabanki!$D:$D,MATCH(F16,Réttabanki!$A:$A,0)),""))</f>
        <v>Rjómi, salt.</v>
      </c>
      <c r="L16" s="28" t="str">
        <f aca="false">IFERROR(INDEX(Vöruskrá!$G:$G,MATCH(F16,Vöruskrá!$B:$B,0)),IFERROR(INDEX(Réttabanki!$E:$E,MATCH(F16,Réttabanki!$A:$A,0)),""))</f>
        <v>Mjólk</v>
      </c>
      <c r="M16" s="28" t="n">
        <f aca="false">IFERROR(INDEX(Vöruskrá!$H:$H,MATCH(F16,Vöruskrá!$B:$B,0)),IFERROR(INDEX(Réttabanki!$F:$F,MATCH(F16,Réttabanki!$A:$A,0)),""))</f>
        <v>0</v>
      </c>
      <c r="N16" s="29" t="n">
        <f aca="false">IFERROR(INDEX(Vöruskrá!$J:$J,MATCH(F16,Vöruskrá!$B:$B,0))*H16/100,IFERROR(INDEX(Réttabanki!$G:$G,MATCH(F16,Réttabanki!$A:$A,0))*H16/100,""))</f>
        <v>73.8</v>
      </c>
      <c r="O16" s="29" t="n">
        <f aca="false">IFERROR(INDEX(Vöruskrá!$K:$K,MATCH(F16,Vöruskrá!$B:$B,0))*H16/100,IFERROR(INDEX(Réttabanki!$H:$H,MATCH(F16,Réttabanki!$A:$A,0))*H16/100,""))</f>
        <v>8.2</v>
      </c>
      <c r="P16" s="29" t="n">
        <f aca="false">IFERROR(INDEX(Vöruskrá!$L:$L,MATCH(F16,Vöruskrá!$B:$B,0))*H16/100,IFERROR(INDEX(Réttabanki!$I:$I,MATCH(F16,Réttabanki!$A:$A,0))*H16/100,""))</f>
        <v>4.9</v>
      </c>
      <c r="Q16" s="29" t="n">
        <f aca="false">IFERROR(INDEX(Vöruskrá!$M:$M,MATCH(F16,Vöruskrá!$B:$B,0))*H16/100,IFERROR(INDEX(Réttabanki!$J:$J,MATCH(F16,Réttabanki!$A:$A,0))*H16/100,""))</f>
        <v>0.04</v>
      </c>
      <c r="R16" s="29" t="n">
        <f aca="false">IFERROR(INDEX(Vöruskrá!$O:$O,MATCH(F16,Vöruskrá!$B:$B,0))*H16/100,IFERROR(INDEX(Réttabanki!$L:$L,MATCH(F16,Réttabanki!$A:$A,0))*H16/100,""))</f>
        <v>0.06</v>
      </c>
      <c r="S16" s="29" t="n">
        <f aca="false">IFERROR(INDEX(Vöruskrá!$P:$P,MATCH(F16,Vöruskrá!$B:$B,0))*H16/100,IFERROR(INDEX(Réttabanki!$M:$M,MATCH(F16,Réttabanki!$A:$A,0))*H16/100,""))</f>
        <v>0.12</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7"/>
      <c r="B17" s="38"/>
      <c r="C17" s="38"/>
      <c r="D17" s="39" t="s">
        <v>771</v>
      </c>
      <c r="E17" s="39" t="s">
        <v>776</v>
      </c>
      <c r="F17" s="40"/>
      <c r="G17" s="39" t="s">
        <v>793</v>
      </c>
      <c r="H17" s="41"/>
      <c r="I17" s="41"/>
      <c r="J17" s="42"/>
      <c r="K17" s="28" t="s">
        <v>794</v>
      </c>
      <c r="L17" s="28" t="s">
        <v>795</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33"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7"/>
      <c r="B18" s="38"/>
      <c r="C18" s="38"/>
      <c r="D18" s="39" t="s">
        <v>771</v>
      </c>
      <c r="E18" s="39" t="s">
        <v>776</v>
      </c>
      <c r="F18" s="40" t="s">
        <v>310</v>
      </c>
      <c r="G18" s="39" t="s">
        <v>796</v>
      </c>
      <c r="H18" s="41" t="n">
        <v>140</v>
      </c>
      <c r="I18" s="41"/>
      <c r="J18" s="42"/>
      <c r="K18" s="28" t="str">
        <f aca="false">IFERROR(INDEX(Vöruskrá!$F:$F,MATCH(F18,Vöruskrá!$B:$B,0)),IFERROR(INDEX(Réttabanki!$D:$D,MATCH(F18,Réttabanki!$A:$A,0)),""))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18" s="28" t="str">
        <f aca="false">IFERROR(INDEX(Vöruskrá!$G:$G,MATCH(F18,Vöruskrá!$B:$B,0)),IFERROR(INDEX(Réttabanki!$E:$E,MATCH(F18,Réttabanki!$A:$A,0)),""))</f>
        <v>Glúten (spelt, hveiti), soja.</v>
      </c>
      <c r="M18" s="28" t="n">
        <f aca="false">IFERROR(INDEX(Vöruskrá!$H:$H,MATCH(F18,Vöruskrá!$B:$B,0)),IFERROR(INDEX(Réttabanki!$F:$F,MATCH(F18,Réttabanki!$A:$A,0)),""))</f>
        <v>0</v>
      </c>
      <c r="N18" s="29" t="n">
        <f aca="false">IFERROR(INDEX(Vöruskrá!$J:$J,MATCH(F18,Vöruskrá!$B:$B,0))*H18/100,IFERROR(INDEX(Réttabanki!$G:$G,MATCH(F18,Réttabanki!$A:$A,0))*H18/100,""))</f>
        <v>296.8</v>
      </c>
      <c r="O18" s="29" t="n">
        <f aca="false">IFERROR(INDEX(Vöruskrá!$K:$K,MATCH(F18,Vöruskrá!$B:$B,0))*H18/100,IFERROR(INDEX(Réttabanki!$H:$H,MATCH(F18,Réttabanki!$A:$A,0))*H18/100,""))</f>
        <v>15.96</v>
      </c>
      <c r="P18" s="29" t="n">
        <f aca="false">IFERROR(INDEX(Vöruskrá!$L:$L,MATCH(F18,Vöruskrá!$B:$B,0))*H18/100,IFERROR(INDEX(Réttabanki!$I:$I,MATCH(F18,Réttabanki!$A:$A,0))*H18/100,""))</f>
        <v>1.82</v>
      </c>
      <c r="Q18" s="29" t="n">
        <f aca="false">IFERROR(INDEX(Vöruskrá!$M:$M,MATCH(F18,Vöruskrá!$B:$B,0))*H18/100,IFERROR(INDEX(Réttabanki!$J:$J,MATCH(F18,Réttabanki!$A:$A,0))*H18/100,""))</f>
        <v>30.38</v>
      </c>
      <c r="R18" s="29" t="n">
        <f aca="false">IFERROR(INDEX(Vöruskrá!$O:$O,MATCH(F18,Vöruskrá!$B:$B,0))*H18/100,IFERROR(INDEX(Réttabanki!$L:$L,MATCH(F18,Réttabanki!$A:$A,0))*H18/100,""))</f>
        <v>6.3</v>
      </c>
      <c r="S18" s="29" t="n">
        <f aca="false">IFERROR(INDEX(Vöruskrá!$P:$P,MATCH(F18,Vöruskrá!$B:$B,0))*H18/100,IFERROR(INDEX(Réttabanki!$M:$M,MATCH(F18,Réttabanki!$A:$A,0))*H18/100,""))</f>
        <v>1.4</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7"/>
      <c r="B19" s="38"/>
      <c r="C19" s="38"/>
      <c r="D19" s="39" t="s">
        <v>771</v>
      </c>
      <c r="E19" s="39" t="s">
        <v>776</v>
      </c>
      <c r="F19" s="40" t="s">
        <v>656</v>
      </c>
      <c r="G19" s="39" t="s">
        <v>790</v>
      </c>
      <c r="H19" s="41" t="n">
        <v>100</v>
      </c>
      <c r="I19" s="41"/>
      <c r="J19" s="42"/>
      <c r="K19" s="28" t="str">
        <f aca="false">IFERROR(INDEX(Vöruskrá!$F:$F,MATCH(F19,Vöruskrá!$B:$B,0)),IFERROR(INDEX(Réttabanki!$D:$D,MATCH(F19,Réttabanki!$A:$A,0)),""))</f>
        <v>Kartöflur</v>
      </c>
      <c r="L19" s="28" t="str">
        <f aca="false">IFERROR(INDEX(Vöruskrá!$G:$G,MATCH(F19,Vöruskrá!$B:$B,0)),IFERROR(INDEX(Réttabanki!$E:$E,MATCH(F19,Réttabanki!$A:$A,0)),""))</f>
        <v>Engir skráðir</v>
      </c>
      <c r="M19" s="28" t="n">
        <f aca="false">IFERROR(INDEX(Vöruskrá!$H:$H,MATCH(F19,Vöruskrá!$B:$B,0)),IFERROR(INDEX(Réttabanki!$F:$F,MATCH(F19,Réttabanki!$A:$A,0)),""))</f>
        <v>0</v>
      </c>
      <c r="N19" s="29" t="n">
        <f aca="false">IFERROR(INDEX(Vöruskrá!$J:$J,MATCH(F19,Vöruskrá!$B:$B,0))*H19/100,IFERROR(INDEX(Réttabanki!$G:$G,MATCH(F19,Réttabanki!$A:$A,0))*H19/100,""))</f>
        <v>77</v>
      </c>
      <c r="O19" s="29" t="n">
        <f aca="false">IFERROR(INDEX(Vöruskrá!$K:$K,MATCH(F19,Vöruskrá!$B:$B,0))*H19/100,IFERROR(INDEX(Réttabanki!$H:$H,MATCH(F19,Réttabanki!$A:$A,0))*H19/100,""))</f>
        <v>0.1</v>
      </c>
      <c r="P19" s="29" t="n">
        <f aca="false">IFERROR(INDEX(Vöruskrá!$L:$L,MATCH(F19,Vöruskrá!$B:$B,0))*H19/100,IFERROR(INDEX(Réttabanki!$I:$I,MATCH(F19,Réttabanki!$A:$A,0))*H19/100,""))</f>
        <v>0</v>
      </c>
      <c r="Q19" s="29" t="n">
        <f aca="false">IFERROR(INDEX(Vöruskrá!$M:$M,MATCH(F19,Vöruskrá!$B:$B,0))*H19/100,IFERROR(INDEX(Réttabanki!$J:$J,MATCH(F19,Réttabanki!$A:$A,0))*H19/100,""))</f>
        <v>16.3</v>
      </c>
      <c r="R19" s="29" t="n">
        <f aca="false">IFERROR(INDEX(Vöruskrá!$O:$O,MATCH(F19,Vöruskrá!$B:$B,0))*H19/100,IFERROR(INDEX(Réttabanki!$L:$L,MATCH(F19,Réttabanki!$A:$A,0))*H19/100,""))</f>
        <v>1.8</v>
      </c>
      <c r="S19" s="29" t="n">
        <f aca="false">IFERROR(INDEX(Vöruskrá!$P:$P,MATCH(F19,Vöruskrá!$B:$B,0))*H19/100,IFERROR(INDEX(Réttabanki!$M:$M,MATCH(F19,Réttabanki!$A:$A,0))*H19/100,""))</f>
        <v>0</v>
      </c>
      <c r="T19" s="33"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7"/>
      <c r="B20" s="38"/>
      <c r="C20" s="38"/>
      <c r="D20" s="39" t="s">
        <v>771</v>
      </c>
      <c r="E20" s="39" t="s">
        <v>791</v>
      </c>
      <c r="F20" s="40" t="s">
        <v>418</v>
      </c>
      <c r="G20" s="39" t="s">
        <v>797</v>
      </c>
      <c r="H20" s="41" t="n">
        <v>20</v>
      </c>
      <c r="I20" s="41"/>
      <c r="J20" s="42"/>
      <c r="K20" s="28" t="str">
        <f aca="false">IFERROR(INDEX(Vöruskrá!$F:$F,MATCH(F20,Vöruskrá!$B:$B,0)),IFERROR(INDEX(Réttabanki!$D:$D,MATCH(F20,Réttabanki!$A:$A,0)),""))</f>
        <v>Repjuolía, vatn, hvítlaukur, **sinnep**, kryddblanda, sykur, umbreytt kartöflusterkja, salt, edik, rotvarnarefni (E260, E211, E202), **sinnep**sduft, sýra (E330), bindiefni (E415)</v>
      </c>
      <c r="L20" s="28" t="str">
        <f aca="false">IFERROR(INDEX(Vöruskrá!$G:$G,MATCH(F20,Vöruskrá!$B:$B,0)),IFERROR(INDEX(Réttabanki!$E:$E,MATCH(F20,Réttabanki!$A:$A,0)),""))</f>
        <v>Sinnep</v>
      </c>
      <c r="M20" s="28" t="n">
        <f aca="false">IFERROR(INDEX(Vöruskrá!$H:$H,MATCH(F20,Vöruskrá!$B:$B,0)),IFERROR(INDEX(Réttabanki!$F:$F,MATCH(F20,Réttabanki!$A:$A,0)),""))</f>
        <v>0</v>
      </c>
      <c r="N20" s="29" t="n">
        <f aca="false">IFERROR(INDEX(Vöruskrá!$J:$J,MATCH(F20,Vöruskrá!$B:$B,0))*H20/100,IFERROR(INDEX(Réttabanki!$G:$G,MATCH(F20,Réttabanki!$A:$A,0))*H20/100,""))</f>
        <v>103.8</v>
      </c>
      <c r="O20" s="29" t="n">
        <f aca="false">IFERROR(INDEX(Vöruskrá!$K:$K,MATCH(F20,Vöruskrá!$B:$B,0))*H20/100,IFERROR(INDEX(Réttabanki!$H:$H,MATCH(F20,Réttabanki!$A:$A,0))*H20/100,""))</f>
        <v>11.2</v>
      </c>
      <c r="P20" s="29" t="n">
        <f aca="false">IFERROR(INDEX(Vöruskrá!$L:$L,MATCH(F20,Vöruskrá!$B:$B,0))*H20/100,IFERROR(INDEX(Réttabanki!$I:$I,MATCH(F20,Réttabanki!$A:$A,0))*H20/100,""))</f>
        <v>0.72</v>
      </c>
      <c r="Q20" s="29" t="n">
        <f aca="false">IFERROR(INDEX(Vöruskrá!$M:$M,MATCH(F20,Vöruskrá!$B:$B,0))*H20/100,IFERROR(INDEX(Réttabanki!$J:$J,MATCH(F20,Réttabanki!$A:$A,0))*H20/100,""))</f>
        <v>1.2</v>
      </c>
      <c r="R20" s="29" t="n">
        <f aca="false">IFERROR(INDEX(Vöruskrá!$O:$O,MATCH(F20,Vöruskrá!$B:$B,0))*H20/100,IFERROR(INDEX(Réttabanki!$L:$L,MATCH(F20,Réttabanki!$A:$A,0))*H20/100,""))</f>
        <v>0</v>
      </c>
      <c r="S20" s="29" t="n">
        <f aca="false">IFERROR(INDEX(Vöruskrá!$P:$P,MATCH(F20,Vöruskrá!$B:$B,0))*H20/100,IFERROR(INDEX(Réttabanki!$M:$M,MATCH(F20,Réttabanki!$A:$A,0))*H20/100,""))</f>
        <v>0.22</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7"/>
      <c r="B21" s="38"/>
      <c r="C21" s="38"/>
      <c r="D21" s="39" t="s">
        <v>771</v>
      </c>
      <c r="E21" s="39" t="s">
        <v>780</v>
      </c>
      <c r="F21" s="40"/>
      <c r="G21" s="39" t="s">
        <v>798</v>
      </c>
      <c r="H21" s="41"/>
      <c r="I21" s="41"/>
      <c r="J21" s="42"/>
      <c r="K21" s="28" t="s">
        <v>550</v>
      </c>
      <c r="L21" s="28" t="s">
        <v>297</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33"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7"/>
      <c r="B22" s="38"/>
      <c r="C22" s="38"/>
      <c r="D22" s="39" t="s">
        <v>771</v>
      </c>
      <c r="E22" s="39" t="s">
        <v>780</v>
      </c>
      <c r="F22" s="40" t="s">
        <v>548</v>
      </c>
      <c r="G22" s="39" t="s">
        <v>548</v>
      </c>
      <c r="H22" s="41" t="n">
        <v>20</v>
      </c>
      <c r="I22" s="41"/>
      <c r="J22" s="42"/>
      <c r="K22" s="28" t="str">
        <f aca="false">IFERROR(INDEX(Vöruskrá!$F:$F,MATCH(F22,Vöruskrá!$B:$B,0)),IFERROR(INDEX(Réttabanki!$D:$D,MATCH(F22,Réttabanki!$A:$A,0)),""))</f>
        <v>Bygg, vatn, krydd (hvítur pipar, salt), sítrónusafi, olífu olía.</v>
      </c>
      <c r="L22" s="28" t="str">
        <f aca="false">IFERROR(INDEX(Vöruskrá!$G:$G,MATCH(F22,Vöruskrá!$B:$B,0)),IFERROR(INDEX(Réttabanki!$E:$E,MATCH(F22,Réttabanki!$A:$A,0)),""))</f>
        <v>Glúten (bygg)</v>
      </c>
      <c r="M22" s="28" t="n">
        <f aca="false">IFERROR(INDEX(Vöruskrá!$H:$H,MATCH(F22,Vöruskrá!$B:$B,0)),IFERROR(INDEX(Réttabanki!$F:$F,MATCH(F22,Réttabanki!$A:$A,0)),""))</f>
        <v>0</v>
      </c>
      <c r="N22" s="29" t="n">
        <f aca="false">IFERROR(INDEX(Vöruskrá!$J:$J,MATCH(F22,Vöruskrá!$B:$B,0))*H22/100,IFERROR(INDEX(Réttabanki!$G:$G,MATCH(F22,Réttabanki!$A:$A,0))*H22/100,""))</f>
        <v>24.2</v>
      </c>
      <c r="O22" s="29" t="n">
        <f aca="false">IFERROR(INDEX(Vöruskrá!$K:$K,MATCH(F22,Vöruskrá!$B:$B,0))*H22/100,IFERROR(INDEX(Réttabanki!$H:$H,MATCH(F22,Réttabanki!$A:$A,0))*H22/100,""))</f>
        <v>0.104</v>
      </c>
      <c r="P22" s="29" t="n">
        <f aca="false">IFERROR(INDEX(Vöruskrá!$L:$L,MATCH(F22,Vöruskrá!$B:$B,0))*H22/100,IFERROR(INDEX(Réttabanki!$I:$I,MATCH(F22,Réttabanki!$A:$A,0))*H22/100,""))</f>
        <v>0.0186</v>
      </c>
      <c r="Q22" s="29" t="n">
        <f aca="false">IFERROR(INDEX(Vöruskrá!$M:$M,MATCH(F22,Vöruskrá!$B:$B,0))*H22/100,IFERROR(INDEX(Réttabanki!$J:$J,MATCH(F22,Réttabanki!$A:$A,0))*H22/100,""))</f>
        <v>5.582</v>
      </c>
      <c r="R22" s="29" t="n">
        <f aca="false">IFERROR(INDEX(Vöruskrá!$O:$O,MATCH(F22,Vöruskrá!$B:$B,0))*H22/100,IFERROR(INDEX(Réttabanki!$L:$L,MATCH(F22,Réttabanki!$A:$A,0))*H22/100,""))</f>
        <v>0.496</v>
      </c>
      <c r="S22" s="29" t="n">
        <f aca="false">IFERROR(INDEX(Vöruskrá!$P:$P,MATCH(F22,Vöruskrá!$B:$B,0))*H22/100,IFERROR(INDEX(Réttabanki!$M:$M,MATCH(F22,Réttabanki!$A:$A,0))*H22/100,""))</f>
        <v>0</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7"/>
      <c r="B23" s="38"/>
      <c r="C23" s="38"/>
      <c r="D23" s="39" t="s">
        <v>771</v>
      </c>
      <c r="E23" s="39" t="s">
        <v>782</v>
      </c>
      <c r="F23" s="40"/>
      <c r="G23" s="39" t="s">
        <v>799</v>
      </c>
      <c r="H23" s="41"/>
      <c r="I23" s="41"/>
      <c r="J23" s="42"/>
      <c r="K23" s="28" t="s">
        <v>800</v>
      </c>
      <c r="L23" s="28" t="s">
        <v>135</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33"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7"/>
      <c r="B24" s="38"/>
      <c r="C24" s="38"/>
      <c r="D24" s="39" t="s">
        <v>771</v>
      </c>
      <c r="E24" s="39" t="s">
        <v>782</v>
      </c>
      <c r="F24" s="40" t="s">
        <v>131</v>
      </c>
      <c r="G24" s="39" t="s">
        <v>801</v>
      </c>
      <c r="H24" s="41" t="n">
        <v>60</v>
      </c>
      <c r="I24" s="41"/>
      <c r="J24" s="42"/>
      <c r="K24" s="28" t="str">
        <f aca="false">IFERROR(INDEX(Vöruskrá!$F:$F,MATCH(F24,Vöruskrá!$B:$B,0)),IFERROR(INDEX(Réttabanki!$D:$D,MATCH(F24,Réttabanki!$A:$A,0)),""))</f>
        <v>Vatn, heil**hveiti**, **hveitimjöl**, brotin **rúgur**, súrdeig úr **hveiti**, **hveitiglúten**, **heilhveiti**, **durumhveiti**, ger, sólblómafræ, epli, kaldpressuð repjuolía, hörfræ, **bygg**malt, sykur, sýrustillir (sítrónusýra), salt.</v>
      </c>
      <c r="L24" s="28" t="str">
        <f aca="false">IFERROR(INDEX(Vöruskrá!$G:$G,MATCH(F24,Vöruskrá!$B:$B,0)),IFERROR(INDEX(Réttabanki!$E:$E,MATCH(F24,Réttabanki!$A:$A,0)),""))</f>
        <v>Glúten (hveiti, rúgur)</v>
      </c>
      <c r="M24" s="28" t="n">
        <f aca="false">IFERROR(INDEX(Vöruskrá!$H:$H,MATCH(F24,Vöruskrá!$B:$B,0)),IFERROR(INDEX(Réttabanki!$F:$F,MATCH(F24,Réttabanki!$A:$A,0)),""))</f>
        <v>0</v>
      </c>
      <c r="N24" s="29" t="n">
        <f aca="false">IFERROR(INDEX(Vöruskrá!$J:$J,MATCH(F24,Vöruskrá!$B:$B,0))*H24/100,IFERROR(INDEX(Réttabanki!$G:$G,MATCH(F24,Réttabanki!$A:$A,0))*H24/100,""))</f>
        <v>162</v>
      </c>
      <c r="O24" s="29" t="n">
        <f aca="false">IFERROR(INDEX(Vöruskrá!$K:$K,MATCH(F24,Vöruskrá!$B:$B,0))*H24/100,IFERROR(INDEX(Réttabanki!$H:$H,MATCH(F24,Réttabanki!$A:$A,0))*H24/100,""))</f>
        <v>3.12</v>
      </c>
      <c r="P24" s="29" t="n">
        <f aca="false">IFERROR(INDEX(Vöruskrá!$L:$L,MATCH(F24,Vöruskrá!$B:$B,0))*H24/100,IFERROR(INDEX(Réttabanki!$I:$I,MATCH(F24,Réttabanki!$A:$A,0))*H24/100,""))</f>
        <v>0.42</v>
      </c>
      <c r="Q24" s="29" t="n">
        <f aca="false">IFERROR(INDEX(Vöruskrá!$M:$M,MATCH(F24,Vöruskrá!$B:$B,0))*H24/100,IFERROR(INDEX(Réttabanki!$J:$J,MATCH(F24,Réttabanki!$A:$A,0))*H24/100,""))</f>
        <v>24</v>
      </c>
      <c r="R24" s="29" t="n">
        <f aca="false">IFERROR(INDEX(Vöruskrá!$O:$O,MATCH(F24,Vöruskrá!$B:$B,0))*H24/100,IFERROR(INDEX(Réttabanki!$L:$L,MATCH(F24,Réttabanki!$A:$A,0))*H24/100,""))</f>
        <v>7.2</v>
      </c>
      <c r="S24" s="29" t="n">
        <f aca="false">IFERROR(INDEX(Vöruskrá!$P:$P,MATCH(F24,Vöruskrá!$B:$B,0))*H24/100,IFERROR(INDEX(Réttabanki!$M:$M,MATCH(F24,Réttabanki!$A:$A,0))*H24/100,""))</f>
        <v>0.594</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7"/>
      <c r="B25" s="38"/>
      <c r="C25" s="38"/>
      <c r="D25" s="39" t="s">
        <v>771</v>
      </c>
      <c r="E25" s="39" t="s">
        <v>782</v>
      </c>
      <c r="F25" s="40" t="s">
        <v>192</v>
      </c>
      <c r="G25" s="39" t="s">
        <v>802</v>
      </c>
      <c r="H25" s="41" t="n">
        <v>20</v>
      </c>
      <c r="I25" s="41"/>
      <c r="J25" s="42"/>
      <c r="K25" s="28" t="str">
        <f aca="false">IFERROR(INDEX(Vöruskrá!$F:$F,MATCH(F25,Vöruskrá!$B:$B,0)),IFERROR(INDEX(Réttabanki!$D:$D,MATCH(F25,Réttabanki!$A:$A,0)),""))</f>
        <v>Úrbeinuð skinnlaus kjúklingalæri (83%), vatn, salt, jurtaolía, sykur, mango chutney, ávaxtaþykkni, sýrustillir (E500), krydd reykbragðefni, rotvarnarefni (E262), þráavarnarefni (E320)</v>
      </c>
      <c r="L25" s="28" t="n">
        <f aca="false">IFERROR(INDEX(Vöruskrá!$G:$G,MATCH(F25,Vöruskrá!$B:$B,0)),IFERROR(INDEX(Réttabanki!$E:$E,MATCH(F25,Réttabanki!$A:$A,0)),""))</f>
        <v>0</v>
      </c>
      <c r="M25" s="28" t="n">
        <f aca="false">IFERROR(INDEX(Vöruskrá!$H:$H,MATCH(F25,Vöruskrá!$B:$B,0)),IFERROR(INDEX(Réttabanki!$F:$F,MATCH(F25,Réttabanki!$A:$A,0)),""))</f>
        <v>0</v>
      </c>
      <c r="N25" s="29" t="n">
        <f aca="false">IFERROR(INDEX(Vöruskrá!$J:$J,MATCH(F25,Vöruskrá!$B:$B,0))*H25/100,IFERROR(INDEX(Réttabanki!$G:$G,MATCH(F25,Réttabanki!$A:$A,0))*H25/100,""))</f>
        <v>41.2</v>
      </c>
      <c r="O25" s="29" t="n">
        <f aca="false">IFERROR(INDEX(Vöruskrá!$K:$K,MATCH(F25,Vöruskrá!$B:$B,0))*H25/100,IFERROR(INDEX(Réttabanki!$H:$H,MATCH(F25,Réttabanki!$A:$A,0))*H25/100,""))</f>
        <v>2</v>
      </c>
      <c r="P25" s="29" t="n">
        <f aca="false">IFERROR(INDEX(Vöruskrá!$L:$L,MATCH(F25,Vöruskrá!$B:$B,0))*H25/100,IFERROR(INDEX(Réttabanki!$I:$I,MATCH(F25,Réttabanki!$A:$A,0))*H25/100,""))</f>
        <v>0.36</v>
      </c>
      <c r="Q25" s="29" t="n">
        <f aca="false">IFERROR(INDEX(Vöruskrá!$M:$M,MATCH(F25,Vöruskrá!$B:$B,0))*H25/100,IFERROR(INDEX(Réttabanki!$J:$J,MATCH(F25,Réttabanki!$A:$A,0))*H25/100,""))</f>
        <v>0.8</v>
      </c>
      <c r="R25" s="29" t="n">
        <f aca="false">IFERROR(INDEX(Vöruskrá!$O:$O,MATCH(F25,Vöruskrá!$B:$B,0))*H25/100,IFERROR(INDEX(Réttabanki!$L:$L,MATCH(F25,Réttabanki!$A:$A,0))*H25/100,""))</f>
        <v>5</v>
      </c>
      <c r="S25" s="29" t="n">
        <f aca="false">IFERROR(INDEX(Vöruskrá!$P:$P,MATCH(F25,Vöruskrá!$B:$B,0))*H25/100,IFERROR(INDEX(Réttabanki!$M:$M,MATCH(F25,Réttabanki!$A:$A,0))*H25/100,""))</f>
        <v>0.64</v>
      </c>
      <c r="T25" s="33"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7" t="n">
        <v>46197</v>
      </c>
      <c r="B26" s="38"/>
      <c r="C26" s="38"/>
      <c r="D26" s="39" t="s">
        <v>771</v>
      </c>
      <c r="E26" s="39" t="s">
        <v>772</v>
      </c>
      <c r="F26" s="40"/>
      <c r="G26" s="39" t="s">
        <v>803</v>
      </c>
      <c r="H26" s="41"/>
      <c r="I26" s="41"/>
      <c r="J26" s="42"/>
      <c r="K26" s="28" t="s">
        <v>804</v>
      </c>
      <c r="L26" s="28" t="s">
        <v>805</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7"/>
      <c r="B27" s="38"/>
      <c r="C27" s="38"/>
      <c r="D27" s="39" t="s">
        <v>771</v>
      </c>
      <c r="E27" s="39" t="s">
        <v>772</v>
      </c>
      <c r="F27" s="40" t="s">
        <v>149</v>
      </c>
      <c r="G27" s="39" t="s">
        <v>806</v>
      </c>
      <c r="H27" s="41" t="n">
        <v>250</v>
      </c>
      <c r="I27" s="41"/>
      <c r="J27" s="42"/>
      <c r="K27" s="28" t="str">
        <f aca="false">IFERROR(INDEX(Vöruskrá!$F:$F,MATCH(F27,Vöruskrá!$B:$B,0)),IFERROR(INDEX(Réttabanki!$D:$D,MATCH(F27,Réttabanki!$A:$A,0)),""))</f>
        <v>**Mjólk**, hrísgrjón(12%), sykur, salt.</v>
      </c>
      <c r="L27" s="28" t="str">
        <f aca="false">IFERROR(INDEX(Vöruskrá!$G:$G,MATCH(F27,Vöruskrá!$B:$B,0)),IFERROR(INDEX(Réttabanki!$E:$E,MATCH(F27,Réttabanki!$A:$A,0)),""))</f>
        <v>Mjólk</v>
      </c>
      <c r="M27" s="28" t="n">
        <f aca="false">IFERROR(INDEX(Vöruskrá!$H:$H,MATCH(F27,Vöruskrá!$B:$B,0)),IFERROR(INDEX(Réttabanki!$F:$F,MATCH(F27,Réttabanki!$A:$A,0)),""))</f>
        <v>0</v>
      </c>
      <c r="N27" s="29" t="n">
        <f aca="false">IFERROR(INDEX(Vöruskrá!$J:$J,MATCH(F27,Vöruskrá!$B:$B,0))*H27/100,IFERROR(INDEX(Réttabanki!$G:$G,MATCH(F27,Réttabanki!$A:$A,0))*H27/100,""))</f>
        <v>227.5</v>
      </c>
      <c r="O27" s="29" t="n">
        <f aca="false">IFERROR(INDEX(Vöruskrá!$K:$K,MATCH(F27,Vöruskrá!$B:$B,0))*H27/100,IFERROR(INDEX(Réttabanki!$H:$H,MATCH(F27,Réttabanki!$A:$A,0))*H27/100,""))</f>
        <v>7.5</v>
      </c>
      <c r="P27" s="29" t="n">
        <f aca="false">IFERROR(INDEX(Vöruskrá!$L:$L,MATCH(F27,Vöruskrá!$B:$B,0))*H27/100,IFERROR(INDEX(Réttabanki!$I:$I,MATCH(F27,Réttabanki!$A:$A,0))*H27/100,""))</f>
        <v>4</v>
      </c>
      <c r="Q27" s="29" t="n">
        <f aca="false">IFERROR(INDEX(Vöruskrá!$M:$M,MATCH(F27,Vöruskrá!$B:$B,0))*H27/100,IFERROR(INDEX(Réttabanki!$J:$J,MATCH(F27,Réttabanki!$A:$A,0))*H27/100,""))</f>
        <v>35</v>
      </c>
      <c r="R27" s="29" t="n">
        <f aca="false">IFERROR(INDEX(Vöruskrá!$O:$O,MATCH(F27,Vöruskrá!$B:$B,0))*H27/100,IFERROR(INDEX(Réttabanki!$L:$L,MATCH(F27,Réttabanki!$A:$A,0))*H27/100,""))</f>
        <v>7.5</v>
      </c>
      <c r="S27" s="29" t="n">
        <f aca="false">IFERROR(INDEX(Vöruskrá!$P:$P,MATCH(F27,Vöruskrá!$B:$B,0))*H27/100,IFERROR(INDEX(Réttabanki!$M:$M,MATCH(F27,Réttabanki!$A:$A,0))*H27/100,""))</f>
        <v>1.25</v>
      </c>
      <c r="T27" s="33"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7"/>
      <c r="B28" s="38"/>
      <c r="C28" s="38"/>
      <c r="D28" s="39" t="s">
        <v>771</v>
      </c>
      <c r="E28" s="39" t="s">
        <v>772</v>
      </c>
      <c r="F28" s="40" t="s">
        <v>206</v>
      </c>
      <c r="G28" s="39" t="s">
        <v>807</v>
      </c>
      <c r="H28" s="41" t="n">
        <v>25</v>
      </c>
      <c r="I28" s="41"/>
      <c r="J28" s="42"/>
      <c r="K28" s="28" t="str">
        <f aca="false">IFERROR(INDEX(Vöruskrá!$F:$F,MATCH(F28,Vöruskrá!$B:$B,0)),IFERROR(INDEX(Réttabanki!$D:$D,MATCH(F28,Réttabanki!$A:$A,0)),""))</f>
        <v>Lambalifur 32%, lambamör, **RÚGMJÖL**, **HAFRAMJÖL**, vatn, salt.</v>
      </c>
      <c r="L28" s="28" t="str">
        <f aca="false">IFERROR(INDEX(Vöruskrá!$G:$G,MATCH(F28,Vöruskrá!$B:$B,0)),IFERROR(INDEX(Réttabanki!$E:$E,MATCH(F28,Réttabanki!$A:$A,0)),""))</f>
        <v>Glúten (RÚGMJÖL, HAFRAMJÖL)</v>
      </c>
      <c r="M28" s="28" t="n">
        <f aca="false">IFERROR(INDEX(Vöruskrá!$H:$H,MATCH(F28,Vöruskrá!$B:$B,0)),IFERROR(INDEX(Réttabanki!$F:$F,MATCH(F28,Réttabanki!$A:$A,0)),""))</f>
        <v>0</v>
      </c>
      <c r="N28" s="29" t="n">
        <f aca="false">IFERROR(INDEX(Vöruskrá!$J:$J,MATCH(F28,Vöruskrá!$B:$B,0))*H28/100,IFERROR(INDEX(Réttabanki!$G:$G,MATCH(F28,Réttabanki!$A:$A,0))*H28/100,""))</f>
        <v>100.25</v>
      </c>
      <c r="O28" s="29" t="n">
        <f aca="false">IFERROR(INDEX(Vöruskrá!$K:$K,MATCH(F28,Vöruskrá!$B:$B,0))*H28/100,IFERROR(INDEX(Réttabanki!$H:$H,MATCH(F28,Réttabanki!$A:$A,0))*H28/100,""))</f>
        <v>8.175</v>
      </c>
      <c r="P28" s="29" t="n">
        <f aca="false">IFERROR(INDEX(Vöruskrá!$L:$L,MATCH(F28,Vöruskrá!$B:$B,0))*H28/100,IFERROR(INDEX(Réttabanki!$I:$I,MATCH(F28,Réttabanki!$A:$A,0))*H28/100,""))</f>
        <v>4.15</v>
      </c>
      <c r="Q28" s="29" t="n">
        <f aca="false">IFERROR(INDEX(Vöruskrá!$M:$M,MATCH(F28,Vöruskrá!$B:$B,0))*H28/100,IFERROR(INDEX(Réttabanki!$J:$J,MATCH(F28,Réttabanki!$A:$A,0))*H28/100,""))</f>
        <v>3.925</v>
      </c>
      <c r="R28" s="29" t="n">
        <f aca="false">IFERROR(INDEX(Vöruskrá!$O:$O,MATCH(F28,Vöruskrá!$B:$B,0))*H28/100,IFERROR(INDEX(Réttabanki!$L:$L,MATCH(F28,Réttabanki!$A:$A,0))*H28/100,""))</f>
        <v>2.575</v>
      </c>
      <c r="S28" s="29" t="n">
        <f aca="false">IFERROR(INDEX(Vöruskrá!$P:$P,MATCH(F28,Vöruskrá!$B:$B,0))*H28/100,IFERROR(INDEX(Réttabanki!$M:$M,MATCH(F28,Réttabanki!$A:$A,0))*H28/100,""))</f>
        <v>0.25</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7"/>
      <c r="B29" s="38"/>
      <c r="C29" s="38"/>
      <c r="D29" s="39" t="s">
        <v>771</v>
      </c>
      <c r="E29" s="39" t="s">
        <v>776</v>
      </c>
      <c r="F29" s="40"/>
      <c r="G29" s="39" t="s">
        <v>808</v>
      </c>
      <c r="H29" s="41"/>
      <c r="I29" s="41"/>
      <c r="J29" s="42"/>
      <c r="K29" s="28" t="s">
        <v>287</v>
      </c>
      <c r="L29" s="28" t="s">
        <v>167</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33"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7"/>
      <c r="B30" s="38"/>
      <c r="C30" s="38"/>
      <c r="D30" s="39" t="s">
        <v>771</v>
      </c>
      <c r="E30" s="39" t="s">
        <v>776</v>
      </c>
      <c r="F30" s="40" t="s">
        <v>283</v>
      </c>
      <c r="G30" s="39" t="s">
        <v>283</v>
      </c>
      <c r="H30" s="41" t="n">
        <v>250</v>
      </c>
      <c r="I30" s="41"/>
      <c r="J30" s="42"/>
      <c r="K30" s="28" t="str">
        <f aca="false">IFERROR(INDEX(Vöruskrá!$F:$F,MATCH(F30,Vöruskrá!$B:$B,0)),IFERROR(INDEX(Réttabanki!$D:$D,MATCH(F30,Réttabanki!$A:$A,0)),""))</f>
        <v>Vegan rjómi (vatn, kókoskjarnaolía, pálmaolía, þurrkað glúkósasíróp, umbreytt sterkja, salt, stöðugleikaefni fosfat E339, gellangúmmí, ýruefni lesitín, E435, E472b, litarefni karótín, náttúrulegt bragðefni), vatn, hrísgrjón, sykur, salt.</v>
      </c>
      <c r="L30" s="28" t="str">
        <f aca="false">IFERROR(INDEX(Vöruskrá!$G:$G,MATCH(F30,Vöruskrá!$B:$B,0)),IFERROR(INDEX(Réttabanki!$E:$E,MATCH(F30,Réttabanki!$A:$A,0)),""))</f>
        <v>Engir skráðir</v>
      </c>
      <c r="M30" s="28" t="n">
        <f aca="false">IFERROR(INDEX(Vöruskrá!$H:$H,MATCH(F30,Vöruskrá!$B:$B,0)),IFERROR(INDEX(Réttabanki!$F:$F,MATCH(F30,Réttabanki!$A:$A,0)),""))</f>
        <v>0</v>
      </c>
      <c r="N30" s="29" t="n">
        <f aca="false">IFERROR(INDEX(Vöruskrá!$J:$J,MATCH(F30,Vöruskrá!$B:$B,0))*H30/100,IFERROR(INDEX(Réttabanki!$G:$G,MATCH(F30,Réttabanki!$A:$A,0))*H30/100,""))</f>
        <v>185</v>
      </c>
      <c r="O30" s="29" t="n">
        <f aca="false">IFERROR(INDEX(Vöruskrá!$K:$K,MATCH(F30,Vöruskrá!$B:$B,0))*H30/100,IFERROR(INDEX(Réttabanki!$H:$H,MATCH(F30,Réttabanki!$A:$A,0))*H30/100,""))</f>
        <v>4</v>
      </c>
      <c r="P30" s="29" t="n">
        <f aca="false">IFERROR(INDEX(Vöruskrá!$L:$L,MATCH(F30,Vöruskrá!$B:$B,0))*H30/100,IFERROR(INDEX(Réttabanki!$I:$I,MATCH(F30,Réttabanki!$A:$A,0))*H30/100,""))</f>
        <v>0.75</v>
      </c>
      <c r="Q30" s="29" t="n">
        <f aca="false">IFERROR(INDEX(Vöruskrá!$M:$M,MATCH(F30,Vöruskrá!$B:$B,0))*H30/100,IFERROR(INDEX(Réttabanki!$J:$J,MATCH(F30,Réttabanki!$A:$A,0))*H30/100,""))</f>
        <v>32.5</v>
      </c>
      <c r="R30" s="29" t="n">
        <f aca="false">IFERROR(INDEX(Vöruskrá!$O:$O,MATCH(F30,Vöruskrá!$B:$B,0))*H30/100,IFERROR(INDEX(Réttabanki!$L:$L,MATCH(F30,Réttabanki!$A:$A,0))*H30/100,""))</f>
        <v>4.5</v>
      </c>
      <c r="S30" s="29" t="n">
        <f aca="false">IFERROR(INDEX(Vöruskrá!$P:$P,MATCH(F30,Vöruskrá!$B:$B,0))*H30/100,IFERROR(INDEX(Réttabanki!$M:$M,MATCH(F30,Réttabanki!$A:$A,0))*H30/100,""))</f>
        <v>1</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7"/>
      <c r="B31" s="38"/>
      <c r="C31" s="38"/>
      <c r="D31" s="39" t="s">
        <v>771</v>
      </c>
      <c r="E31" s="39" t="s">
        <v>780</v>
      </c>
      <c r="F31" s="40"/>
      <c r="G31" s="39" t="s">
        <v>809</v>
      </c>
      <c r="H31" s="41"/>
      <c r="I31" s="41"/>
      <c r="J31" s="42"/>
      <c r="K31" s="28" t="s">
        <v>810</v>
      </c>
      <c r="L31" s="28" t="s">
        <v>811</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33"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7"/>
      <c r="B32" s="38"/>
      <c r="C32" s="38"/>
      <c r="D32" s="39" t="s">
        <v>771</v>
      </c>
      <c r="E32" s="39" t="s">
        <v>780</v>
      </c>
      <c r="F32" s="40" t="s">
        <v>36</v>
      </c>
      <c r="G32" s="39" t="s">
        <v>812</v>
      </c>
      <c r="H32" s="41" t="n">
        <v>30</v>
      </c>
      <c r="I32" s="41"/>
      <c r="J32" s="42"/>
      <c r="K32" s="28" t="str">
        <f aca="false">IFERROR(INDEX(Vöruskrá!$F:$F,MATCH(F32,Vöruskrá!$B:$B,0)),IFERROR(INDEX(Réttabanki!$D:$D,MATCH(F32,Réttabanki!$A:$A,0)),""))</f>
        <v>**Hveiti**, vatn, 12,3% - sólkjarnafræ, **rúgmjöl**, hörfræ, maltað **hveiti**, salt, maltað **bygg**, mjölmeðhöndlunarefni (E300), ger, malt extrakt (úr **byggi**), súrdeigsduft úr **hveiti** (**hveiti**, gerlar), dextrósi, **hveitiglúten**, bindiefni (E472e, E491), ensím, kekkjarvarnarefni (E535)</v>
      </c>
      <c r="L32" s="28" t="str">
        <f aca="false">IFERROR(INDEX(Vöruskrá!$G:$G,MATCH(F32,Vöruskrá!$B:$B,0)),IFERROR(INDEX(Réttabanki!$E:$E,MATCH(F32,Réttabanki!$A:$A,0)),""))</f>
        <v>Glúten</v>
      </c>
      <c r="M32" s="28" t="str">
        <f aca="false">IFERROR(INDEX(Vöruskrá!$H:$H,MATCH(F32,Vöruskrá!$B:$B,0)),IFERROR(INDEX(Réttabanki!$F:$F,MATCH(F32,Réttabanki!$A:$A,0)),""))</f>
        <v>Gæti innihaldið snefil af sesamfræjum</v>
      </c>
      <c r="N32" s="29" t="n">
        <f aca="false">IFERROR(INDEX(Vöruskrá!$J:$J,MATCH(F32,Vöruskrá!$B:$B,0))*H32/100,IFERROR(INDEX(Réttabanki!$G:$G,MATCH(F32,Réttabanki!$A:$A,0))*H32/100,""))</f>
        <v>93.3</v>
      </c>
      <c r="O32" s="29" t="n">
        <f aca="false">IFERROR(INDEX(Vöruskrá!$K:$K,MATCH(F32,Vöruskrá!$B:$B,0))*H32/100,IFERROR(INDEX(Réttabanki!$H:$H,MATCH(F32,Réttabanki!$A:$A,0))*H32/100,""))</f>
        <v>3.24</v>
      </c>
      <c r="P32" s="29" t="n">
        <f aca="false">IFERROR(INDEX(Vöruskrá!$L:$L,MATCH(F32,Vöruskrá!$B:$B,0))*H32/100,IFERROR(INDEX(Réttabanki!$I:$I,MATCH(F32,Réttabanki!$A:$A,0))*H32/100,""))</f>
        <v>0.39</v>
      </c>
      <c r="Q32" s="29" t="n">
        <f aca="false">IFERROR(INDEX(Vöruskrá!$M:$M,MATCH(F32,Vöruskrá!$B:$B,0))*H32/100,IFERROR(INDEX(Réttabanki!$J:$J,MATCH(F32,Réttabanki!$A:$A,0))*H32/100,""))</f>
        <v>12.09</v>
      </c>
      <c r="R32" s="29" t="n">
        <f aca="false">IFERROR(INDEX(Vöruskrá!$O:$O,MATCH(F32,Vöruskrá!$B:$B,0))*H32/100,IFERROR(INDEX(Réttabanki!$L:$L,MATCH(F32,Réttabanki!$A:$A,0))*H32/100,""))</f>
        <v>3.15</v>
      </c>
      <c r="S32" s="29" t="n">
        <f aca="false">IFERROR(INDEX(Vöruskrá!$P:$P,MATCH(F32,Vöruskrá!$B:$B,0))*H32/100,IFERROR(INDEX(Réttabanki!$M:$M,MATCH(F32,Réttabanki!$A:$A,0))*H32/100,""))</f>
        <v>0.33</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7"/>
      <c r="B33" s="38"/>
      <c r="C33" s="38"/>
      <c r="D33" s="39" t="s">
        <v>771</v>
      </c>
      <c r="E33" s="39" t="s">
        <v>780</v>
      </c>
      <c r="F33" s="40" t="s">
        <v>574</v>
      </c>
      <c r="G33" s="39" t="s">
        <v>813</v>
      </c>
      <c r="H33" s="41" t="n">
        <v>5</v>
      </c>
      <c r="I33" s="41"/>
      <c r="J33" s="42"/>
      <c r="K33" s="28" t="str">
        <f aca="false">IFERROR(INDEX(Vöruskrá!$F:$F,MATCH(F33,Vöruskrá!$B:$B,0)),IFERROR(INDEX(Réttabanki!$D:$D,MATCH(F33,Réttabanki!$A:$A,0)),""))</f>
        <v>Rjómi, repjuolía, salt, A-vítamín og D-vítamín.</v>
      </c>
      <c r="L33" s="28" t="str">
        <f aca="false">IFERROR(INDEX(Vöruskrá!$G:$G,MATCH(F33,Vöruskrá!$B:$B,0)),IFERROR(INDEX(Réttabanki!$E:$E,MATCH(F33,Réttabanki!$A:$A,0)),""))</f>
        <v>Mjólk</v>
      </c>
      <c r="M33" s="28" t="n">
        <f aca="false">IFERROR(INDEX(Vöruskrá!$H:$H,MATCH(F33,Vöruskrá!$B:$B,0)),IFERROR(INDEX(Réttabanki!$F:$F,MATCH(F33,Réttabanki!$A:$A,0)),""))</f>
        <v>0</v>
      </c>
      <c r="N33" s="29" t="n">
        <f aca="false">IFERROR(INDEX(Vöruskrá!$J:$J,MATCH(F33,Vöruskrá!$B:$B,0))*H33/100,IFERROR(INDEX(Réttabanki!$G:$G,MATCH(F33,Réttabanki!$A:$A,0))*H33/100,""))</f>
        <v>35.1</v>
      </c>
      <c r="O33" s="29" t="n">
        <f aca="false">IFERROR(INDEX(Vöruskrá!$K:$K,MATCH(F33,Vöruskrá!$B:$B,0))*H33/100,IFERROR(INDEX(Réttabanki!$H:$H,MATCH(F33,Réttabanki!$A:$A,0))*H33/100,""))</f>
        <v>3.9</v>
      </c>
      <c r="P33" s="29" t="n">
        <f aca="false">IFERROR(INDEX(Vöruskrá!$L:$L,MATCH(F33,Vöruskrá!$B:$B,0))*H33/100,IFERROR(INDEX(Réttabanki!$I:$I,MATCH(F33,Réttabanki!$A:$A,0))*H33/100,""))</f>
        <v>1.85</v>
      </c>
      <c r="Q33" s="29" t="n">
        <f aca="false">IFERROR(INDEX(Vöruskrá!$M:$M,MATCH(F33,Vöruskrá!$B:$B,0))*H33/100,IFERROR(INDEX(Réttabanki!$J:$J,MATCH(F33,Réttabanki!$A:$A,0))*H33/100,""))</f>
        <v>0.02</v>
      </c>
      <c r="R33" s="29" t="n">
        <f aca="false">IFERROR(INDEX(Vöruskrá!$O:$O,MATCH(F33,Vöruskrá!$B:$B,0))*H33/100,IFERROR(INDEX(Réttabanki!$L:$L,MATCH(F33,Réttabanki!$A:$A,0))*H33/100,""))</f>
        <v>0.03</v>
      </c>
      <c r="S33" s="29" t="n">
        <f aca="false">IFERROR(INDEX(Vöruskrá!$P:$P,MATCH(F33,Vöruskrá!$B:$B,0))*H33/100,IFERROR(INDEX(Réttabanki!$M:$M,MATCH(F33,Réttabanki!$A:$A,0))*H33/100,""))</f>
        <v>0.06</v>
      </c>
      <c r="T33" s="33"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7"/>
      <c r="B34" s="38"/>
      <c r="C34" s="38"/>
      <c r="D34" s="39" t="s">
        <v>771</v>
      </c>
      <c r="E34" s="39" t="s">
        <v>780</v>
      </c>
      <c r="F34" s="40" t="s">
        <v>579</v>
      </c>
      <c r="G34" s="39" t="s">
        <v>786</v>
      </c>
      <c r="H34" s="41" t="n">
        <v>15</v>
      </c>
      <c r="I34" s="41"/>
      <c r="J34" s="42"/>
      <c r="K34" s="28" t="str">
        <f aca="false">IFERROR(INDEX(Vöruskrá!$F:$F,MATCH(F34,Vöruskrá!$B:$B,0)),IFERROR(INDEX(Réttabanki!$D:$D,MATCH(F34,Réttabanki!$A:$A,0)),""))</f>
        <v>Mjólk, undanrenna, salt, ostahleypir.</v>
      </c>
      <c r="L34" s="28" t="str">
        <f aca="false">IFERROR(INDEX(Vöruskrá!$G:$G,MATCH(F34,Vöruskrá!$B:$B,0)),IFERROR(INDEX(Réttabanki!$E:$E,MATCH(F34,Réttabanki!$A:$A,0)),""))</f>
        <v>Mjólk</v>
      </c>
      <c r="M34" s="28" t="n">
        <f aca="false">IFERROR(INDEX(Vöruskrá!$H:$H,MATCH(F34,Vöruskrá!$B:$B,0)),IFERROR(INDEX(Réttabanki!$F:$F,MATCH(F34,Réttabanki!$A:$A,0)),""))</f>
        <v>0</v>
      </c>
      <c r="N34" s="29" t="n">
        <f aca="false">IFERROR(INDEX(Vöruskrá!$J:$J,MATCH(F34,Vöruskrá!$B:$B,0))*H34/100,IFERROR(INDEX(Réttabanki!$G:$G,MATCH(F34,Réttabanki!$A:$A,0))*H34/100,""))</f>
        <v>49.5</v>
      </c>
      <c r="O34" s="29" t="n">
        <f aca="false">IFERROR(INDEX(Vöruskrá!$K:$K,MATCH(F34,Vöruskrá!$B:$B,0))*H34/100,IFERROR(INDEX(Réttabanki!$H:$H,MATCH(F34,Réttabanki!$A:$A,0))*H34/100,""))</f>
        <v>3.9</v>
      </c>
      <c r="P34" s="29" t="n">
        <f aca="false">IFERROR(INDEX(Vöruskrá!$L:$L,MATCH(F34,Vöruskrá!$B:$B,0))*H34/100,IFERROR(INDEX(Réttabanki!$I:$I,MATCH(F34,Réttabanki!$A:$A,0))*H34/100,""))</f>
        <v>2.1</v>
      </c>
      <c r="Q34" s="29" t="n">
        <f aca="false">IFERROR(INDEX(Vöruskrá!$M:$M,MATCH(F34,Vöruskrá!$B:$B,0))*H34/100,IFERROR(INDEX(Réttabanki!$J:$J,MATCH(F34,Réttabanki!$A:$A,0))*H34/100,""))</f>
        <v>0</v>
      </c>
      <c r="R34" s="29" t="n">
        <f aca="false">IFERROR(INDEX(Vöruskrá!$O:$O,MATCH(F34,Vöruskrá!$B:$B,0))*H34/100,IFERROR(INDEX(Réttabanki!$L:$L,MATCH(F34,Réttabanki!$A:$A,0))*H34/100,""))</f>
        <v>3.75</v>
      </c>
      <c r="S34" s="29" t="n">
        <f aca="false">IFERROR(INDEX(Vöruskrá!$P:$P,MATCH(F34,Vöruskrá!$B:$B,0))*H34/100,IFERROR(INDEX(Réttabanki!$M:$M,MATCH(F34,Réttabanki!$A:$A,0))*H34/100,""))</f>
        <v>0.225</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7"/>
      <c r="B35" s="38"/>
      <c r="C35" s="38"/>
      <c r="D35" s="39" t="s">
        <v>771</v>
      </c>
      <c r="E35" s="39" t="s">
        <v>782</v>
      </c>
      <c r="F35" s="40"/>
      <c r="G35" s="39" t="s">
        <v>814</v>
      </c>
      <c r="H35" s="41"/>
      <c r="I35" s="41"/>
      <c r="J35" s="42"/>
      <c r="K35" s="28"/>
      <c r="L35" s="28" t="s">
        <v>167</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33"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7" t="n">
        <v>46198</v>
      </c>
      <c r="B36" s="38"/>
      <c r="C36" s="38"/>
      <c r="D36" s="39" t="s">
        <v>771</v>
      </c>
      <c r="E36" s="39" t="s">
        <v>772</v>
      </c>
      <c r="F36" s="40"/>
      <c r="G36" s="39" t="s">
        <v>815</v>
      </c>
      <c r="H36" s="41"/>
      <c r="I36" s="41"/>
      <c r="J36" s="42"/>
      <c r="K36" s="28" t="s">
        <v>816</v>
      </c>
      <c r="L36" s="28" t="s">
        <v>817</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7"/>
      <c r="B37" s="38"/>
      <c r="C37" s="38"/>
      <c r="D37" s="39" t="s">
        <v>771</v>
      </c>
      <c r="E37" s="39" t="s">
        <v>772</v>
      </c>
      <c r="F37" s="40" t="s">
        <v>229</v>
      </c>
      <c r="G37" s="39" t="s">
        <v>818</v>
      </c>
      <c r="H37" s="41" t="n">
        <v>140</v>
      </c>
      <c r="I37" s="41"/>
      <c r="J37" s="42"/>
      <c r="K37" s="28" t="str">
        <f aca="false">IFERROR(INDEX(Vöruskrá!$F:$F,MATCH(F37,Vöruskrá!$B:$B,0)),IFERROR(INDEX(Réttabanki!$D:$D,MATCH(F37,Réttabanki!$A:$A,0)),""))</f>
        <v>**Þorskur**, laukur, kartöflumjöl, umbreytt sterkja, jurtatrefjar, **soja**prótein, laukduft, salt, bindiefni (E451), hvítur pipar repjuolía.</v>
      </c>
      <c r="L37" s="28" t="str">
        <f aca="false">IFERROR(INDEX(Vöruskrá!$G:$G,MATCH(F37,Vöruskrá!$B:$B,0)),IFERROR(INDEX(Réttabanki!$E:$E,MATCH(F37,Réttabanki!$A:$A,0)),""))</f>
        <v>Fiskur, soja</v>
      </c>
      <c r="M37" s="28" t="n">
        <f aca="false">IFERROR(INDEX(Vöruskrá!$H:$H,MATCH(F37,Vöruskrá!$B:$B,0)),IFERROR(INDEX(Réttabanki!$F:$F,MATCH(F37,Réttabanki!$A:$A,0)),""))</f>
        <v>0</v>
      </c>
      <c r="N37" s="29" t="n">
        <f aca="false">IFERROR(INDEX(Vöruskrá!$J:$J,MATCH(F37,Vöruskrá!$B:$B,0))*H37/100,IFERROR(INDEX(Réttabanki!$G:$G,MATCH(F37,Réttabanki!$A:$A,0))*H37/100,""))</f>
        <v>175</v>
      </c>
      <c r="O37" s="29" t="n">
        <f aca="false">IFERROR(INDEX(Vöruskrá!$K:$K,MATCH(F37,Vöruskrá!$B:$B,0))*H37/100,IFERROR(INDEX(Réttabanki!$H:$H,MATCH(F37,Réttabanki!$A:$A,0))*H37/100,""))</f>
        <v>1.82</v>
      </c>
      <c r="P37" s="29" t="n">
        <f aca="false">IFERROR(INDEX(Vöruskrá!$L:$L,MATCH(F37,Vöruskrá!$B:$B,0))*H37/100,IFERROR(INDEX(Réttabanki!$I:$I,MATCH(F37,Réttabanki!$A:$A,0))*H37/100,""))</f>
        <v>0.14</v>
      </c>
      <c r="Q37" s="29" t="n">
        <f aca="false">IFERROR(INDEX(Vöruskrá!$M:$M,MATCH(F37,Vöruskrá!$B:$B,0))*H37/100,IFERROR(INDEX(Réttabanki!$J:$J,MATCH(F37,Réttabanki!$A:$A,0))*H37/100,""))</f>
        <v>19.88</v>
      </c>
      <c r="R37" s="29" t="n">
        <f aca="false">IFERROR(INDEX(Vöruskrá!$O:$O,MATCH(F37,Vöruskrá!$B:$B,0))*H37/100,IFERROR(INDEX(Réttabanki!$L:$L,MATCH(F37,Réttabanki!$A:$A,0))*H37/100,""))</f>
        <v>19.74</v>
      </c>
      <c r="S37" s="29" t="n">
        <f aca="false">IFERROR(INDEX(Vöruskrá!$P:$P,MATCH(F37,Vöruskrá!$B:$B,0))*H37/100,IFERROR(INDEX(Réttabanki!$M:$M,MATCH(F37,Réttabanki!$A:$A,0))*H37/100,""))</f>
        <v>1.96</v>
      </c>
      <c r="T37" s="33"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7"/>
      <c r="B38" s="38"/>
      <c r="C38" s="38"/>
      <c r="D38" s="39" t="s">
        <v>771</v>
      </c>
      <c r="E38" s="39" t="s">
        <v>772</v>
      </c>
      <c r="F38" s="40" t="s">
        <v>656</v>
      </c>
      <c r="G38" s="39" t="s">
        <v>790</v>
      </c>
      <c r="H38" s="41" t="n">
        <v>100</v>
      </c>
      <c r="I38" s="41"/>
      <c r="J38" s="42"/>
      <c r="K38" s="28" t="str">
        <f aca="false">IFERROR(INDEX(Vöruskrá!$F:$F,MATCH(F38,Vöruskrá!$B:$B,0)),IFERROR(INDEX(Réttabanki!$D:$D,MATCH(F38,Réttabanki!$A:$A,0)),""))</f>
        <v>Kartöflur</v>
      </c>
      <c r="L38" s="28" t="str">
        <f aca="false">IFERROR(INDEX(Vöruskrá!$G:$G,MATCH(F38,Vöruskrá!$B:$B,0)),IFERROR(INDEX(Réttabanki!$E:$E,MATCH(F38,Réttabanki!$A:$A,0)),""))</f>
        <v>Engir skráðir</v>
      </c>
      <c r="M38" s="28" t="n">
        <f aca="false">IFERROR(INDEX(Vöruskrá!$H:$H,MATCH(F38,Vöruskrá!$B:$B,0)),IFERROR(INDEX(Réttabanki!$F:$F,MATCH(F38,Réttabanki!$A:$A,0)),""))</f>
        <v>0</v>
      </c>
      <c r="N38" s="29" t="n">
        <f aca="false">IFERROR(INDEX(Vöruskrá!$J:$J,MATCH(F38,Vöruskrá!$B:$B,0))*H38/100,IFERROR(INDEX(Réttabanki!$G:$G,MATCH(F38,Réttabanki!$A:$A,0))*H38/100,""))</f>
        <v>77</v>
      </c>
      <c r="O38" s="29" t="n">
        <f aca="false">IFERROR(INDEX(Vöruskrá!$K:$K,MATCH(F38,Vöruskrá!$B:$B,0))*H38/100,IFERROR(INDEX(Réttabanki!$H:$H,MATCH(F38,Réttabanki!$A:$A,0))*H38/100,""))</f>
        <v>0.1</v>
      </c>
      <c r="P38" s="29" t="n">
        <f aca="false">IFERROR(INDEX(Vöruskrá!$L:$L,MATCH(F38,Vöruskrá!$B:$B,0))*H38/100,IFERROR(INDEX(Réttabanki!$I:$I,MATCH(F38,Réttabanki!$A:$A,0))*H38/100,""))</f>
        <v>0</v>
      </c>
      <c r="Q38" s="29" t="n">
        <f aca="false">IFERROR(INDEX(Vöruskrá!$M:$M,MATCH(F38,Vöruskrá!$B:$B,0))*H38/100,IFERROR(INDEX(Réttabanki!$J:$J,MATCH(F38,Réttabanki!$A:$A,0))*H38/100,""))</f>
        <v>16.3</v>
      </c>
      <c r="R38" s="29" t="n">
        <f aca="false">IFERROR(INDEX(Vöruskrá!$O:$O,MATCH(F38,Vöruskrá!$B:$B,0))*H38/100,IFERROR(INDEX(Réttabanki!$L:$L,MATCH(F38,Réttabanki!$A:$A,0))*H38/100,""))</f>
        <v>1.8</v>
      </c>
      <c r="S38" s="29" t="n">
        <f aca="false">IFERROR(INDEX(Vöruskrá!$P:$P,MATCH(F38,Vöruskrá!$B:$B,0))*H38/100,IFERROR(INDEX(Réttabanki!$M:$M,MATCH(F38,Réttabanki!$A:$A,0))*H38/100,""))</f>
        <v>0</v>
      </c>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7"/>
      <c r="B39" s="38"/>
      <c r="C39" s="38"/>
      <c r="D39" s="39" t="s">
        <v>771</v>
      </c>
      <c r="E39" s="39" t="s">
        <v>772</v>
      </c>
      <c r="F39" s="40" t="s">
        <v>424</v>
      </c>
      <c r="G39" s="39" t="s">
        <v>819</v>
      </c>
      <c r="H39" s="41" t="n">
        <v>30</v>
      </c>
      <c r="I39" s="41"/>
      <c r="J39" s="42"/>
      <c r="K39" s="28" t="str">
        <f aca="false">IFERROR(INDEX(Vöruskrá!$F:$F,MATCH(F39,Vöruskrá!$B:$B,0)),IFERROR(INDEX(Réttabanki!$D:$D,MATCH(F39,Réttabanki!$A:$A,0)),""))</f>
        <v>Repjuolía, vatn, kryddblanda (**sinnep**sduft, krydd, sýra E330), karrí, hunangslíki, umbreytt kartöflusterkja, sykur, grænmetiskraftur, salt, rotvarnarefni (E202), bindiefni (E412)</v>
      </c>
      <c r="L39" s="28" t="str">
        <f aca="false">IFERROR(INDEX(Vöruskrá!$G:$G,MATCH(F39,Vöruskrá!$B:$B,0)),IFERROR(INDEX(Réttabanki!$E:$E,MATCH(F39,Réttabanki!$A:$A,0)),""))</f>
        <v>Sinnep</v>
      </c>
      <c r="M39" s="28" t="n">
        <f aca="false">IFERROR(INDEX(Vöruskrá!$H:$H,MATCH(F39,Vöruskrá!$B:$B,0)),IFERROR(INDEX(Réttabanki!$F:$F,MATCH(F39,Réttabanki!$A:$A,0)),""))</f>
        <v>0</v>
      </c>
      <c r="N39" s="29" t="n">
        <f aca="false">IFERROR(INDEX(Vöruskrá!$J:$J,MATCH(F39,Vöruskrá!$B:$B,0))*H39/100,IFERROR(INDEX(Réttabanki!$G:$G,MATCH(F39,Réttabanki!$A:$A,0))*H39/100,""))</f>
        <v>159.6</v>
      </c>
      <c r="O39" s="29" t="n">
        <f aca="false">IFERROR(INDEX(Vöruskrá!$K:$K,MATCH(F39,Vöruskrá!$B:$B,0))*H39/100,IFERROR(INDEX(Réttabanki!$H:$H,MATCH(F39,Réttabanki!$A:$A,0))*H39/100,""))</f>
        <v>17.1</v>
      </c>
      <c r="P39" s="29" t="n">
        <f aca="false">IFERROR(INDEX(Vöruskrá!$L:$L,MATCH(F39,Vöruskrá!$B:$B,0))*H39/100,IFERROR(INDEX(Réttabanki!$I:$I,MATCH(F39,Réttabanki!$A:$A,0))*H39/100,""))</f>
        <v>1.11</v>
      </c>
      <c r="Q39" s="29" t="n">
        <f aca="false">IFERROR(INDEX(Vöruskrá!$M:$M,MATCH(F39,Vöruskrá!$B:$B,0))*H39/100,IFERROR(INDEX(Réttabanki!$J:$J,MATCH(F39,Réttabanki!$A:$A,0))*H39/100,""))</f>
        <v>1.77</v>
      </c>
      <c r="R39" s="29" t="n">
        <f aca="false">IFERROR(INDEX(Vöruskrá!$O:$O,MATCH(F39,Vöruskrá!$B:$B,0))*H39/100,IFERROR(INDEX(Réttabanki!$L:$L,MATCH(F39,Réttabanki!$A:$A,0))*H39/100,""))</f>
        <v>0</v>
      </c>
      <c r="S39" s="29" t="n">
        <f aca="false">IFERROR(INDEX(Vöruskrá!$P:$P,MATCH(F39,Vöruskrá!$B:$B,0))*H39/100,IFERROR(INDEX(Réttabanki!$M:$M,MATCH(F39,Réttabanki!$A:$A,0))*H39/100,""))</f>
        <v>0.36</v>
      </c>
      <c r="T39" s="33"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7"/>
      <c r="B40" s="38"/>
      <c r="C40" s="38"/>
      <c r="D40" s="39" t="s">
        <v>771</v>
      </c>
      <c r="E40" s="39" t="s">
        <v>776</v>
      </c>
      <c r="F40" s="40"/>
      <c r="G40" s="39" t="s">
        <v>820</v>
      </c>
      <c r="H40" s="41"/>
      <c r="I40" s="41"/>
      <c r="J40" s="42"/>
      <c r="K40" s="28" t="s">
        <v>821</v>
      </c>
      <c r="L40" s="28" t="s">
        <v>822</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7"/>
      <c r="B41" s="38"/>
      <c r="C41" s="38"/>
      <c r="D41" s="39" t="s">
        <v>771</v>
      </c>
      <c r="E41" s="39" t="s">
        <v>776</v>
      </c>
      <c r="F41" s="40" t="s">
        <v>301</v>
      </c>
      <c r="G41" s="39" t="s">
        <v>301</v>
      </c>
      <c r="H41" s="41" t="n">
        <v>140</v>
      </c>
      <c r="I41" s="41"/>
      <c r="J41" s="42"/>
      <c r="K41" s="28" t="str">
        <f aca="false">IFERROR(INDEX(Vöruskrá!$F:$F,MATCH(F41,Vöruskrá!$B:$B,0)),IFERROR(INDEX(Réttabanki!$D:$D,MATCH(F41,Réttabanki!$A:$A,0)),""))</f>
        <v>Vatn, **BYGG**, kjúklingabaunir, sætar kartöflur, svartar baunir, laukur, kartöflur, baunaprótein, repjuolía, hvítlaukur, bindiefni, tómatpúrra, salt, basil, papríkukrydd, hvítur pipar, rósmarín.</v>
      </c>
      <c r="L41" s="28" t="str">
        <f aca="false">IFERROR(INDEX(Vöruskrá!$G:$G,MATCH(F41,Vöruskrá!$B:$B,0)),IFERROR(INDEX(Réttabanki!$E:$E,MATCH(F41,Réttabanki!$A:$A,0)),""))</f>
        <v>Glúten (bygg)</v>
      </c>
      <c r="M41" s="28" t="str">
        <f aca="false">IFERROR(INDEX(Vöruskrá!$H:$H,MATCH(F41,Vöruskrá!$B:$B,0)),IFERROR(INDEX(Réttabanki!$F:$F,MATCH(F41,Réttabanki!$A:$A,0)),""))</f>
        <v>Gæti innihaldið snefil af hnetum og sesam.</v>
      </c>
      <c r="N41" s="29" t="n">
        <f aca="false">IFERROR(INDEX(Vöruskrá!$J:$J,MATCH(F41,Vöruskrá!$B:$B,0))*H41/100,IFERROR(INDEX(Réttabanki!$G:$G,MATCH(F41,Réttabanki!$A:$A,0))*H41/100,""))</f>
        <v>369.6</v>
      </c>
      <c r="O41" s="29" t="n">
        <f aca="false">IFERROR(INDEX(Vöruskrá!$K:$K,MATCH(F41,Vöruskrá!$B:$B,0))*H41/100,IFERROR(INDEX(Réttabanki!$H:$H,MATCH(F41,Réttabanki!$A:$A,0))*H41/100,""))</f>
        <v>10.92</v>
      </c>
      <c r="P41" s="29" t="n">
        <f aca="false">IFERROR(INDEX(Vöruskrá!$L:$L,MATCH(F41,Vöruskrá!$B:$B,0))*H41/100,IFERROR(INDEX(Réttabanki!$I:$I,MATCH(F41,Réttabanki!$A:$A,0))*H41/100,""))</f>
        <v>0.98</v>
      </c>
      <c r="Q41" s="29" t="n">
        <f aca="false">IFERROR(INDEX(Vöruskrá!$M:$M,MATCH(F41,Vöruskrá!$B:$B,0))*H41/100,IFERROR(INDEX(Réttabanki!$J:$J,MATCH(F41,Réttabanki!$A:$A,0))*H41/100,""))</f>
        <v>41.86</v>
      </c>
      <c r="R41" s="29" t="n">
        <f aca="false">IFERROR(INDEX(Vöruskrá!$O:$O,MATCH(F41,Vöruskrá!$B:$B,0))*H41/100,IFERROR(INDEX(Réttabanki!$L:$L,MATCH(F41,Réttabanki!$A:$A,0))*H41/100,""))</f>
        <v>18.62</v>
      </c>
      <c r="S41" s="29" t="n">
        <f aca="false">IFERROR(INDEX(Vöruskrá!$P:$P,MATCH(F41,Vöruskrá!$B:$B,0))*H41/100,IFERROR(INDEX(Réttabanki!$M:$M,MATCH(F41,Réttabanki!$A:$A,0))*H41/100,""))</f>
        <v>2.38</v>
      </c>
      <c r="T41" s="33"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7"/>
      <c r="B42" s="38"/>
      <c r="C42" s="38"/>
      <c r="D42" s="39" t="s">
        <v>771</v>
      </c>
      <c r="E42" s="39" t="s">
        <v>776</v>
      </c>
      <c r="F42" s="40" t="s">
        <v>656</v>
      </c>
      <c r="G42" s="39" t="s">
        <v>790</v>
      </c>
      <c r="H42" s="41" t="n">
        <v>100</v>
      </c>
      <c r="I42" s="41"/>
      <c r="J42" s="42"/>
      <c r="K42" s="28" t="str">
        <f aca="false">IFERROR(INDEX(Vöruskrá!$F:$F,MATCH(F42,Vöruskrá!$B:$B,0)),IFERROR(INDEX(Réttabanki!$D:$D,MATCH(F42,Réttabanki!$A:$A,0)),""))</f>
        <v>Kartöflur</v>
      </c>
      <c r="L42" s="28" t="str">
        <f aca="false">IFERROR(INDEX(Vöruskrá!$G:$G,MATCH(F42,Vöruskrá!$B:$B,0)),IFERROR(INDEX(Réttabanki!$E:$E,MATCH(F42,Réttabanki!$A:$A,0)),""))</f>
        <v>Engir skráðir</v>
      </c>
      <c r="M42" s="28" t="n">
        <f aca="false">IFERROR(INDEX(Vöruskrá!$H:$H,MATCH(F42,Vöruskrá!$B:$B,0)),IFERROR(INDEX(Réttabanki!$F:$F,MATCH(F42,Réttabanki!$A:$A,0)),""))</f>
        <v>0</v>
      </c>
      <c r="N42" s="29" t="n">
        <f aca="false">IFERROR(INDEX(Vöruskrá!$J:$J,MATCH(F42,Vöruskrá!$B:$B,0))*H42/100,IFERROR(INDEX(Réttabanki!$G:$G,MATCH(F42,Réttabanki!$A:$A,0))*H42/100,""))</f>
        <v>77</v>
      </c>
      <c r="O42" s="29" t="n">
        <f aca="false">IFERROR(INDEX(Vöruskrá!$K:$K,MATCH(F42,Vöruskrá!$B:$B,0))*H42/100,IFERROR(INDEX(Réttabanki!$H:$H,MATCH(F42,Réttabanki!$A:$A,0))*H42/100,""))</f>
        <v>0.1</v>
      </c>
      <c r="P42" s="29" t="n">
        <f aca="false">IFERROR(INDEX(Vöruskrá!$L:$L,MATCH(F42,Vöruskrá!$B:$B,0))*H42/100,IFERROR(INDEX(Réttabanki!$I:$I,MATCH(F42,Réttabanki!$A:$A,0))*H42/100,""))</f>
        <v>0</v>
      </c>
      <c r="Q42" s="29" t="n">
        <f aca="false">IFERROR(INDEX(Vöruskrá!$M:$M,MATCH(F42,Vöruskrá!$B:$B,0))*H42/100,IFERROR(INDEX(Réttabanki!$J:$J,MATCH(F42,Réttabanki!$A:$A,0))*H42/100,""))</f>
        <v>16.3</v>
      </c>
      <c r="R42" s="29" t="n">
        <f aca="false">IFERROR(INDEX(Vöruskrá!$O:$O,MATCH(F42,Vöruskrá!$B:$B,0))*H42/100,IFERROR(INDEX(Réttabanki!$L:$L,MATCH(F42,Réttabanki!$A:$A,0))*H42/100,""))</f>
        <v>1.8</v>
      </c>
      <c r="S42" s="29" t="n">
        <f aca="false">IFERROR(INDEX(Vöruskrá!$P:$P,MATCH(F42,Vöruskrá!$B:$B,0))*H42/100,IFERROR(INDEX(Réttabanki!$M:$M,MATCH(F42,Réttabanki!$A:$A,0))*H42/100,""))</f>
        <v>0</v>
      </c>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7"/>
      <c r="B43" s="38"/>
      <c r="C43" s="38"/>
      <c r="D43" s="39" t="s">
        <v>771</v>
      </c>
      <c r="E43" s="39" t="s">
        <v>776</v>
      </c>
      <c r="F43" s="40" t="s">
        <v>424</v>
      </c>
      <c r="G43" s="39" t="s">
        <v>819</v>
      </c>
      <c r="H43" s="41" t="n">
        <v>30</v>
      </c>
      <c r="I43" s="41"/>
      <c r="J43" s="42"/>
      <c r="K43" s="28" t="str">
        <f aca="false">IFERROR(INDEX(Vöruskrá!$F:$F,MATCH(F43,Vöruskrá!$B:$B,0)),IFERROR(INDEX(Réttabanki!$D:$D,MATCH(F43,Réttabanki!$A:$A,0)),""))</f>
        <v>Repjuolía, vatn, kryddblanda (**sinnep**sduft, krydd, sýra E330), karrí, hunangslíki, umbreytt kartöflusterkja, sykur, grænmetiskraftur, salt, rotvarnarefni (E202), bindiefni (E412)</v>
      </c>
      <c r="L43" s="28" t="str">
        <f aca="false">IFERROR(INDEX(Vöruskrá!$G:$G,MATCH(F43,Vöruskrá!$B:$B,0)),IFERROR(INDEX(Réttabanki!$E:$E,MATCH(F43,Réttabanki!$A:$A,0)),""))</f>
        <v>Sinnep</v>
      </c>
      <c r="M43" s="28" t="n">
        <f aca="false">IFERROR(INDEX(Vöruskrá!$H:$H,MATCH(F43,Vöruskrá!$B:$B,0)),IFERROR(INDEX(Réttabanki!$F:$F,MATCH(F43,Réttabanki!$A:$A,0)),""))</f>
        <v>0</v>
      </c>
      <c r="N43" s="29" t="n">
        <f aca="false">IFERROR(INDEX(Vöruskrá!$J:$J,MATCH(F43,Vöruskrá!$B:$B,0))*H43/100,IFERROR(INDEX(Réttabanki!$G:$G,MATCH(F43,Réttabanki!$A:$A,0))*H43/100,""))</f>
        <v>159.6</v>
      </c>
      <c r="O43" s="29" t="n">
        <f aca="false">IFERROR(INDEX(Vöruskrá!$K:$K,MATCH(F43,Vöruskrá!$B:$B,0))*H43/100,IFERROR(INDEX(Réttabanki!$H:$H,MATCH(F43,Réttabanki!$A:$A,0))*H43/100,""))</f>
        <v>17.1</v>
      </c>
      <c r="P43" s="29" t="n">
        <f aca="false">IFERROR(INDEX(Vöruskrá!$L:$L,MATCH(F43,Vöruskrá!$B:$B,0))*H43/100,IFERROR(INDEX(Réttabanki!$I:$I,MATCH(F43,Réttabanki!$A:$A,0))*H43/100,""))</f>
        <v>1.11</v>
      </c>
      <c r="Q43" s="29" t="n">
        <f aca="false">IFERROR(INDEX(Vöruskrá!$M:$M,MATCH(F43,Vöruskrá!$B:$B,0))*H43/100,IFERROR(INDEX(Réttabanki!$J:$J,MATCH(F43,Réttabanki!$A:$A,0))*H43/100,""))</f>
        <v>1.77</v>
      </c>
      <c r="R43" s="29" t="n">
        <f aca="false">IFERROR(INDEX(Vöruskrá!$O:$O,MATCH(F43,Vöruskrá!$B:$B,0))*H43/100,IFERROR(INDEX(Réttabanki!$L:$L,MATCH(F43,Réttabanki!$A:$A,0))*H43/100,""))</f>
        <v>0</v>
      </c>
      <c r="S43" s="29" t="n">
        <f aca="false">IFERROR(INDEX(Vöruskrá!$P:$P,MATCH(F43,Vöruskrá!$B:$B,0))*H43/100,IFERROR(INDEX(Réttabanki!$M:$M,MATCH(F43,Réttabanki!$A:$A,0))*H43/100,""))</f>
        <v>0.36</v>
      </c>
      <c r="T43" s="33"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7"/>
      <c r="B44" s="38"/>
      <c r="C44" s="38"/>
      <c r="D44" s="39" t="s">
        <v>771</v>
      </c>
      <c r="E44" s="39" t="s">
        <v>780</v>
      </c>
      <c r="F44" s="40"/>
      <c r="G44" s="39" t="s">
        <v>823</v>
      </c>
      <c r="H44" s="41"/>
      <c r="I44" s="41"/>
      <c r="J44" s="42"/>
      <c r="K44" s="28" t="s">
        <v>416</v>
      </c>
      <c r="L44" s="28" t="s">
        <v>167</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7"/>
      <c r="B45" s="38"/>
      <c r="C45" s="38"/>
      <c r="D45" s="39" t="s">
        <v>771</v>
      </c>
      <c r="E45" s="39" t="s">
        <v>780</v>
      </c>
      <c r="F45" s="40" t="s">
        <v>414</v>
      </c>
      <c r="G45" s="39" t="s">
        <v>824</v>
      </c>
      <c r="H45" s="41" t="n">
        <v>25</v>
      </c>
      <c r="I45" s="41"/>
      <c r="J45" s="42"/>
      <c r="K45" s="28" t="str">
        <f aca="false">IFERROR(INDEX(Vöruskrá!$F:$F,MATCH(F45,Vöruskrá!$B:$B,0)),IFERROR(INDEX(Réttabanki!$D:$D,MATCH(F45,Réttabanki!$A:$A,0)),""))</f>
        <v>Hvítkál (64%), gulrætur (13%), ananas, gúrka (8%), appelsínusósa (sykur, vatn, sítrónusýra E330, bragðefni, bindiefni E440, rotvarnarefni E202, E211)</v>
      </c>
      <c r="L45" s="28" t="n">
        <f aca="false">IFERROR(INDEX(Vöruskrá!$G:$G,MATCH(F45,Vöruskrá!$B:$B,0)),IFERROR(INDEX(Réttabanki!$E:$E,MATCH(F45,Réttabanki!$A:$A,0)),""))</f>
        <v>0</v>
      </c>
      <c r="M45" s="28" t="n">
        <f aca="false">IFERROR(INDEX(Vöruskrá!$H:$H,MATCH(F45,Vöruskrá!$B:$B,0)),IFERROR(INDEX(Réttabanki!$F:$F,MATCH(F45,Réttabanki!$A:$A,0)),""))</f>
        <v>0</v>
      </c>
      <c r="N45" s="29" t="n">
        <f aca="false">IFERROR(INDEX(Vöruskrá!$J:$J,MATCH(F45,Vöruskrá!$B:$B,0))*H45/100,IFERROR(INDEX(Réttabanki!$G:$G,MATCH(F45,Réttabanki!$A:$A,0))*H45/100,""))</f>
        <v>12.5</v>
      </c>
      <c r="O45" s="29" t="n">
        <f aca="false">IFERROR(INDEX(Vöruskrá!$K:$K,MATCH(F45,Vöruskrá!$B:$B,0))*H45/100,IFERROR(INDEX(Réttabanki!$H:$H,MATCH(F45,Réttabanki!$A:$A,0))*H45/100,""))</f>
        <v>0.05</v>
      </c>
      <c r="P45" s="29" t="n">
        <f aca="false">IFERROR(INDEX(Vöruskrá!$L:$L,MATCH(F45,Vöruskrá!$B:$B,0))*H45/100,IFERROR(INDEX(Réttabanki!$I:$I,MATCH(F45,Réttabanki!$A:$A,0))*H45/100,""))</f>
        <v>0</v>
      </c>
      <c r="Q45" s="29" t="n">
        <f aca="false">IFERROR(INDEX(Vöruskrá!$M:$M,MATCH(F45,Vöruskrá!$B:$B,0))*H45/100,IFERROR(INDEX(Réttabanki!$J:$J,MATCH(F45,Réttabanki!$A:$A,0))*H45/100,""))</f>
        <v>2.475</v>
      </c>
      <c r="R45" s="29" t="n">
        <f aca="false">IFERROR(INDEX(Vöruskrá!$O:$O,MATCH(F45,Vöruskrá!$B:$B,0))*H45/100,IFERROR(INDEX(Réttabanki!$L:$L,MATCH(F45,Réttabanki!$A:$A,0))*H45/100,""))</f>
        <v>0.25</v>
      </c>
      <c r="S45" s="29" t="n">
        <f aca="false">IFERROR(INDEX(Vöruskrá!$P:$P,MATCH(F45,Vöruskrá!$B:$B,0))*H45/100,IFERROR(INDEX(Réttabanki!$M:$M,MATCH(F45,Réttabanki!$A:$A,0))*H45/100,""))</f>
        <v>0</v>
      </c>
      <c r="T45" s="33"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7"/>
      <c r="B46" s="38"/>
      <c r="C46" s="38"/>
      <c r="D46" s="39" t="s">
        <v>771</v>
      </c>
      <c r="E46" s="39" t="s">
        <v>782</v>
      </c>
      <c r="F46" s="40"/>
      <c r="G46" s="39" t="s">
        <v>825</v>
      </c>
      <c r="H46" s="41"/>
      <c r="I46" s="41"/>
      <c r="J46" s="42"/>
      <c r="K46" s="28" t="s">
        <v>826</v>
      </c>
      <c r="L46" s="28" t="s">
        <v>32</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7"/>
      <c r="B47" s="38"/>
      <c r="C47" s="38"/>
      <c r="D47" s="39" t="s">
        <v>771</v>
      </c>
      <c r="E47" s="39" t="s">
        <v>782</v>
      </c>
      <c r="F47" s="40" t="s">
        <v>60</v>
      </c>
      <c r="G47" s="39" t="s">
        <v>827</v>
      </c>
      <c r="H47" s="41" t="n">
        <v>30</v>
      </c>
      <c r="I47" s="41"/>
      <c r="J47" s="42"/>
      <c r="K47" s="28" t="str">
        <f aca="false">IFERROR(INDEX(Vöruskrá!$F:$F,MATCH(F47,Vöruskrá!$B:$B,0)),IFERROR(INDEX(Réttabanki!$D:$D,MATCH(F47,Réttabanki!$A:$A,0)),""))</f>
        <v>**Hveiti**, vatn, **HVEITIKURL**, repjuolía, ger, salt, **HVEITITREFJAR**, mjölmeðhöndlunarefni (E300), ýruefni (E481)</v>
      </c>
      <c r="L47" s="28" t="str">
        <f aca="false">IFERROR(INDEX(Vöruskrá!$G:$G,MATCH(F47,Vöruskrá!$B:$B,0)),IFERROR(INDEX(Réttabanki!$E:$E,MATCH(F47,Réttabanki!$A:$A,0)),""))</f>
        <v>Glúten (hveiti)</v>
      </c>
      <c r="M47" s="28" t="str">
        <f aca="false">IFERROR(INDEX(Vöruskrá!$H:$H,MATCH(F47,Vöruskrá!$B:$B,0)),IFERROR(INDEX(Réttabanki!$F:$F,MATCH(F47,Réttabanki!$A:$A,0)),""))</f>
        <v>Framleitt á svæði þar sem unnið er með sesamfræ, mjólk, egg og lúpínu</v>
      </c>
      <c r="N47" s="29" t="n">
        <f aca="false">IFERROR(INDEX(Vöruskrá!$J:$J,MATCH(F47,Vöruskrá!$B:$B,0))*H47/100,IFERROR(INDEX(Réttabanki!$G:$G,MATCH(F47,Réttabanki!$A:$A,0))*H47/100,""))</f>
        <v>75</v>
      </c>
      <c r="O47" s="29" t="n">
        <f aca="false">IFERROR(INDEX(Vöruskrá!$K:$K,MATCH(F47,Vöruskrá!$B:$B,0))*H47/100,IFERROR(INDEX(Réttabanki!$H:$H,MATCH(F47,Réttabanki!$A:$A,0))*H47/100,""))</f>
        <v>0.81</v>
      </c>
      <c r="P47" s="29" t="n">
        <f aca="false">IFERROR(INDEX(Vöruskrá!$L:$L,MATCH(F47,Vöruskrá!$B:$B,0))*H47/100,IFERROR(INDEX(Réttabanki!$I:$I,MATCH(F47,Réttabanki!$A:$A,0))*H47/100,""))</f>
        <v>0.12</v>
      </c>
      <c r="Q47" s="29" t="n">
        <f aca="false">IFERROR(INDEX(Vöruskrá!$M:$M,MATCH(F47,Vöruskrá!$B:$B,0))*H47/100,IFERROR(INDEX(Réttabanki!$J:$J,MATCH(F47,Réttabanki!$A:$A,0))*H47/100,""))</f>
        <v>13.5</v>
      </c>
      <c r="R47" s="29" t="n">
        <f aca="false">IFERROR(INDEX(Vöruskrá!$O:$O,MATCH(F47,Vöruskrá!$B:$B,0))*H47/100,IFERROR(INDEX(Réttabanki!$L:$L,MATCH(F47,Réttabanki!$A:$A,0))*H47/100,""))</f>
        <v>2.7</v>
      </c>
      <c r="S47" s="29" t="n">
        <f aca="false">IFERROR(INDEX(Vöruskrá!$P:$P,MATCH(F47,Vöruskrá!$B:$B,0))*H47/100,IFERROR(INDEX(Réttabanki!$M:$M,MATCH(F47,Réttabanki!$A:$A,0))*H47/100,""))</f>
        <v>0.42</v>
      </c>
      <c r="T47" s="33"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7"/>
      <c r="B48" s="38"/>
      <c r="C48" s="38"/>
      <c r="D48" s="39" t="s">
        <v>771</v>
      </c>
      <c r="E48" s="39" t="s">
        <v>782</v>
      </c>
      <c r="F48" s="40" t="s">
        <v>192</v>
      </c>
      <c r="G48" s="39" t="s">
        <v>802</v>
      </c>
      <c r="H48" s="41" t="n">
        <v>20</v>
      </c>
      <c r="I48" s="41"/>
      <c r="J48" s="42"/>
      <c r="K48" s="28" t="str">
        <f aca="false">IFERROR(INDEX(Vöruskrá!$F:$F,MATCH(F48,Vöruskrá!$B:$B,0)),IFERROR(INDEX(Réttabanki!$D:$D,MATCH(F48,Réttabanki!$A:$A,0)),""))</f>
        <v>Úrbeinuð skinnlaus kjúklingalæri (83%), vatn, salt, jurtaolía, sykur, mango chutney, ávaxtaþykkni, sýrustillir (E500), krydd reykbragðefni, rotvarnarefni (E262), þráavarnarefni (E320)</v>
      </c>
      <c r="L48" s="28" t="n">
        <f aca="false">IFERROR(INDEX(Vöruskrá!$G:$G,MATCH(F48,Vöruskrá!$B:$B,0)),IFERROR(INDEX(Réttabanki!$E:$E,MATCH(F48,Réttabanki!$A:$A,0)),""))</f>
        <v>0</v>
      </c>
      <c r="M48" s="28" t="n">
        <f aca="false">IFERROR(INDEX(Vöruskrá!$H:$H,MATCH(F48,Vöruskrá!$B:$B,0)),IFERROR(INDEX(Réttabanki!$F:$F,MATCH(F48,Réttabanki!$A:$A,0)),""))</f>
        <v>0</v>
      </c>
      <c r="N48" s="29" t="n">
        <f aca="false">IFERROR(INDEX(Vöruskrá!$J:$J,MATCH(F48,Vöruskrá!$B:$B,0))*H48/100,IFERROR(INDEX(Réttabanki!$G:$G,MATCH(F48,Réttabanki!$A:$A,0))*H48/100,""))</f>
        <v>41.2</v>
      </c>
      <c r="O48" s="29" t="n">
        <f aca="false">IFERROR(INDEX(Vöruskrá!$K:$K,MATCH(F48,Vöruskrá!$B:$B,0))*H48/100,IFERROR(INDEX(Réttabanki!$H:$H,MATCH(F48,Réttabanki!$A:$A,0))*H48/100,""))</f>
        <v>2</v>
      </c>
      <c r="P48" s="29" t="n">
        <f aca="false">IFERROR(INDEX(Vöruskrá!$L:$L,MATCH(F48,Vöruskrá!$B:$B,0))*H48/100,IFERROR(INDEX(Réttabanki!$I:$I,MATCH(F48,Réttabanki!$A:$A,0))*H48/100,""))</f>
        <v>0.36</v>
      </c>
      <c r="Q48" s="29" t="n">
        <f aca="false">IFERROR(INDEX(Vöruskrá!$M:$M,MATCH(F48,Vöruskrá!$B:$B,0))*H48/100,IFERROR(INDEX(Réttabanki!$J:$J,MATCH(F48,Réttabanki!$A:$A,0))*H48/100,""))</f>
        <v>0.8</v>
      </c>
      <c r="R48" s="29" t="n">
        <f aca="false">IFERROR(INDEX(Vöruskrá!$O:$O,MATCH(F48,Vöruskrá!$B:$B,0))*H48/100,IFERROR(INDEX(Réttabanki!$L:$L,MATCH(F48,Réttabanki!$A:$A,0))*H48/100,""))</f>
        <v>5</v>
      </c>
      <c r="S48" s="29" t="n">
        <f aca="false">IFERROR(INDEX(Vöruskrá!$P:$P,MATCH(F48,Vöruskrá!$B:$B,0))*H48/100,IFERROR(INDEX(Réttabanki!$M:$M,MATCH(F48,Réttabanki!$A:$A,0))*H48/100,""))</f>
        <v>0.64</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7" t="n">
        <v>46199</v>
      </c>
      <c r="B49" s="38"/>
      <c r="C49" s="38"/>
      <c r="D49" s="39" t="s">
        <v>771</v>
      </c>
      <c r="E49" s="39" t="s">
        <v>772</v>
      </c>
      <c r="F49" s="40"/>
      <c r="G49" s="39" t="s">
        <v>828</v>
      </c>
      <c r="H49" s="41"/>
      <c r="I49" s="41"/>
      <c r="J49" s="42"/>
      <c r="K49" s="28" t="s">
        <v>742</v>
      </c>
      <c r="L49" s="28" t="s">
        <v>146</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33"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7"/>
      <c r="B50" s="38"/>
      <c r="C50" s="38"/>
      <c r="D50" s="39" t="s">
        <v>771</v>
      </c>
      <c r="E50" s="39" t="s">
        <v>772</v>
      </c>
      <c r="F50" s="40" t="s">
        <v>741</v>
      </c>
      <c r="G50" s="39" t="s">
        <v>829</v>
      </c>
      <c r="H50" s="41" t="n">
        <v>250</v>
      </c>
      <c r="I50" s="41"/>
      <c r="J50" s="42"/>
      <c r="K50" s="28" t="str">
        <f aca="false">IFERROR(INDEX(Vöruskrá!$F:$F,MATCH(F50,Vöruskrá!$B:$B,0)),IFERROR(INDEX(Réttabanki!$D:$D,MATCH(F50,Réttabanki!$A:$A,0)),""))</f>
        <v>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v>
      </c>
      <c r="L50" s="28" t="str">
        <f aca="false">IFERROR(INDEX(Vöruskrá!$G:$G,MATCH(F50,Vöruskrá!$B:$B,0)),IFERROR(INDEX(Réttabanki!$E:$E,MATCH(F50,Réttabanki!$A:$A,0)),""))</f>
        <v>Mjólk</v>
      </c>
      <c r="M50" s="28" t="str">
        <f aca="false">IFERROR(INDEX(Vöruskrá!$H:$H,MATCH(F50,Vöruskrá!$B:$B,0)),IFERROR(INDEX(Réttabanki!$F:$F,MATCH(F50,Réttabanki!$A:$A,0)),""))</f>
        <v>Getur innihaldið snefil af egg, fisk, glúten, krabbadýr, lindýr, mjólk, sellerí, sesam, sinnep og sesam, soja, soja og sinnep.</v>
      </c>
      <c r="N50" s="29" t="n">
        <f aca="false">IFERROR(INDEX(Vöruskrá!$J:$J,MATCH(F50,Vöruskrá!$B:$B,0))*H50/100,IFERROR(INDEX(Réttabanki!$G:$G,MATCH(F50,Réttabanki!$A:$A,0))*H50/100,""))</f>
        <v>270.025</v>
      </c>
      <c r="O50" s="29" t="n">
        <f aca="false">IFERROR(INDEX(Vöruskrá!$K:$K,MATCH(F50,Vöruskrá!$B:$B,0))*H50/100,IFERROR(INDEX(Réttabanki!$H:$H,MATCH(F50,Réttabanki!$A:$A,0))*H50/100,""))</f>
        <v>15.625</v>
      </c>
      <c r="P50" s="29" t="n">
        <f aca="false">IFERROR(INDEX(Vöruskrá!$L:$L,MATCH(F50,Vöruskrá!$B:$B,0))*H50/100,IFERROR(INDEX(Réttabanki!$I:$I,MATCH(F50,Réttabanki!$A:$A,0))*H50/100,""))</f>
        <v>5.3</v>
      </c>
      <c r="Q50" s="29" t="n">
        <f aca="false">IFERROR(INDEX(Vöruskrá!$M:$M,MATCH(F50,Vöruskrá!$B:$B,0))*H50/100,IFERROR(INDEX(Réttabanki!$J:$J,MATCH(F50,Réttabanki!$A:$A,0))*H50/100,""))</f>
        <v>10.125</v>
      </c>
      <c r="R50" s="29" t="n">
        <f aca="false">IFERROR(INDEX(Vöruskrá!$O:$O,MATCH(F50,Vöruskrá!$B:$B,0))*H50/100,IFERROR(INDEX(Réttabanki!$L:$L,MATCH(F50,Réttabanki!$A:$A,0))*H50/100,""))</f>
        <v>22.25</v>
      </c>
      <c r="S50" s="29" t="n">
        <f aca="false">IFERROR(INDEX(Vöruskrá!$P:$P,MATCH(F50,Vöruskrá!$B:$B,0))*H50/100,IFERROR(INDEX(Réttabanki!$M:$M,MATCH(F50,Réttabanki!$A:$A,0))*H50/100,""))</f>
        <v>1.975</v>
      </c>
      <c r="T50" s="31" t="str">
        <f aca="false">IF(F50="","",IFERROR(INDEX(Réttabanki!Q:Q,MATCH(F50,Réttabanki!A:A,0)),IFERROR(INDEX(Réttabanki!Q:Q,MATCH(F50,Réttabanki!B:B,0)),"")))</f>
        <v>1. Hitið rjómasósu í potti við lágan hita í 15-20 mín, hrærið reglulega.
2. Eldið spaghetti skv. leiðbeiningum.
3. Blandið saman og berið fram.</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7"/>
      <c r="B51" s="38"/>
      <c r="C51" s="38"/>
      <c r="D51" s="39" t="s">
        <v>771</v>
      </c>
      <c r="E51" s="39" t="s">
        <v>776</v>
      </c>
      <c r="F51" s="40"/>
      <c r="G51" s="39" t="s">
        <v>830</v>
      </c>
      <c r="H51" s="41"/>
      <c r="I51" s="41"/>
      <c r="J51" s="42"/>
      <c r="K51" s="28" t="s">
        <v>717</v>
      </c>
      <c r="L51" s="28" t="s">
        <v>146</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33"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7"/>
      <c r="B52" s="38"/>
      <c r="C52" s="38"/>
      <c r="D52" s="39" t="s">
        <v>771</v>
      </c>
      <c r="E52" s="39" t="s">
        <v>776</v>
      </c>
      <c r="F52" s="40" t="s">
        <v>716</v>
      </c>
      <c r="G52" s="39" t="s">
        <v>831</v>
      </c>
      <c r="H52" s="41" t="n">
        <v>200</v>
      </c>
      <c r="I52" s="41"/>
      <c r="J52" s="42"/>
      <c r="K52" s="28" t="str">
        <f aca="false">IFERROR(INDEX(Vöruskrá!$F:$F,MATCH(F52,Vöruskrá!$B:$B,0)),IFERROR(INDEX(Réttabanki!$D:$D,MATCH(F52,Réttabanki!$A:$A,0)),""))</f>
        <v>Gerilsneydd **mjólk**, pálmaolía, kekkjavarnarefni (kartöflumjöl), salt, **mjólkursýrugerlar**, ostahleypir. | **Mjólk**. Fitusprengd og gerilsneydd. | Gulrætur 100%. | Laukur | Maíssterkja. | Salt (salt, kekkjavarnarefni E535, lyftiefni E500). | Svartur pipar 100%.</v>
      </c>
      <c r="L52" s="28" t="str">
        <f aca="false">IFERROR(INDEX(Vöruskrá!$G:$G,MATCH(F52,Vöruskrá!$B:$B,0)),IFERROR(INDEX(Réttabanki!$E:$E,MATCH(F52,Réttabanki!$A:$A,0)),""))</f>
        <v>Mjólk</v>
      </c>
      <c r="M52" s="28" t="str">
        <f aca="false">IFERROR(INDEX(Vöruskrá!$H:$H,MATCH(F52,Vöruskrá!$B:$B,0)),IFERROR(INDEX(Réttabanki!$F:$F,MATCH(F52,Réttabanki!$A:$A,0)),""))</f>
        <v>Getur innihaldið snefil af egg, fisk, glúten, krabbadýr, lindýr, mjólk, sellerí, sesam, sinnep og sesam, soja, soja og sinnep.</v>
      </c>
      <c r="N52" s="29" t="n">
        <f aca="false">IFERROR(INDEX(Vöruskrá!$J:$J,MATCH(F52,Vöruskrá!$B:$B,0))*H52/100,IFERROR(INDEX(Réttabanki!$G:$G,MATCH(F52,Réttabanki!$A:$A,0))*H52/100,""))</f>
        <v>325.82</v>
      </c>
      <c r="O52" s="29" t="n">
        <f aca="false">IFERROR(INDEX(Vöruskrá!$K:$K,MATCH(F52,Vöruskrá!$B:$B,0))*H52/100,IFERROR(INDEX(Réttabanki!$H:$H,MATCH(F52,Réttabanki!$A:$A,0))*H52/100,""))</f>
        <v>20.04</v>
      </c>
      <c r="P52" s="29" t="n">
        <f aca="false">IFERROR(INDEX(Vöruskrá!$L:$L,MATCH(F52,Vöruskrá!$B:$B,0))*H52/100,IFERROR(INDEX(Réttabanki!$I:$I,MATCH(F52,Réttabanki!$A:$A,0))*H52/100,""))</f>
        <v>11.46</v>
      </c>
      <c r="Q52" s="29" t="n">
        <f aca="false">IFERROR(INDEX(Vöruskrá!$M:$M,MATCH(F52,Vöruskrá!$B:$B,0))*H52/100,IFERROR(INDEX(Réttabanki!$J:$J,MATCH(F52,Réttabanki!$A:$A,0))*H52/100,""))</f>
        <v>13.28</v>
      </c>
      <c r="R52" s="29" t="n">
        <f aca="false">IFERROR(INDEX(Vöruskrá!$O:$O,MATCH(F52,Vöruskrá!$B:$B,0))*H52/100,IFERROR(INDEX(Réttabanki!$L:$L,MATCH(F52,Réttabanki!$A:$A,0))*H52/100,""))</f>
        <v>22.06</v>
      </c>
      <c r="S52" s="29" t="n">
        <f aca="false">IFERROR(INDEX(Vöruskrá!$P:$P,MATCH(F52,Vöruskrá!$B:$B,0))*H52/100,IFERROR(INDEX(Réttabanki!$M:$M,MATCH(F52,Réttabanki!$A:$A,0))*H52/100,""))</f>
        <v>2.96</v>
      </c>
      <c r="T52" s="31" t="str">
        <f aca="false">IF(F52="","",IFERROR(INDEX(Réttabanki!Q:Q,MATCH(F52,Réttabanki!A:A,0)),IFERROR(INDEX(Réttabanki!Q:Q,MATCH(F52,Réttabanki!B:B,0)),"")))</f>
        <v>1. Hitið gratín í ofni 180°C í 25-30 mín.
2. Gratínið er tilbúið þegar osturinn er gullinn og bólginn.
3. Látið standa í 5 mín áður en þið berið fram.</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7"/>
      <c r="B53" s="38"/>
      <c r="C53" s="38"/>
      <c r="D53" s="39" t="s">
        <v>771</v>
      </c>
      <c r="E53" s="39" t="s">
        <v>780</v>
      </c>
      <c r="F53" s="40"/>
      <c r="G53" s="39" t="s">
        <v>832</v>
      </c>
      <c r="H53" s="41"/>
      <c r="I53" s="41"/>
      <c r="J53" s="42"/>
      <c r="K53" s="28"/>
      <c r="L53" s="28" t="s">
        <v>167</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33"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7"/>
      <c r="B54" s="38"/>
      <c r="C54" s="38"/>
      <c r="D54" s="39" t="s">
        <v>771</v>
      </c>
      <c r="E54" s="39" t="s">
        <v>782</v>
      </c>
      <c r="F54" s="40"/>
      <c r="G54" s="39" t="s">
        <v>833</v>
      </c>
      <c r="H54" s="41"/>
      <c r="I54" s="41"/>
      <c r="J54" s="42"/>
      <c r="K54" s="28"/>
      <c r="L54" s="28" t="s">
        <v>167</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7" t="n">
        <v>46202</v>
      </c>
      <c r="B55" s="38"/>
      <c r="C55" s="38"/>
      <c r="D55" s="39" t="s">
        <v>771</v>
      </c>
      <c r="E55" s="39" t="s">
        <v>772</v>
      </c>
      <c r="F55" s="40"/>
      <c r="G55" s="39" t="s">
        <v>834</v>
      </c>
      <c r="H55" s="41"/>
      <c r="I55" s="41"/>
      <c r="J55" s="42"/>
      <c r="K55" s="28" t="s">
        <v>696</v>
      </c>
      <c r="L55" s="28" t="s">
        <v>167</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33"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7"/>
      <c r="B56" s="38"/>
      <c r="C56" s="38"/>
      <c r="D56" s="39" t="s">
        <v>771</v>
      </c>
      <c r="E56" s="39" t="s">
        <v>772</v>
      </c>
      <c r="F56" s="40" t="s">
        <v>695</v>
      </c>
      <c r="G56" s="39" t="s">
        <v>835</v>
      </c>
      <c r="H56" s="41" t="n">
        <v>250</v>
      </c>
      <c r="I56" s="41"/>
      <c r="J56" s="42"/>
      <c r="K56" s="28" t="str">
        <f aca="false">IFERROR(INDEX(Vöruskrá!$F:$F,MATCH(F56,Vöruskrá!$B:$B,0)),IFERROR(INDEX(Réttabanki!$D:$D,MATCH(F56,Réttabanki!$A:$A,0)),""))</f>
        <v>Kartöflur | Gulrætur | Laukur | Tómatar | Salt (salt, kekkjavarnarefni E535, lyftiefni E500). | Svartur pipar 100%. | Vatn | Maíssterkja.</v>
      </c>
      <c r="L56" s="28" t="str">
        <f aca="false">IFERROR(INDEX(Vöruskrá!$G:$G,MATCH(F56,Vöruskrá!$B:$B,0)),IFERROR(INDEX(Réttabanki!$E:$E,MATCH(F56,Réttabanki!$A:$A,0)),""))</f>
        <v>Engir skráðir</v>
      </c>
      <c r="M56" s="28" t="str">
        <f aca="false">IFERROR(INDEX(Vöruskrá!$H:$H,MATCH(F56,Vöruskrá!$B:$B,0)),IFERROR(INDEX(Réttabanki!$F:$F,MATCH(F56,Réttabanki!$A:$A,0)),""))</f>
        <v>Getur innihaldið snefil af egg, fisk, glúten, krabbadýr, lindýr, mjólk, sellerí, sesam, sinnep og sesam, soja, soja og sinnep.</v>
      </c>
      <c r="N56" s="29" t="n">
        <f aca="false">IFERROR(INDEX(Vöruskrá!$J:$J,MATCH(F56,Vöruskrá!$B:$B,0))*H56/100,IFERROR(INDEX(Réttabanki!$G:$G,MATCH(F56,Réttabanki!$A:$A,0))*H56/100,""))</f>
        <v>158.175</v>
      </c>
      <c r="O56" s="29" t="n">
        <f aca="false">IFERROR(INDEX(Vöruskrá!$K:$K,MATCH(F56,Vöruskrá!$B:$B,0))*H56/100,IFERROR(INDEX(Réttabanki!$H:$H,MATCH(F56,Réttabanki!$A:$A,0))*H56/100,""))</f>
        <v>0.325</v>
      </c>
      <c r="P56" s="29" t="n">
        <f aca="false">IFERROR(INDEX(Vöruskrá!$L:$L,MATCH(F56,Vöruskrá!$B:$B,0))*H56/100,IFERROR(INDEX(Réttabanki!$I:$I,MATCH(F56,Réttabanki!$A:$A,0))*H56/100,""))</f>
        <v>0</v>
      </c>
      <c r="Q56" s="29" t="n">
        <f aca="false">IFERROR(INDEX(Vöruskrá!$M:$M,MATCH(F56,Vöruskrá!$B:$B,0))*H56/100,IFERROR(INDEX(Réttabanki!$J:$J,MATCH(F56,Réttabanki!$A:$A,0))*H56/100,""))</f>
        <v>35</v>
      </c>
      <c r="R56" s="29" t="n">
        <f aca="false">IFERROR(INDEX(Vöruskrá!$O:$O,MATCH(F56,Vöruskrá!$B:$B,0))*H56/100,IFERROR(INDEX(Réttabanki!$L:$L,MATCH(F56,Réttabanki!$A:$A,0))*H56/100,""))</f>
        <v>3.95</v>
      </c>
      <c r="S56" s="29" t="n">
        <f aca="false">IFERROR(INDEX(Vöruskrá!$P:$P,MATCH(F56,Vöruskrá!$B:$B,0))*H56/100,IFERROR(INDEX(Réttabanki!$M:$M,MATCH(F56,Réttabanki!$A:$A,0))*H56/100,""))</f>
        <v>2.55</v>
      </c>
      <c r="T56" s="31" t="str">
        <f aca="false">IF(F56="","",IFERROR(INDEX(Réttabanki!Q:Q,MATCH(F56,Réttabanki!A:A,0)),IFERROR(INDEX(Réttabanki!Q:Q,MATCH(F56,Réttabanki!B:B,0)),"")))</f>
        <v>1. Hitið pottrétt í ofni 160°C í 45-60 mín.
2. Potturinn er tilbúinn þegar kjötið er mjúkt og fallið frá beinunum.
3. Berið fram heitt.</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7"/>
      <c r="B57" s="38"/>
      <c r="C57" s="38"/>
      <c r="D57" s="39" t="s">
        <v>771</v>
      </c>
      <c r="E57" s="39" t="s">
        <v>776</v>
      </c>
      <c r="F57" s="40"/>
      <c r="G57" s="39" t="s">
        <v>836</v>
      </c>
      <c r="H57" s="41"/>
      <c r="I57" s="41"/>
      <c r="J57" s="42"/>
      <c r="K57" s="28" t="s">
        <v>278</v>
      </c>
      <c r="L57" s="28" t="s">
        <v>279</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33"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7"/>
      <c r="B58" s="38"/>
      <c r="C58" s="38"/>
      <c r="D58" s="39" t="s">
        <v>771</v>
      </c>
      <c r="E58" s="39" t="s">
        <v>776</v>
      </c>
      <c r="F58" s="40" t="s">
        <v>275</v>
      </c>
      <c r="G58" s="39" t="s">
        <v>837</v>
      </c>
      <c r="H58" s="41" t="n">
        <v>200</v>
      </c>
      <c r="I58" s="41"/>
      <c r="J58" s="42"/>
      <c r="K58" s="28" t="str">
        <f aca="false">IFERROR(INDEX(Vöruskrá!$F:$F,MATCH(F58,Vöruskrá!$B:$B,0)),IFERROR(INDEX(Réttabanki!$D:$D,MATCH(F58,Réttabanki!$A:$A,0)),""))</f>
        <v>Tómatar, kjúklingabaunir, laukur, gulrætur, sætar kartöflur, eplasafi, blómkál, repjuolía, döðlur, limesafi (inniheldur **SÚLFÍÐ**), paprikamauk, hvítlaukur, salt, kóríander, chilimauk, grænmetiskraftur, kúmen, engifer, túrmerik, svartur pipar, kanill.</v>
      </c>
      <c r="L58" s="28" t="str">
        <f aca="false">IFERROR(INDEX(Vöruskrá!$G:$G,MATCH(F58,Vöruskrá!$B:$B,0)),IFERROR(INDEX(Réttabanki!$E:$E,MATCH(F58,Réttabanki!$A:$A,0)),""))</f>
        <v>Súlfít, sellerí.</v>
      </c>
      <c r="M58" s="28" t="str">
        <f aca="false">IFERROR(INDEX(Vöruskrá!$H:$H,MATCH(F58,Vöruskrá!$B:$B,0)),IFERROR(INDEX(Réttabanki!$F:$F,MATCH(F58,Réttabanki!$A:$A,0)),""))</f>
        <v>Framleitt á svæði þar sem unnið er með hnetur</v>
      </c>
      <c r="N58" s="29" t="n">
        <f aca="false">IFERROR(INDEX(Vöruskrá!$J:$J,MATCH(F58,Vöruskrá!$B:$B,0))*H58/100,IFERROR(INDEX(Réttabanki!$G:$G,MATCH(F58,Réttabanki!$A:$A,0))*H58/100,""))</f>
        <v>236</v>
      </c>
      <c r="O58" s="29" t="n">
        <f aca="false">IFERROR(INDEX(Vöruskrá!$K:$K,MATCH(F58,Vöruskrá!$B:$B,0))*H58/100,IFERROR(INDEX(Réttabanki!$H:$H,MATCH(F58,Réttabanki!$A:$A,0))*H58/100,""))</f>
        <v>9</v>
      </c>
      <c r="P58" s="29" t="n">
        <f aca="false">IFERROR(INDEX(Vöruskrá!$L:$L,MATCH(F58,Vöruskrá!$B:$B,0))*H58/100,IFERROR(INDEX(Réttabanki!$I:$I,MATCH(F58,Réttabanki!$A:$A,0))*H58/100,""))</f>
        <v>0.8</v>
      </c>
      <c r="Q58" s="29" t="n">
        <f aca="false">IFERROR(INDEX(Vöruskrá!$M:$M,MATCH(F58,Vöruskrá!$B:$B,0))*H58/100,IFERROR(INDEX(Réttabanki!$J:$J,MATCH(F58,Réttabanki!$A:$A,0))*H58/100,""))</f>
        <v>27</v>
      </c>
      <c r="R58" s="29" t="n">
        <f aca="false">IFERROR(INDEX(Vöruskrá!$O:$O,MATCH(F58,Vöruskrá!$B:$B,0))*H58/100,IFERROR(INDEX(Réttabanki!$L:$L,MATCH(F58,Réttabanki!$A:$A,0))*H58/100,""))</f>
        <v>7.6</v>
      </c>
      <c r="S58" s="29" t="n">
        <f aca="false">IFERROR(INDEX(Vöruskrá!$P:$P,MATCH(F58,Vöruskrá!$B:$B,0))*H58/100,IFERROR(INDEX(Réttabanki!$M:$M,MATCH(F58,Réttabanki!$A:$A,0))*H58/100,""))</f>
        <v>1.8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7"/>
      <c r="B59" s="38"/>
      <c r="C59" s="38"/>
      <c r="D59" s="39" t="s">
        <v>771</v>
      </c>
      <c r="E59" s="39" t="s">
        <v>780</v>
      </c>
      <c r="F59" s="40"/>
      <c r="G59" s="39"/>
      <c r="H59" s="41"/>
      <c r="I59" s="41"/>
      <c r="J59" s="42"/>
      <c r="K59" s="28"/>
      <c r="L59" s="28" t="s">
        <v>167</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33"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7"/>
      <c r="B60" s="38"/>
      <c r="C60" s="38"/>
      <c r="D60" s="39" t="s">
        <v>771</v>
      </c>
      <c r="E60" s="39" t="s">
        <v>782</v>
      </c>
      <c r="F60" s="40"/>
      <c r="G60" s="39" t="s">
        <v>838</v>
      </c>
      <c r="H60" s="41"/>
      <c r="I60" s="41"/>
      <c r="J60" s="42"/>
      <c r="K60" s="28" t="s">
        <v>839</v>
      </c>
      <c r="L60" s="28" t="s">
        <v>135</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7"/>
      <c r="B61" s="38"/>
      <c r="C61" s="38"/>
      <c r="D61" s="39" t="s">
        <v>771</v>
      </c>
      <c r="E61" s="39" t="s">
        <v>782</v>
      </c>
      <c r="F61" s="40" t="s">
        <v>131</v>
      </c>
      <c r="G61" s="39" t="s">
        <v>131</v>
      </c>
      <c r="H61" s="41" t="n">
        <v>60</v>
      </c>
      <c r="I61" s="41"/>
      <c r="J61" s="42"/>
      <c r="K61" s="28" t="str">
        <f aca="false">IFERROR(INDEX(Vöruskrá!$F:$F,MATCH(F61,Vöruskrá!$B:$B,0)),IFERROR(INDEX(Réttabanki!$D:$D,MATCH(F61,Réttabanki!$A:$A,0)),""))</f>
        <v>Vatn, heil**hveiti**, **hveitimjöl**, brotin **rúgur**, súrdeig úr **hveiti**, **hveitiglúten**, **heilhveiti**, **durumhveiti**, ger, sólblómafræ, epli, kaldpressuð repjuolía, hörfræ, **bygg**malt, sykur, sýrustillir (sítrónusýra), salt.</v>
      </c>
      <c r="L61" s="28" t="str">
        <f aca="false">IFERROR(INDEX(Vöruskrá!$G:$G,MATCH(F61,Vöruskrá!$B:$B,0)),IFERROR(INDEX(Réttabanki!$E:$E,MATCH(F61,Réttabanki!$A:$A,0)),""))</f>
        <v>Glúten (hveiti, rúgur)</v>
      </c>
      <c r="M61" s="28" t="n">
        <f aca="false">IFERROR(INDEX(Vöruskrá!$H:$H,MATCH(F61,Vöruskrá!$B:$B,0)),IFERROR(INDEX(Réttabanki!$F:$F,MATCH(F61,Réttabanki!$A:$A,0)),""))</f>
        <v>0</v>
      </c>
      <c r="N61" s="29" t="n">
        <f aca="false">IFERROR(INDEX(Vöruskrá!$J:$J,MATCH(F61,Vöruskrá!$B:$B,0))*H61/100,IFERROR(INDEX(Réttabanki!$G:$G,MATCH(F61,Réttabanki!$A:$A,0))*H61/100,""))</f>
        <v>162</v>
      </c>
      <c r="O61" s="29" t="n">
        <f aca="false">IFERROR(INDEX(Vöruskrá!$K:$K,MATCH(F61,Vöruskrá!$B:$B,0))*H61/100,IFERROR(INDEX(Réttabanki!$H:$H,MATCH(F61,Réttabanki!$A:$A,0))*H61/100,""))</f>
        <v>3.12</v>
      </c>
      <c r="P61" s="29" t="n">
        <f aca="false">IFERROR(INDEX(Vöruskrá!$L:$L,MATCH(F61,Vöruskrá!$B:$B,0))*H61/100,IFERROR(INDEX(Réttabanki!$I:$I,MATCH(F61,Réttabanki!$A:$A,0))*H61/100,""))</f>
        <v>0.42</v>
      </c>
      <c r="Q61" s="29" t="n">
        <f aca="false">IFERROR(INDEX(Vöruskrá!$M:$M,MATCH(F61,Vöruskrá!$B:$B,0))*H61/100,IFERROR(INDEX(Réttabanki!$J:$J,MATCH(F61,Réttabanki!$A:$A,0))*H61/100,""))</f>
        <v>24</v>
      </c>
      <c r="R61" s="29" t="n">
        <f aca="false">IFERROR(INDEX(Vöruskrá!$O:$O,MATCH(F61,Vöruskrá!$B:$B,0))*H61/100,IFERROR(INDEX(Réttabanki!$L:$L,MATCH(F61,Réttabanki!$A:$A,0))*H61/100,""))</f>
        <v>7.2</v>
      </c>
      <c r="S61" s="29" t="n">
        <f aca="false">IFERROR(INDEX(Vöruskrá!$P:$P,MATCH(F61,Vöruskrá!$B:$B,0))*H61/100,IFERROR(INDEX(Réttabanki!$M:$M,MATCH(F61,Réttabanki!$A:$A,0))*H61/100,""))</f>
        <v>0.594</v>
      </c>
      <c r="T61" s="33"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7"/>
      <c r="B62" s="38"/>
      <c r="C62" s="38"/>
      <c r="D62" s="39" t="s">
        <v>771</v>
      </c>
      <c r="E62" s="39" t="s">
        <v>782</v>
      </c>
      <c r="F62" s="40" t="s">
        <v>201</v>
      </c>
      <c r="G62" s="39" t="s">
        <v>840</v>
      </c>
      <c r="H62" s="41" t="n">
        <v>20</v>
      </c>
      <c r="I62" s="41"/>
      <c r="J62" s="42"/>
      <c r="K62" s="28" t="str">
        <f aca="false">IFERROR(INDEX(Vöruskrá!$F:$F,MATCH(F62,Vöruskrá!$B:$B,0)),IFERROR(INDEX(Réttabanki!$D:$D,MATCH(F62,Réttabanki!$A:$A,0)),""))</f>
        <v>Lambakjöt 80%, kjötsoð, laukduft, salt, pipar.</v>
      </c>
      <c r="L62" s="28" t="n">
        <f aca="false">IFERROR(INDEX(Vöruskrá!$G:$G,MATCH(F62,Vöruskrá!$B:$B,0)),IFERROR(INDEX(Réttabanki!$E:$E,MATCH(F62,Réttabanki!$A:$A,0)),""))</f>
        <v>0</v>
      </c>
      <c r="M62" s="28" t="n">
        <f aca="false">IFERROR(INDEX(Vöruskrá!$H:$H,MATCH(F62,Vöruskrá!$B:$B,0)),IFERROR(INDEX(Réttabanki!$F:$F,MATCH(F62,Réttabanki!$A:$A,0)),""))</f>
        <v>0</v>
      </c>
      <c r="N62" s="29" t="n">
        <f aca="false">IFERROR(INDEX(Vöruskrá!$J:$J,MATCH(F62,Vöruskrá!$B:$B,0))*H62/100,IFERROR(INDEX(Réttabanki!$G:$G,MATCH(F62,Réttabanki!$A:$A,0))*H62/100,""))</f>
        <v>52.8</v>
      </c>
      <c r="O62" s="29" t="n">
        <f aca="false">IFERROR(INDEX(Vöruskrá!$K:$K,MATCH(F62,Vöruskrá!$B:$B,0))*H62/100,IFERROR(INDEX(Réttabanki!$H:$H,MATCH(F62,Réttabanki!$A:$A,0))*H62/100,""))</f>
        <v>4.8</v>
      </c>
      <c r="P62" s="29" t="n">
        <f aca="false">IFERROR(INDEX(Vöruskrá!$L:$L,MATCH(F62,Vöruskrá!$B:$B,0))*H62/100,IFERROR(INDEX(Réttabanki!$I:$I,MATCH(F62,Réttabanki!$A:$A,0))*H62/100,""))</f>
        <v>2.4</v>
      </c>
      <c r="Q62" s="29" t="n">
        <f aca="false">IFERROR(INDEX(Vöruskrá!$M:$M,MATCH(F62,Vöruskrá!$B:$B,0))*H62/100,IFERROR(INDEX(Réttabanki!$J:$J,MATCH(F62,Réttabanki!$A:$A,0))*H62/100,""))</f>
        <v>0.2</v>
      </c>
      <c r="R62" s="29" t="n">
        <f aca="false">IFERROR(INDEX(Vöruskrá!$O:$O,MATCH(F62,Vöruskrá!$B:$B,0))*H62/100,IFERROR(INDEX(Réttabanki!$L:$L,MATCH(F62,Réttabanki!$A:$A,0))*H62/100,""))</f>
        <v>2.2</v>
      </c>
      <c r="S62" s="29" t="n">
        <f aca="false">IFERROR(INDEX(Vöruskrá!$P:$P,MATCH(F62,Vöruskrá!$B:$B,0))*H62/100,IFERROR(INDEX(Réttabanki!$M:$M,MATCH(F62,Réttabanki!$A:$A,0))*H62/100,""))</f>
        <v>0.42</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7" t="n">
        <v>46203</v>
      </c>
      <c r="B63" s="38"/>
      <c r="C63" s="38"/>
      <c r="D63" s="39" t="s">
        <v>771</v>
      </c>
      <c r="E63" s="39" t="s">
        <v>772</v>
      </c>
      <c r="F63" s="40"/>
      <c r="G63" s="39" t="s">
        <v>841</v>
      </c>
      <c r="H63" s="41"/>
      <c r="I63" s="41"/>
      <c r="J63" s="42"/>
      <c r="K63" s="28" t="s">
        <v>842</v>
      </c>
      <c r="L63" s="28" t="s">
        <v>843</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33"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7"/>
      <c r="B64" s="38"/>
      <c r="C64" s="38"/>
      <c r="D64" s="39" t="s">
        <v>771</v>
      </c>
      <c r="E64" s="39" t="s">
        <v>772</v>
      </c>
      <c r="F64" s="40" t="s">
        <v>226</v>
      </c>
      <c r="G64" s="39" t="s">
        <v>844</v>
      </c>
      <c r="H64" s="41" t="n">
        <v>130</v>
      </c>
      <c r="I64" s="41"/>
      <c r="J64" s="42"/>
      <c r="K64" s="28" t="str">
        <f aca="false">IFERROR(INDEX(Vöruskrá!$F:$F,MATCH(F64,Vöruskrá!$B:$B,0)),IFERROR(INDEX(Réttabanki!$D:$D,MATCH(F64,Réttabanki!$A:$A,0)),""))</f>
        <v>Ýsa, salt.</v>
      </c>
      <c r="L64" s="28" t="str">
        <f aca="false">IFERROR(INDEX(Vöruskrá!$G:$G,MATCH(F64,Vöruskrá!$B:$B,0)),IFERROR(INDEX(Réttabanki!$E:$E,MATCH(F64,Réttabanki!$A:$A,0)),""))</f>
        <v>Fiskur</v>
      </c>
      <c r="M64" s="28" t="n">
        <f aca="false">IFERROR(INDEX(Vöruskrá!$H:$H,MATCH(F64,Vöruskrá!$B:$B,0)),IFERROR(INDEX(Réttabanki!$F:$F,MATCH(F64,Réttabanki!$A:$A,0)),""))</f>
        <v>0</v>
      </c>
      <c r="N64" s="29" t="n">
        <f aca="false">IFERROR(INDEX(Vöruskrá!$J:$J,MATCH(F64,Vöruskrá!$B:$B,0))*H64/100,IFERROR(INDEX(Réttabanki!$G:$G,MATCH(F64,Réttabanki!$A:$A,0))*H64/100,""))</f>
        <v>79.3</v>
      </c>
      <c r="O64" s="29" t="n">
        <f aca="false">IFERROR(INDEX(Vöruskrá!$K:$K,MATCH(F64,Vöruskrá!$B:$B,0))*H64/100,IFERROR(INDEX(Réttabanki!$H:$H,MATCH(F64,Réttabanki!$A:$A,0))*H64/100,""))</f>
        <v>1.3</v>
      </c>
      <c r="P64" s="29" t="n">
        <f aca="false">IFERROR(INDEX(Vöruskrá!$L:$L,MATCH(F64,Vöruskrá!$B:$B,0))*H64/100,IFERROR(INDEX(Réttabanki!$I:$I,MATCH(F64,Réttabanki!$A:$A,0))*H64/100,""))</f>
        <v>0</v>
      </c>
      <c r="Q64" s="29" t="n">
        <f aca="false">IFERROR(INDEX(Vöruskrá!$M:$M,MATCH(F64,Vöruskrá!$B:$B,0))*H64/100,IFERROR(INDEX(Réttabanki!$J:$J,MATCH(F64,Réttabanki!$A:$A,0))*H64/100,""))</f>
        <v>0</v>
      </c>
      <c r="R64" s="29" t="n">
        <f aca="false">IFERROR(INDEX(Vöruskrá!$O:$O,MATCH(F64,Vöruskrá!$B:$B,0))*H64/100,IFERROR(INDEX(Réttabanki!$L:$L,MATCH(F64,Réttabanki!$A:$A,0))*H64/100,""))</f>
        <v>18.2</v>
      </c>
      <c r="S64" s="29" t="n">
        <f aca="false">IFERROR(INDEX(Vöruskrá!$P:$P,MATCH(F64,Vöruskrá!$B:$B,0))*H64/100,IFERROR(INDEX(Réttabanki!$M:$M,MATCH(F64,Réttabanki!$A:$A,0))*H64/100,""))</f>
        <v>3.9</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7"/>
      <c r="B65" s="38"/>
      <c r="C65" s="38"/>
      <c r="D65" s="39" t="s">
        <v>771</v>
      </c>
      <c r="E65" s="39" t="s">
        <v>772</v>
      </c>
      <c r="F65" s="40" t="s">
        <v>656</v>
      </c>
      <c r="G65" s="39" t="s">
        <v>658</v>
      </c>
      <c r="H65" s="41" t="n">
        <v>100</v>
      </c>
      <c r="I65" s="41"/>
      <c r="J65" s="42"/>
      <c r="K65" s="28" t="str">
        <f aca="false">IFERROR(INDEX(Vöruskrá!$F:$F,MATCH(F65,Vöruskrá!$B:$B,0)),IFERROR(INDEX(Réttabanki!$D:$D,MATCH(F65,Réttabanki!$A:$A,0)),""))</f>
        <v>Kartöflur</v>
      </c>
      <c r="L65" s="28" t="str">
        <f aca="false">IFERROR(INDEX(Vöruskrá!$G:$G,MATCH(F65,Vöruskrá!$B:$B,0)),IFERROR(INDEX(Réttabanki!$E:$E,MATCH(F65,Réttabanki!$A:$A,0)),""))</f>
        <v>Engir skráðir</v>
      </c>
      <c r="M65" s="28" t="n">
        <f aca="false">IFERROR(INDEX(Vöruskrá!$H:$H,MATCH(F65,Vöruskrá!$B:$B,0)),IFERROR(INDEX(Réttabanki!$F:$F,MATCH(F65,Réttabanki!$A:$A,0)),""))</f>
        <v>0</v>
      </c>
      <c r="N65" s="29" t="n">
        <f aca="false">IFERROR(INDEX(Vöruskrá!$J:$J,MATCH(F65,Vöruskrá!$B:$B,0))*H65/100,IFERROR(INDEX(Réttabanki!$G:$G,MATCH(F65,Réttabanki!$A:$A,0))*H65/100,""))</f>
        <v>77</v>
      </c>
      <c r="O65" s="29" t="n">
        <f aca="false">IFERROR(INDEX(Vöruskrá!$K:$K,MATCH(F65,Vöruskrá!$B:$B,0))*H65/100,IFERROR(INDEX(Réttabanki!$H:$H,MATCH(F65,Réttabanki!$A:$A,0))*H65/100,""))</f>
        <v>0.1</v>
      </c>
      <c r="P65" s="29" t="n">
        <f aca="false">IFERROR(INDEX(Vöruskrá!$L:$L,MATCH(F65,Vöruskrá!$B:$B,0))*H65/100,IFERROR(INDEX(Réttabanki!$I:$I,MATCH(F65,Réttabanki!$A:$A,0))*H65/100,""))</f>
        <v>0</v>
      </c>
      <c r="Q65" s="29" t="n">
        <f aca="false">IFERROR(INDEX(Vöruskrá!$M:$M,MATCH(F65,Vöruskrá!$B:$B,0))*H65/100,IFERROR(INDEX(Réttabanki!$J:$J,MATCH(F65,Réttabanki!$A:$A,0))*H65/100,""))</f>
        <v>16.3</v>
      </c>
      <c r="R65" s="29" t="n">
        <f aca="false">IFERROR(INDEX(Vöruskrá!$O:$O,MATCH(F65,Vöruskrá!$B:$B,0))*H65/100,IFERROR(INDEX(Réttabanki!$L:$L,MATCH(F65,Réttabanki!$A:$A,0))*H65/100,""))</f>
        <v>1.8</v>
      </c>
      <c r="S65" s="29" t="n">
        <f aca="false">IFERROR(INDEX(Vöruskrá!$P:$P,MATCH(F65,Vöruskrá!$B:$B,0))*H65/100,IFERROR(INDEX(Réttabanki!$M:$M,MATCH(F65,Réttabanki!$A:$A,0))*H65/100,""))</f>
        <v>0</v>
      </c>
      <c r="T65" s="33"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7"/>
      <c r="B66" s="38"/>
      <c r="C66" s="38"/>
      <c r="D66" s="39" t="s">
        <v>771</v>
      </c>
      <c r="E66" s="39" t="s">
        <v>791</v>
      </c>
      <c r="F66" s="40" t="s">
        <v>569</v>
      </c>
      <c r="G66" s="39" t="s">
        <v>792</v>
      </c>
      <c r="H66" s="41" t="n">
        <v>10</v>
      </c>
      <c r="I66" s="41"/>
      <c r="J66" s="42"/>
      <c r="K66" s="28" t="str">
        <f aca="false">IFERROR(INDEX(Vöruskrá!$F:$F,MATCH(F66,Vöruskrá!$B:$B,0)),IFERROR(INDEX(Réttabanki!$D:$D,MATCH(F66,Réttabanki!$A:$A,0)),""))</f>
        <v>Rjómi, salt.</v>
      </c>
      <c r="L66" s="28" t="str">
        <f aca="false">IFERROR(INDEX(Vöruskrá!$G:$G,MATCH(F66,Vöruskrá!$B:$B,0)),IFERROR(INDEX(Réttabanki!$E:$E,MATCH(F66,Réttabanki!$A:$A,0)),""))</f>
        <v>Mjólk</v>
      </c>
      <c r="M66" s="28" t="n">
        <f aca="false">IFERROR(INDEX(Vöruskrá!$H:$H,MATCH(F66,Vöruskrá!$B:$B,0)),IFERROR(INDEX(Réttabanki!$F:$F,MATCH(F66,Réttabanki!$A:$A,0)),""))</f>
        <v>0</v>
      </c>
      <c r="N66" s="29" t="n">
        <f aca="false">IFERROR(INDEX(Vöruskrá!$J:$J,MATCH(F66,Vöruskrá!$B:$B,0))*H66/100,IFERROR(INDEX(Réttabanki!$G:$G,MATCH(F66,Réttabanki!$A:$A,0))*H66/100,""))</f>
        <v>73.8</v>
      </c>
      <c r="O66" s="29" t="n">
        <f aca="false">IFERROR(INDEX(Vöruskrá!$K:$K,MATCH(F66,Vöruskrá!$B:$B,0))*H66/100,IFERROR(INDEX(Réttabanki!$H:$H,MATCH(F66,Réttabanki!$A:$A,0))*H66/100,""))</f>
        <v>8.2</v>
      </c>
      <c r="P66" s="29" t="n">
        <f aca="false">IFERROR(INDEX(Vöruskrá!$L:$L,MATCH(F66,Vöruskrá!$B:$B,0))*H66/100,IFERROR(INDEX(Réttabanki!$I:$I,MATCH(F66,Réttabanki!$A:$A,0))*H66/100,""))</f>
        <v>4.9</v>
      </c>
      <c r="Q66" s="29" t="n">
        <f aca="false">IFERROR(INDEX(Vöruskrá!$M:$M,MATCH(F66,Vöruskrá!$B:$B,0))*H66/100,IFERROR(INDEX(Réttabanki!$J:$J,MATCH(F66,Réttabanki!$A:$A,0))*H66/100,""))</f>
        <v>0.04</v>
      </c>
      <c r="R66" s="29" t="n">
        <f aca="false">IFERROR(INDEX(Vöruskrá!$O:$O,MATCH(F66,Vöruskrá!$B:$B,0))*H66/100,IFERROR(INDEX(Réttabanki!$L:$L,MATCH(F66,Réttabanki!$A:$A,0))*H66/100,""))</f>
        <v>0.06</v>
      </c>
      <c r="S66" s="29" t="n">
        <f aca="false">IFERROR(INDEX(Vöruskrá!$P:$P,MATCH(F66,Vöruskrá!$B:$B,0))*H66/100,IFERROR(INDEX(Réttabanki!$M:$M,MATCH(F66,Réttabanki!$A:$A,0))*H66/100,""))</f>
        <v>0.12</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7"/>
      <c r="B67" s="38"/>
      <c r="C67" s="38"/>
      <c r="D67" s="39" t="s">
        <v>771</v>
      </c>
      <c r="E67" s="39" t="s">
        <v>776</v>
      </c>
      <c r="F67" s="40"/>
      <c r="G67" s="39" t="s">
        <v>845</v>
      </c>
      <c r="H67" s="41"/>
      <c r="I67" s="41"/>
      <c r="J67" s="42"/>
      <c r="K67" s="28" t="s">
        <v>794</v>
      </c>
      <c r="L67" s="28" t="s">
        <v>795</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33"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7"/>
      <c r="B68" s="38"/>
      <c r="C68" s="38"/>
      <c r="D68" s="39" t="s">
        <v>771</v>
      </c>
      <c r="E68" s="39" t="s">
        <v>776</v>
      </c>
      <c r="F68" s="40" t="s">
        <v>310</v>
      </c>
      <c r="G68" s="39" t="s">
        <v>796</v>
      </c>
      <c r="H68" s="41" t="n">
        <v>140</v>
      </c>
      <c r="I68" s="41"/>
      <c r="J68" s="42"/>
      <c r="K68" s="28" t="str">
        <f aca="false">IFERROR(INDEX(Vöruskrá!$F:$F,MATCH(F68,Vöruskrá!$B:$B,0)),IFERROR(INDEX(Réttabanki!$D:$D,MATCH(F68,Réttabanki!$A:$A,0)),""))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68" s="28" t="str">
        <f aca="false">IFERROR(INDEX(Vöruskrá!$G:$G,MATCH(F68,Vöruskrá!$B:$B,0)),IFERROR(INDEX(Réttabanki!$E:$E,MATCH(F68,Réttabanki!$A:$A,0)),""))</f>
        <v>Glúten (spelt, hveiti), soja.</v>
      </c>
      <c r="M68" s="28" t="n">
        <f aca="false">IFERROR(INDEX(Vöruskrá!$H:$H,MATCH(F68,Vöruskrá!$B:$B,0)),IFERROR(INDEX(Réttabanki!$F:$F,MATCH(F68,Réttabanki!$A:$A,0)),""))</f>
        <v>0</v>
      </c>
      <c r="N68" s="29" t="n">
        <f aca="false">IFERROR(INDEX(Vöruskrá!$J:$J,MATCH(F68,Vöruskrá!$B:$B,0))*H68/100,IFERROR(INDEX(Réttabanki!$G:$G,MATCH(F68,Réttabanki!$A:$A,0))*H68/100,""))</f>
        <v>296.8</v>
      </c>
      <c r="O68" s="29" t="n">
        <f aca="false">IFERROR(INDEX(Vöruskrá!$K:$K,MATCH(F68,Vöruskrá!$B:$B,0))*H68/100,IFERROR(INDEX(Réttabanki!$H:$H,MATCH(F68,Réttabanki!$A:$A,0))*H68/100,""))</f>
        <v>15.96</v>
      </c>
      <c r="P68" s="29" t="n">
        <f aca="false">IFERROR(INDEX(Vöruskrá!$L:$L,MATCH(F68,Vöruskrá!$B:$B,0))*H68/100,IFERROR(INDEX(Réttabanki!$I:$I,MATCH(F68,Réttabanki!$A:$A,0))*H68/100,""))</f>
        <v>1.82</v>
      </c>
      <c r="Q68" s="29" t="n">
        <f aca="false">IFERROR(INDEX(Vöruskrá!$M:$M,MATCH(F68,Vöruskrá!$B:$B,0))*H68/100,IFERROR(INDEX(Réttabanki!$J:$J,MATCH(F68,Réttabanki!$A:$A,0))*H68/100,""))</f>
        <v>30.38</v>
      </c>
      <c r="R68" s="29" t="n">
        <f aca="false">IFERROR(INDEX(Vöruskrá!$O:$O,MATCH(F68,Vöruskrá!$B:$B,0))*H68/100,IFERROR(INDEX(Réttabanki!$L:$L,MATCH(F68,Réttabanki!$A:$A,0))*H68/100,""))</f>
        <v>6.3</v>
      </c>
      <c r="S68" s="29" t="n">
        <f aca="false">IFERROR(INDEX(Vöruskrá!$P:$P,MATCH(F68,Vöruskrá!$B:$B,0))*H68/100,IFERROR(INDEX(Réttabanki!$M:$M,MATCH(F68,Réttabanki!$A:$A,0))*H68/100,""))</f>
        <v>1.4</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7"/>
      <c r="B69" s="38"/>
      <c r="C69" s="38"/>
      <c r="D69" s="39" t="s">
        <v>771</v>
      </c>
      <c r="E69" s="39" t="s">
        <v>776</v>
      </c>
      <c r="F69" s="40" t="s">
        <v>656</v>
      </c>
      <c r="G69" s="39" t="s">
        <v>658</v>
      </c>
      <c r="H69" s="41" t="n">
        <v>100</v>
      </c>
      <c r="I69" s="41"/>
      <c r="J69" s="42"/>
      <c r="K69" s="28" t="str">
        <f aca="false">IFERROR(INDEX(Vöruskrá!$F:$F,MATCH(F69,Vöruskrá!$B:$B,0)),IFERROR(INDEX(Réttabanki!$D:$D,MATCH(F69,Réttabanki!$A:$A,0)),""))</f>
        <v>Kartöflur</v>
      </c>
      <c r="L69" s="28" t="str">
        <f aca="false">IFERROR(INDEX(Vöruskrá!$G:$G,MATCH(F69,Vöruskrá!$B:$B,0)),IFERROR(INDEX(Réttabanki!$E:$E,MATCH(F69,Réttabanki!$A:$A,0)),""))</f>
        <v>Engir skráðir</v>
      </c>
      <c r="M69" s="28" t="n">
        <f aca="false">IFERROR(INDEX(Vöruskrá!$H:$H,MATCH(F69,Vöruskrá!$B:$B,0)),IFERROR(INDEX(Réttabanki!$F:$F,MATCH(F69,Réttabanki!$A:$A,0)),""))</f>
        <v>0</v>
      </c>
      <c r="N69" s="29" t="n">
        <f aca="false">IFERROR(INDEX(Vöruskrá!$J:$J,MATCH(F69,Vöruskrá!$B:$B,0))*H69/100,IFERROR(INDEX(Réttabanki!$G:$G,MATCH(F69,Réttabanki!$A:$A,0))*H69/100,""))</f>
        <v>77</v>
      </c>
      <c r="O69" s="29" t="n">
        <f aca="false">IFERROR(INDEX(Vöruskrá!$K:$K,MATCH(F69,Vöruskrá!$B:$B,0))*H69/100,IFERROR(INDEX(Réttabanki!$H:$H,MATCH(F69,Réttabanki!$A:$A,0))*H69/100,""))</f>
        <v>0.1</v>
      </c>
      <c r="P69" s="29" t="n">
        <f aca="false">IFERROR(INDEX(Vöruskrá!$L:$L,MATCH(F69,Vöruskrá!$B:$B,0))*H69/100,IFERROR(INDEX(Réttabanki!$I:$I,MATCH(F69,Réttabanki!$A:$A,0))*H69/100,""))</f>
        <v>0</v>
      </c>
      <c r="Q69" s="29" t="n">
        <f aca="false">IFERROR(INDEX(Vöruskrá!$M:$M,MATCH(F69,Vöruskrá!$B:$B,0))*H69/100,IFERROR(INDEX(Réttabanki!$J:$J,MATCH(F69,Réttabanki!$A:$A,0))*H69/100,""))</f>
        <v>16.3</v>
      </c>
      <c r="R69" s="29" t="n">
        <f aca="false">IFERROR(INDEX(Vöruskrá!$O:$O,MATCH(F69,Vöruskrá!$B:$B,0))*H69/100,IFERROR(INDEX(Réttabanki!$L:$L,MATCH(F69,Réttabanki!$A:$A,0))*H69/100,""))</f>
        <v>1.8</v>
      </c>
      <c r="S69" s="29" t="n">
        <f aca="false">IFERROR(INDEX(Vöruskrá!$P:$P,MATCH(F69,Vöruskrá!$B:$B,0))*H69/100,IFERROR(INDEX(Réttabanki!$M:$M,MATCH(F69,Réttabanki!$A:$A,0))*H69/100,""))</f>
        <v>0</v>
      </c>
      <c r="T69" s="33"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7"/>
      <c r="B70" s="38"/>
      <c r="C70" s="38"/>
      <c r="D70" s="39" t="s">
        <v>771</v>
      </c>
      <c r="E70" s="39" t="s">
        <v>791</v>
      </c>
      <c r="F70" s="40" t="s">
        <v>418</v>
      </c>
      <c r="G70" s="39" t="s">
        <v>846</v>
      </c>
      <c r="H70" s="41" t="n">
        <v>20</v>
      </c>
      <c r="I70" s="41"/>
      <c r="J70" s="42"/>
      <c r="K70" s="28" t="str">
        <f aca="false">IFERROR(INDEX(Vöruskrá!$F:$F,MATCH(F70,Vöruskrá!$B:$B,0)),IFERROR(INDEX(Réttabanki!$D:$D,MATCH(F70,Réttabanki!$A:$A,0)),""))</f>
        <v>Repjuolía, vatn, hvítlaukur, **sinnep**, kryddblanda, sykur, umbreytt kartöflusterkja, salt, edik, rotvarnarefni (E260, E211, E202), **sinnep**sduft, sýra (E330), bindiefni (E415)</v>
      </c>
      <c r="L70" s="28" t="str">
        <f aca="false">IFERROR(INDEX(Vöruskrá!$G:$G,MATCH(F70,Vöruskrá!$B:$B,0)),IFERROR(INDEX(Réttabanki!$E:$E,MATCH(F70,Réttabanki!$A:$A,0)),""))</f>
        <v>Sinnep</v>
      </c>
      <c r="M70" s="28" t="n">
        <f aca="false">IFERROR(INDEX(Vöruskrá!$H:$H,MATCH(F70,Vöruskrá!$B:$B,0)),IFERROR(INDEX(Réttabanki!$F:$F,MATCH(F70,Réttabanki!$A:$A,0)),""))</f>
        <v>0</v>
      </c>
      <c r="N70" s="29" t="n">
        <f aca="false">IFERROR(INDEX(Vöruskrá!$J:$J,MATCH(F70,Vöruskrá!$B:$B,0))*H70/100,IFERROR(INDEX(Réttabanki!$G:$G,MATCH(F70,Réttabanki!$A:$A,0))*H70/100,""))</f>
        <v>103.8</v>
      </c>
      <c r="O70" s="29" t="n">
        <f aca="false">IFERROR(INDEX(Vöruskrá!$K:$K,MATCH(F70,Vöruskrá!$B:$B,0))*H70/100,IFERROR(INDEX(Réttabanki!$H:$H,MATCH(F70,Réttabanki!$A:$A,0))*H70/100,""))</f>
        <v>11.2</v>
      </c>
      <c r="P70" s="29" t="n">
        <f aca="false">IFERROR(INDEX(Vöruskrá!$L:$L,MATCH(F70,Vöruskrá!$B:$B,0))*H70/100,IFERROR(INDEX(Réttabanki!$I:$I,MATCH(F70,Réttabanki!$A:$A,0))*H70/100,""))</f>
        <v>0.72</v>
      </c>
      <c r="Q70" s="29" t="n">
        <f aca="false">IFERROR(INDEX(Vöruskrá!$M:$M,MATCH(F70,Vöruskrá!$B:$B,0))*H70/100,IFERROR(INDEX(Réttabanki!$J:$J,MATCH(F70,Réttabanki!$A:$A,0))*H70/100,""))</f>
        <v>1.2</v>
      </c>
      <c r="R70" s="29" t="n">
        <f aca="false">IFERROR(INDEX(Vöruskrá!$O:$O,MATCH(F70,Vöruskrá!$B:$B,0))*H70/100,IFERROR(INDEX(Réttabanki!$L:$L,MATCH(F70,Réttabanki!$A:$A,0))*H70/100,""))</f>
        <v>0</v>
      </c>
      <c r="S70" s="29" t="n">
        <f aca="false">IFERROR(INDEX(Vöruskrá!$P:$P,MATCH(F70,Vöruskrá!$B:$B,0))*H70/100,IFERROR(INDEX(Réttabanki!$M:$M,MATCH(F70,Réttabanki!$A:$A,0))*H70/100,""))</f>
        <v>0.22</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7"/>
      <c r="B71" s="38"/>
      <c r="C71" s="38"/>
      <c r="D71" s="39" t="s">
        <v>771</v>
      </c>
      <c r="E71" s="39" t="s">
        <v>780</v>
      </c>
      <c r="F71" s="40"/>
      <c r="G71" s="39"/>
      <c r="H71" s="41"/>
      <c r="I71" s="41"/>
      <c r="J71" s="42"/>
      <c r="K71" s="28"/>
      <c r="L71" s="28" t="s">
        <v>167</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33"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7"/>
      <c r="B72" s="38"/>
      <c r="C72" s="38"/>
      <c r="D72" s="39" t="s">
        <v>771</v>
      </c>
      <c r="E72" s="39" t="s">
        <v>782</v>
      </c>
      <c r="F72" s="40"/>
      <c r="G72" s="39" t="s">
        <v>847</v>
      </c>
      <c r="H72" s="41"/>
      <c r="I72" s="41"/>
      <c r="J72" s="42"/>
      <c r="K72" s="28" t="s">
        <v>848</v>
      </c>
      <c r="L72" s="28" t="s">
        <v>849</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7"/>
      <c r="B73" s="38"/>
      <c r="C73" s="38"/>
      <c r="D73" s="39" t="s">
        <v>771</v>
      </c>
      <c r="E73" s="39" t="s">
        <v>782</v>
      </c>
      <c r="F73" s="40" t="s">
        <v>138</v>
      </c>
      <c r="G73" s="39" t="s">
        <v>138</v>
      </c>
      <c r="H73" s="41" t="n">
        <v>42</v>
      </c>
      <c r="I73" s="41"/>
      <c r="J73" s="42"/>
      <c r="K73" s="28" t="str">
        <f aca="false">IFERROR(INDEX(Vöruskrá!$F:$F,MATCH(F73,Vöruskrá!$B:$B,0)),IFERROR(INDEX(Réttabanki!$D:$D,MATCH(F73,Réttabanki!$A:$A,0)),""))</f>
        <v>**Hveiti**mjöl, vatn, sykur, sigtað **rúg**mjöl, repjuolía, heilkorna **rúg**mjöl, **hveiti**glúten, heilkorna **hveiti**mjöl, ger, jurtaýruefni, lyftiefni (hjartarsalt), malt úr **byggi**, salt.</v>
      </c>
      <c r="L73" s="28" t="str">
        <f aca="false">IFERROR(INDEX(Vöruskrá!$G:$G,MATCH(F73,Vöruskrá!$B:$B,0)),IFERROR(INDEX(Réttabanki!$E:$E,MATCH(F73,Réttabanki!$A:$A,0)),""))</f>
        <v>Glúten (hveiti, rúgur, bygg)</v>
      </c>
      <c r="M73" s="28" t="n">
        <f aca="false">IFERROR(INDEX(Vöruskrá!$H:$H,MATCH(F73,Vöruskrá!$B:$B,0)),IFERROR(INDEX(Réttabanki!$F:$F,MATCH(F73,Réttabanki!$A:$A,0)),""))</f>
        <v>0</v>
      </c>
      <c r="N73" s="29" t="n">
        <f aca="false">IFERROR(INDEX(Vöruskrá!$J:$J,MATCH(F73,Vöruskrá!$B:$B,0))*H73/100,IFERROR(INDEX(Réttabanki!$G:$G,MATCH(F73,Réttabanki!$A:$A,0))*H73/100,""))</f>
        <v>124.32</v>
      </c>
      <c r="O73" s="29" t="n">
        <f aca="false">IFERROR(INDEX(Vöruskrá!$K:$K,MATCH(F73,Vöruskrá!$B:$B,0))*H73/100,IFERROR(INDEX(Réttabanki!$H:$H,MATCH(F73,Réttabanki!$A:$A,0))*H73/100,""))</f>
        <v>1.89</v>
      </c>
      <c r="P73" s="29" t="n">
        <f aca="false">IFERROR(INDEX(Vöruskrá!$L:$L,MATCH(F73,Vöruskrá!$B:$B,0))*H73/100,IFERROR(INDEX(Réttabanki!$I:$I,MATCH(F73,Réttabanki!$A:$A,0))*H73/100,""))</f>
        <v>0.21</v>
      </c>
      <c r="Q73" s="29" t="n">
        <f aca="false">IFERROR(INDEX(Vöruskrá!$M:$M,MATCH(F73,Vöruskrá!$B:$B,0))*H73/100,IFERROR(INDEX(Réttabanki!$J:$J,MATCH(F73,Réttabanki!$A:$A,0))*H73/100,""))</f>
        <v>21.84</v>
      </c>
      <c r="R73" s="29" t="n">
        <f aca="false">IFERROR(INDEX(Vöruskrá!$O:$O,MATCH(F73,Vöruskrá!$B:$B,0))*H73/100,IFERROR(INDEX(Réttabanki!$L:$L,MATCH(F73,Réttabanki!$A:$A,0))*H73/100,""))</f>
        <v>3.822</v>
      </c>
      <c r="S73" s="29" t="n">
        <f aca="false">IFERROR(INDEX(Vöruskrá!$P:$P,MATCH(F73,Vöruskrá!$B:$B,0))*H73/100,IFERROR(INDEX(Réttabanki!$M:$M,MATCH(F73,Réttabanki!$A:$A,0))*H73/100,""))</f>
        <v>0.336</v>
      </c>
      <c r="T73" s="33"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7"/>
      <c r="B74" s="38"/>
      <c r="C74" s="38"/>
      <c r="D74" s="39" t="s">
        <v>771</v>
      </c>
      <c r="E74" s="39" t="s">
        <v>782</v>
      </c>
      <c r="F74" s="40" t="s">
        <v>574</v>
      </c>
      <c r="G74" s="39" t="s">
        <v>813</v>
      </c>
      <c r="H74" s="41" t="n">
        <v>5</v>
      </c>
      <c r="I74" s="41"/>
      <c r="J74" s="42"/>
      <c r="K74" s="28" t="str">
        <f aca="false">IFERROR(INDEX(Vöruskrá!$F:$F,MATCH(F74,Vöruskrá!$B:$B,0)),IFERROR(INDEX(Réttabanki!$D:$D,MATCH(F74,Réttabanki!$A:$A,0)),""))</f>
        <v>Rjómi, repjuolía, salt, A-vítamín og D-vítamín.</v>
      </c>
      <c r="L74" s="28" t="str">
        <f aca="false">IFERROR(INDEX(Vöruskrá!$G:$G,MATCH(F74,Vöruskrá!$B:$B,0)),IFERROR(INDEX(Réttabanki!$E:$E,MATCH(F74,Réttabanki!$A:$A,0)),""))</f>
        <v>Mjólk</v>
      </c>
      <c r="M74" s="28" t="n">
        <f aca="false">IFERROR(INDEX(Vöruskrá!$H:$H,MATCH(F74,Vöruskrá!$B:$B,0)),IFERROR(INDEX(Réttabanki!$F:$F,MATCH(F74,Réttabanki!$A:$A,0)),""))</f>
        <v>0</v>
      </c>
      <c r="N74" s="29" t="n">
        <f aca="false">IFERROR(INDEX(Vöruskrá!$J:$J,MATCH(F74,Vöruskrá!$B:$B,0))*H74/100,IFERROR(INDEX(Réttabanki!$G:$G,MATCH(F74,Réttabanki!$A:$A,0))*H74/100,""))</f>
        <v>35.1</v>
      </c>
      <c r="O74" s="29" t="n">
        <f aca="false">IFERROR(INDEX(Vöruskrá!$K:$K,MATCH(F74,Vöruskrá!$B:$B,0))*H74/100,IFERROR(INDEX(Réttabanki!$H:$H,MATCH(F74,Réttabanki!$A:$A,0))*H74/100,""))</f>
        <v>3.9</v>
      </c>
      <c r="P74" s="29" t="n">
        <f aca="false">IFERROR(INDEX(Vöruskrá!$L:$L,MATCH(F74,Vöruskrá!$B:$B,0))*H74/100,IFERROR(INDEX(Réttabanki!$I:$I,MATCH(F74,Réttabanki!$A:$A,0))*H74/100,""))</f>
        <v>1.85</v>
      </c>
      <c r="Q74" s="29" t="n">
        <f aca="false">IFERROR(INDEX(Vöruskrá!$M:$M,MATCH(F74,Vöruskrá!$B:$B,0))*H74/100,IFERROR(INDEX(Réttabanki!$J:$J,MATCH(F74,Réttabanki!$A:$A,0))*H74/100,""))</f>
        <v>0.02</v>
      </c>
      <c r="R74" s="29" t="n">
        <f aca="false">IFERROR(INDEX(Vöruskrá!$O:$O,MATCH(F74,Vöruskrá!$B:$B,0))*H74/100,IFERROR(INDEX(Réttabanki!$L:$L,MATCH(F74,Réttabanki!$A:$A,0))*H74/100,""))</f>
        <v>0.03</v>
      </c>
      <c r="S74" s="29" t="n">
        <f aca="false">IFERROR(INDEX(Vöruskrá!$P:$P,MATCH(F74,Vöruskrá!$B:$B,0))*H74/100,IFERROR(INDEX(Réttabanki!$M:$M,MATCH(F74,Réttabanki!$A:$A,0))*H74/100,""))</f>
        <v>0.06</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7" t="n">
        <v>46204</v>
      </c>
      <c r="B75" s="38"/>
      <c r="C75" s="38"/>
      <c r="D75" s="39" t="s">
        <v>771</v>
      </c>
      <c r="E75" s="39" t="s">
        <v>772</v>
      </c>
      <c r="F75" s="40"/>
      <c r="G75" s="39" t="s">
        <v>850</v>
      </c>
      <c r="H75" s="41"/>
      <c r="I75" s="41"/>
      <c r="J75" s="42"/>
      <c r="K75" s="28" t="s">
        <v>145</v>
      </c>
      <c r="L75" s="28" t="s">
        <v>146</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33"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7"/>
      <c r="B76" s="38"/>
      <c r="C76" s="38"/>
      <c r="D76" s="39" t="s">
        <v>771</v>
      </c>
      <c r="E76" s="39" t="s">
        <v>772</v>
      </c>
      <c r="F76" s="40" t="s">
        <v>142</v>
      </c>
      <c r="G76" s="39" t="s">
        <v>851</v>
      </c>
      <c r="H76" s="41" t="n">
        <v>300</v>
      </c>
      <c r="I76" s="41"/>
      <c r="J76" s="42"/>
      <c r="K76" s="28" t="str">
        <f aca="false">IFERROR(INDEX(Vöruskrá!$F:$F,MATCH(F76,Vöruskrá!$B:$B,0)),IFERROR(INDEX(Réttabanki!$D:$D,MATCH(F76,Réttabanki!$A:$A,0)),""))</f>
        <v>**Mjólk**, sykur (5.0%), maíssterkja, vanilluþykkni (0,1%), vanillukorn, sítrónusafi, skyrgerlar, laktasi.</v>
      </c>
      <c r="L76" s="28" t="str">
        <f aca="false">IFERROR(INDEX(Vöruskrá!$G:$G,MATCH(F76,Vöruskrá!$B:$B,0)),IFERROR(INDEX(Réttabanki!$E:$E,MATCH(F76,Réttabanki!$A:$A,0)),""))</f>
        <v>Mjólk</v>
      </c>
      <c r="M76" s="28" t="n">
        <f aca="false">IFERROR(INDEX(Vöruskrá!$H:$H,MATCH(F76,Vöruskrá!$B:$B,0)),IFERROR(INDEX(Réttabanki!$F:$F,MATCH(F76,Réttabanki!$A:$A,0)),""))</f>
        <v>0</v>
      </c>
      <c r="N76" s="29" t="n">
        <f aca="false">IFERROR(INDEX(Vöruskrá!$J:$J,MATCH(F76,Vöruskrá!$B:$B,0))*H76/100,IFERROR(INDEX(Réttabanki!$G:$G,MATCH(F76,Réttabanki!$A:$A,0))*H76/100,""))</f>
        <v>234</v>
      </c>
      <c r="O76" s="29" t="n">
        <f aca="false">IFERROR(INDEX(Vöruskrá!$K:$K,MATCH(F76,Vöruskrá!$B:$B,0))*H76/100,IFERROR(INDEX(Réttabanki!$H:$H,MATCH(F76,Réttabanki!$A:$A,0))*H76/100,""))</f>
        <v>0.9</v>
      </c>
      <c r="P76" s="29" t="n">
        <f aca="false">IFERROR(INDEX(Vöruskrá!$L:$L,MATCH(F76,Vöruskrá!$B:$B,0))*H76/100,IFERROR(INDEX(Réttabanki!$I:$I,MATCH(F76,Réttabanki!$A:$A,0))*H76/100,""))</f>
        <v>0.6</v>
      </c>
      <c r="Q76" s="29" t="n">
        <f aca="false">IFERROR(INDEX(Vöruskrá!$M:$M,MATCH(F76,Vöruskrá!$B:$B,0))*H76/100,IFERROR(INDEX(Réttabanki!$J:$J,MATCH(F76,Réttabanki!$A:$A,0))*H76/100,""))</f>
        <v>23.7</v>
      </c>
      <c r="R76" s="29" t="n">
        <f aca="false">IFERROR(INDEX(Vöruskrá!$O:$O,MATCH(F76,Vöruskrá!$B:$B,0))*H76/100,IFERROR(INDEX(Réttabanki!$L:$L,MATCH(F76,Réttabanki!$A:$A,0))*H76/100,""))</f>
        <v>33</v>
      </c>
      <c r="S76" s="29" t="n">
        <f aca="false">IFERROR(INDEX(Vöruskrá!$P:$P,MATCH(F76,Vöruskrá!$B:$B,0))*H76/100,IFERROR(INDEX(Réttabanki!$M:$M,MATCH(F76,Réttabanki!$A:$A,0))*H76/100,""))</f>
        <v>0.3</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7"/>
      <c r="B77" s="38"/>
      <c r="C77" s="38"/>
      <c r="D77" s="39" t="s">
        <v>771</v>
      </c>
      <c r="E77" s="39" t="s">
        <v>776</v>
      </c>
      <c r="F77" s="40"/>
      <c r="G77" s="39" t="s">
        <v>852</v>
      </c>
      <c r="H77" s="41"/>
      <c r="I77" s="41"/>
      <c r="J77" s="42"/>
      <c r="K77" s="28" t="s">
        <v>607</v>
      </c>
      <c r="L77" s="28" t="s">
        <v>253</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33"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7"/>
      <c r="B78" s="38"/>
      <c r="C78" s="38"/>
      <c r="D78" s="39" t="s">
        <v>771</v>
      </c>
      <c r="E78" s="39" t="s">
        <v>776</v>
      </c>
      <c r="F78" s="40" t="s">
        <v>604</v>
      </c>
      <c r="G78" s="39" t="s">
        <v>853</v>
      </c>
      <c r="H78" s="41" t="n">
        <v>150</v>
      </c>
      <c r="I78" s="41"/>
      <c r="J78" s="42"/>
      <c r="K78" s="28" t="str">
        <f aca="false">IFERROR(INDEX(Vöruskrá!$F:$F,MATCH(F78,Vöruskrá!$B:$B,0)),IFERROR(INDEX(Réttabanki!$D:$D,MATCH(F78,Réttabanki!$A:$A,0)),""))</f>
        <v>Vatn, sældar **SOJABAUNIR** 9%, jarðarber 7%, sykur, pólýdextrós (trefjar), þrúgusykur, umbreytt sterkja, sterkja, vítamín (D2, riboflavín (B2), B12, fólasýra), kalsín, náttúruleg bragðefni, þykkingarefni (pektín), salt, þráavarnarefni (askorbínsýra), litarefni (karótín), súrdeigsmengi.</v>
      </c>
      <c r="L78" s="28" t="str">
        <f aca="false">IFERROR(INDEX(Vöruskrá!$G:$G,MATCH(F78,Vöruskrá!$B:$B,0)),IFERROR(INDEX(Réttabanki!$E:$E,MATCH(F78,Réttabanki!$A:$A,0)),""))</f>
        <v>Soja (sojabaunir)</v>
      </c>
      <c r="M78" s="28" t="n">
        <f aca="false">IFERROR(INDEX(Vöruskrá!$H:$H,MATCH(F78,Vöruskrá!$B:$B,0)),IFERROR(INDEX(Réttabanki!$F:$F,MATCH(F78,Réttabanki!$A:$A,0)),""))</f>
        <v>0</v>
      </c>
      <c r="N78" s="29" t="n">
        <f aca="false">IFERROR(INDEX(Vöruskrá!$J:$J,MATCH(F78,Vöruskrá!$B:$B,0))*H78/100,IFERROR(INDEX(Réttabanki!$G:$G,MATCH(F78,Réttabanki!$A:$A,0))*H78/100,""))</f>
        <v>117</v>
      </c>
      <c r="O78" s="29" t="n">
        <f aca="false">IFERROR(INDEX(Vöruskrá!$K:$K,MATCH(F78,Vöruskrá!$B:$B,0))*H78/100,IFERROR(INDEX(Réttabanki!$H:$H,MATCH(F78,Réttabanki!$A:$A,0))*H78/100,""))</f>
        <v>2.85</v>
      </c>
      <c r="P78" s="29" t="n">
        <f aca="false">IFERROR(INDEX(Vöruskrá!$L:$L,MATCH(F78,Vöruskrá!$B:$B,0))*H78/100,IFERROR(INDEX(Réttabanki!$I:$I,MATCH(F78,Réttabanki!$A:$A,0))*H78/100,""))</f>
        <v>0.45</v>
      </c>
      <c r="Q78" s="29" t="n">
        <f aca="false">IFERROR(INDEX(Vöruskrá!$M:$M,MATCH(F78,Vöruskrá!$B:$B,0))*H78/100,IFERROR(INDEX(Réttabanki!$J:$J,MATCH(F78,Réttabanki!$A:$A,0))*H78/100,""))</f>
        <v>15</v>
      </c>
      <c r="R78" s="29" t="n">
        <f aca="false">IFERROR(INDEX(Vöruskrá!$O:$O,MATCH(F78,Vöruskrá!$B:$B,0))*H78/100,IFERROR(INDEX(Réttabanki!$L:$L,MATCH(F78,Réttabanki!$A:$A,0))*H78/100,""))</f>
        <v>5.7</v>
      </c>
      <c r="S78" s="29" t="n">
        <f aca="false">IFERROR(INDEX(Vöruskrá!$P:$P,MATCH(F78,Vöruskrá!$B:$B,0))*H78/100,IFERROR(INDEX(Réttabanki!$M:$M,MATCH(F78,Réttabanki!$A:$A,0))*H78/100,""))</f>
        <v>0.15</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7"/>
      <c r="B79" s="38"/>
      <c r="C79" s="38"/>
      <c r="D79" s="39" t="s">
        <v>771</v>
      </c>
      <c r="E79" s="39" t="s">
        <v>780</v>
      </c>
      <c r="F79" s="40"/>
      <c r="G79" s="39"/>
      <c r="H79" s="41"/>
      <c r="I79" s="41"/>
      <c r="J79" s="42"/>
      <c r="K79" s="28"/>
      <c r="L79" s="28" t="s">
        <v>167</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33"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7"/>
      <c r="B80" s="38"/>
      <c r="C80" s="38"/>
      <c r="D80" s="39" t="s">
        <v>771</v>
      </c>
      <c r="E80" s="39" t="s">
        <v>782</v>
      </c>
      <c r="F80" s="40"/>
      <c r="G80" s="39" t="s">
        <v>854</v>
      </c>
      <c r="H80" s="41"/>
      <c r="I80" s="41"/>
      <c r="J80" s="42"/>
      <c r="K80" s="28" t="s">
        <v>855</v>
      </c>
      <c r="L80" s="28" t="s">
        <v>856</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7"/>
      <c r="B81" s="38"/>
      <c r="C81" s="38"/>
      <c r="D81" s="39" t="s">
        <v>771</v>
      </c>
      <c r="E81" s="39" t="s">
        <v>782</v>
      </c>
      <c r="F81" s="40" t="s">
        <v>90</v>
      </c>
      <c r="G81" s="39" t="s">
        <v>92</v>
      </c>
      <c r="H81" s="41" t="n">
        <v>25</v>
      </c>
      <c r="I81" s="41"/>
      <c r="J81" s="42"/>
      <c r="K81" s="28" t="str">
        <f aca="false">IFERROR(INDEX(Vöruskrá!$F:$F,MATCH(F81,Vöruskrá!$B:$B,0)),IFERROR(INDEX(Réttabanki!$D:$D,MATCH(F81,Réttabanki!$A:$A,0)),""))</f>
        <v>Heilkorna**rúg**mjöl, **spelt**flögur (**hveiti**), heilkorna**spelt**mjöl (**hveiti**), salt.</v>
      </c>
      <c r="L81" s="28" t="str">
        <f aca="false">IFERROR(INDEX(Vöruskrá!$G:$G,MATCH(F81,Vöruskrá!$B:$B,0)),IFERROR(INDEX(Réttabanki!$E:$E,MATCH(F81,Réttabanki!$A:$A,0)),""))</f>
        <v>Glúten (rúg, spelt (hveiti))</v>
      </c>
      <c r="M81" s="28" t="str">
        <f aca="false">IFERROR(INDEX(Vöruskrá!$H:$H,MATCH(F81,Vöruskrá!$B:$B,0)),IFERROR(INDEX(Réttabanki!$F:$F,MATCH(F81,Réttabanki!$A:$A,0)),""))</f>
        <v>Getur innihaldið snefil af sesam, mjólk og öðrum glútentegundum</v>
      </c>
      <c r="N81" s="29" t="n">
        <f aca="false">IFERROR(INDEX(Vöruskrá!$J:$J,MATCH(F81,Vöruskrá!$B:$B,0))*H81/100,IFERROR(INDEX(Réttabanki!$G:$G,MATCH(F81,Réttabanki!$A:$A,0))*H81/100,""))</f>
        <v>81</v>
      </c>
      <c r="O81" s="29" t="n">
        <f aca="false">IFERROR(INDEX(Vöruskrá!$K:$K,MATCH(F81,Vöruskrá!$B:$B,0))*H81/100,IFERROR(INDEX(Réttabanki!$H:$H,MATCH(F81,Réttabanki!$A:$A,0))*H81/100,""))</f>
        <v>0.4</v>
      </c>
      <c r="P81" s="29" t="n">
        <f aca="false">IFERROR(INDEX(Vöruskrá!$L:$L,MATCH(F81,Vöruskrá!$B:$B,0))*H81/100,IFERROR(INDEX(Réttabanki!$I:$I,MATCH(F81,Réttabanki!$A:$A,0))*H81/100,""))</f>
        <v>0.075</v>
      </c>
      <c r="Q81" s="29" t="n">
        <f aca="false">IFERROR(INDEX(Vöruskrá!$M:$M,MATCH(F81,Vöruskrá!$B:$B,0))*H81/100,IFERROR(INDEX(Réttabanki!$J:$J,MATCH(F81,Réttabanki!$A:$A,0))*H81/100,""))</f>
        <v>14.75</v>
      </c>
      <c r="R81" s="29" t="n">
        <f aca="false">IFERROR(INDEX(Vöruskrá!$O:$O,MATCH(F81,Vöruskrá!$B:$B,0))*H81/100,IFERROR(INDEX(Réttabanki!$L:$L,MATCH(F81,Réttabanki!$A:$A,0))*H81/100,""))</f>
        <v>2.15</v>
      </c>
      <c r="S81" s="29" t="n">
        <f aca="false">IFERROR(INDEX(Vöruskrá!$P:$P,MATCH(F81,Vöruskrá!$B:$B,0))*H81/100,IFERROR(INDEX(Réttabanki!$M:$M,MATCH(F81,Réttabanki!$A:$A,0))*H81/100,""))</f>
        <v>0.325</v>
      </c>
      <c r="T81" s="33"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7"/>
      <c r="B82" s="38"/>
      <c r="C82" s="38"/>
      <c r="D82" s="39" t="s">
        <v>771</v>
      </c>
      <c r="E82" s="39" t="s">
        <v>782</v>
      </c>
      <c r="F82" s="40" t="s">
        <v>170</v>
      </c>
      <c r="G82" s="39" t="s">
        <v>857</v>
      </c>
      <c r="H82" s="41" t="n">
        <v>20</v>
      </c>
      <c r="I82" s="41"/>
      <c r="J82" s="42"/>
      <c r="K82" s="28" t="str">
        <f aca="false">IFERROR(INDEX(Vöruskrá!$F:$F,MATCH(F82,Vöruskrá!$B:$B,0)),IFERROR(INDEX(Réttabanki!$D:$D,MATCH(F82,Réttabanki!$A:$A,0)),""))</f>
        <v>Grísakjöt (62%), vatn, kartöflumjöl, **sojaprótein**, salt, þrúgusykur, bindiefni (E451), þráavarnarefni (E301, E330), gerextrakt, þykkingarefni (E410, E407), bragðefni, rotvarnarefni (E270, E250)</v>
      </c>
      <c r="L82" s="28" t="str">
        <f aca="false">IFERROR(INDEX(Vöruskrá!$G:$G,MATCH(F82,Vöruskrá!$B:$B,0)),IFERROR(INDEX(Réttabanki!$E:$E,MATCH(F82,Réttabanki!$A:$A,0)),""))</f>
        <v>Soja</v>
      </c>
      <c r="M82" s="28" t="n">
        <f aca="false">IFERROR(INDEX(Vöruskrá!$H:$H,MATCH(F82,Vöruskrá!$B:$B,0)),IFERROR(INDEX(Réttabanki!$F:$F,MATCH(F82,Réttabanki!$A:$A,0)),""))</f>
        <v>0</v>
      </c>
      <c r="N82" s="29" t="n">
        <f aca="false">IFERROR(INDEX(Vöruskrá!$J:$J,MATCH(F82,Vöruskrá!$B:$B,0))*H82/100,IFERROR(INDEX(Réttabanki!$G:$G,MATCH(F82,Réttabanki!$A:$A,0))*H82/100,""))</f>
        <v>24.4</v>
      </c>
      <c r="O82" s="29" t="n">
        <f aca="false">IFERROR(INDEX(Vöruskrá!$K:$K,MATCH(F82,Vöruskrá!$B:$B,0))*H82/100,IFERROR(INDEX(Réttabanki!$H:$H,MATCH(F82,Réttabanki!$A:$A,0))*H82/100,""))</f>
        <v>1.18</v>
      </c>
      <c r="P82" s="29" t="n">
        <f aca="false">IFERROR(INDEX(Vöruskrá!$L:$L,MATCH(F82,Vöruskrá!$B:$B,0))*H82/100,IFERROR(INDEX(Réttabanki!$I:$I,MATCH(F82,Réttabanki!$A:$A,0))*H82/100,""))</f>
        <v>0.48</v>
      </c>
      <c r="Q82" s="29" t="n">
        <f aca="false">IFERROR(INDEX(Vöruskrá!$M:$M,MATCH(F82,Vöruskrá!$B:$B,0))*H82/100,IFERROR(INDEX(Réttabanki!$J:$J,MATCH(F82,Réttabanki!$A:$A,0))*H82/100,""))</f>
        <v>0.72</v>
      </c>
      <c r="R82" s="29" t="n">
        <f aca="false">IFERROR(INDEX(Vöruskrá!$O:$O,MATCH(F82,Vöruskrá!$B:$B,0))*H82/100,IFERROR(INDEX(Réttabanki!$L:$L,MATCH(F82,Réttabanki!$A:$A,0))*H82/100,""))</f>
        <v>2.68</v>
      </c>
      <c r="S82" s="29" t="n">
        <f aca="false">IFERROR(INDEX(Vöruskrá!$P:$P,MATCH(F82,Vöruskrá!$B:$B,0))*H82/100,IFERROR(INDEX(Réttabanki!$M:$M,MATCH(F82,Réttabanki!$A:$A,0))*H82/100,""))</f>
        <v>0.54</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7" t="n">
        <v>46205</v>
      </c>
      <c r="B83" s="38"/>
      <c r="C83" s="38"/>
      <c r="D83" s="39" t="s">
        <v>771</v>
      </c>
      <c r="E83" s="39" t="s">
        <v>772</v>
      </c>
      <c r="F83" s="40"/>
      <c r="G83" s="39" t="s">
        <v>858</v>
      </c>
      <c r="H83" s="41"/>
      <c r="I83" s="41"/>
      <c r="J83" s="42"/>
      <c r="K83" s="28" t="s">
        <v>859</v>
      </c>
      <c r="L83" s="28" t="s">
        <v>224</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33"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7"/>
      <c r="B84" s="38"/>
      <c r="C84" s="38"/>
      <c r="D84" s="39" t="s">
        <v>771</v>
      </c>
      <c r="E84" s="39" t="s">
        <v>772</v>
      </c>
      <c r="F84" s="40" t="s">
        <v>221</v>
      </c>
      <c r="G84" s="39" t="s">
        <v>221</v>
      </c>
      <c r="H84" s="41" t="n">
        <v>130</v>
      </c>
      <c r="I84" s="41"/>
      <c r="J84" s="42"/>
      <c r="K84" s="28" t="str">
        <f aca="false">IFERROR(INDEX(Vöruskrá!$F:$F,MATCH(F84,Vöruskrá!$B:$B,0)),IFERROR(INDEX(Réttabanki!$D:$D,MATCH(F84,Réttabanki!$A:$A,0)),""))</f>
        <v>Ýsa, marinering (vatn, repjuolía, pipar, engifer, kóríander, kúmen, chili, salt, sítrónusafi, sykur, rauðrófuduft, náttúruleg bragðefni, þykkingarefni xantangúmmí E415, þurrkaður hvítlaukur, rotvarnarefni kalíumsorbat E202).</v>
      </c>
      <c r="L84" s="28" t="str">
        <f aca="false">IFERROR(INDEX(Vöruskrá!$G:$G,MATCH(F84,Vöruskrá!$B:$B,0)),IFERROR(INDEX(Réttabanki!$E:$E,MATCH(F84,Réttabanki!$A:$A,0)),""))</f>
        <v>Fiskur (ýsa)</v>
      </c>
      <c r="M84" s="28" t="n">
        <f aca="false">IFERROR(INDEX(Vöruskrá!$H:$H,MATCH(F84,Vöruskrá!$B:$B,0)),IFERROR(INDEX(Réttabanki!$F:$F,MATCH(F84,Réttabanki!$A:$A,0)),""))</f>
        <v>0</v>
      </c>
      <c r="N84" s="29" t="n">
        <f aca="false">IFERROR(INDEX(Vöruskrá!$J:$J,MATCH(F84,Vöruskrá!$B:$B,0))*H84/100,IFERROR(INDEX(Réttabanki!$G:$G,MATCH(F84,Réttabanki!$A:$A,0))*H84/100,""))</f>
        <v>148.2</v>
      </c>
      <c r="O84" s="29" t="n">
        <f aca="false">IFERROR(INDEX(Vöruskrá!$K:$K,MATCH(F84,Vöruskrá!$B:$B,0))*H84/100,IFERROR(INDEX(Réttabanki!$H:$H,MATCH(F84,Réttabanki!$A:$A,0))*H84/100,""))</f>
        <v>7.67</v>
      </c>
      <c r="P84" s="29" t="n">
        <f aca="false">IFERROR(INDEX(Vöruskrá!$L:$L,MATCH(F84,Vöruskrá!$B:$B,0))*H84/100,IFERROR(INDEX(Réttabanki!$I:$I,MATCH(F84,Réttabanki!$A:$A,0))*H84/100,""))</f>
        <v>0.65</v>
      </c>
      <c r="Q84" s="29" t="n">
        <f aca="false">IFERROR(INDEX(Vöruskrá!$M:$M,MATCH(F84,Vöruskrá!$B:$B,0))*H84/100,IFERROR(INDEX(Réttabanki!$J:$J,MATCH(F84,Réttabanki!$A:$A,0))*H84/100,""))</f>
        <v>2.34</v>
      </c>
      <c r="R84" s="29" t="n">
        <f aca="false">IFERROR(INDEX(Vöruskrá!$O:$O,MATCH(F84,Vöruskrá!$B:$B,0))*H84/100,IFERROR(INDEX(Réttabanki!$L:$L,MATCH(F84,Réttabanki!$A:$A,0))*H84/100,""))</f>
        <v>16.9</v>
      </c>
      <c r="S84" s="29" t="n">
        <f aca="false">IFERROR(INDEX(Vöruskrá!$P:$P,MATCH(F84,Vöruskrá!$B:$B,0))*H84/100,IFERROR(INDEX(Réttabanki!$M:$M,MATCH(F84,Réttabanki!$A:$A,0))*H84/100,""))</f>
        <v>1.04</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7"/>
      <c r="B85" s="38"/>
      <c r="C85" s="38"/>
      <c r="D85" s="39" t="s">
        <v>771</v>
      </c>
      <c r="E85" s="39" t="s">
        <v>772</v>
      </c>
      <c r="F85" s="40" t="s">
        <v>530</v>
      </c>
      <c r="G85" s="39" t="s">
        <v>775</v>
      </c>
      <c r="H85" s="41" t="n">
        <v>80</v>
      </c>
      <c r="I85" s="41"/>
      <c r="J85" s="42"/>
      <c r="K85" s="28" t="str">
        <f aca="false">IFERROR(INDEX(Vöruskrá!$F:$F,MATCH(F85,Vöruskrá!$B:$B,0)),IFERROR(INDEX(Réttabanki!$D:$D,MATCH(F85,Réttabanki!$A:$A,0)),""))</f>
        <v>Hrísgrjón 100%</v>
      </c>
      <c r="L85" s="28" t="n">
        <f aca="false">IFERROR(INDEX(Vöruskrá!$G:$G,MATCH(F85,Vöruskrá!$B:$B,0)),IFERROR(INDEX(Réttabanki!$E:$E,MATCH(F85,Réttabanki!$A:$A,0)),""))</f>
        <v>0</v>
      </c>
      <c r="M85" s="28" t="n">
        <f aca="false">IFERROR(INDEX(Vöruskrá!$H:$H,MATCH(F85,Vöruskrá!$B:$B,0)),IFERROR(INDEX(Réttabanki!$F:$F,MATCH(F85,Réttabanki!$A:$A,0)),""))</f>
        <v>0</v>
      </c>
      <c r="N85" s="29" t="n">
        <f aca="false">IFERROR(INDEX(Vöruskrá!$J:$J,MATCH(F85,Vöruskrá!$B:$B,0))*H85/100,IFERROR(INDEX(Réttabanki!$G:$G,MATCH(F85,Réttabanki!$A:$A,0))*H85/100,""))</f>
        <v>292</v>
      </c>
      <c r="O85" s="29" t="n">
        <f aca="false">IFERROR(INDEX(Vöruskrá!$K:$K,MATCH(F85,Vöruskrá!$B:$B,0))*H85/100,IFERROR(INDEX(Réttabanki!$H:$H,MATCH(F85,Réttabanki!$A:$A,0))*H85/100,""))</f>
        <v>0.56</v>
      </c>
      <c r="P85" s="29" t="n">
        <f aca="false">IFERROR(INDEX(Vöruskrá!$L:$L,MATCH(F85,Vöruskrá!$B:$B,0))*H85/100,IFERROR(INDEX(Réttabanki!$I:$I,MATCH(F85,Réttabanki!$A:$A,0))*H85/100,""))</f>
        <v>0.16</v>
      </c>
      <c r="Q85" s="29" t="n">
        <f aca="false">IFERROR(INDEX(Vöruskrá!$M:$M,MATCH(F85,Vöruskrá!$B:$B,0))*H85/100,IFERROR(INDEX(Réttabanki!$J:$J,MATCH(F85,Réttabanki!$A:$A,0))*H85/100,""))</f>
        <v>64</v>
      </c>
      <c r="R85" s="29" t="n">
        <f aca="false">IFERROR(INDEX(Vöruskrá!$O:$O,MATCH(F85,Vöruskrá!$B:$B,0))*H85/100,IFERROR(INDEX(Réttabanki!$L:$L,MATCH(F85,Réttabanki!$A:$A,0))*H85/100,""))</f>
        <v>5.6</v>
      </c>
      <c r="S85" s="29" t="n">
        <f aca="false">IFERROR(INDEX(Vöruskrá!$P:$P,MATCH(F85,Vöruskrá!$B:$B,0))*H85/100,IFERROR(INDEX(Réttabanki!$M:$M,MATCH(F85,Réttabanki!$A:$A,0))*H85/100,""))</f>
        <v>0</v>
      </c>
      <c r="T85" s="33"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7"/>
      <c r="B86" s="38"/>
      <c r="C86" s="38"/>
      <c r="D86" s="39" t="s">
        <v>771</v>
      </c>
      <c r="E86" s="39" t="s">
        <v>776</v>
      </c>
      <c r="F86" s="40"/>
      <c r="G86" s="39" t="s">
        <v>860</v>
      </c>
      <c r="H86" s="41"/>
      <c r="I86" s="41"/>
      <c r="J86" s="42"/>
      <c r="K86" s="28" t="s">
        <v>861</v>
      </c>
      <c r="L86" s="28" t="s">
        <v>297</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7"/>
      <c r="B87" s="38"/>
      <c r="C87" s="38"/>
      <c r="D87" s="39" t="s">
        <v>771</v>
      </c>
      <c r="E87" s="39" t="s">
        <v>776</v>
      </c>
      <c r="F87" s="40" t="s">
        <v>301</v>
      </c>
      <c r="G87" s="39" t="s">
        <v>301</v>
      </c>
      <c r="H87" s="41" t="n">
        <v>140</v>
      </c>
      <c r="I87" s="41"/>
      <c r="J87" s="42"/>
      <c r="K87" s="28" t="str">
        <f aca="false">IFERROR(INDEX(Vöruskrá!$F:$F,MATCH(F87,Vöruskrá!$B:$B,0)),IFERROR(INDEX(Réttabanki!$D:$D,MATCH(F87,Réttabanki!$A:$A,0)),""))</f>
        <v>Vatn, **BYGG**, kjúklingabaunir, sætar kartöflur, svartar baunir, laukur, kartöflur, baunaprótein, repjuolía, hvítlaukur, bindiefni, tómatpúrra, salt, basil, papríkukrydd, hvítur pipar, rósmarín.</v>
      </c>
      <c r="L87" s="28" t="str">
        <f aca="false">IFERROR(INDEX(Vöruskrá!$G:$G,MATCH(F87,Vöruskrá!$B:$B,0)),IFERROR(INDEX(Réttabanki!$E:$E,MATCH(F87,Réttabanki!$A:$A,0)),""))</f>
        <v>Glúten (bygg)</v>
      </c>
      <c r="M87" s="28" t="str">
        <f aca="false">IFERROR(INDEX(Vöruskrá!$H:$H,MATCH(F87,Vöruskrá!$B:$B,0)),IFERROR(INDEX(Réttabanki!$F:$F,MATCH(F87,Réttabanki!$A:$A,0)),""))</f>
        <v>Gæti innihaldið snefil af hnetum og sesam.</v>
      </c>
      <c r="N87" s="29" t="n">
        <f aca="false">IFERROR(INDEX(Vöruskrá!$J:$J,MATCH(F87,Vöruskrá!$B:$B,0))*H87/100,IFERROR(INDEX(Réttabanki!$G:$G,MATCH(F87,Réttabanki!$A:$A,0))*H87/100,""))</f>
        <v>369.6</v>
      </c>
      <c r="O87" s="29" t="n">
        <f aca="false">IFERROR(INDEX(Vöruskrá!$K:$K,MATCH(F87,Vöruskrá!$B:$B,0))*H87/100,IFERROR(INDEX(Réttabanki!$H:$H,MATCH(F87,Réttabanki!$A:$A,0))*H87/100,""))</f>
        <v>10.92</v>
      </c>
      <c r="P87" s="29" t="n">
        <f aca="false">IFERROR(INDEX(Vöruskrá!$L:$L,MATCH(F87,Vöruskrá!$B:$B,0))*H87/100,IFERROR(INDEX(Réttabanki!$I:$I,MATCH(F87,Réttabanki!$A:$A,0))*H87/100,""))</f>
        <v>0.98</v>
      </c>
      <c r="Q87" s="29" t="n">
        <f aca="false">IFERROR(INDEX(Vöruskrá!$M:$M,MATCH(F87,Vöruskrá!$B:$B,0))*H87/100,IFERROR(INDEX(Réttabanki!$J:$J,MATCH(F87,Réttabanki!$A:$A,0))*H87/100,""))</f>
        <v>41.86</v>
      </c>
      <c r="R87" s="29" t="n">
        <f aca="false">IFERROR(INDEX(Vöruskrá!$O:$O,MATCH(F87,Vöruskrá!$B:$B,0))*H87/100,IFERROR(INDEX(Réttabanki!$L:$L,MATCH(F87,Réttabanki!$A:$A,0))*H87/100,""))</f>
        <v>18.62</v>
      </c>
      <c r="S87" s="29" t="n">
        <f aca="false">IFERROR(INDEX(Vöruskrá!$P:$P,MATCH(F87,Vöruskrá!$B:$B,0))*H87/100,IFERROR(INDEX(Réttabanki!$M:$M,MATCH(F87,Réttabanki!$A:$A,0))*H87/100,""))</f>
        <v>2.38</v>
      </c>
      <c r="T87" s="33"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7"/>
      <c r="B88" s="38"/>
      <c r="C88" s="38"/>
      <c r="D88" s="39" t="s">
        <v>771</v>
      </c>
      <c r="E88" s="39" t="s">
        <v>776</v>
      </c>
      <c r="F88" s="40" t="s">
        <v>530</v>
      </c>
      <c r="G88" s="39" t="s">
        <v>775</v>
      </c>
      <c r="H88" s="41" t="n">
        <v>80</v>
      </c>
      <c r="I88" s="41"/>
      <c r="J88" s="42"/>
      <c r="K88" s="28" t="str">
        <f aca="false">IFERROR(INDEX(Vöruskrá!$F:$F,MATCH(F88,Vöruskrá!$B:$B,0)),IFERROR(INDEX(Réttabanki!$D:$D,MATCH(F88,Réttabanki!$A:$A,0)),""))</f>
        <v>Hrísgrjón 100%</v>
      </c>
      <c r="L88" s="28" t="n">
        <f aca="false">IFERROR(INDEX(Vöruskrá!$G:$G,MATCH(F88,Vöruskrá!$B:$B,0)),IFERROR(INDEX(Réttabanki!$E:$E,MATCH(F88,Réttabanki!$A:$A,0)),""))</f>
        <v>0</v>
      </c>
      <c r="M88" s="28" t="n">
        <f aca="false">IFERROR(INDEX(Vöruskrá!$H:$H,MATCH(F88,Vöruskrá!$B:$B,0)),IFERROR(INDEX(Réttabanki!$F:$F,MATCH(F88,Réttabanki!$A:$A,0)),""))</f>
        <v>0</v>
      </c>
      <c r="N88" s="29" t="n">
        <f aca="false">IFERROR(INDEX(Vöruskrá!$J:$J,MATCH(F88,Vöruskrá!$B:$B,0))*H88/100,IFERROR(INDEX(Réttabanki!$G:$G,MATCH(F88,Réttabanki!$A:$A,0))*H88/100,""))</f>
        <v>292</v>
      </c>
      <c r="O88" s="29" t="n">
        <f aca="false">IFERROR(INDEX(Vöruskrá!$K:$K,MATCH(F88,Vöruskrá!$B:$B,0))*H88/100,IFERROR(INDEX(Réttabanki!$H:$H,MATCH(F88,Réttabanki!$A:$A,0))*H88/100,""))</f>
        <v>0.56</v>
      </c>
      <c r="P88" s="29" t="n">
        <f aca="false">IFERROR(INDEX(Vöruskrá!$L:$L,MATCH(F88,Vöruskrá!$B:$B,0))*H88/100,IFERROR(INDEX(Réttabanki!$I:$I,MATCH(F88,Réttabanki!$A:$A,0))*H88/100,""))</f>
        <v>0.16</v>
      </c>
      <c r="Q88" s="29" t="n">
        <f aca="false">IFERROR(INDEX(Vöruskrá!$M:$M,MATCH(F88,Vöruskrá!$B:$B,0))*H88/100,IFERROR(INDEX(Réttabanki!$J:$J,MATCH(F88,Réttabanki!$A:$A,0))*H88/100,""))</f>
        <v>64</v>
      </c>
      <c r="R88" s="29" t="n">
        <f aca="false">IFERROR(INDEX(Vöruskrá!$O:$O,MATCH(F88,Vöruskrá!$B:$B,0))*H88/100,IFERROR(INDEX(Réttabanki!$L:$L,MATCH(F88,Réttabanki!$A:$A,0))*H88/100,""))</f>
        <v>5.6</v>
      </c>
      <c r="S88" s="29" t="n">
        <f aca="false">IFERROR(INDEX(Vöruskrá!$P:$P,MATCH(F88,Vöruskrá!$B:$B,0))*H88/100,IFERROR(INDEX(Réttabanki!$M:$M,MATCH(F88,Réttabanki!$A:$A,0))*H88/100,""))</f>
        <v>0</v>
      </c>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7"/>
      <c r="B89" s="38"/>
      <c r="C89" s="38"/>
      <c r="D89" s="39" t="s">
        <v>771</v>
      </c>
      <c r="E89" s="39" t="s">
        <v>780</v>
      </c>
      <c r="F89" s="40"/>
      <c r="G89" s="39"/>
      <c r="H89" s="41"/>
      <c r="I89" s="41"/>
      <c r="J89" s="42"/>
      <c r="K89" s="28"/>
      <c r="L89" s="28" t="s">
        <v>167</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33"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7"/>
      <c r="B90" s="38"/>
      <c r="C90" s="38"/>
      <c r="D90" s="39" t="s">
        <v>771</v>
      </c>
      <c r="E90" s="39" t="s">
        <v>782</v>
      </c>
      <c r="F90" s="40"/>
      <c r="G90" s="39" t="s">
        <v>862</v>
      </c>
      <c r="H90" s="41"/>
      <c r="I90" s="41"/>
      <c r="J90" s="42"/>
      <c r="K90" s="28" t="s">
        <v>863</v>
      </c>
      <c r="L90" s="28" t="s">
        <v>864</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7"/>
      <c r="B91" s="38"/>
      <c r="C91" s="38"/>
      <c r="D91" s="39" t="s">
        <v>771</v>
      </c>
      <c r="E91" s="39" t="s">
        <v>782</v>
      </c>
      <c r="F91" s="40" t="s">
        <v>36</v>
      </c>
      <c r="G91" s="39" t="s">
        <v>812</v>
      </c>
      <c r="H91" s="41" t="n">
        <v>30</v>
      </c>
      <c r="I91" s="41"/>
      <c r="J91" s="42"/>
      <c r="K91" s="28" t="str">
        <f aca="false">IFERROR(INDEX(Vöruskrá!$F:$F,MATCH(F91,Vöruskrá!$B:$B,0)),IFERROR(INDEX(Réttabanki!$D:$D,MATCH(F91,Réttabanki!$A:$A,0)),""))</f>
        <v>**Hveiti**, vatn, 12,3% - sólkjarnafræ, **rúgmjöl**, hörfræ, maltað **hveiti**, salt, maltað **bygg**, mjölmeðhöndlunarefni (E300), ger, malt extrakt (úr **byggi**), súrdeigsduft úr **hveiti** (**hveiti**, gerlar), dextrósi, **hveitiglúten**, bindiefni (E472e, E491), ensím, kekkjarvarnarefni (E535)</v>
      </c>
      <c r="L91" s="28" t="str">
        <f aca="false">IFERROR(INDEX(Vöruskrá!$G:$G,MATCH(F91,Vöruskrá!$B:$B,0)),IFERROR(INDEX(Réttabanki!$E:$E,MATCH(F91,Réttabanki!$A:$A,0)),""))</f>
        <v>Glúten</v>
      </c>
      <c r="M91" s="28" t="str">
        <f aca="false">IFERROR(INDEX(Vöruskrá!$H:$H,MATCH(F91,Vöruskrá!$B:$B,0)),IFERROR(INDEX(Réttabanki!$F:$F,MATCH(F91,Réttabanki!$A:$A,0)),""))</f>
        <v>Gæti innihaldið snefil af sesamfræjum</v>
      </c>
      <c r="N91" s="29" t="n">
        <f aca="false">IFERROR(INDEX(Vöruskrá!$J:$J,MATCH(F91,Vöruskrá!$B:$B,0))*H91/100,IFERROR(INDEX(Réttabanki!$G:$G,MATCH(F91,Réttabanki!$A:$A,0))*H91/100,""))</f>
        <v>93.3</v>
      </c>
      <c r="O91" s="29" t="n">
        <f aca="false">IFERROR(INDEX(Vöruskrá!$K:$K,MATCH(F91,Vöruskrá!$B:$B,0))*H91/100,IFERROR(INDEX(Réttabanki!$H:$H,MATCH(F91,Réttabanki!$A:$A,0))*H91/100,""))</f>
        <v>3.24</v>
      </c>
      <c r="P91" s="29" t="n">
        <f aca="false">IFERROR(INDEX(Vöruskrá!$L:$L,MATCH(F91,Vöruskrá!$B:$B,0))*H91/100,IFERROR(INDEX(Réttabanki!$I:$I,MATCH(F91,Réttabanki!$A:$A,0))*H91/100,""))</f>
        <v>0.39</v>
      </c>
      <c r="Q91" s="29" t="n">
        <f aca="false">IFERROR(INDEX(Vöruskrá!$M:$M,MATCH(F91,Vöruskrá!$B:$B,0))*H91/100,IFERROR(INDEX(Réttabanki!$J:$J,MATCH(F91,Réttabanki!$A:$A,0))*H91/100,""))</f>
        <v>12.09</v>
      </c>
      <c r="R91" s="29" t="n">
        <f aca="false">IFERROR(INDEX(Vöruskrá!$O:$O,MATCH(F91,Vöruskrá!$B:$B,0))*H91/100,IFERROR(INDEX(Réttabanki!$L:$L,MATCH(F91,Réttabanki!$A:$A,0))*H91/100,""))</f>
        <v>3.15</v>
      </c>
      <c r="S91" s="29" t="n">
        <f aca="false">IFERROR(INDEX(Vöruskrá!$P:$P,MATCH(F91,Vöruskrá!$B:$B,0))*H91/100,IFERROR(INDEX(Réttabanki!$M:$M,MATCH(F91,Réttabanki!$A:$A,0))*H91/100,""))</f>
        <v>0.33</v>
      </c>
      <c r="T91" s="33"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7"/>
      <c r="B92" s="38"/>
      <c r="C92" s="38"/>
      <c r="D92" s="39" t="s">
        <v>771</v>
      </c>
      <c r="E92" s="39" t="s">
        <v>782</v>
      </c>
      <c r="F92" s="40" t="s">
        <v>211</v>
      </c>
      <c r="G92" s="39" t="s">
        <v>865</v>
      </c>
      <c r="H92" s="41" t="n">
        <v>20</v>
      </c>
      <c r="I92" s="41"/>
      <c r="J92" s="42"/>
      <c r="K92" s="28" t="str">
        <f aca="false">IFERROR(INDEX(Vöruskrá!$F:$F,MATCH(F92,Vöruskrá!$B:$B,0)),IFERROR(INDEX(Réttabanki!$D:$D,MATCH(F92,Réttabanki!$A:$A,0)),""))</f>
        <v>Grísalifur og kjöt 80%, vatn, laukur, salt, kartöflumjöl, **soja**prótein, krydd, vatnsrofið jurtaprótein, repjuolía, maísprótein, jurtafita (pálma), þrúgusykur, rotvarnarefni (E250), þráavarnarefni (E315, E316, E330), bindiefni (E450, E451)</v>
      </c>
      <c r="L92" s="28" t="str">
        <f aca="false">IFERROR(INDEX(Vöruskrá!$G:$G,MATCH(F92,Vöruskrá!$B:$B,0)),IFERROR(INDEX(Réttabanki!$E:$E,MATCH(F92,Réttabanki!$A:$A,0)),""))</f>
        <v>Soja</v>
      </c>
      <c r="M92" s="28" t="n">
        <f aca="false">IFERROR(INDEX(Vöruskrá!$H:$H,MATCH(F92,Vöruskrá!$B:$B,0)),IFERROR(INDEX(Réttabanki!$F:$F,MATCH(F92,Réttabanki!$A:$A,0)),""))</f>
        <v>0</v>
      </c>
      <c r="N92" s="29" t="n">
        <f aca="false">IFERROR(INDEX(Vöruskrá!$J:$J,MATCH(F92,Vöruskrá!$B:$B,0))*H92/100,IFERROR(INDEX(Réttabanki!$G:$G,MATCH(F92,Réttabanki!$A:$A,0))*H92/100,""))</f>
        <v>76.8</v>
      </c>
      <c r="O92" s="29" t="n">
        <f aca="false">IFERROR(INDEX(Vöruskrá!$K:$K,MATCH(F92,Vöruskrá!$B:$B,0))*H92/100,IFERROR(INDEX(Réttabanki!$H:$H,MATCH(F92,Réttabanki!$A:$A,0))*H92/100,""))</f>
        <v>5.86</v>
      </c>
      <c r="P92" s="29" t="n">
        <f aca="false">IFERROR(INDEX(Vöruskrá!$L:$L,MATCH(F92,Vöruskrá!$B:$B,0))*H92/100,IFERROR(INDEX(Réttabanki!$I:$I,MATCH(F92,Réttabanki!$A:$A,0))*H92/100,""))</f>
        <v>2.94</v>
      </c>
      <c r="Q92" s="29" t="n">
        <f aca="false">IFERROR(INDEX(Vöruskrá!$M:$M,MATCH(F92,Vöruskrá!$B:$B,0))*H92/100,IFERROR(INDEX(Réttabanki!$J:$J,MATCH(F92,Réttabanki!$A:$A,0))*H92/100,""))</f>
        <v>0.48</v>
      </c>
      <c r="R92" s="29" t="n">
        <f aca="false">IFERROR(INDEX(Vöruskrá!$O:$O,MATCH(F92,Vöruskrá!$B:$B,0))*H92/100,IFERROR(INDEX(Réttabanki!$L:$L,MATCH(F92,Réttabanki!$A:$A,0))*H92/100,""))</f>
        <v>2.56</v>
      </c>
      <c r="S92" s="29" t="n">
        <f aca="false">IFERROR(INDEX(Vöruskrá!$P:$P,MATCH(F92,Vöruskrá!$B:$B,0))*H92/100,IFERROR(INDEX(Réttabanki!$M:$M,MATCH(F92,Réttabanki!$A:$A,0))*H92/100,""))</f>
        <v>0.34</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7" t="n">
        <v>46206</v>
      </c>
      <c r="B93" s="38"/>
      <c r="C93" s="38"/>
      <c r="D93" s="39" t="s">
        <v>771</v>
      </c>
      <c r="E93" s="39" t="s">
        <v>772</v>
      </c>
      <c r="F93" s="40"/>
      <c r="G93" s="39" t="s">
        <v>716</v>
      </c>
      <c r="H93" s="41"/>
      <c r="I93" s="41"/>
      <c r="J93" s="42"/>
      <c r="K93" s="28" t="s">
        <v>717</v>
      </c>
      <c r="L93" s="28" t="s">
        <v>146</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33"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7"/>
      <c r="B94" s="38"/>
      <c r="C94" s="38"/>
      <c r="D94" s="39" t="s">
        <v>771</v>
      </c>
      <c r="E94" s="39" t="s">
        <v>772</v>
      </c>
      <c r="F94" s="40" t="s">
        <v>716</v>
      </c>
      <c r="G94" s="39" t="s">
        <v>866</v>
      </c>
      <c r="H94" s="41" t="n">
        <v>250</v>
      </c>
      <c r="I94" s="41"/>
      <c r="J94" s="42"/>
      <c r="K94" s="28" t="str">
        <f aca="false">IFERROR(INDEX(Vöruskrá!$F:$F,MATCH(F94,Vöruskrá!$B:$B,0)),IFERROR(INDEX(Réttabanki!$D:$D,MATCH(F94,Réttabanki!$A:$A,0)),""))</f>
        <v>Gerilsneydd **mjólk**, pálmaolía, kekkjavarnarefni (kartöflumjöl), salt, **mjólkursýrugerlar**, ostahleypir. | **Mjólk**. Fitusprengd og gerilsneydd. | Gulrætur 100%. | Laukur | Maíssterkja. | Salt (salt, kekkjavarnarefni E535, lyftiefni E500). | Svartur pipar 100%.</v>
      </c>
      <c r="L94" s="28" t="str">
        <f aca="false">IFERROR(INDEX(Vöruskrá!$G:$G,MATCH(F94,Vöruskrá!$B:$B,0)),IFERROR(INDEX(Réttabanki!$E:$E,MATCH(F94,Réttabanki!$A:$A,0)),""))</f>
        <v>Mjólk</v>
      </c>
      <c r="M94" s="28" t="str">
        <f aca="false">IFERROR(INDEX(Vöruskrá!$H:$H,MATCH(F94,Vöruskrá!$B:$B,0)),IFERROR(INDEX(Réttabanki!$F:$F,MATCH(F94,Réttabanki!$A:$A,0)),""))</f>
        <v>Getur innihaldið snefil af egg, fisk, glúten, krabbadýr, lindýr, mjólk, sellerí, sesam, sinnep og sesam, soja, soja og sinnep.</v>
      </c>
      <c r="N94" s="29" t="n">
        <f aca="false">IFERROR(INDEX(Vöruskrá!$J:$J,MATCH(F94,Vöruskrá!$B:$B,0))*H94/100,IFERROR(INDEX(Réttabanki!$G:$G,MATCH(F94,Réttabanki!$A:$A,0))*H94/100,""))</f>
        <v>407.275</v>
      </c>
      <c r="O94" s="29" t="n">
        <f aca="false">IFERROR(INDEX(Vöruskrá!$K:$K,MATCH(F94,Vöruskrá!$B:$B,0))*H94/100,IFERROR(INDEX(Réttabanki!$H:$H,MATCH(F94,Réttabanki!$A:$A,0))*H94/100,""))</f>
        <v>25.05</v>
      </c>
      <c r="P94" s="29" t="n">
        <f aca="false">IFERROR(INDEX(Vöruskrá!$L:$L,MATCH(F94,Vöruskrá!$B:$B,0))*H94/100,IFERROR(INDEX(Réttabanki!$I:$I,MATCH(F94,Réttabanki!$A:$A,0))*H94/100,""))</f>
        <v>14.325</v>
      </c>
      <c r="Q94" s="29" t="n">
        <f aca="false">IFERROR(INDEX(Vöruskrá!$M:$M,MATCH(F94,Vöruskrá!$B:$B,0))*H94/100,IFERROR(INDEX(Réttabanki!$J:$J,MATCH(F94,Réttabanki!$A:$A,0))*H94/100,""))</f>
        <v>16.6</v>
      </c>
      <c r="R94" s="29" t="n">
        <f aca="false">IFERROR(INDEX(Vöruskrá!$O:$O,MATCH(F94,Vöruskrá!$B:$B,0))*H94/100,IFERROR(INDEX(Réttabanki!$L:$L,MATCH(F94,Réttabanki!$A:$A,0))*H94/100,""))</f>
        <v>27.575</v>
      </c>
      <c r="S94" s="29" t="n">
        <f aca="false">IFERROR(INDEX(Vöruskrá!$P:$P,MATCH(F94,Vöruskrá!$B:$B,0))*H94/100,IFERROR(INDEX(Réttabanki!$M:$M,MATCH(F94,Réttabanki!$A:$A,0))*H94/100,""))</f>
        <v>3.7</v>
      </c>
      <c r="T94" s="31" t="str">
        <f aca="false">IF(F94="","",IFERROR(INDEX(Réttabanki!Q:Q,MATCH(F94,Réttabanki!A:A,0)),IFERROR(INDEX(Réttabanki!Q:Q,MATCH(F94,Réttabanki!B:B,0)),"")))</f>
        <v>1. Hitið gratín í ofni 180°C í 25-30 mín.
2. Gratínið er tilbúið þegar osturinn er gullinn og bólginn.
3. Látið standa í 5 mín áður en þið berið fram.</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7"/>
      <c r="B95" s="38"/>
      <c r="C95" s="38"/>
      <c r="D95" s="39" t="s">
        <v>771</v>
      </c>
      <c r="E95" s="39" t="s">
        <v>776</v>
      </c>
      <c r="F95" s="40"/>
      <c r="G95" s="39" t="s">
        <v>867</v>
      </c>
      <c r="H95" s="41"/>
      <c r="I95" s="41"/>
      <c r="J95" s="42"/>
      <c r="K95" s="28" t="s">
        <v>717</v>
      </c>
      <c r="L95" s="28" t="s">
        <v>146</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33"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7"/>
      <c r="B96" s="38"/>
      <c r="C96" s="38"/>
      <c r="D96" s="39" t="s">
        <v>771</v>
      </c>
      <c r="E96" s="39" t="s">
        <v>776</v>
      </c>
      <c r="F96" s="40" t="s">
        <v>716</v>
      </c>
      <c r="G96" s="39" t="s">
        <v>868</v>
      </c>
      <c r="H96" s="41" t="n">
        <v>200</v>
      </c>
      <c r="I96" s="41"/>
      <c r="J96" s="42"/>
      <c r="K96" s="28" t="str">
        <f aca="false">IFERROR(INDEX(Vöruskrá!$F:$F,MATCH(F96,Vöruskrá!$B:$B,0)),IFERROR(INDEX(Réttabanki!$D:$D,MATCH(F96,Réttabanki!$A:$A,0)),""))</f>
        <v>Gerilsneydd **mjólk**, pálmaolía, kekkjavarnarefni (kartöflumjöl), salt, **mjólkursýrugerlar**, ostahleypir. | **Mjólk**. Fitusprengd og gerilsneydd. | Gulrætur 100%. | Laukur | Maíssterkja. | Salt (salt, kekkjavarnarefni E535, lyftiefni E500). | Svartur pipar 100%.</v>
      </c>
      <c r="L96" s="28" t="str">
        <f aca="false">IFERROR(INDEX(Vöruskrá!$G:$G,MATCH(F96,Vöruskrá!$B:$B,0)),IFERROR(INDEX(Réttabanki!$E:$E,MATCH(F96,Réttabanki!$A:$A,0)),""))</f>
        <v>Mjólk</v>
      </c>
      <c r="M96" s="28" t="str">
        <f aca="false">IFERROR(INDEX(Vöruskrá!$H:$H,MATCH(F96,Vöruskrá!$B:$B,0)),IFERROR(INDEX(Réttabanki!$F:$F,MATCH(F96,Réttabanki!$A:$A,0)),""))</f>
        <v>Getur innihaldið snefil af egg, fisk, glúten, krabbadýr, lindýr, mjólk, sellerí, sesam, sinnep og sesam, soja, soja og sinnep.</v>
      </c>
      <c r="N96" s="29" t="n">
        <f aca="false">IFERROR(INDEX(Vöruskrá!$J:$J,MATCH(F96,Vöruskrá!$B:$B,0))*H96/100,IFERROR(INDEX(Réttabanki!$G:$G,MATCH(F96,Réttabanki!$A:$A,0))*H96/100,""))</f>
        <v>325.82</v>
      </c>
      <c r="O96" s="29" t="n">
        <f aca="false">IFERROR(INDEX(Vöruskrá!$K:$K,MATCH(F96,Vöruskrá!$B:$B,0))*H96/100,IFERROR(INDEX(Réttabanki!$H:$H,MATCH(F96,Réttabanki!$A:$A,0))*H96/100,""))</f>
        <v>20.04</v>
      </c>
      <c r="P96" s="29" t="n">
        <f aca="false">IFERROR(INDEX(Vöruskrá!$L:$L,MATCH(F96,Vöruskrá!$B:$B,0))*H96/100,IFERROR(INDEX(Réttabanki!$I:$I,MATCH(F96,Réttabanki!$A:$A,0))*H96/100,""))</f>
        <v>11.46</v>
      </c>
      <c r="Q96" s="29" t="n">
        <f aca="false">IFERROR(INDEX(Vöruskrá!$M:$M,MATCH(F96,Vöruskrá!$B:$B,0))*H96/100,IFERROR(INDEX(Réttabanki!$J:$J,MATCH(F96,Réttabanki!$A:$A,0))*H96/100,""))</f>
        <v>13.28</v>
      </c>
      <c r="R96" s="29" t="n">
        <f aca="false">IFERROR(INDEX(Vöruskrá!$O:$O,MATCH(F96,Vöruskrá!$B:$B,0))*H96/100,IFERROR(INDEX(Réttabanki!$L:$L,MATCH(F96,Réttabanki!$A:$A,0))*H96/100,""))</f>
        <v>22.06</v>
      </c>
      <c r="S96" s="29" t="n">
        <f aca="false">IFERROR(INDEX(Vöruskrá!$P:$P,MATCH(F96,Vöruskrá!$B:$B,0))*H96/100,IFERROR(INDEX(Réttabanki!$M:$M,MATCH(F96,Réttabanki!$A:$A,0))*H96/100,""))</f>
        <v>2.96</v>
      </c>
      <c r="T96" s="31" t="str">
        <f aca="false">IF(F96="","",IFERROR(INDEX(Réttabanki!Q:Q,MATCH(F96,Réttabanki!A:A,0)),IFERROR(INDEX(Réttabanki!Q:Q,MATCH(F96,Réttabanki!B:B,0)),"")))</f>
        <v>1. Hitið gratín í ofni 180°C í 25-30 mín.
2. Gratínið er tilbúið þegar osturinn er gullinn og bólginn.
3. Látið standa í 5 mín áður en þið berið fram.</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7"/>
      <c r="B97" s="38"/>
      <c r="C97" s="38"/>
      <c r="D97" s="39" t="s">
        <v>771</v>
      </c>
      <c r="E97" s="39" t="s">
        <v>780</v>
      </c>
      <c r="F97" s="40"/>
      <c r="G97" s="39"/>
      <c r="H97" s="41"/>
      <c r="I97" s="41"/>
      <c r="J97" s="42"/>
      <c r="K97" s="28"/>
      <c r="L97" s="28" t="s">
        <v>167</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33"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7"/>
      <c r="B98" s="38"/>
      <c r="C98" s="38"/>
      <c r="D98" s="39" t="s">
        <v>771</v>
      </c>
      <c r="E98" s="39" t="s">
        <v>782</v>
      </c>
      <c r="F98" s="40"/>
      <c r="G98" s="39" t="s">
        <v>869</v>
      </c>
      <c r="H98" s="41"/>
      <c r="I98" s="41"/>
      <c r="J98" s="42"/>
      <c r="K98" s="28" t="s">
        <v>826</v>
      </c>
      <c r="L98" s="28" t="s">
        <v>32</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7"/>
      <c r="B99" s="38"/>
      <c r="C99" s="38"/>
      <c r="D99" s="39" t="s">
        <v>771</v>
      </c>
      <c r="E99" s="39" t="s">
        <v>782</v>
      </c>
      <c r="F99" s="40" t="s">
        <v>60</v>
      </c>
      <c r="G99" s="39" t="s">
        <v>827</v>
      </c>
      <c r="H99" s="41" t="n">
        <v>30</v>
      </c>
      <c r="I99" s="41"/>
      <c r="J99" s="42"/>
      <c r="K99" s="28" t="str">
        <f aca="false">IFERROR(INDEX(Vöruskrá!$F:$F,MATCH(F99,Vöruskrá!$B:$B,0)),IFERROR(INDEX(Réttabanki!$D:$D,MATCH(F99,Réttabanki!$A:$A,0)),""))</f>
        <v>**Hveiti**, vatn, **HVEITIKURL**, repjuolía, ger, salt, **HVEITITREFJAR**, mjölmeðhöndlunarefni (E300), ýruefni (E481)</v>
      </c>
      <c r="L99" s="28" t="str">
        <f aca="false">IFERROR(INDEX(Vöruskrá!$G:$G,MATCH(F99,Vöruskrá!$B:$B,0)),IFERROR(INDEX(Réttabanki!$E:$E,MATCH(F99,Réttabanki!$A:$A,0)),""))</f>
        <v>Glúten (hveiti)</v>
      </c>
      <c r="M99" s="28" t="str">
        <f aca="false">IFERROR(INDEX(Vöruskrá!$H:$H,MATCH(F99,Vöruskrá!$B:$B,0)),IFERROR(INDEX(Réttabanki!$F:$F,MATCH(F99,Réttabanki!$A:$A,0)),""))</f>
        <v>Framleitt á svæði þar sem unnið er með sesamfræ, mjólk, egg og lúpínu</v>
      </c>
      <c r="N99" s="29" t="n">
        <f aca="false">IFERROR(INDEX(Vöruskrá!$J:$J,MATCH(F99,Vöruskrá!$B:$B,0))*H99/100,IFERROR(INDEX(Réttabanki!$G:$G,MATCH(F99,Réttabanki!$A:$A,0))*H99/100,""))</f>
        <v>75</v>
      </c>
      <c r="O99" s="29" t="n">
        <f aca="false">IFERROR(INDEX(Vöruskrá!$K:$K,MATCH(F99,Vöruskrá!$B:$B,0))*H99/100,IFERROR(INDEX(Réttabanki!$H:$H,MATCH(F99,Réttabanki!$A:$A,0))*H99/100,""))</f>
        <v>0.81</v>
      </c>
      <c r="P99" s="29" t="n">
        <f aca="false">IFERROR(INDEX(Vöruskrá!$L:$L,MATCH(F99,Vöruskrá!$B:$B,0))*H99/100,IFERROR(INDEX(Réttabanki!$I:$I,MATCH(F99,Réttabanki!$A:$A,0))*H99/100,""))</f>
        <v>0.12</v>
      </c>
      <c r="Q99" s="29" t="n">
        <f aca="false">IFERROR(INDEX(Vöruskrá!$M:$M,MATCH(F99,Vöruskrá!$B:$B,0))*H99/100,IFERROR(INDEX(Réttabanki!$J:$J,MATCH(F99,Réttabanki!$A:$A,0))*H99/100,""))</f>
        <v>13.5</v>
      </c>
      <c r="R99" s="29" t="n">
        <f aca="false">IFERROR(INDEX(Vöruskrá!$O:$O,MATCH(F99,Vöruskrá!$B:$B,0))*H99/100,IFERROR(INDEX(Réttabanki!$L:$L,MATCH(F99,Réttabanki!$A:$A,0))*H99/100,""))</f>
        <v>2.7</v>
      </c>
      <c r="S99" s="29" t="n">
        <f aca="false">IFERROR(INDEX(Vöruskrá!$P:$P,MATCH(F99,Vöruskrá!$B:$B,0))*H99/100,IFERROR(INDEX(Réttabanki!$M:$M,MATCH(F99,Réttabanki!$A:$A,0))*H99/100,""))</f>
        <v>0.42</v>
      </c>
      <c r="T99" s="33"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7"/>
      <c r="B100" s="38"/>
      <c r="C100" s="38"/>
      <c r="D100" s="39" t="s">
        <v>771</v>
      </c>
      <c r="E100" s="39" t="s">
        <v>782</v>
      </c>
      <c r="F100" s="40" t="s">
        <v>192</v>
      </c>
      <c r="G100" s="39" t="s">
        <v>802</v>
      </c>
      <c r="H100" s="41" t="n">
        <v>20</v>
      </c>
      <c r="I100" s="41"/>
      <c r="J100" s="42"/>
      <c r="K100" s="28" t="str">
        <f aca="false">IFERROR(INDEX(Vöruskrá!$F:$F,MATCH(F100,Vöruskrá!$B:$B,0)),IFERROR(INDEX(Réttabanki!$D:$D,MATCH(F100,Réttabanki!$A:$A,0)),""))</f>
        <v>Úrbeinuð skinnlaus kjúklingalæri (83%), vatn, salt, jurtaolía, sykur, mango chutney, ávaxtaþykkni, sýrustillir (E500), krydd reykbragðefni, rotvarnarefni (E262), þráavarnarefni (E320)</v>
      </c>
      <c r="L100" s="28" t="n">
        <f aca="false">IFERROR(INDEX(Vöruskrá!$G:$G,MATCH(F100,Vöruskrá!$B:$B,0)),IFERROR(INDEX(Réttabanki!$E:$E,MATCH(F100,Réttabanki!$A:$A,0)),""))</f>
        <v>0</v>
      </c>
      <c r="M100" s="28" t="n">
        <f aca="false">IFERROR(INDEX(Vöruskrá!$H:$H,MATCH(F100,Vöruskrá!$B:$B,0)),IFERROR(INDEX(Réttabanki!$F:$F,MATCH(F100,Réttabanki!$A:$A,0)),""))</f>
        <v>0</v>
      </c>
      <c r="N100" s="29" t="n">
        <f aca="false">IFERROR(INDEX(Vöruskrá!$J:$J,MATCH(F100,Vöruskrá!$B:$B,0))*H100/100,IFERROR(INDEX(Réttabanki!$G:$G,MATCH(F100,Réttabanki!$A:$A,0))*H100/100,""))</f>
        <v>41.2</v>
      </c>
      <c r="O100" s="29" t="n">
        <f aca="false">IFERROR(INDEX(Vöruskrá!$K:$K,MATCH(F100,Vöruskrá!$B:$B,0))*H100/100,IFERROR(INDEX(Réttabanki!$H:$H,MATCH(F100,Réttabanki!$A:$A,0))*H100/100,""))</f>
        <v>2</v>
      </c>
      <c r="P100" s="29" t="n">
        <f aca="false">IFERROR(INDEX(Vöruskrá!$L:$L,MATCH(F100,Vöruskrá!$B:$B,0))*H100/100,IFERROR(INDEX(Réttabanki!$I:$I,MATCH(F100,Réttabanki!$A:$A,0))*H100/100,""))</f>
        <v>0.36</v>
      </c>
      <c r="Q100" s="29" t="n">
        <f aca="false">IFERROR(INDEX(Vöruskrá!$M:$M,MATCH(F100,Vöruskrá!$B:$B,0))*H100/100,IFERROR(INDEX(Réttabanki!$J:$J,MATCH(F100,Réttabanki!$A:$A,0))*H100/100,""))</f>
        <v>0.8</v>
      </c>
      <c r="R100" s="29" t="n">
        <f aca="false">IFERROR(INDEX(Vöruskrá!$O:$O,MATCH(F100,Vöruskrá!$B:$B,0))*H100/100,IFERROR(INDEX(Réttabanki!$L:$L,MATCH(F100,Réttabanki!$A:$A,0))*H100/100,""))</f>
        <v>5</v>
      </c>
      <c r="S100" s="29" t="n">
        <f aca="false">IFERROR(INDEX(Vöruskrá!$P:$P,MATCH(F100,Vöruskrá!$B:$B,0))*H100/100,IFERROR(INDEX(Réttabanki!$M:$M,MATCH(F100,Réttabanki!$A:$A,0))*H100/100,""))</f>
        <v>0.64</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7"/>
      <c r="B101" s="38"/>
      <c r="C101" s="38"/>
      <c r="D101" s="39"/>
      <c r="E101" s="39"/>
      <c r="F101" s="40"/>
      <c r="G101" s="39"/>
      <c r="H101" s="41"/>
      <c r="I101" s="41"/>
      <c r="J101" s="42"/>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33"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7"/>
      <c r="B102" s="38"/>
      <c r="C102" s="38"/>
      <c r="D102" s="39"/>
      <c r="E102" s="39"/>
      <c r="F102" s="40"/>
      <c r="G102" s="39"/>
      <c r="H102" s="41"/>
      <c r="I102" s="41"/>
      <c r="J102" s="42"/>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7"/>
      <c r="B103" s="38"/>
      <c r="C103" s="38"/>
      <c r="D103" s="39"/>
      <c r="E103" s="39"/>
      <c r="F103" s="40"/>
      <c r="G103" s="39"/>
      <c r="H103" s="41"/>
      <c r="I103" s="41"/>
      <c r="J103" s="42"/>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33"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7"/>
      <c r="B104" s="38"/>
      <c r="C104" s="38"/>
      <c r="D104" s="39"/>
      <c r="E104" s="39"/>
      <c r="F104" s="40"/>
      <c r="G104" s="39"/>
      <c r="H104" s="41"/>
      <c r="I104" s="41"/>
      <c r="J104" s="42"/>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7"/>
      <c r="B105" s="38"/>
      <c r="C105" s="38"/>
      <c r="D105" s="39"/>
      <c r="E105" s="39"/>
      <c r="F105" s="40"/>
      <c r="G105" s="39"/>
      <c r="H105" s="41"/>
      <c r="I105" s="41"/>
      <c r="J105" s="42"/>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33"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7"/>
      <c r="B106" s="38"/>
      <c r="C106" s="38"/>
      <c r="D106" s="39"/>
      <c r="E106" s="39"/>
      <c r="F106" s="40"/>
      <c r="G106" s="39"/>
      <c r="H106" s="41"/>
      <c r="I106" s="41"/>
      <c r="J106" s="42"/>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7"/>
      <c r="B107" s="38"/>
      <c r="C107" s="38"/>
      <c r="D107" s="39"/>
      <c r="E107" s="39"/>
      <c r="F107" s="40"/>
      <c r="G107" s="39"/>
      <c r="H107" s="41"/>
      <c r="I107" s="41"/>
      <c r="J107" s="42"/>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33"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7"/>
      <c r="B108" s="38"/>
      <c r="C108" s="38"/>
      <c r="D108" s="39"/>
      <c r="E108" s="39"/>
      <c r="F108" s="40"/>
      <c r="G108" s="39"/>
      <c r="H108" s="41"/>
      <c r="I108" s="41"/>
      <c r="J108" s="42"/>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7"/>
      <c r="B109" s="38"/>
      <c r="C109" s="38"/>
      <c r="D109" s="39"/>
      <c r="E109" s="39"/>
      <c r="F109" s="40"/>
      <c r="G109" s="39"/>
      <c r="H109" s="41"/>
      <c r="I109" s="41"/>
      <c r="J109" s="42"/>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33"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7"/>
      <c r="B110" s="38"/>
      <c r="C110" s="38"/>
      <c r="D110" s="39"/>
      <c r="E110" s="39"/>
      <c r="F110" s="40"/>
      <c r="G110" s="39"/>
      <c r="H110" s="41"/>
      <c r="I110" s="41"/>
      <c r="J110" s="42"/>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7"/>
      <c r="B111" s="38"/>
      <c r="C111" s="38"/>
      <c r="D111" s="39"/>
      <c r="E111" s="39"/>
      <c r="F111" s="40"/>
      <c r="G111" s="39"/>
      <c r="H111" s="41"/>
      <c r="I111" s="41"/>
      <c r="J111" s="42"/>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33"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7"/>
      <c r="B112" s="38"/>
      <c r="C112" s="38"/>
      <c r="D112" s="39"/>
      <c r="E112" s="39"/>
      <c r="F112" s="40"/>
      <c r="G112" s="39"/>
      <c r="H112" s="41"/>
      <c r="I112" s="41"/>
      <c r="J112" s="42"/>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7"/>
      <c r="B113" s="38"/>
      <c r="C113" s="38"/>
      <c r="D113" s="39"/>
      <c r="E113" s="39"/>
      <c r="F113" s="40"/>
      <c r="G113" s="39"/>
      <c r="H113" s="41"/>
      <c r="I113" s="41"/>
      <c r="J113" s="42"/>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33"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7"/>
      <c r="B114" s="38"/>
      <c r="C114" s="38"/>
      <c r="D114" s="39"/>
      <c r="E114" s="39"/>
      <c r="F114" s="40"/>
      <c r="G114" s="39"/>
      <c r="H114" s="41"/>
      <c r="I114" s="41"/>
      <c r="J114" s="42"/>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7"/>
      <c r="B115" s="38"/>
      <c r="C115" s="38"/>
      <c r="D115" s="39"/>
      <c r="E115" s="39"/>
      <c r="F115" s="40"/>
      <c r="G115" s="39"/>
      <c r="H115" s="41"/>
      <c r="I115" s="41"/>
      <c r="J115" s="42"/>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33"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7"/>
      <c r="B116" s="38"/>
      <c r="C116" s="38"/>
      <c r="D116" s="39"/>
      <c r="E116" s="39"/>
      <c r="F116" s="40"/>
      <c r="G116" s="39"/>
      <c r="H116" s="41"/>
      <c r="I116" s="41"/>
      <c r="J116" s="42"/>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7"/>
      <c r="B117" s="38"/>
      <c r="C117" s="38"/>
      <c r="D117" s="39"/>
      <c r="E117" s="39"/>
      <c r="F117" s="40"/>
      <c r="G117" s="39"/>
      <c r="H117" s="41"/>
      <c r="I117" s="41"/>
      <c r="J117" s="42"/>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33"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7"/>
      <c r="B118" s="38"/>
      <c r="C118" s="38"/>
      <c r="D118" s="39"/>
      <c r="E118" s="39"/>
      <c r="F118" s="40"/>
      <c r="G118" s="39"/>
      <c r="H118" s="41"/>
      <c r="I118" s="41"/>
      <c r="J118" s="42"/>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7"/>
      <c r="B119" s="38"/>
      <c r="C119" s="38"/>
      <c r="D119" s="39"/>
      <c r="E119" s="39"/>
      <c r="F119" s="40"/>
      <c r="G119" s="39"/>
      <c r="H119" s="41"/>
      <c r="I119" s="41"/>
      <c r="J119" s="42"/>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33"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7"/>
      <c r="B120" s="38"/>
      <c r="C120" s="38"/>
      <c r="D120" s="39"/>
      <c r="E120" s="39"/>
      <c r="F120" s="40"/>
      <c r="G120" s="39"/>
      <c r="H120" s="41"/>
      <c r="I120" s="41"/>
      <c r="J120" s="42"/>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7"/>
      <c r="B121" s="38"/>
      <c r="C121" s="38"/>
      <c r="D121" s="39"/>
      <c r="E121" s="39"/>
      <c r="F121" s="40"/>
      <c r="G121" s="39"/>
      <c r="H121" s="41"/>
      <c r="I121" s="41"/>
      <c r="J121" s="42"/>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33"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7"/>
      <c r="B122" s="38"/>
      <c r="C122" s="38"/>
      <c r="D122" s="39"/>
      <c r="E122" s="39"/>
      <c r="F122" s="40"/>
      <c r="G122" s="39"/>
      <c r="H122" s="41"/>
      <c r="I122" s="41"/>
      <c r="J122" s="42"/>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7"/>
      <c r="B123" s="38"/>
      <c r="C123" s="38"/>
      <c r="D123" s="39"/>
      <c r="E123" s="39"/>
      <c r="F123" s="40"/>
      <c r="G123" s="39"/>
      <c r="H123" s="41"/>
      <c r="I123" s="41"/>
      <c r="J123" s="42"/>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33"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7"/>
      <c r="B124" s="38"/>
      <c r="C124" s="38"/>
      <c r="D124" s="39"/>
      <c r="E124" s="39"/>
      <c r="F124" s="40"/>
      <c r="G124" s="39"/>
      <c r="H124" s="41"/>
      <c r="I124" s="41"/>
      <c r="J124" s="42"/>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7"/>
      <c r="B125" s="38"/>
      <c r="C125" s="38"/>
      <c r="D125" s="39"/>
      <c r="E125" s="39"/>
      <c r="F125" s="40"/>
      <c r="G125" s="39"/>
      <c r="H125" s="41"/>
      <c r="I125" s="41"/>
      <c r="J125" s="42"/>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33"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7"/>
      <c r="B126" s="38"/>
      <c r="C126" s="38"/>
      <c r="D126" s="39"/>
      <c r="E126" s="39"/>
      <c r="F126" s="40"/>
      <c r="G126" s="39"/>
      <c r="H126" s="41"/>
      <c r="I126" s="41"/>
      <c r="J126" s="42"/>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7"/>
      <c r="B127" s="38"/>
      <c r="C127" s="38"/>
      <c r="D127" s="39"/>
      <c r="E127" s="39"/>
      <c r="F127" s="40"/>
      <c r="G127" s="39"/>
      <c r="H127" s="41"/>
      <c r="I127" s="41"/>
      <c r="J127" s="42"/>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33"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7"/>
      <c r="B128" s="38"/>
      <c r="C128" s="38"/>
      <c r="D128" s="39"/>
      <c r="E128" s="39"/>
      <c r="F128" s="40"/>
      <c r="G128" s="39"/>
      <c r="H128" s="41"/>
      <c r="I128" s="41"/>
      <c r="J128" s="42"/>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7"/>
      <c r="B129" s="38"/>
      <c r="C129" s="38"/>
      <c r="D129" s="39"/>
      <c r="E129" s="39"/>
      <c r="F129" s="40"/>
      <c r="G129" s="39"/>
      <c r="H129" s="41"/>
      <c r="I129" s="41"/>
      <c r="J129" s="42"/>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33"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7"/>
      <c r="B130" s="38"/>
      <c r="C130" s="38"/>
      <c r="D130" s="39"/>
      <c r="E130" s="39"/>
      <c r="F130" s="40"/>
      <c r="G130" s="39"/>
      <c r="H130" s="41"/>
      <c r="I130" s="41"/>
      <c r="J130" s="42"/>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7"/>
      <c r="B131" s="38"/>
      <c r="C131" s="38"/>
      <c r="D131" s="39"/>
      <c r="E131" s="39"/>
      <c r="F131" s="40"/>
      <c r="G131" s="39"/>
      <c r="H131" s="41"/>
      <c r="I131" s="41"/>
      <c r="J131" s="42"/>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33"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7"/>
      <c r="B132" s="38"/>
      <c r="C132" s="38"/>
      <c r="D132" s="39"/>
      <c r="E132" s="39"/>
      <c r="F132" s="40"/>
      <c r="G132" s="39"/>
      <c r="H132" s="41"/>
      <c r="I132" s="41"/>
      <c r="J132" s="42"/>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7"/>
      <c r="B133" s="38"/>
      <c r="C133" s="38"/>
      <c r="D133" s="39"/>
      <c r="E133" s="39"/>
      <c r="F133" s="40"/>
      <c r="G133" s="39"/>
      <c r="H133" s="41"/>
      <c r="I133" s="41"/>
      <c r="J133" s="42"/>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33"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7"/>
      <c r="B134" s="38"/>
      <c r="C134" s="38"/>
      <c r="D134" s="39"/>
      <c r="E134" s="39"/>
      <c r="F134" s="40"/>
      <c r="G134" s="39"/>
      <c r="H134" s="41"/>
      <c r="I134" s="41"/>
      <c r="J134" s="42"/>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7"/>
      <c r="B135" s="38"/>
      <c r="C135" s="38"/>
      <c r="D135" s="39"/>
      <c r="E135" s="39"/>
      <c r="F135" s="40"/>
      <c r="G135" s="39"/>
      <c r="H135" s="41"/>
      <c r="I135" s="41"/>
      <c r="J135" s="42"/>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33"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7"/>
      <c r="B136" s="38"/>
      <c r="C136" s="38"/>
      <c r="D136" s="39"/>
      <c r="E136" s="39"/>
      <c r="F136" s="40"/>
      <c r="G136" s="39"/>
      <c r="H136" s="41"/>
      <c r="I136" s="41"/>
      <c r="J136" s="42"/>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7"/>
      <c r="B137" s="38"/>
      <c r="C137" s="38"/>
      <c r="D137" s="39"/>
      <c r="E137" s="39"/>
      <c r="F137" s="40"/>
      <c r="G137" s="39"/>
      <c r="H137" s="41"/>
      <c r="I137" s="41"/>
      <c r="J137" s="42"/>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33"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7"/>
      <c r="B138" s="38"/>
      <c r="C138" s="38"/>
      <c r="D138" s="39"/>
      <c r="E138" s="39"/>
      <c r="F138" s="40"/>
      <c r="G138" s="39"/>
      <c r="H138" s="41"/>
      <c r="I138" s="41"/>
      <c r="J138" s="42"/>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7"/>
      <c r="B139" s="38"/>
      <c r="C139" s="38"/>
      <c r="D139" s="39"/>
      <c r="E139" s="39"/>
      <c r="F139" s="40"/>
      <c r="G139" s="39"/>
      <c r="H139" s="41"/>
      <c r="I139" s="41"/>
      <c r="J139" s="42"/>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33"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7"/>
      <c r="B140" s="38"/>
      <c r="C140" s="38"/>
      <c r="D140" s="39"/>
      <c r="E140" s="39"/>
      <c r="F140" s="40"/>
      <c r="G140" s="39"/>
      <c r="H140" s="41"/>
      <c r="I140" s="41"/>
      <c r="J140" s="42"/>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7"/>
      <c r="B141" s="38"/>
      <c r="C141" s="38"/>
      <c r="D141" s="39"/>
      <c r="E141" s="39"/>
      <c r="F141" s="40"/>
      <c r="G141" s="39"/>
      <c r="H141" s="41"/>
      <c r="I141" s="41"/>
      <c r="J141" s="42"/>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33"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7"/>
      <c r="B142" s="38"/>
      <c r="C142" s="38"/>
      <c r="D142" s="39"/>
      <c r="E142" s="39"/>
      <c r="F142" s="40"/>
      <c r="G142" s="39"/>
      <c r="H142" s="41"/>
      <c r="I142" s="41"/>
      <c r="J142" s="42"/>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7"/>
      <c r="B143" s="38"/>
      <c r="C143" s="38"/>
      <c r="D143" s="39"/>
      <c r="E143" s="39"/>
      <c r="F143" s="40"/>
      <c r="G143" s="39"/>
      <c r="H143" s="41"/>
      <c r="I143" s="41"/>
      <c r="J143" s="42"/>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33"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7"/>
      <c r="B144" s="38"/>
      <c r="C144" s="38"/>
      <c r="D144" s="39"/>
      <c r="E144" s="39"/>
      <c r="F144" s="40"/>
      <c r="G144" s="39"/>
      <c r="H144" s="41"/>
      <c r="I144" s="41"/>
      <c r="J144" s="42"/>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7"/>
      <c r="B145" s="38"/>
      <c r="C145" s="38"/>
      <c r="D145" s="39"/>
      <c r="E145" s="39"/>
      <c r="F145" s="40"/>
      <c r="G145" s="39"/>
      <c r="H145" s="41"/>
      <c r="I145" s="41"/>
      <c r="J145" s="42"/>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33"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7"/>
      <c r="B146" s="38"/>
      <c r="C146" s="38"/>
      <c r="D146" s="39"/>
      <c r="E146" s="39"/>
      <c r="F146" s="40"/>
      <c r="G146" s="39"/>
      <c r="H146" s="41"/>
      <c r="I146" s="41"/>
      <c r="J146" s="42"/>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7"/>
      <c r="B147" s="38"/>
      <c r="C147" s="38"/>
      <c r="D147" s="39"/>
      <c r="E147" s="39"/>
      <c r="F147" s="40"/>
      <c r="G147" s="39"/>
      <c r="H147" s="41"/>
      <c r="I147" s="41"/>
      <c r="J147" s="42"/>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33"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7"/>
      <c r="B148" s="38"/>
      <c r="C148" s="38"/>
      <c r="D148" s="39"/>
      <c r="E148" s="39"/>
      <c r="F148" s="40"/>
      <c r="G148" s="39"/>
      <c r="H148" s="41"/>
      <c r="I148" s="41"/>
      <c r="J148" s="42"/>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7"/>
      <c r="B149" s="38"/>
      <c r="C149" s="38"/>
      <c r="D149" s="39"/>
      <c r="E149" s="39"/>
      <c r="F149" s="40"/>
      <c r="G149" s="39"/>
      <c r="H149" s="41"/>
      <c r="I149" s="41"/>
      <c r="J149" s="42"/>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33"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7"/>
      <c r="B150" s="38"/>
      <c r="C150" s="38"/>
      <c r="D150" s="39"/>
      <c r="E150" s="39"/>
      <c r="F150" s="40"/>
      <c r="G150" s="39"/>
      <c r="H150" s="41"/>
      <c r="I150" s="41"/>
      <c r="J150" s="42"/>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7"/>
      <c r="B151" s="38"/>
      <c r="C151" s="38"/>
      <c r="D151" s="39"/>
      <c r="E151" s="39"/>
      <c r="F151" s="40"/>
      <c r="G151" s="39"/>
      <c r="H151" s="41"/>
      <c r="I151" s="41"/>
      <c r="J151" s="42"/>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33"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7"/>
      <c r="B152" s="38"/>
      <c r="C152" s="38"/>
      <c r="D152" s="39"/>
      <c r="E152" s="39"/>
      <c r="F152" s="40"/>
      <c r="G152" s="39"/>
      <c r="H152" s="41"/>
      <c r="I152" s="41"/>
      <c r="J152" s="42"/>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7"/>
      <c r="B153" s="38"/>
      <c r="C153" s="38"/>
      <c r="D153" s="39"/>
      <c r="E153" s="39"/>
      <c r="F153" s="40"/>
      <c r="G153" s="39"/>
      <c r="H153" s="41"/>
      <c r="I153" s="41"/>
      <c r="J153" s="42"/>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33"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7"/>
      <c r="B154" s="38"/>
      <c r="C154" s="38"/>
      <c r="D154" s="39"/>
      <c r="E154" s="39"/>
      <c r="F154" s="40"/>
      <c r="G154" s="39"/>
      <c r="H154" s="41"/>
      <c r="I154" s="41"/>
      <c r="J154" s="42"/>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7"/>
      <c r="B155" s="38"/>
      <c r="C155" s="38"/>
      <c r="D155" s="39"/>
      <c r="E155" s="39"/>
      <c r="F155" s="40"/>
      <c r="G155" s="39"/>
      <c r="H155" s="41"/>
      <c r="I155" s="41"/>
      <c r="J155" s="42"/>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33"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7"/>
      <c r="B156" s="38"/>
      <c r="C156" s="38"/>
      <c r="D156" s="39"/>
      <c r="E156" s="39"/>
      <c r="F156" s="40"/>
      <c r="G156" s="39"/>
      <c r="H156" s="41"/>
      <c r="I156" s="41"/>
      <c r="J156" s="42"/>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7"/>
      <c r="B157" s="38"/>
      <c r="C157" s="38"/>
      <c r="D157" s="39"/>
      <c r="E157" s="39"/>
      <c r="F157" s="40"/>
      <c r="G157" s="39"/>
      <c r="H157" s="41"/>
      <c r="I157" s="41"/>
      <c r="J157" s="42"/>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33"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7"/>
      <c r="B158" s="38"/>
      <c r="C158" s="38"/>
      <c r="D158" s="39"/>
      <c r="E158" s="39"/>
      <c r="F158" s="40"/>
      <c r="G158" s="39"/>
      <c r="H158" s="41"/>
      <c r="I158" s="41"/>
      <c r="J158" s="42"/>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7"/>
      <c r="B159" s="38"/>
      <c r="C159" s="38"/>
      <c r="D159" s="39"/>
      <c r="E159" s="39"/>
      <c r="F159" s="40"/>
      <c r="G159" s="39"/>
      <c r="H159" s="41"/>
      <c r="I159" s="41"/>
      <c r="J159" s="42"/>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33"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7"/>
      <c r="B160" s="38"/>
      <c r="C160" s="38"/>
      <c r="D160" s="39"/>
      <c r="E160" s="39"/>
      <c r="F160" s="40"/>
      <c r="G160" s="39"/>
      <c r="H160" s="41"/>
      <c r="I160" s="41"/>
      <c r="J160" s="42"/>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7"/>
      <c r="B161" s="38"/>
      <c r="C161" s="38"/>
      <c r="D161" s="39"/>
      <c r="E161" s="39"/>
      <c r="F161" s="40"/>
      <c r="G161" s="39"/>
      <c r="H161" s="41"/>
      <c r="I161" s="41"/>
      <c r="J161" s="42"/>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33"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7"/>
      <c r="B162" s="38"/>
      <c r="C162" s="38"/>
      <c r="D162" s="39"/>
      <c r="E162" s="39"/>
      <c r="F162" s="40"/>
      <c r="G162" s="39"/>
      <c r="H162" s="41"/>
      <c r="I162" s="41"/>
      <c r="J162" s="42"/>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7"/>
      <c r="B163" s="38"/>
      <c r="C163" s="38"/>
      <c r="D163" s="39"/>
      <c r="E163" s="39"/>
      <c r="F163" s="40"/>
      <c r="G163" s="39"/>
      <c r="H163" s="41"/>
      <c r="I163" s="41"/>
      <c r="J163" s="42"/>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33"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7"/>
      <c r="B164" s="38"/>
      <c r="C164" s="38"/>
      <c r="D164" s="39"/>
      <c r="E164" s="39"/>
      <c r="F164" s="40"/>
      <c r="G164" s="39"/>
      <c r="H164" s="41"/>
      <c r="I164" s="41"/>
      <c r="J164" s="42"/>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7"/>
      <c r="B165" s="38"/>
      <c r="C165" s="38"/>
      <c r="D165" s="39"/>
      <c r="E165" s="39"/>
      <c r="F165" s="40"/>
      <c r="G165" s="39"/>
      <c r="H165" s="41"/>
      <c r="I165" s="41"/>
      <c r="J165" s="42"/>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33"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7"/>
      <c r="B166" s="38"/>
      <c r="C166" s="38"/>
      <c r="D166" s="39"/>
      <c r="E166" s="39"/>
      <c r="F166" s="40"/>
      <c r="G166" s="39"/>
      <c r="H166" s="41"/>
      <c r="I166" s="41"/>
      <c r="J166" s="42"/>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7"/>
      <c r="B167" s="38"/>
      <c r="C167" s="38"/>
      <c r="D167" s="39"/>
      <c r="E167" s="39"/>
      <c r="F167" s="40"/>
      <c r="G167" s="39"/>
      <c r="H167" s="41"/>
      <c r="I167" s="41"/>
      <c r="J167" s="42"/>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33"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7"/>
      <c r="B168" s="38"/>
      <c r="C168" s="38"/>
      <c r="D168" s="39"/>
      <c r="E168" s="39"/>
      <c r="F168" s="40"/>
      <c r="G168" s="39"/>
      <c r="H168" s="41"/>
      <c r="I168" s="41"/>
      <c r="J168" s="42"/>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7"/>
      <c r="B169" s="38"/>
      <c r="C169" s="38"/>
      <c r="D169" s="39"/>
      <c r="E169" s="39"/>
      <c r="F169" s="40"/>
      <c r="G169" s="39"/>
      <c r="H169" s="41"/>
      <c r="I169" s="41"/>
      <c r="J169" s="42"/>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33"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7"/>
      <c r="B170" s="38"/>
      <c r="C170" s="38"/>
      <c r="D170" s="39"/>
      <c r="E170" s="39"/>
      <c r="F170" s="40"/>
      <c r="G170" s="39"/>
      <c r="H170" s="41"/>
      <c r="I170" s="41"/>
      <c r="J170" s="42"/>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7"/>
      <c r="B171" s="38"/>
      <c r="C171" s="38"/>
      <c r="D171" s="39"/>
      <c r="E171" s="39"/>
      <c r="F171" s="40"/>
      <c r="G171" s="39"/>
      <c r="H171" s="41"/>
      <c r="I171" s="41"/>
      <c r="J171" s="42"/>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33"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7"/>
      <c r="B172" s="38"/>
      <c r="C172" s="38"/>
      <c r="D172" s="39"/>
      <c r="E172" s="39"/>
      <c r="F172" s="40"/>
      <c r="G172" s="39"/>
      <c r="H172" s="41"/>
      <c r="I172" s="41"/>
      <c r="J172" s="42"/>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7"/>
      <c r="B173" s="38"/>
      <c r="C173" s="38"/>
      <c r="D173" s="39"/>
      <c r="E173" s="39"/>
      <c r="F173" s="40"/>
      <c r="G173" s="39"/>
      <c r="H173" s="41"/>
      <c r="I173" s="41"/>
      <c r="J173" s="42"/>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33"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7"/>
      <c r="B174" s="38"/>
      <c r="C174" s="38"/>
      <c r="D174" s="39"/>
      <c r="E174" s="39"/>
      <c r="F174" s="40"/>
      <c r="G174" s="39"/>
      <c r="H174" s="41"/>
      <c r="I174" s="41"/>
      <c r="J174" s="42"/>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7"/>
      <c r="B175" s="38"/>
      <c r="C175" s="38"/>
      <c r="D175" s="39"/>
      <c r="E175" s="39"/>
      <c r="F175" s="40"/>
      <c r="G175" s="39"/>
      <c r="H175" s="41"/>
      <c r="I175" s="41"/>
      <c r="J175" s="42"/>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33"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7"/>
      <c r="B176" s="38"/>
      <c r="C176" s="38"/>
      <c r="D176" s="39"/>
      <c r="E176" s="39"/>
      <c r="F176" s="40"/>
      <c r="G176" s="39"/>
      <c r="H176" s="41"/>
      <c r="I176" s="41"/>
      <c r="J176" s="42"/>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7"/>
      <c r="B177" s="38"/>
      <c r="C177" s="38"/>
      <c r="D177" s="39"/>
      <c r="E177" s="39"/>
      <c r="F177" s="40"/>
      <c r="G177" s="39"/>
      <c r="H177" s="41"/>
      <c r="I177" s="41"/>
      <c r="J177" s="42"/>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33"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7"/>
      <c r="B178" s="38"/>
      <c r="C178" s="38"/>
      <c r="D178" s="39"/>
      <c r="E178" s="39"/>
      <c r="F178" s="40"/>
      <c r="G178" s="39"/>
      <c r="H178" s="41"/>
      <c r="I178" s="41"/>
      <c r="J178" s="42"/>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7"/>
      <c r="B179" s="38"/>
      <c r="C179" s="38"/>
      <c r="D179" s="39"/>
      <c r="E179" s="39"/>
      <c r="F179" s="40"/>
      <c r="G179" s="39"/>
      <c r="H179" s="41"/>
      <c r="I179" s="41"/>
      <c r="J179" s="42"/>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33"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7"/>
      <c r="B180" s="38"/>
      <c r="C180" s="38"/>
      <c r="D180" s="39"/>
      <c r="E180" s="39"/>
      <c r="F180" s="40"/>
      <c r="G180" s="39"/>
      <c r="H180" s="41"/>
      <c r="I180" s="41"/>
      <c r="J180" s="42"/>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7"/>
      <c r="B181" s="38"/>
      <c r="C181" s="38"/>
      <c r="D181" s="39"/>
      <c r="E181" s="39"/>
      <c r="F181" s="40"/>
      <c r="G181" s="39"/>
      <c r="H181" s="41"/>
      <c r="I181" s="41"/>
      <c r="J181" s="42"/>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33"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7"/>
      <c r="B182" s="38"/>
      <c r="C182" s="38"/>
      <c r="D182" s="39"/>
      <c r="E182" s="39"/>
      <c r="F182" s="40"/>
      <c r="G182" s="39"/>
      <c r="H182" s="41"/>
      <c r="I182" s="41"/>
      <c r="J182" s="42"/>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7"/>
      <c r="B183" s="38"/>
      <c r="C183" s="38"/>
      <c r="D183" s="39"/>
      <c r="E183" s="39"/>
      <c r="F183" s="40"/>
      <c r="G183" s="39"/>
      <c r="H183" s="41"/>
      <c r="I183" s="41"/>
      <c r="J183" s="42"/>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33"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7"/>
      <c r="B184" s="38"/>
      <c r="C184" s="38"/>
      <c r="D184" s="39"/>
      <c r="E184" s="39"/>
      <c r="F184" s="40"/>
      <c r="G184" s="39"/>
      <c r="H184" s="41"/>
      <c r="I184" s="41"/>
      <c r="J184" s="42"/>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7"/>
      <c r="B185" s="38"/>
      <c r="C185" s="38"/>
      <c r="D185" s="39"/>
      <c r="E185" s="39"/>
      <c r="F185" s="40"/>
      <c r="G185" s="39"/>
      <c r="H185" s="41"/>
      <c r="I185" s="41"/>
      <c r="J185" s="42"/>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33"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7"/>
      <c r="B186" s="38"/>
      <c r="C186" s="38"/>
      <c r="D186" s="39"/>
      <c r="E186" s="39"/>
      <c r="F186" s="40"/>
      <c r="G186" s="39"/>
      <c r="H186" s="41"/>
      <c r="I186" s="41"/>
      <c r="J186" s="42"/>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7"/>
      <c r="B187" s="38"/>
      <c r="C187" s="38"/>
      <c r="D187" s="39"/>
      <c r="E187" s="39"/>
      <c r="F187" s="40"/>
      <c r="G187" s="39"/>
      <c r="H187" s="41"/>
      <c r="I187" s="41"/>
      <c r="J187" s="42"/>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33"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7"/>
      <c r="B188" s="38"/>
      <c r="C188" s="38"/>
      <c r="D188" s="39"/>
      <c r="E188" s="39"/>
      <c r="F188" s="40"/>
      <c r="G188" s="39"/>
      <c r="H188" s="41"/>
      <c r="I188" s="41"/>
      <c r="J188" s="42"/>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7"/>
      <c r="B189" s="38"/>
      <c r="C189" s="38"/>
      <c r="D189" s="39"/>
      <c r="E189" s="39"/>
      <c r="F189" s="40"/>
      <c r="G189" s="39"/>
      <c r="H189" s="41"/>
      <c r="I189" s="41"/>
      <c r="J189" s="42"/>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33"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7"/>
      <c r="B190" s="38"/>
      <c r="C190" s="38"/>
      <c r="D190" s="39"/>
      <c r="E190" s="39"/>
      <c r="F190" s="40"/>
      <c r="G190" s="39"/>
      <c r="H190" s="41"/>
      <c r="I190" s="41"/>
      <c r="J190" s="42"/>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7"/>
      <c r="B191" s="38"/>
      <c r="C191" s="38"/>
      <c r="D191" s="39"/>
      <c r="E191" s="39"/>
      <c r="F191" s="40"/>
      <c r="G191" s="39"/>
      <c r="H191" s="41"/>
      <c r="I191" s="41"/>
      <c r="J191" s="42"/>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33"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7"/>
      <c r="B192" s="38"/>
      <c r="C192" s="38"/>
      <c r="D192" s="39"/>
      <c r="E192" s="39"/>
      <c r="F192" s="40"/>
      <c r="G192" s="39"/>
      <c r="H192" s="41"/>
      <c r="I192" s="41"/>
      <c r="J192" s="42"/>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7"/>
      <c r="B193" s="38"/>
      <c r="C193" s="38"/>
      <c r="D193" s="39"/>
      <c r="E193" s="39"/>
      <c r="F193" s="40"/>
      <c r="G193" s="39"/>
      <c r="H193" s="41"/>
      <c r="I193" s="41"/>
      <c r="J193" s="42"/>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33"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7"/>
      <c r="B194" s="38"/>
      <c r="C194" s="38"/>
      <c r="D194" s="39"/>
      <c r="E194" s="39"/>
      <c r="F194" s="40"/>
      <c r="G194" s="39"/>
      <c r="H194" s="41"/>
      <c r="I194" s="41"/>
      <c r="J194" s="42"/>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7"/>
      <c r="B195" s="38"/>
      <c r="C195" s="38"/>
      <c r="D195" s="39"/>
      <c r="E195" s="39"/>
      <c r="F195" s="40"/>
      <c r="G195" s="39"/>
      <c r="H195" s="41"/>
      <c r="I195" s="41"/>
      <c r="J195" s="42"/>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33"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7"/>
      <c r="B196" s="38"/>
      <c r="C196" s="38"/>
      <c r="D196" s="39"/>
      <c r="E196" s="39"/>
      <c r="F196" s="40"/>
      <c r="G196" s="39"/>
      <c r="H196" s="41"/>
      <c r="I196" s="41"/>
      <c r="J196" s="42"/>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7"/>
      <c r="B197" s="38"/>
      <c r="C197" s="38"/>
      <c r="D197" s="39"/>
      <c r="E197" s="39"/>
      <c r="F197" s="40"/>
      <c r="G197" s="39"/>
      <c r="H197" s="41"/>
      <c r="I197" s="41"/>
      <c r="J197" s="42"/>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33"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7"/>
      <c r="B198" s="38"/>
      <c r="C198" s="38"/>
      <c r="D198" s="39"/>
      <c r="E198" s="39"/>
      <c r="F198" s="40"/>
      <c r="G198" s="39"/>
      <c r="H198" s="41"/>
      <c r="I198" s="41"/>
      <c r="J198" s="42"/>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7"/>
      <c r="B199" s="38"/>
      <c r="C199" s="38"/>
      <c r="D199" s="39"/>
      <c r="E199" s="39"/>
      <c r="F199" s="40"/>
      <c r="G199" s="39"/>
      <c r="H199" s="41"/>
      <c r="I199" s="41"/>
      <c r="J199" s="42"/>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33"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7"/>
      <c r="B200" s="38"/>
      <c r="C200" s="38"/>
      <c r="D200" s="39"/>
      <c r="E200" s="39"/>
      <c r="F200" s="40"/>
      <c r="G200" s="39"/>
      <c r="H200" s="41"/>
      <c r="I200" s="41"/>
      <c r="J200" s="42"/>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7"/>
      <c r="B201" s="38"/>
      <c r="C201" s="38"/>
      <c r="D201" s="39"/>
      <c r="E201" s="39"/>
      <c r="F201" s="40"/>
      <c r="G201" s="39"/>
      <c r="H201" s="41"/>
      <c r="I201" s="41"/>
      <c r="J201" s="42"/>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33"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7"/>
      <c r="B202" s="38"/>
      <c r="C202" s="38"/>
      <c r="D202" s="39"/>
      <c r="E202" s="39"/>
      <c r="F202" s="40"/>
      <c r="G202" s="39"/>
      <c r="H202" s="41"/>
      <c r="I202" s="41"/>
      <c r="J202" s="42"/>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7"/>
      <c r="B203" s="38"/>
      <c r="C203" s="38"/>
      <c r="D203" s="39"/>
      <c r="E203" s="39"/>
      <c r="F203" s="40"/>
      <c r="G203" s="39"/>
      <c r="H203" s="41"/>
      <c r="I203" s="41"/>
      <c r="J203" s="42"/>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33"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7"/>
      <c r="B204" s="38"/>
      <c r="C204" s="38"/>
      <c r="D204" s="39"/>
      <c r="E204" s="39"/>
      <c r="F204" s="40"/>
      <c r="G204" s="39"/>
      <c r="H204" s="41"/>
      <c r="I204" s="41"/>
      <c r="J204" s="42"/>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7"/>
      <c r="B205" s="38"/>
      <c r="C205" s="38"/>
      <c r="D205" s="39"/>
      <c r="E205" s="39"/>
      <c r="F205" s="40"/>
      <c r="G205" s="39"/>
      <c r="H205" s="41"/>
      <c r="I205" s="41"/>
      <c r="J205" s="42"/>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33"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7"/>
      <c r="B206" s="38"/>
      <c r="C206" s="38"/>
      <c r="D206" s="39"/>
      <c r="E206" s="39"/>
      <c r="F206" s="40"/>
      <c r="G206" s="39"/>
      <c r="H206" s="41"/>
      <c r="I206" s="41"/>
      <c r="J206" s="42"/>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7"/>
      <c r="B207" s="38"/>
      <c r="C207" s="38"/>
      <c r="D207" s="39"/>
      <c r="E207" s="39"/>
      <c r="F207" s="40"/>
      <c r="G207" s="39"/>
      <c r="H207" s="41"/>
      <c r="I207" s="41"/>
      <c r="J207" s="42"/>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33"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7"/>
      <c r="B208" s="38"/>
      <c r="C208" s="38"/>
      <c r="D208" s="39"/>
      <c r="E208" s="39"/>
      <c r="F208" s="40"/>
      <c r="G208" s="39"/>
      <c r="H208" s="41"/>
      <c r="I208" s="41"/>
      <c r="J208" s="42"/>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7"/>
      <c r="B209" s="38"/>
      <c r="C209" s="38"/>
      <c r="D209" s="39"/>
      <c r="E209" s="39"/>
      <c r="F209" s="40"/>
      <c r="G209" s="39"/>
      <c r="H209" s="41"/>
      <c r="I209" s="41"/>
      <c r="J209" s="42"/>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33"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7"/>
      <c r="B210" s="38"/>
      <c r="C210" s="38"/>
      <c r="D210" s="39"/>
      <c r="E210" s="39"/>
      <c r="F210" s="40"/>
      <c r="G210" s="39"/>
      <c r="H210" s="41"/>
      <c r="I210" s="41"/>
      <c r="J210" s="42"/>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7"/>
      <c r="B211" s="38"/>
      <c r="C211" s="38"/>
      <c r="D211" s="39"/>
      <c r="E211" s="39"/>
      <c r="F211" s="40"/>
      <c r="G211" s="39"/>
      <c r="H211" s="41"/>
      <c r="I211" s="41"/>
      <c r="J211" s="42"/>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33"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7"/>
      <c r="B212" s="38"/>
      <c r="C212" s="38"/>
      <c r="D212" s="39"/>
      <c r="E212" s="39"/>
      <c r="F212" s="40"/>
      <c r="G212" s="39"/>
      <c r="H212" s="41"/>
      <c r="I212" s="41"/>
      <c r="J212" s="42"/>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7"/>
      <c r="B213" s="38"/>
      <c r="C213" s="38"/>
      <c r="D213" s="39"/>
      <c r="E213" s="39"/>
      <c r="F213" s="40"/>
      <c r="G213" s="39"/>
      <c r="H213" s="41"/>
      <c r="I213" s="41"/>
      <c r="J213" s="42"/>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33"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7"/>
      <c r="B214" s="38"/>
      <c r="C214" s="38"/>
      <c r="D214" s="39"/>
      <c r="E214" s="39"/>
      <c r="F214" s="40"/>
      <c r="G214" s="39"/>
      <c r="H214" s="41"/>
      <c r="I214" s="41"/>
      <c r="J214" s="42"/>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7"/>
      <c r="B215" s="38"/>
      <c r="C215" s="38"/>
      <c r="D215" s="39"/>
      <c r="E215" s="39"/>
      <c r="F215" s="40"/>
      <c r="G215" s="39"/>
      <c r="H215" s="41"/>
      <c r="I215" s="41"/>
      <c r="J215" s="42"/>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33"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7"/>
      <c r="B216" s="38"/>
      <c r="C216" s="38"/>
      <c r="D216" s="39"/>
      <c r="E216" s="39"/>
      <c r="F216" s="40"/>
      <c r="G216" s="39"/>
      <c r="H216" s="41"/>
      <c r="I216" s="41"/>
      <c r="J216" s="42"/>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7"/>
      <c r="B217" s="38"/>
      <c r="C217" s="38"/>
      <c r="D217" s="39"/>
      <c r="E217" s="39"/>
      <c r="F217" s="40"/>
      <c r="G217" s="39"/>
      <c r="H217" s="41"/>
      <c r="I217" s="41"/>
      <c r="J217" s="42"/>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33"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7"/>
      <c r="B218" s="38"/>
      <c r="C218" s="38"/>
      <c r="D218" s="39"/>
      <c r="E218" s="39"/>
      <c r="F218" s="40"/>
      <c r="G218" s="39"/>
      <c r="H218" s="41"/>
      <c r="I218" s="41"/>
      <c r="J218" s="42"/>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7"/>
      <c r="B219" s="38"/>
      <c r="C219" s="38"/>
      <c r="D219" s="39"/>
      <c r="E219" s="39"/>
      <c r="F219" s="40"/>
      <c r="G219" s="39"/>
      <c r="H219" s="41"/>
      <c r="I219" s="41"/>
      <c r="J219" s="42"/>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33"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7"/>
      <c r="B220" s="38"/>
      <c r="C220" s="38"/>
      <c r="D220" s="39"/>
      <c r="E220" s="39"/>
      <c r="F220" s="40"/>
      <c r="G220" s="39"/>
      <c r="H220" s="41"/>
      <c r="I220" s="41"/>
      <c r="J220" s="42"/>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7"/>
      <c r="B221" s="38"/>
      <c r="C221" s="38"/>
      <c r="D221" s="39"/>
      <c r="E221" s="39"/>
      <c r="F221" s="40"/>
      <c r="G221" s="39"/>
      <c r="H221" s="41"/>
      <c r="I221" s="41"/>
      <c r="J221" s="42"/>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33"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7"/>
      <c r="B222" s="38"/>
      <c r="C222" s="38"/>
      <c r="D222" s="39"/>
      <c r="E222" s="39"/>
      <c r="F222" s="40"/>
      <c r="G222" s="39"/>
      <c r="H222" s="41"/>
      <c r="I222" s="41"/>
      <c r="J222" s="42"/>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7"/>
      <c r="B223" s="38"/>
      <c r="C223" s="38"/>
      <c r="D223" s="39"/>
      <c r="E223" s="39"/>
      <c r="F223" s="40"/>
      <c r="G223" s="39"/>
      <c r="H223" s="41"/>
      <c r="I223" s="41"/>
      <c r="J223" s="42"/>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33"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7"/>
      <c r="B224" s="38"/>
      <c r="C224" s="38"/>
      <c r="D224" s="39"/>
      <c r="E224" s="39"/>
      <c r="F224" s="40"/>
      <c r="G224" s="39"/>
      <c r="H224" s="41"/>
      <c r="I224" s="41"/>
      <c r="J224" s="42"/>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7"/>
      <c r="B225" s="38"/>
      <c r="C225" s="38"/>
      <c r="D225" s="39"/>
      <c r="E225" s="39"/>
      <c r="F225" s="40"/>
      <c r="G225" s="39"/>
      <c r="H225" s="41"/>
      <c r="I225" s="41"/>
      <c r="J225" s="42"/>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33"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7"/>
      <c r="B226" s="38"/>
      <c r="C226" s="38"/>
      <c r="D226" s="39"/>
      <c r="E226" s="39"/>
      <c r="F226" s="40"/>
      <c r="G226" s="39"/>
      <c r="H226" s="41"/>
      <c r="I226" s="41"/>
      <c r="J226" s="42"/>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7"/>
      <c r="B227" s="38"/>
      <c r="C227" s="38"/>
      <c r="D227" s="39"/>
      <c r="E227" s="39"/>
      <c r="F227" s="40"/>
      <c r="G227" s="39"/>
      <c r="H227" s="41"/>
      <c r="I227" s="41"/>
      <c r="J227" s="42"/>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33"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7"/>
      <c r="B228" s="38"/>
      <c r="C228" s="38"/>
      <c r="D228" s="39"/>
      <c r="E228" s="39"/>
      <c r="F228" s="40"/>
      <c r="G228" s="39"/>
      <c r="H228" s="41"/>
      <c r="I228" s="41"/>
      <c r="J228" s="42"/>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7"/>
      <c r="B229" s="38"/>
      <c r="C229" s="38"/>
      <c r="D229" s="39"/>
      <c r="E229" s="39"/>
      <c r="F229" s="40"/>
      <c r="G229" s="39"/>
      <c r="H229" s="41"/>
      <c r="I229" s="41"/>
      <c r="J229" s="42"/>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33"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7"/>
      <c r="B230" s="38"/>
      <c r="C230" s="38"/>
      <c r="D230" s="39"/>
      <c r="E230" s="39"/>
      <c r="F230" s="40"/>
      <c r="G230" s="39"/>
      <c r="H230" s="41"/>
      <c r="I230" s="41"/>
      <c r="J230" s="42"/>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7"/>
      <c r="B231" s="38"/>
      <c r="C231" s="38"/>
      <c r="D231" s="39"/>
      <c r="E231" s="39"/>
      <c r="F231" s="40"/>
      <c r="G231" s="39"/>
      <c r="H231" s="41"/>
      <c r="I231" s="41"/>
      <c r="J231" s="42"/>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33"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7"/>
      <c r="B232" s="38"/>
      <c r="C232" s="38"/>
      <c r="D232" s="39"/>
      <c r="E232" s="39"/>
      <c r="F232" s="40"/>
      <c r="G232" s="39"/>
      <c r="H232" s="41"/>
      <c r="I232" s="41"/>
      <c r="J232" s="42"/>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7"/>
      <c r="B233" s="38"/>
      <c r="C233" s="38"/>
      <c r="D233" s="39"/>
      <c r="E233" s="39"/>
      <c r="F233" s="40"/>
      <c r="G233" s="39"/>
      <c r="H233" s="41"/>
      <c r="I233" s="41"/>
      <c r="J233" s="42"/>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33"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7"/>
      <c r="B234" s="38"/>
      <c r="C234" s="38"/>
      <c r="D234" s="39"/>
      <c r="E234" s="39"/>
      <c r="F234" s="40"/>
      <c r="G234" s="39"/>
      <c r="H234" s="41"/>
      <c r="I234" s="41"/>
      <c r="J234" s="42"/>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7"/>
      <c r="B235" s="38"/>
      <c r="C235" s="38"/>
      <c r="D235" s="39"/>
      <c r="E235" s="39"/>
      <c r="F235" s="40"/>
      <c r="G235" s="39"/>
      <c r="H235" s="41"/>
      <c r="I235" s="41"/>
      <c r="J235" s="42"/>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33"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7"/>
      <c r="B236" s="38"/>
      <c r="C236" s="38"/>
      <c r="D236" s="39"/>
      <c r="E236" s="39"/>
      <c r="F236" s="40"/>
      <c r="G236" s="39"/>
      <c r="H236" s="41"/>
      <c r="I236" s="41"/>
      <c r="J236" s="42"/>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7"/>
      <c r="B237" s="38"/>
      <c r="C237" s="38"/>
      <c r="D237" s="39"/>
      <c r="E237" s="39"/>
      <c r="F237" s="40"/>
      <c r="G237" s="39"/>
      <c r="H237" s="41"/>
      <c r="I237" s="41"/>
      <c r="J237" s="42"/>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33"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7"/>
      <c r="B238" s="38"/>
      <c r="C238" s="38"/>
      <c r="D238" s="39"/>
      <c r="E238" s="39"/>
      <c r="F238" s="40"/>
      <c r="G238" s="39"/>
      <c r="H238" s="41"/>
      <c r="I238" s="41"/>
      <c r="J238" s="42"/>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7"/>
      <c r="B239" s="38"/>
      <c r="C239" s="38"/>
      <c r="D239" s="39"/>
      <c r="E239" s="39"/>
      <c r="F239" s="40"/>
      <c r="G239" s="39"/>
      <c r="H239" s="41"/>
      <c r="I239" s="41"/>
      <c r="J239" s="42"/>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33"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7"/>
      <c r="B240" s="38"/>
      <c r="C240" s="38"/>
      <c r="D240" s="39"/>
      <c r="E240" s="39"/>
      <c r="F240" s="40"/>
      <c r="G240" s="39"/>
      <c r="H240" s="41"/>
      <c r="I240" s="41"/>
      <c r="J240" s="42"/>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7"/>
      <c r="B241" s="38"/>
      <c r="C241" s="38"/>
      <c r="D241" s="39"/>
      <c r="E241" s="39"/>
      <c r="F241" s="40"/>
      <c r="G241" s="39"/>
      <c r="H241" s="41"/>
      <c r="I241" s="41"/>
      <c r="J241" s="42"/>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33"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7"/>
      <c r="B242" s="38"/>
      <c r="C242" s="38"/>
      <c r="D242" s="39"/>
      <c r="E242" s="39"/>
      <c r="F242" s="40"/>
      <c r="G242" s="39"/>
      <c r="H242" s="41"/>
      <c r="I242" s="41"/>
      <c r="J242" s="42"/>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7"/>
      <c r="B243" s="38"/>
      <c r="C243" s="38"/>
      <c r="D243" s="39"/>
      <c r="E243" s="39"/>
      <c r="F243" s="40"/>
      <c r="G243" s="39"/>
      <c r="H243" s="41"/>
      <c r="I243" s="41"/>
      <c r="J243" s="42"/>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33"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7"/>
      <c r="B244" s="38"/>
      <c r="C244" s="38"/>
      <c r="D244" s="39"/>
      <c r="E244" s="39"/>
      <c r="F244" s="40"/>
      <c r="G244" s="39"/>
      <c r="H244" s="41"/>
      <c r="I244" s="41"/>
      <c r="J244" s="42"/>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7"/>
      <c r="B245" s="38"/>
      <c r="C245" s="38"/>
      <c r="D245" s="39"/>
      <c r="E245" s="39"/>
      <c r="F245" s="40"/>
      <c r="G245" s="39"/>
      <c r="H245" s="41"/>
      <c r="I245" s="41"/>
      <c r="J245" s="42"/>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33"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7"/>
      <c r="B246" s="38"/>
      <c r="C246" s="38"/>
      <c r="D246" s="39"/>
      <c r="E246" s="39"/>
      <c r="F246" s="40"/>
      <c r="G246" s="39"/>
      <c r="H246" s="41"/>
      <c r="I246" s="41"/>
      <c r="J246" s="42"/>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7"/>
      <c r="B247" s="38"/>
      <c r="C247" s="38"/>
      <c r="D247" s="39"/>
      <c r="E247" s="39"/>
      <c r="F247" s="40"/>
      <c r="G247" s="39"/>
      <c r="H247" s="41"/>
      <c r="I247" s="41"/>
      <c r="J247" s="42"/>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33"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7"/>
      <c r="B248" s="38"/>
      <c r="C248" s="38"/>
      <c r="D248" s="39"/>
      <c r="E248" s="39"/>
      <c r="F248" s="40"/>
      <c r="G248" s="39"/>
      <c r="H248" s="41"/>
      <c r="I248" s="41"/>
      <c r="J248" s="42"/>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7"/>
      <c r="B249" s="38"/>
      <c r="C249" s="38"/>
      <c r="D249" s="39"/>
      <c r="E249" s="39"/>
      <c r="F249" s="40"/>
      <c r="G249" s="39"/>
      <c r="H249" s="41"/>
      <c r="I249" s="41"/>
      <c r="J249" s="42"/>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33"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7"/>
      <c r="B250" s="38"/>
      <c r="C250" s="38"/>
      <c r="D250" s="39"/>
      <c r="E250" s="39"/>
      <c r="F250" s="40"/>
      <c r="G250" s="39"/>
      <c r="H250" s="41"/>
      <c r="I250" s="41"/>
      <c r="J250" s="42"/>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7"/>
      <c r="B251" s="38"/>
      <c r="C251" s="38"/>
      <c r="D251" s="39"/>
      <c r="E251" s="39"/>
      <c r="F251" s="40"/>
      <c r="G251" s="39"/>
      <c r="H251" s="41"/>
      <c r="I251" s="41"/>
      <c r="J251" s="42"/>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33"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7"/>
      <c r="B252" s="38"/>
      <c r="C252" s="38"/>
      <c r="D252" s="39"/>
      <c r="E252" s="39"/>
      <c r="F252" s="40"/>
      <c r="G252" s="39"/>
      <c r="H252" s="41"/>
      <c r="I252" s="41"/>
      <c r="J252" s="42"/>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7"/>
      <c r="B253" s="38"/>
      <c r="C253" s="38"/>
      <c r="D253" s="39"/>
      <c r="E253" s="39"/>
      <c r="F253" s="40"/>
      <c r="G253" s="39"/>
      <c r="H253" s="41"/>
      <c r="I253" s="41"/>
      <c r="J253" s="42"/>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33"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7"/>
      <c r="B254" s="38"/>
      <c r="C254" s="38"/>
      <c r="D254" s="39"/>
      <c r="E254" s="39"/>
      <c r="F254" s="40"/>
      <c r="G254" s="39"/>
      <c r="H254" s="41"/>
      <c r="I254" s="41"/>
      <c r="J254" s="42"/>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7"/>
      <c r="B255" s="38"/>
      <c r="C255" s="38"/>
      <c r="D255" s="39"/>
      <c r="E255" s="39"/>
      <c r="F255" s="40"/>
      <c r="G255" s="39"/>
      <c r="H255" s="41"/>
      <c r="I255" s="41"/>
      <c r="J255" s="42"/>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33"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7"/>
      <c r="B256" s="38"/>
      <c r="C256" s="38"/>
      <c r="D256" s="39"/>
      <c r="E256" s="39"/>
      <c r="F256" s="40"/>
      <c r="G256" s="39"/>
      <c r="H256" s="41"/>
      <c r="I256" s="41"/>
      <c r="J256" s="42"/>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7"/>
      <c r="B257" s="38"/>
      <c r="C257" s="38"/>
      <c r="D257" s="39"/>
      <c r="E257" s="39"/>
      <c r="F257" s="40"/>
      <c r="G257" s="39"/>
      <c r="H257" s="41"/>
      <c r="I257" s="41"/>
      <c r="J257" s="42"/>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33"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7"/>
      <c r="B258" s="38"/>
      <c r="C258" s="38"/>
      <c r="D258" s="39"/>
      <c r="E258" s="39"/>
      <c r="F258" s="40"/>
      <c r="G258" s="39"/>
      <c r="H258" s="41"/>
      <c r="I258" s="41"/>
      <c r="J258" s="42"/>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7"/>
      <c r="B259" s="38"/>
      <c r="C259" s="38"/>
      <c r="D259" s="39"/>
      <c r="E259" s="39"/>
      <c r="F259" s="40"/>
      <c r="G259" s="39"/>
      <c r="H259" s="41"/>
      <c r="I259" s="41"/>
      <c r="J259" s="42"/>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33"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7"/>
      <c r="B260" s="38"/>
      <c r="C260" s="38"/>
      <c r="D260" s="39"/>
      <c r="E260" s="39"/>
      <c r="F260" s="40"/>
      <c r="G260" s="39"/>
      <c r="H260" s="41"/>
      <c r="I260" s="41"/>
      <c r="J260" s="42"/>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7"/>
      <c r="B261" s="38"/>
      <c r="C261" s="38"/>
      <c r="D261" s="39"/>
      <c r="E261" s="39"/>
      <c r="F261" s="40"/>
      <c r="G261" s="39"/>
      <c r="H261" s="41"/>
      <c r="I261" s="41"/>
      <c r="J261" s="42"/>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33"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7"/>
      <c r="B262" s="38"/>
      <c r="C262" s="38"/>
      <c r="D262" s="39"/>
      <c r="E262" s="39"/>
      <c r="F262" s="40"/>
      <c r="G262" s="39"/>
      <c r="H262" s="41"/>
      <c r="I262" s="41"/>
      <c r="J262" s="42"/>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7"/>
      <c r="B263" s="38"/>
      <c r="C263" s="38"/>
      <c r="D263" s="39"/>
      <c r="E263" s="39"/>
      <c r="F263" s="40"/>
      <c r="G263" s="39"/>
      <c r="H263" s="41"/>
      <c r="I263" s="41"/>
      <c r="J263" s="42"/>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33"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7"/>
      <c r="B264" s="38"/>
      <c r="C264" s="38"/>
      <c r="D264" s="39"/>
      <c r="E264" s="39"/>
      <c r="F264" s="40"/>
      <c r="G264" s="39"/>
      <c r="H264" s="41"/>
      <c r="I264" s="41"/>
      <c r="J264" s="42"/>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7"/>
      <c r="B265" s="38"/>
      <c r="C265" s="38"/>
      <c r="D265" s="39"/>
      <c r="E265" s="39"/>
      <c r="F265" s="40"/>
      <c r="G265" s="39"/>
      <c r="H265" s="41"/>
      <c r="I265" s="41"/>
      <c r="J265" s="42"/>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33"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7"/>
      <c r="B266" s="38"/>
      <c r="C266" s="38"/>
      <c r="D266" s="39"/>
      <c r="E266" s="39"/>
      <c r="F266" s="40"/>
      <c r="G266" s="39"/>
      <c r="H266" s="41"/>
      <c r="I266" s="41"/>
      <c r="J266" s="42"/>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7"/>
      <c r="B267" s="38"/>
      <c r="C267" s="38"/>
      <c r="D267" s="39"/>
      <c r="E267" s="39"/>
      <c r="F267" s="40"/>
      <c r="G267" s="39"/>
      <c r="H267" s="41"/>
      <c r="I267" s="41"/>
      <c r="J267" s="42"/>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33"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7"/>
      <c r="B268" s="38"/>
      <c r="C268" s="38"/>
      <c r="D268" s="39"/>
      <c r="E268" s="39"/>
      <c r="F268" s="40"/>
      <c r="G268" s="39"/>
      <c r="H268" s="41"/>
      <c r="I268" s="41"/>
      <c r="J268" s="42"/>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7"/>
      <c r="B269" s="38"/>
      <c r="C269" s="38"/>
      <c r="D269" s="39"/>
      <c r="E269" s="39"/>
      <c r="F269" s="40"/>
      <c r="G269" s="39"/>
      <c r="H269" s="41"/>
      <c r="I269" s="41"/>
      <c r="J269" s="42"/>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33"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7"/>
      <c r="B270" s="38"/>
      <c r="C270" s="38"/>
      <c r="D270" s="39"/>
      <c r="E270" s="39"/>
      <c r="F270" s="40"/>
      <c r="G270" s="39"/>
      <c r="H270" s="41"/>
      <c r="I270" s="41"/>
      <c r="J270" s="42"/>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7"/>
      <c r="B271" s="38"/>
      <c r="C271" s="38"/>
      <c r="D271" s="39"/>
      <c r="E271" s="39"/>
      <c r="F271" s="40"/>
      <c r="G271" s="39"/>
      <c r="H271" s="41"/>
      <c r="I271" s="41"/>
      <c r="J271" s="42"/>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33"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7"/>
      <c r="B272" s="38"/>
      <c r="C272" s="38"/>
      <c r="D272" s="39"/>
      <c r="E272" s="39"/>
      <c r="F272" s="40"/>
      <c r="G272" s="39"/>
      <c r="H272" s="41"/>
      <c r="I272" s="41"/>
      <c r="J272" s="42"/>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7"/>
      <c r="B273" s="38"/>
      <c r="C273" s="38"/>
      <c r="D273" s="39"/>
      <c r="E273" s="39"/>
      <c r="F273" s="40"/>
      <c r="G273" s="39"/>
      <c r="H273" s="41"/>
      <c r="I273" s="41"/>
      <c r="J273" s="42"/>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33"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7"/>
      <c r="B274" s="38"/>
      <c r="C274" s="38"/>
      <c r="D274" s="39"/>
      <c r="E274" s="39"/>
      <c r="F274" s="40"/>
      <c r="G274" s="39"/>
      <c r="H274" s="41"/>
      <c r="I274" s="41"/>
      <c r="J274" s="42"/>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7"/>
      <c r="B275" s="38"/>
      <c r="C275" s="38"/>
      <c r="D275" s="39"/>
      <c r="E275" s="39"/>
      <c r="F275" s="40"/>
      <c r="G275" s="39"/>
      <c r="H275" s="41"/>
      <c r="I275" s="41"/>
      <c r="J275" s="42"/>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33"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7"/>
      <c r="B276" s="38"/>
      <c r="C276" s="38"/>
      <c r="D276" s="39"/>
      <c r="E276" s="39"/>
      <c r="F276" s="40"/>
      <c r="G276" s="39"/>
      <c r="H276" s="41"/>
      <c r="I276" s="41"/>
      <c r="J276" s="42"/>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7"/>
      <c r="B277" s="38"/>
      <c r="C277" s="38"/>
      <c r="D277" s="39"/>
      <c r="E277" s="39"/>
      <c r="F277" s="40"/>
      <c r="G277" s="39"/>
      <c r="H277" s="41"/>
      <c r="I277" s="41"/>
      <c r="J277" s="42"/>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33"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7"/>
      <c r="B278" s="38"/>
      <c r="C278" s="38"/>
      <c r="D278" s="39"/>
      <c r="E278" s="39"/>
      <c r="F278" s="40"/>
      <c r="G278" s="39"/>
      <c r="H278" s="41"/>
      <c r="I278" s="41"/>
      <c r="J278" s="42"/>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7"/>
      <c r="B279" s="38"/>
      <c r="C279" s="38"/>
      <c r="D279" s="39"/>
      <c r="E279" s="39"/>
      <c r="F279" s="40"/>
      <c r="G279" s="39"/>
      <c r="H279" s="41"/>
      <c r="I279" s="41"/>
      <c r="J279" s="42"/>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33"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7"/>
      <c r="B280" s="38"/>
      <c r="C280" s="38"/>
      <c r="D280" s="39"/>
      <c r="E280" s="39"/>
      <c r="F280" s="40"/>
      <c r="G280" s="39"/>
      <c r="H280" s="41"/>
      <c r="I280" s="41"/>
      <c r="J280" s="42"/>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7"/>
      <c r="B281" s="38"/>
      <c r="C281" s="38"/>
      <c r="D281" s="39"/>
      <c r="E281" s="39"/>
      <c r="F281" s="40"/>
      <c r="G281" s="39"/>
      <c r="H281" s="41"/>
      <c r="I281" s="41"/>
      <c r="J281" s="42"/>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33"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7"/>
      <c r="B282" s="38"/>
      <c r="C282" s="38"/>
      <c r="D282" s="39"/>
      <c r="E282" s="39"/>
      <c r="F282" s="40"/>
      <c r="G282" s="39"/>
      <c r="H282" s="41"/>
      <c r="I282" s="41"/>
      <c r="J282" s="42"/>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7"/>
      <c r="B283" s="38"/>
      <c r="C283" s="38"/>
      <c r="D283" s="39"/>
      <c r="E283" s="39"/>
      <c r="F283" s="40"/>
      <c r="G283" s="39"/>
      <c r="H283" s="41"/>
      <c r="I283" s="41"/>
      <c r="J283" s="42"/>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33"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7"/>
      <c r="B284" s="38"/>
      <c r="C284" s="38"/>
      <c r="D284" s="39"/>
      <c r="E284" s="39"/>
      <c r="F284" s="40"/>
      <c r="G284" s="39"/>
      <c r="H284" s="41"/>
      <c r="I284" s="41"/>
      <c r="J284" s="42"/>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7"/>
      <c r="B285" s="38"/>
      <c r="C285" s="38"/>
      <c r="D285" s="39"/>
      <c r="E285" s="39"/>
      <c r="F285" s="40"/>
      <c r="G285" s="39"/>
      <c r="H285" s="41"/>
      <c r="I285" s="41"/>
      <c r="J285" s="42"/>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33"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7"/>
      <c r="B286" s="38"/>
      <c r="C286" s="38"/>
      <c r="D286" s="39"/>
      <c r="E286" s="39"/>
      <c r="F286" s="40"/>
      <c r="G286" s="39"/>
      <c r="H286" s="41"/>
      <c r="I286" s="41"/>
      <c r="J286" s="42"/>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7"/>
      <c r="B287" s="38"/>
      <c r="C287" s="38"/>
      <c r="D287" s="39"/>
      <c r="E287" s="39"/>
      <c r="F287" s="40"/>
      <c r="G287" s="39"/>
      <c r="H287" s="41"/>
      <c r="I287" s="41"/>
      <c r="J287" s="42"/>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33"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7"/>
      <c r="B288" s="38"/>
      <c r="C288" s="38"/>
      <c r="D288" s="39"/>
      <c r="E288" s="39"/>
      <c r="F288" s="40"/>
      <c r="G288" s="39"/>
      <c r="H288" s="41"/>
      <c r="I288" s="41"/>
      <c r="J288" s="42"/>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7"/>
      <c r="B289" s="38"/>
      <c r="C289" s="38"/>
      <c r="D289" s="39"/>
      <c r="E289" s="39"/>
      <c r="F289" s="40"/>
      <c r="G289" s="39"/>
      <c r="H289" s="41"/>
      <c r="I289" s="41"/>
      <c r="J289" s="42"/>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33"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7"/>
      <c r="B290" s="38"/>
      <c r="C290" s="38"/>
      <c r="D290" s="39"/>
      <c r="E290" s="39"/>
      <c r="F290" s="40"/>
      <c r="G290" s="39"/>
      <c r="H290" s="41"/>
      <c r="I290" s="41"/>
      <c r="J290" s="42"/>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7"/>
      <c r="B291" s="38"/>
      <c r="C291" s="38"/>
      <c r="D291" s="39"/>
      <c r="E291" s="39"/>
      <c r="F291" s="40"/>
      <c r="G291" s="39"/>
      <c r="H291" s="41"/>
      <c r="I291" s="41"/>
      <c r="J291" s="42"/>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33"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7"/>
      <c r="B292" s="38"/>
      <c r="C292" s="38"/>
      <c r="D292" s="39"/>
      <c r="E292" s="39"/>
      <c r="F292" s="40"/>
      <c r="G292" s="39"/>
      <c r="H292" s="41"/>
      <c r="I292" s="41"/>
      <c r="J292" s="42"/>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7"/>
      <c r="B293" s="38"/>
      <c r="C293" s="38"/>
      <c r="D293" s="39"/>
      <c r="E293" s="39"/>
      <c r="F293" s="40"/>
      <c r="G293" s="39"/>
      <c r="H293" s="41"/>
      <c r="I293" s="41"/>
      <c r="J293" s="42"/>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33"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7"/>
      <c r="B294" s="38"/>
      <c r="C294" s="38"/>
      <c r="D294" s="39"/>
      <c r="E294" s="39"/>
      <c r="F294" s="40"/>
      <c r="G294" s="39"/>
      <c r="H294" s="41"/>
      <c r="I294" s="41"/>
      <c r="J294" s="42"/>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7"/>
      <c r="B295" s="38"/>
      <c r="C295" s="38"/>
      <c r="D295" s="39"/>
      <c r="E295" s="39"/>
      <c r="F295" s="40"/>
      <c r="G295" s="39"/>
      <c r="H295" s="41"/>
      <c r="I295" s="41"/>
      <c r="J295" s="42"/>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33"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7"/>
      <c r="B296" s="38"/>
      <c r="C296" s="38"/>
      <c r="D296" s="39"/>
      <c r="E296" s="39"/>
      <c r="F296" s="40"/>
      <c r="G296" s="39"/>
      <c r="H296" s="41"/>
      <c r="I296" s="41"/>
      <c r="J296" s="42"/>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7"/>
      <c r="B297" s="38"/>
      <c r="C297" s="38"/>
      <c r="D297" s="39"/>
      <c r="E297" s="39"/>
      <c r="F297" s="40"/>
      <c r="G297" s="39"/>
      <c r="H297" s="41"/>
      <c r="I297" s="41"/>
      <c r="J297" s="42"/>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33"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7"/>
      <c r="B298" s="38"/>
      <c r="C298" s="38"/>
      <c r="D298" s="39"/>
      <c r="E298" s="39"/>
      <c r="F298" s="40"/>
      <c r="G298" s="39"/>
      <c r="H298" s="41"/>
      <c r="I298" s="41"/>
      <c r="J298" s="42"/>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7"/>
      <c r="B299" s="38"/>
      <c r="C299" s="38"/>
      <c r="D299" s="39"/>
      <c r="E299" s="39"/>
      <c r="F299" s="40"/>
      <c r="G299" s="39"/>
      <c r="H299" s="41"/>
      <c r="I299" s="41"/>
      <c r="J299" s="42"/>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33"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7"/>
      <c r="B300" s="38"/>
      <c r="C300" s="38"/>
      <c r="D300" s="39"/>
      <c r="E300" s="39"/>
      <c r="F300" s="40"/>
      <c r="G300" s="39"/>
      <c r="H300" s="41"/>
      <c r="I300" s="41"/>
      <c r="J300" s="42"/>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7"/>
      <c r="B301" s="38"/>
      <c r="C301" s="38"/>
      <c r="D301" s="39"/>
      <c r="E301" s="39"/>
      <c r="F301" s="40"/>
      <c r="G301" s="39"/>
      <c r="H301" s="41"/>
      <c r="I301" s="41"/>
      <c r="J301" s="42"/>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33"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7"/>
      <c r="B302" s="38"/>
      <c r="C302" s="38"/>
      <c r="D302" s="39"/>
      <c r="E302" s="39"/>
      <c r="F302" s="40"/>
      <c r="G302" s="39"/>
      <c r="H302" s="41"/>
      <c r="I302" s="41"/>
      <c r="J302" s="42"/>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7"/>
      <c r="B303" s="38"/>
      <c r="C303" s="38"/>
      <c r="D303" s="39"/>
      <c r="E303" s="39"/>
      <c r="F303" s="40"/>
      <c r="G303" s="39"/>
      <c r="H303" s="41"/>
      <c r="I303" s="41"/>
      <c r="J303" s="42"/>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33"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7"/>
      <c r="B304" s="38"/>
      <c r="C304" s="38"/>
      <c r="D304" s="39"/>
      <c r="E304" s="39"/>
      <c r="F304" s="40"/>
      <c r="G304" s="39"/>
      <c r="H304" s="41"/>
      <c r="I304" s="41"/>
      <c r="J304" s="42"/>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7"/>
      <c r="B305" s="38"/>
      <c r="C305" s="38"/>
      <c r="D305" s="39"/>
      <c r="E305" s="39"/>
      <c r="F305" s="40"/>
      <c r="G305" s="39"/>
      <c r="H305" s="41"/>
      <c r="I305" s="41"/>
      <c r="J305" s="42"/>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33"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7"/>
      <c r="B306" s="38"/>
      <c r="C306" s="38"/>
      <c r="D306" s="39"/>
      <c r="E306" s="39"/>
      <c r="F306" s="40"/>
      <c r="G306" s="39"/>
      <c r="H306" s="41"/>
      <c r="I306" s="41"/>
      <c r="J306" s="42"/>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7"/>
      <c r="B307" s="38"/>
      <c r="C307" s="38"/>
      <c r="D307" s="39"/>
      <c r="E307" s="39"/>
      <c r="F307" s="40"/>
      <c r="G307" s="39"/>
      <c r="H307" s="41"/>
      <c r="I307" s="41"/>
      <c r="J307" s="42"/>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33"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7"/>
      <c r="B308" s="38"/>
      <c r="C308" s="38"/>
      <c r="D308" s="39"/>
      <c r="E308" s="39"/>
      <c r="F308" s="40"/>
      <c r="G308" s="39"/>
      <c r="H308" s="41"/>
      <c r="I308" s="41"/>
      <c r="J308" s="42"/>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7"/>
      <c r="B309" s="38"/>
      <c r="C309" s="38"/>
      <c r="D309" s="39"/>
      <c r="E309" s="39"/>
      <c r="F309" s="40"/>
      <c r="G309" s="39"/>
      <c r="H309" s="41"/>
      <c r="I309" s="41"/>
      <c r="J309" s="42"/>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33"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7"/>
      <c r="B310" s="38"/>
      <c r="C310" s="38"/>
      <c r="D310" s="39"/>
      <c r="E310" s="39"/>
      <c r="F310" s="40"/>
      <c r="G310" s="39"/>
      <c r="H310" s="41"/>
      <c r="I310" s="41"/>
      <c r="J310" s="42"/>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7"/>
      <c r="B311" s="38"/>
      <c r="C311" s="38"/>
      <c r="D311" s="39"/>
      <c r="E311" s="39"/>
      <c r="F311" s="40"/>
      <c r="G311" s="39"/>
      <c r="H311" s="41"/>
      <c r="I311" s="41"/>
      <c r="J311" s="42"/>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33"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7"/>
      <c r="B312" s="38"/>
      <c r="C312" s="38"/>
      <c r="D312" s="39"/>
      <c r="E312" s="39"/>
      <c r="F312" s="40"/>
      <c r="G312" s="39"/>
      <c r="H312" s="41"/>
      <c r="I312" s="41"/>
      <c r="J312" s="42"/>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7"/>
      <c r="B313" s="38"/>
      <c r="C313" s="38"/>
      <c r="D313" s="39"/>
      <c r="E313" s="39"/>
      <c r="F313" s="40"/>
      <c r="G313" s="39"/>
      <c r="H313" s="41"/>
      <c r="I313" s="41"/>
      <c r="J313" s="42"/>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33"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7"/>
      <c r="B314" s="38"/>
      <c r="C314" s="38"/>
      <c r="D314" s="39"/>
      <c r="E314" s="39"/>
      <c r="F314" s="40"/>
      <c r="G314" s="39"/>
      <c r="H314" s="41"/>
      <c r="I314" s="41"/>
      <c r="J314" s="42"/>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7"/>
      <c r="B315" s="38"/>
      <c r="C315" s="38"/>
      <c r="D315" s="39"/>
      <c r="E315" s="39"/>
      <c r="F315" s="40"/>
      <c r="G315" s="39"/>
      <c r="H315" s="41"/>
      <c r="I315" s="41"/>
      <c r="J315" s="42"/>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33"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7"/>
      <c r="B316" s="38"/>
      <c r="C316" s="38"/>
      <c r="D316" s="39"/>
      <c r="E316" s="39"/>
      <c r="F316" s="40"/>
      <c r="G316" s="39"/>
      <c r="H316" s="41"/>
      <c r="I316" s="41"/>
      <c r="J316" s="42"/>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7"/>
      <c r="B317" s="38"/>
      <c r="C317" s="38"/>
      <c r="D317" s="39"/>
      <c r="E317" s="39"/>
      <c r="F317" s="40"/>
      <c r="G317" s="39"/>
      <c r="H317" s="41"/>
      <c r="I317" s="41"/>
      <c r="J317" s="42"/>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33"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7"/>
      <c r="B318" s="38"/>
      <c r="C318" s="38"/>
      <c r="D318" s="39"/>
      <c r="E318" s="39"/>
      <c r="F318" s="40"/>
      <c r="G318" s="39"/>
      <c r="H318" s="41"/>
      <c r="I318" s="41"/>
      <c r="J318" s="42"/>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7"/>
      <c r="B319" s="38"/>
      <c r="C319" s="38"/>
      <c r="D319" s="39"/>
      <c r="E319" s="39"/>
      <c r="F319" s="40"/>
      <c r="G319" s="39"/>
      <c r="H319" s="41"/>
      <c r="I319" s="41"/>
      <c r="J319" s="42"/>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33"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7"/>
      <c r="B320" s="38"/>
      <c r="C320" s="38"/>
      <c r="D320" s="39"/>
      <c r="E320" s="39"/>
      <c r="F320" s="40"/>
      <c r="G320" s="39"/>
      <c r="H320" s="41"/>
      <c r="I320" s="41"/>
      <c r="J320" s="42"/>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7"/>
      <c r="B321" s="38"/>
      <c r="C321" s="38"/>
      <c r="D321" s="39"/>
      <c r="E321" s="39"/>
      <c r="F321" s="40"/>
      <c r="G321" s="39"/>
      <c r="H321" s="41"/>
      <c r="I321" s="41"/>
      <c r="J321" s="42"/>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33"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7"/>
      <c r="B322" s="38"/>
      <c r="C322" s="38"/>
      <c r="D322" s="39"/>
      <c r="E322" s="39"/>
      <c r="F322" s="40"/>
      <c r="G322" s="39"/>
      <c r="H322" s="41"/>
      <c r="I322" s="41"/>
      <c r="J322" s="42"/>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7"/>
      <c r="B323" s="38"/>
      <c r="C323" s="38"/>
      <c r="D323" s="39"/>
      <c r="E323" s="39"/>
      <c r="F323" s="40"/>
      <c r="G323" s="39"/>
      <c r="H323" s="41"/>
      <c r="I323" s="41"/>
      <c r="J323" s="42"/>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33"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7"/>
      <c r="B324" s="38"/>
      <c r="C324" s="38"/>
      <c r="D324" s="39"/>
      <c r="E324" s="39"/>
      <c r="F324" s="40"/>
      <c r="G324" s="39"/>
      <c r="H324" s="41"/>
      <c r="I324" s="41"/>
      <c r="J324" s="42"/>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7"/>
      <c r="B325" s="38"/>
      <c r="C325" s="38"/>
      <c r="D325" s="39"/>
      <c r="E325" s="39"/>
      <c r="F325" s="40"/>
      <c r="G325" s="39"/>
      <c r="H325" s="41"/>
      <c r="I325" s="41"/>
      <c r="J325" s="42"/>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33"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7"/>
      <c r="B326" s="38"/>
      <c r="C326" s="38"/>
      <c r="D326" s="39"/>
      <c r="E326" s="39"/>
      <c r="F326" s="40"/>
      <c r="G326" s="39"/>
      <c r="H326" s="41"/>
      <c r="I326" s="41"/>
      <c r="J326" s="42"/>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7"/>
      <c r="B327" s="38"/>
      <c r="C327" s="38"/>
      <c r="D327" s="39"/>
      <c r="E327" s="39"/>
      <c r="F327" s="40"/>
      <c r="G327" s="39"/>
      <c r="H327" s="41"/>
      <c r="I327" s="41"/>
      <c r="J327" s="42"/>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33"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7"/>
      <c r="B328" s="38"/>
      <c r="C328" s="38"/>
      <c r="D328" s="39"/>
      <c r="E328" s="39"/>
      <c r="F328" s="40"/>
      <c r="G328" s="39"/>
      <c r="H328" s="41"/>
      <c r="I328" s="41"/>
      <c r="J328" s="42"/>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7"/>
      <c r="B329" s="38"/>
      <c r="C329" s="38"/>
      <c r="D329" s="39"/>
      <c r="E329" s="39"/>
      <c r="F329" s="40"/>
      <c r="G329" s="39"/>
      <c r="H329" s="41"/>
      <c r="I329" s="41"/>
      <c r="J329" s="42"/>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33"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7"/>
      <c r="B330" s="38"/>
      <c r="C330" s="38"/>
      <c r="D330" s="39"/>
      <c r="E330" s="39"/>
      <c r="F330" s="40"/>
      <c r="G330" s="39"/>
      <c r="H330" s="41"/>
      <c r="I330" s="41"/>
      <c r="J330" s="42"/>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7"/>
      <c r="B331" s="38"/>
      <c r="C331" s="38"/>
      <c r="D331" s="39"/>
      <c r="E331" s="39"/>
      <c r="F331" s="40"/>
      <c r="G331" s="39"/>
      <c r="H331" s="41"/>
      <c r="I331" s="41"/>
      <c r="J331" s="42"/>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33"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7"/>
      <c r="B332" s="38"/>
      <c r="C332" s="38"/>
      <c r="D332" s="39"/>
      <c r="E332" s="39"/>
      <c r="F332" s="40"/>
      <c r="G332" s="39"/>
      <c r="H332" s="41"/>
      <c r="I332" s="41"/>
      <c r="J332" s="42"/>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7"/>
      <c r="B333" s="38"/>
      <c r="C333" s="38"/>
      <c r="D333" s="39"/>
      <c r="E333" s="39"/>
      <c r="F333" s="40"/>
      <c r="G333" s="39"/>
      <c r="H333" s="41"/>
      <c r="I333" s="41"/>
      <c r="J333" s="42"/>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33"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7"/>
      <c r="B334" s="38"/>
      <c r="C334" s="38"/>
      <c r="D334" s="39"/>
      <c r="E334" s="39"/>
      <c r="F334" s="40"/>
      <c r="G334" s="39"/>
      <c r="H334" s="41"/>
      <c r="I334" s="41"/>
      <c r="J334" s="42"/>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7"/>
      <c r="B335" s="38"/>
      <c r="C335" s="38"/>
      <c r="D335" s="39"/>
      <c r="E335" s="39"/>
      <c r="F335" s="40"/>
      <c r="G335" s="39"/>
      <c r="H335" s="41"/>
      <c r="I335" s="41"/>
      <c r="J335" s="42"/>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33"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7"/>
      <c r="B336" s="38"/>
      <c r="C336" s="38"/>
      <c r="D336" s="39"/>
      <c r="E336" s="39"/>
      <c r="F336" s="40"/>
      <c r="G336" s="39"/>
      <c r="H336" s="41"/>
      <c r="I336" s="41"/>
      <c r="J336" s="42"/>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7"/>
      <c r="B337" s="38"/>
      <c r="C337" s="38"/>
      <c r="D337" s="39"/>
      <c r="E337" s="39"/>
      <c r="F337" s="40"/>
      <c r="G337" s="39"/>
      <c r="H337" s="41"/>
      <c r="I337" s="41"/>
      <c r="J337" s="42"/>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33"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7"/>
      <c r="B338" s="38"/>
      <c r="C338" s="38"/>
      <c r="D338" s="39"/>
      <c r="E338" s="39"/>
      <c r="F338" s="40"/>
      <c r="G338" s="39"/>
      <c r="H338" s="41"/>
      <c r="I338" s="41"/>
      <c r="J338" s="42"/>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7"/>
      <c r="B339" s="38"/>
      <c r="C339" s="38"/>
      <c r="D339" s="39"/>
      <c r="E339" s="39"/>
      <c r="F339" s="40"/>
      <c r="G339" s="39"/>
      <c r="H339" s="41"/>
      <c r="I339" s="41"/>
      <c r="J339" s="42"/>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33"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7"/>
      <c r="B340" s="38"/>
      <c r="C340" s="38"/>
      <c r="D340" s="39"/>
      <c r="E340" s="39"/>
      <c r="F340" s="40"/>
      <c r="G340" s="39"/>
      <c r="H340" s="41"/>
      <c r="I340" s="41"/>
      <c r="J340" s="42"/>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7"/>
      <c r="B341" s="38"/>
      <c r="C341" s="38"/>
      <c r="D341" s="39"/>
      <c r="E341" s="39"/>
      <c r="F341" s="40"/>
      <c r="G341" s="39"/>
      <c r="H341" s="41"/>
      <c r="I341" s="41"/>
      <c r="J341" s="42"/>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33"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7"/>
      <c r="B342" s="38"/>
      <c r="C342" s="38"/>
      <c r="D342" s="39"/>
      <c r="E342" s="39"/>
      <c r="F342" s="40"/>
      <c r="G342" s="39"/>
      <c r="H342" s="41"/>
      <c r="I342" s="41"/>
      <c r="J342" s="42"/>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7"/>
      <c r="B343" s="38"/>
      <c r="C343" s="38"/>
      <c r="D343" s="39"/>
      <c r="E343" s="39"/>
      <c r="F343" s="40"/>
      <c r="G343" s="39"/>
      <c r="H343" s="41"/>
      <c r="I343" s="41"/>
      <c r="J343" s="42"/>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33"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7"/>
      <c r="B344" s="38"/>
      <c r="C344" s="38"/>
      <c r="D344" s="39"/>
      <c r="E344" s="39"/>
      <c r="F344" s="40"/>
      <c r="G344" s="39"/>
      <c r="H344" s="41"/>
      <c r="I344" s="41"/>
      <c r="J344" s="42"/>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7"/>
      <c r="B345" s="38"/>
      <c r="C345" s="38"/>
      <c r="D345" s="39"/>
      <c r="E345" s="39"/>
      <c r="F345" s="40"/>
      <c r="G345" s="39"/>
      <c r="H345" s="41"/>
      <c r="I345" s="41"/>
      <c r="J345" s="42"/>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33"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7"/>
      <c r="B346" s="38"/>
      <c r="C346" s="38"/>
      <c r="D346" s="39"/>
      <c r="E346" s="39"/>
      <c r="F346" s="40"/>
      <c r="G346" s="39"/>
      <c r="H346" s="41"/>
      <c r="I346" s="41"/>
      <c r="J346" s="42"/>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7"/>
      <c r="B347" s="38"/>
      <c r="C347" s="38"/>
      <c r="D347" s="39"/>
      <c r="E347" s="39"/>
      <c r="F347" s="40"/>
      <c r="G347" s="39"/>
      <c r="H347" s="41"/>
      <c r="I347" s="41"/>
      <c r="J347" s="42"/>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33"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7"/>
      <c r="B348" s="38"/>
      <c r="C348" s="38"/>
      <c r="D348" s="39"/>
      <c r="E348" s="39"/>
      <c r="F348" s="40"/>
      <c r="G348" s="39"/>
      <c r="H348" s="41"/>
      <c r="I348" s="41"/>
      <c r="J348" s="42"/>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7"/>
      <c r="B349" s="38"/>
      <c r="C349" s="38"/>
      <c r="D349" s="39"/>
      <c r="E349" s="39"/>
      <c r="F349" s="40"/>
      <c r="G349" s="39"/>
      <c r="H349" s="41"/>
      <c r="I349" s="41"/>
      <c r="J349" s="42"/>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33"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7"/>
      <c r="B350" s="38"/>
      <c r="C350" s="38"/>
      <c r="D350" s="39"/>
      <c r="E350" s="39"/>
      <c r="F350" s="40"/>
      <c r="G350" s="39"/>
      <c r="H350" s="41"/>
      <c r="I350" s="41"/>
      <c r="J350" s="42"/>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7"/>
      <c r="B351" s="38"/>
      <c r="C351" s="38"/>
      <c r="D351" s="39"/>
      <c r="E351" s="39"/>
      <c r="F351" s="40"/>
      <c r="G351" s="39"/>
      <c r="H351" s="41"/>
      <c r="I351" s="41"/>
      <c r="J351" s="42"/>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33"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7"/>
      <c r="B352" s="38"/>
      <c r="C352" s="38"/>
      <c r="D352" s="39"/>
      <c r="E352" s="39"/>
      <c r="F352" s="40"/>
      <c r="G352" s="39"/>
      <c r="H352" s="41"/>
      <c r="I352" s="41"/>
      <c r="J352" s="42"/>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7"/>
      <c r="B353" s="38"/>
      <c r="C353" s="38"/>
      <c r="D353" s="39"/>
      <c r="E353" s="39"/>
      <c r="F353" s="40"/>
      <c r="G353" s="39"/>
      <c r="H353" s="41"/>
      <c r="I353" s="41"/>
      <c r="J353" s="42"/>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33"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7"/>
      <c r="B354" s="38"/>
      <c r="C354" s="38"/>
      <c r="D354" s="39"/>
      <c r="E354" s="39"/>
      <c r="F354" s="40"/>
      <c r="G354" s="39"/>
      <c r="H354" s="41"/>
      <c r="I354" s="41"/>
      <c r="J354" s="42"/>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7"/>
      <c r="B355" s="38"/>
      <c r="C355" s="38"/>
      <c r="D355" s="39"/>
      <c r="E355" s="39"/>
      <c r="F355" s="40"/>
      <c r="G355" s="39"/>
      <c r="H355" s="41"/>
      <c r="I355" s="41"/>
      <c r="J355" s="42"/>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33"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7"/>
      <c r="B356" s="38"/>
      <c r="C356" s="38"/>
      <c r="D356" s="39"/>
      <c r="E356" s="39"/>
      <c r="F356" s="40"/>
      <c r="G356" s="39"/>
      <c r="H356" s="41"/>
      <c r="I356" s="41"/>
      <c r="J356" s="42"/>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7"/>
      <c r="B357" s="38"/>
      <c r="C357" s="38"/>
      <c r="D357" s="39"/>
      <c r="E357" s="39"/>
      <c r="F357" s="40"/>
      <c r="G357" s="39"/>
      <c r="H357" s="41"/>
      <c r="I357" s="41"/>
      <c r="J357" s="42"/>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33"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7"/>
      <c r="B358" s="38"/>
      <c r="C358" s="38"/>
      <c r="D358" s="39"/>
      <c r="E358" s="39"/>
      <c r="F358" s="40"/>
      <c r="G358" s="39"/>
      <c r="H358" s="41"/>
      <c r="I358" s="41"/>
      <c r="J358" s="42"/>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7"/>
      <c r="B359" s="38"/>
      <c r="C359" s="38"/>
      <c r="D359" s="39"/>
      <c r="E359" s="39"/>
      <c r="F359" s="40"/>
      <c r="G359" s="39"/>
      <c r="H359" s="41"/>
      <c r="I359" s="41"/>
      <c r="J359" s="42"/>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33"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7"/>
      <c r="B360" s="38"/>
      <c r="C360" s="38"/>
      <c r="D360" s="39"/>
      <c r="E360" s="39"/>
      <c r="F360" s="40"/>
      <c r="G360" s="39"/>
      <c r="H360" s="41"/>
      <c r="I360" s="41"/>
      <c r="J360" s="42"/>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7"/>
      <c r="B361" s="38"/>
      <c r="C361" s="38"/>
      <c r="D361" s="39"/>
      <c r="E361" s="39"/>
      <c r="F361" s="40"/>
      <c r="G361" s="39"/>
      <c r="H361" s="41"/>
      <c r="I361" s="41"/>
      <c r="J361" s="42"/>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33"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7"/>
      <c r="B362" s="38"/>
      <c r="C362" s="38"/>
      <c r="D362" s="39"/>
      <c r="E362" s="39"/>
      <c r="F362" s="40"/>
      <c r="G362" s="39"/>
      <c r="H362" s="41"/>
      <c r="I362" s="41"/>
      <c r="J362" s="42"/>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7"/>
      <c r="B363" s="38"/>
      <c r="C363" s="38"/>
      <c r="D363" s="39"/>
      <c r="E363" s="39"/>
      <c r="F363" s="40"/>
      <c r="G363" s="39"/>
      <c r="H363" s="41"/>
      <c r="I363" s="41"/>
      <c r="J363" s="42"/>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33"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7"/>
      <c r="B364" s="38"/>
      <c r="C364" s="38"/>
      <c r="D364" s="39"/>
      <c r="E364" s="39"/>
      <c r="F364" s="40"/>
      <c r="G364" s="39"/>
      <c r="H364" s="41"/>
      <c r="I364" s="41"/>
      <c r="J364" s="42"/>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7"/>
      <c r="B365" s="38"/>
      <c r="C365" s="38"/>
      <c r="D365" s="39"/>
      <c r="E365" s="39"/>
      <c r="F365" s="40"/>
      <c r="G365" s="39"/>
      <c r="H365" s="41"/>
      <c r="I365" s="41"/>
      <c r="J365" s="42"/>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33"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7"/>
      <c r="B366" s="38"/>
      <c r="C366" s="38"/>
      <c r="D366" s="39"/>
      <c r="E366" s="39"/>
      <c r="F366" s="40"/>
      <c r="G366" s="39"/>
      <c r="H366" s="41"/>
      <c r="I366" s="41"/>
      <c r="J366" s="42"/>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7"/>
      <c r="B367" s="38"/>
      <c r="C367" s="38"/>
      <c r="D367" s="39"/>
      <c r="E367" s="39"/>
      <c r="F367" s="40"/>
      <c r="G367" s="39"/>
      <c r="H367" s="41"/>
      <c r="I367" s="41"/>
      <c r="J367" s="42"/>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33"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7"/>
      <c r="B368" s="38"/>
      <c r="C368" s="38"/>
      <c r="D368" s="39"/>
      <c r="E368" s="39"/>
      <c r="F368" s="40"/>
      <c r="G368" s="39"/>
      <c r="H368" s="41"/>
      <c r="I368" s="41"/>
      <c r="J368" s="42"/>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7"/>
      <c r="B369" s="38"/>
      <c r="C369" s="38"/>
      <c r="D369" s="39"/>
      <c r="E369" s="39"/>
      <c r="F369" s="40"/>
      <c r="G369" s="39"/>
      <c r="H369" s="41"/>
      <c r="I369" s="41"/>
      <c r="J369" s="42"/>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33"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7"/>
      <c r="B370" s="38"/>
      <c r="C370" s="38"/>
      <c r="D370" s="39"/>
      <c r="E370" s="39"/>
      <c r="F370" s="40"/>
      <c r="G370" s="39"/>
      <c r="H370" s="41"/>
      <c r="I370" s="41"/>
      <c r="J370" s="42"/>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7"/>
      <c r="B371" s="38"/>
      <c r="C371" s="38"/>
      <c r="D371" s="39"/>
      <c r="E371" s="39"/>
      <c r="F371" s="40"/>
      <c r="G371" s="39"/>
      <c r="H371" s="41"/>
      <c r="I371" s="41"/>
      <c r="J371" s="42"/>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33"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7"/>
      <c r="B372" s="38"/>
      <c r="C372" s="38"/>
      <c r="D372" s="39"/>
      <c r="E372" s="39"/>
      <c r="F372" s="40"/>
      <c r="G372" s="39"/>
      <c r="H372" s="41"/>
      <c r="I372" s="41"/>
      <c r="J372" s="42"/>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7"/>
      <c r="B373" s="38"/>
      <c r="C373" s="38"/>
      <c r="D373" s="39"/>
      <c r="E373" s="39"/>
      <c r="F373" s="40"/>
      <c r="G373" s="39"/>
      <c r="H373" s="41"/>
      <c r="I373" s="41"/>
      <c r="J373" s="42"/>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33"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7"/>
      <c r="B374" s="38"/>
      <c r="C374" s="38"/>
      <c r="D374" s="39"/>
      <c r="E374" s="39"/>
      <c r="F374" s="40"/>
      <c r="G374" s="39"/>
      <c r="H374" s="41"/>
      <c r="I374" s="41"/>
      <c r="J374" s="42"/>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7"/>
      <c r="B375" s="38"/>
      <c r="C375" s="38"/>
      <c r="D375" s="39"/>
      <c r="E375" s="39"/>
      <c r="F375" s="40"/>
      <c r="G375" s="39"/>
      <c r="H375" s="41"/>
      <c r="I375" s="41"/>
      <c r="J375" s="42"/>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33"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7"/>
      <c r="B376" s="38"/>
      <c r="C376" s="38"/>
      <c r="D376" s="39"/>
      <c r="E376" s="39"/>
      <c r="F376" s="40"/>
      <c r="G376" s="39"/>
      <c r="H376" s="41"/>
      <c r="I376" s="41"/>
      <c r="J376" s="42"/>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7"/>
      <c r="B377" s="38"/>
      <c r="C377" s="38"/>
      <c r="D377" s="39"/>
      <c r="E377" s="39"/>
      <c r="F377" s="40"/>
      <c r="G377" s="39"/>
      <c r="H377" s="41"/>
      <c r="I377" s="41"/>
      <c r="J377" s="42"/>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33"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7"/>
      <c r="B378" s="38"/>
      <c r="C378" s="38"/>
      <c r="D378" s="39"/>
      <c r="E378" s="39"/>
      <c r="F378" s="40"/>
      <c r="G378" s="39"/>
      <c r="H378" s="41"/>
      <c r="I378" s="41"/>
      <c r="J378" s="42"/>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7"/>
      <c r="B379" s="38"/>
      <c r="C379" s="38"/>
      <c r="D379" s="39"/>
      <c r="E379" s="39"/>
      <c r="F379" s="40"/>
      <c r="G379" s="39"/>
      <c r="H379" s="41"/>
      <c r="I379" s="41"/>
      <c r="J379" s="42"/>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33"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7"/>
      <c r="B380" s="38"/>
      <c r="C380" s="38"/>
      <c r="D380" s="39"/>
      <c r="E380" s="39"/>
      <c r="F380" s="40"/>
      <c r="G380" s="39"/>
      <c r="H380" s="41"/>
      <c r="I380" s="41"/>
      <c r="J380" s="42"/>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7"/>
      <c r="B381" s="38"/>
      <c r="C381" s="38"/>
      <c r="D381" s="39"/>
      <c r="E381" s="39"/>
      <c r="F381" s="40"/>
      <c r="G381" s="39"/>
      <c r="H381" s="41"/>
      <c r="I381" s="41"/>
      <c r="J381" s="42"/>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33"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7"/>
      <c r="B382" s="38"/>
      <c r="C382" s="38"/>
      <c r="D382" s="39"/>
      <c r="E382" s="39"/>
      <c r="F382" s="40"/>
      <c r="G382" s="39"/>
      <c r="H382" s="41"/>
      <c r="I382" s="41"/>
      <c r="J382" s="42"/>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7"/>
      <c r="B383" s="38"/>
      <c r="C383" s="38"/>
      <c r="D383" s="39"/>
      <c r="E383" s="39"/>
      <c r="F383" s="40"/>
      <c r="G383" s="39"/>
      <c r="H383" s="41"/>
      <c r="I383" s="41"/>
      <c r="J383" s="42"/>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33"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7"/>
      <c r="B384" s="38"/>
      <c r="C384" s="38"/>
      <c r="D384" s="39"/>
      <c r="E384" s="39"/>
      <c r="F384" s="40"/>
      <c r="G384" s="39"/>
      <c r="H384" s="41"/>
      <c r="I384" s="41"/>
      <c r="J384" s="42"/>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7"/>
      <c r="B385" s="38"/>
      <c r="C385" s="38"/>
      <c r="D385" s="39"/>
      <c r="E385" s="39"/>
      <c r="F385" s="40"/>
      <c r="G385" s="39"/>
      <c r="H385" s="41"/>
      <c r="I385" s="41"/>
      <c r="J385" s="42"/>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33"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7"/>
      <c r="B386" s="38"/>
      <c r="C386" s="38"/>
      <c r="D386" s="39"/>
      <c r="E386" s="39"/>
      <c r="F386" s="40"/>
      <c r="G386" s="39"/>
      <c r="H386" s="41"/>
      <c r="I386" s="41"/>
      <c r="J386" s="42"/>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7"/>
      <c r="B387" s="38"/>
      <c r="C387" s="38"/>
      <c r="D387" s="39"/>
      <c r="E387" s="39"/>
      <c r="F387" s="40"/>
      <c r="G387" s="39"/>
      <c r="H387" s="41"/>
      <c r="I387" s="41"/>
      <c r="J387" s="42"/>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33"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7"/>
      <c r="B388" s="38"/>
      <c r="C388" s="38"/>
      <c r="D388" s="39"/>
      <c r="E388" s="39"/>
      <c r="F388" s="40"/>
      <c r="G388" s="39"/>
      <c r="H388" s="41"/>
      <c r="I388" s="41"/>
      <c r="J388" s="42"/>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7"/>
      <c r="B389" s="38"/>
      <c r="C389" s="38"/>
      <c r="D389" s="39"/>
      <c r="E389" s="39"/>
      <c r="F389" s="40"/>
      <c r="G389" s="39"/>
      <c r="H389" s="41"/>
      <c r="I389" s="41"/>
      <c r="J389" s="42"/>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33"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7"/>
      <c r="B390" s="38"/>
      <c r="C390" s="38"/>
      <c r="D390" s="39"/>
      <c r="E390" s="39"/>
      <c r="F390" s="40"/>
      <c r="G390" s="39"/>
      <c r="H390" s="41"/>
      <c r="I390" s="41"/>
      <c r="J390" s="42"/>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7"/>
      <c r="B391" s="38"/>
      <c r="C391" s="38"/>
      <c r="D391" s="39"/>
      <c r="E391" s="39"/>
      <c r="F391" s="40"/>
      <c r="G391" s="39"/>
      <c r="H391" s="41"/>
      <c r="I391" s="41"/>
      <c r="J391" s="42"/>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33"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7"/>
      <c r="B392" s="38"/>
      <c r="C392" s="38"/>
      <c r="D392" s="39"/>
      <c r="E392" s="39"/>
      <c r="F392" s="40"/>
      <c r="G392" s="39"/>
      <c r="H392" s="41"/>
      <c r="I392" s="41"/>
      <c r="J392" s="42"/>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7"/>
      <c r="B393" s="38"/>
      <c r="C393" s="38"/>
      <c r="D393" s="39"/>
      <c r="E393" s="39"/>
      <c r="F393" s="40"/>
      <c r="G393" s="39"/>
      <c r="H393" s="41"/>
      <c r="I393" s="41"/>
      <c r="J393" s="42"/>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33"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7"/>
      <c r="B394" s="38"/>
      <c r="C394" s="38"/>
      <c r="D394" s="39"/>
      <c r="E394" s="39"/>
      <c r="F394" s="40"/>
      <c r="G394" s="39"/>
      <c r="H394" s="41"/>
      <c r="I394" s="41"/>
      <c r="J394" s="42"/>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7"/>
      <c r="B395" s="38"/>
      <c r="C395" s="38"/>
      <c r="D395" s="39"/>
      <c r="E395" s="39"/>
      <c r="F395" s="40"/>
      <c r="G395" s="39"/>
      <c r="H395" s="41"/>
      <c r="I395" s="41"/>
      <c r="J395" s="42"/>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33"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7"/>
      <c r="B396" s="38"/>
      <c r="C396" s="38"/>
      <c r="D396" s="39"/>
      <c r="E396" s="39"/>
      <c r="F396" s="40"/>
      <c r="G396" s="39"/>
      <c r="H396" s="41"/>
      <c r="I396" s="41"/>
      <c r="J396" s="42"/>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7"/>
      <c r="B397" s="38"/>
      <c r="C397" s="38"/>
      <c r="D397" s="39"/>
      <c r="E397" s="39"/>
      <c r="F397" s="40"/>
      <c r="G397" s="39"/>
      <c r="H397" s="41"/>
      <c r="I397" s="41"/>
      <c r="J397" s="42"/>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33"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7"/>
      <c r="B398" s="38"/>
      <c r="C398" s="38"/>
      <c r="D398" s="39"/>
      <c r="E398" s="39"/>
      <c r="F398" s="40"/>
      <c r="G398" s="39"/>
      <c r="H398" s="41"/>
      <c r="I398" s="41"/>
      <c r="J398" s="42"/>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7"/>
      <c r="B399" s="38"/>
      <c r="C399" s="38"/>
      <c r="D399" s="39"/>
      <c r="E399" s="39"/>
      <c r="F399" s="40"/>
      <c r="G399" s="39"/>
      <c r="H399" s="41"/>
      <c r="I399" s="41"/>
      <c r="J399" s="42"/>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33"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7"/>
      <c r="B400" s="38"/>
      <c r="C400" s="38"/>
      <c r="D400" s="39"/>
      <c r="E400" s="39"/>
      <c r="F400" s="40"/>
      <c r="G400" s="39"/>
      <c r="H400" s="41"/>
      <c r="I400" s="41"/>
      <c r="J400" s="42"/>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7"/>
      <c r="B401" s="38"/>
      <c r="C401" s="38"/>
      <c r="D401" s="39"/>
      <c r="E401" s="39"/>
      <c r="F401" s="40"/>
      <c r="G401" s="39"/>
      <c r="H401" s="41"/>
      <c r="I401" s="41"/>
      <c r="J401" s="42"/>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33"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7"/>
      <c r="B402" s="38"/>
      <c r="C402" s="38"/>
      <c r="D402" s="39"/>
      <c r="E402" s="39"/>
      <c r="F402" s="40"/>
      <c r="G402" s="39"/>
      <c r="H402" s="41"/>
      <c r="I402" s="41"/>
      <c r="J402" s="42"/>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7"/>
      <c r="B403" s="38"/>
      <c r="C403" s="38"/>
      <c r="D403" s="39"/>
      <c r="E403" s="39"/>
      <c r="F403" s="40"/>
      <c r="G403" s="39"/>
      <c r="H403" s="41"/>
      <c r="I403" s="41"/>
      <c r="J403" s="42"/>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33"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7"/>
      <c r="B404" s="38"/>
      <c r="C404" s="38"/>
      <c r="D404" s="39"/>
      <c r="E404" s="39"/>
      <c r="F404" s="40"/>
      <c r="G404" s="39"/>
      <c r="H404" s="41"/>
      <c r="I404" s="41"/>
      <c r="J404" s="42"/>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7"/>
      <c r="B405" s="38"/>
      <c r="C405" s="38"/>
      <c r="D405" s="39"/>
      <c r="E405" s="39"/>
      <c r="F405" s="40"/>
      <c r="G405" s="39"/>
      <c r="H405" s="41"/>
      <c r="I405" s="41"/>
      <c r="J405" s="42"/>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33"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7"/>
      <c r="B406" s="38"/>
      <c r="C406" s="38"/>
      <c r="D406" s="39"/>
      <c r="E406" s="39"/>
      <c r="F406" s="40"/>
      <c r="G406" s="39"/>
      <c r="H406" s="41"/>
      <c r="I406" s="41"/>
      <c r="J406" s="42"/>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7"/>
      <c r="B407" s="38"/>
      <c r="C407" s="38"/>
      <c r="D407" s="39"/>
      <c r="E407" s="39"/>
      <c r="F407" s="40"/>
      <c r="G407" s="39"/>
      <c r="H407" s="41"/>
      <c r="I407" s="41"/>
      <c r="J407" s="42"/>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33"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7"/>
      <c r="B408" s="38"/>
      <c r="C408" s="38"/>
      <c r="D408" s="39"/>
      <c r="E408" s="39"/>
      <c r="F408" s="40"/>
      <c r="G408" s="39"/>
      <c r="H408" s="41"/>
      <c r="I408" s="41"/>
      <c r="J408" s="42"/>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7"/>
      <c r="B409" s="38"/>
      <c r="C409" s="38"/>
      <c r="D409" s="39"/>
      <c r="E409" s="39"/>
      <c r="F409" s="40"/>
      <c r="G409" s="39"/>
      <c r="H409" s="41"/>
      <c r="I409" s="41"/>
      <c r="J409" s="42"/>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33"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7"/>
      <c r="B410" s="38"/>
      <c r="C410" s="38"/>
      <c r="D410" s="39"/>
      <c r="E410" s="39"/>
      <c r="F410" s="40"/>
      <c r="G410" s="39"/>
      <c r="H410" s="41"/>
      <c r="I410" s="41"/>
      <c r="J410" s="42"/>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7"/>
      <c r="B411" s="38"/>
      <c r="C411" s="38"/>
      <c r="D411" s="39"/>
      <c r="E411" s="39"/>
      <c r="F411" s="40"/>
      <c r="G411" s="39"/>
      <c r="H411" s="41"/>
      <c r="I411" s="41"/>
      <c r="J411" s="42"/>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33"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7"/>
      <c r="B412" s="38"/>
      <c r="C412" s="38"/>
      <c r="D412" s="39"/>
      <c r="E412" s="39"/>
      <c r="F412" s="40"/>
      <c r="G412" s="39"/>
      <c r="H412" s="41"/>
      <c r="I412" s="41"/>
      <c r="J412" s="42"/>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7"/>
      <c r="B413" s="38"/>
      <c r="C413" s="38"/>
      <c r="D413" s="39"/>
      <c r="E413" s="39"/>
      <c r="F413" s="40"/>
      <c r="G413" s="39"/>
      <c r="H413" s="41"/>
      <c r="I413" s="41"/>
      <c r="J413" s="42"/>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33"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7"/>
      <c r="B414" s="38"/>
      <c r="C414" s="38"/>
      <c r="D414" s="39"/>
      <c r="E414" s="39"/>
      <c r="F414" s="40"/>
      <c r="G414" s="39"/>
      <c r="H414" s="41"/>
      <c r="I414" s="41"/>
      <c r="J414" s="42"/>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7"/>
      <c r="B415" s="38"/>
      <c r="C415" s="38"/>
      <c r="D415" s="39"/>
      <c r="E415" s="39"/>
      <c r="F415" s="40"/>
      <c r="G415" s="39"/>
      <c r="H415" s="41"/>
      <c r="I415" s="41"/>
      <c r="J415" s="42"/>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33"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7"/>
      <c r="B416" s="38"/>
      <c r="C416" s="38"/>
      <c r="D416" s="39"/>
      <c r="E416" s="39"/>
      <c r="F416" s="40"/>
      <c r="G416" s="39"/>
      <c r="H416" s="41"/>
      <c r="I416" s="41"/>
      <c r="J416" s="42"/>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7"/>
      <c r="B417" s="38"/>
      <c r="C417" s="38"/>
      <c r="D417" s="39"/>
      <c r="E417" s="39"/>
      <c r="F417" s="40"/>
      <c r="G417" s="39"/>
      <c r="H417" s="41"/>
      <c r="I417" s="41"/>
      <c r="J417" s="42"/>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33"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7"/>
      <c r="B418" s="38"/>
      <c r="C418" s="38"/>
      <c r="D418" s="39"/>
      <c r="E418" s="39"/>
      <c r="F418" s="40"/>
      <c r="G418" s="39"/>
      <c r="H418" s="41"/>
      <c r="I418" s="41"/>
      <c r="J418" s="42"/>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7"/>
      <c r="B419" s="38"/>
      <c r="C419" s="38"/>
      <c r="D419" s="39"/>
      <c r="E419" s="39"/>
      <c r="F419" s="40"/>
      <c r="G419" s="39"/>
      <c r="H419" s="41"/>
      <c r="I419" s="41"/>
      <c r="J419" s="42"/>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33"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7"/>
      <c r="B420" s="38"/>
      <c r="C420" s="38"/>
      <c r="D420" s="39"/>
      <c r="E420" s="39"/>
      <c r="F420" s="40"/>
      <c r="G420" s="39"/>
      <c r="H420" s="41"/>
      <c r="I420" s="41"/>
      <c r="J420" s="42"/>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7"/>
      <c r="B421" s="38"/>
      <c r="C421" s="38"/>
      <c r="D421" s="39"/>
      <c r="E421" s="39"/>
      <c r="F421" s="40"/>
      <c r="G421" s="39"/>
      <c r="H421" s="41"/>
      <c r="I421" s="41"/>
      <c r="J421" s="42"/>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33"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7"/>
      <c r="B422" s="38"/>
      <c r="C422" s="38"/>
      <c r="D422" s="39"/>
      <c r="E422" s="39"/>
      <c r="F422" s="40"/>
      <c r="G422" s="39"/>
      <c r="H422" s="41"/>
      <c r="I422" s="41"/>
      <c r="J422" s="42"/>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7"/>
      <c r="B423" s="38"/>
      <c r="C423" s="38"/>
      <c r="D423" s="39"/>
      <c r="E423" s="39"/>
      <c r="F423" s="40"/>
      <c r="G423" s="39"/>
      <c r="H423" s="41"/>
      <c r="I423" s="41"/>
      <c r="J423" s="42"/>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33"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7"/>
      <c r="B424" s="38"/>
      <c r="C424" s="38"/>
      <c r="D424" s="39"/>
      <c r="E424" s="39"/>
      <c r="F424" s="40"/>
      <c r="G424" s="39"/>
      <c r="H424" s="41"/>
      <c r="I424" s="41"/>
      <c r="J424" s="42"/>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7"/>
      <c r="B425" s="38"/>
      <c r="C425" s="38"/>
      <c r="D425" s="39"/>
      <c r="E425" s="39"/>
      <c r="F425" s="40"/>
      <c r="G425" s="39"/>
      <c r="H425" s="41"/>
      <c r="I425" s="41"/>
      <c r="J425" s="42"/>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33"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7"/>
      <c r="B426" s="38"/>
      <c r="C426" s="38"/>
      <c r="D426" s="39"/>
      <c r="E426" s="39"/>
      <c r="F426" s="40"/>
      <c r="G426" s="39"/>
      <c r="H426" s="41"/>
      <c r="I426" s="41"/>
      <c r="J426" s="42"/>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7"/>
      <c r="B427" s="38"/>
      <c r="C427" s="38"/>
      <c r="D427" s="39"/>
      <c r="E427" s="39"/>
      <c r="F427" s="40"/>
      <c r="G427" s="39"/>
      <c r="H427" s="41"/>
      <c r="I427" s="41"/>
      <c r="J427" s="42"/>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33"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7"/>
      <c r="B428" s="38"/>
      <c r="C428" s="38"/>
      <c r="D428" s="39"/>
      <c r="E428" s="39"/>
      <c r="F428" s="40"/>
      <c r="G428" s="39"/>
      <c r="H428" s="41"/>
      <c r="I428" s="41"/>
      <c r="J428" s="42"/>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7"/>
      <c r="B429" s="38"/>
      <c r="C429" s="38"/>
      <c r="D429" s="39"/>
      <c r="E429" s="39"/>
      <c r="F429" s="40"/>
      <c r="G429" s="39"/>
      <c r="H429" s="41"/>
      <c r="I429" s="41"/>
      <c r="J429" s="42"/>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33"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7"/>
      <c r="B430" s="38"/>
      <c r="C430" s="38"/>
      <c r="D430" s="39"/>
      <c r="E430" s="39"/>
      <c r="F430" s="40"/>
      <c r="G430" s="39"/>
      <c r="H430" s="41"/>
      <c r="I430" s="41"/>
      <c r="J430" s="42"/>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7"/>
      <c r="B431" s="38"/>
      <c r="C431" s="38"/>
      <c r="D431" s="39"/>
      <c r="E431" s="39"/>
      <c r="F431" s="40"/>
      <c r="G431" s="39"/>
      <c r="H431" s="41"/>
      <c r="I431" s="41"/>
      <c r="J431" s="42"/>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33"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7"/>
      <c r="B432" s="38"/>
      <c r="C432" s="38"/>
      <c r="D432" s="39"/>
      <c r="E432" s="39"/>
      <c r="F432" s="40"/>
      <c r="G432" s="39"/>
      <c r="H432" s="41"/>
      <c r="I432" s="41"/>
      <c r="J432" s="42"/>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7"/>
      <c r="B433" s="38"/>
      <c r="C433" s="38"/>
      <c r="D433" s="39"/>
      <c r="E433" s="39"/>
      <c r="F433" s="40"/>
      <c r="G433" s="39"/>
      <c r="H433" s="41"/>
      <c r="I433" s="41"/>
      <c r="J433" s="42"/>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33"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7"/>
      <c r="B434" s="38"/>
      <c r="C434" s="38"/>
      <c r="D434" s="39"/>
      <c r="E434" s="39"/>
      <c r="F434" s="40"/>
      <c r="G434" s="39"/>
      <c r="H434" s="41"/>
      <c r="I434" s="41"/>
      <c r="J434" s="42"/>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7"/>
      <c r="B435" s="38"/>
      <c r="C435" s="38"/>
      <c r="D435" s="39"/>
      <c r="E435" s="39"/>
      <c r="F435" s="40"/>
      <c r="G435" s="39"/>
      <c r="H435" s="41"/>
      <c r="I435" s="41"/>
      <c r="J435" s="42"/>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33"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7"/>
      <c r="B436" s="38"/>
      <c r="C436" s="38"/>
      <c r="D436" s="39"/>
      <c r="E436" s="39"/>
      <c r="F436" s="40"/>
      <c r="G436" s="39"/>
      <c r="H436" s="41"/>
      <c r="I436" s="41"/>
      <c r="J436" s="42"/>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7"/>
      <c r="B437" s="38"/>
      <c r="C437" s="38"/>
      <c r="D437" s="39"/>
      <c r="E437" s="39"/>
      <c r="F437" s="40"/>
      <c r="G437" s="39"/>
      <c r="H437" s="41"/>
      <c r="I437" s="41"/>
      <c r="J437" s="42"/>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33"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7"/>
      <c r="B438" s="38"/>
      <c r="C438" s="38"/>
      <c r="D438" s="39"/>
      <c r="E438" s="39"/>
      <c r="F438" s="40"/>
      <c r="G438" s="39"/>
      <c r="H438" s="41"/>
      <c r="I438" s="41"/>
      <c r="J438" s="42"/>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7"/>
      <c r="B439" s="38"/>
      <c r="C439" s="38"/>
      <c r="D439" s="39"/>
      <c r="E439" s="39"/>
      <c r="F439" s="40"/>
      <c r="G439" s="39"/>
      <c r="H439" s="41"/>
      <c r="I439" s="41"/>
      <c r="J439" s="42"/>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33"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7"/>
      <c r="B440" s="38"/>
      <c r="C440" s="38"/>
      <c r="D440" s="39"/>
      <c r="E440" s="39"/>
      <c r="F440" s="40"/>
      <c r="G440" s="39"/>
      <c r="H440" s="41"/>
      <c r="I440" s="41"/>
      <c r="J440" s="42"/>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7"/>
      <c r="B441" s="38"/>
      <c r="C441" s="38"/>
      <c r="D441" s="39"/>
      <c r="E441" s="39"/>
      <c r="F441" s="40"/>
      <c r="G441" s="39"/>
      <c r="H441" s="41"/>
      <c r="I441" s="41"/>
      <c r="J441" s="42"/>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33"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7"/>
      <c r="B442" s="38"/>
      <c r="C442" s="38"/>
      <c r="D442" s="39"/>
      <c r="E442" s="39"/>
      <c r="F442" s="40"/>
      <c r="G442" s="39"/>
      <c r="H442" s="41"/>
      <c r="I442" s="41"/>
      <c r="J442" s="42"/>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7"/>
      <c r="B443" s="38"/>
      <c r="C443" s="38"/>
      <c r="D443" s="39"/>
      <c r="E443" s="39"/>
      <c r="F443" s="40"/>
      <c r="G443" s="39"/>
      <c r="H443" s="41"/>
      <c r="I443" s="41"/>
      <c r="J443" s="42"/>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33"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7"/>
      <c r="B444" s="38"/>
      <c r="C444" s="38"/>
      <c r="D444" s="39"/>
      <c r="E444" s="39"/>
      <c r="F444" s="40"/>
      <c r="G444" s="39"/>
      <c r="H444" s="41"/>
      <c r="I444" s="41"/>
      <c r="J444" s="42"/>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7"/>
      <c r="B445" s="38"/>
      <c r="C445" s="38"/>
      <c r="D445" s="39"/>
      <c r="E445" s="39"/>
      <c r="F445" s="40"/>
      <c r="G445" s="39"/>
      <c r="H445" s="41"/>
      <c r="I445" s="41"/>
      <c r="J445" s="42"/>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33"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7"/>
      <c r="B446" s="38"/>
      <c r="C446" s="38"/>
      <c r="D446" s="39"/>
      <c r="E446" s="39"/>
      <c r="F446" s="40"/>
      <c r="G446" s="39"/>
      <c r="H446" s="41"/>
      <c r="I446" s="41"/>
      <c r="J446" s="42"/>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7"/>
      <c r="B447" s="38"/>
      <c r="C447" s="38"/>
      <c r="D447" s="39"/>
      <c r="E447" s="39"/>
      <c r="F447" s="40"/>
      <c r="G447" s="39"/>
      <c r="H447" s="41"/>
      <c r="I447" s="41"/>
      <c r="J447" s="42"/>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33"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7"/>
      <c r="B448" s="38"/>
      <c r="C448" s="38"/>
      <c r="D448" s="39"/>
      <c r="E448" s="39"/>
      <c r="F448" s="40"/>
      <c r="G448" s="39"/>
      <c r="H448" s="41"/>
      <c r="I448" s="41"/>
      <c r="J448" s="42"/>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7"/>
      <c r="B449" s="38"/>
      <c r="C449" s="38"/>
      <c r="D449" s="39"/>
      <c r="E449" s="39"/>
      <c r="F449" s="40"/>
      <c r="G449" s="39"/>
      <c r="H449" s="41"/>
      <c r="I449" s="41"/>
      <c r="J449" s="42"/>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33"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7"/>
      <c r="B450" s="38"/>
      <c r="C450" s="38"/>
      <c r="D450" s="39"/>
      <c r="E450" s="39"/>
      <c r="F450" s="40"/>
      <c r="G450" s="39"/>
      <c r="H450" s="41"/>
      <c r="I450" s="41"/>
      <c r="J450" s="42"/>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7"/>
      <c r="B451" s="38"/>
      <c r="C451" s="38"/>
      <c r="D451" s="39"/>
      <c r="E451" s="39"/>
      <c r="F451" s="40"/>
      <c r="G451" s="39"/>
      <c r="H451" s="41"/>
      <c r="I451" s="41"/>
      <c r="J451" s="42"/>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33"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7"/>
      <c r="B452" s="38"/>
      <c r="C452" s="38"/>
      <c r="D452" s="39"/>
      <c r="E452" s="39"/>
      <c r="F452" s="40"/>
      <c r="G452" s="39"/>
      <c r="H452" s="41"/>
      <c r="I452" s="41"/>
      <c r="J452" s="42"/>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7"/>
      <c r="B453" s="38"/>
      <c r="C453" s="38"/>
      <c r="D453" s="39"/>
      <c r="E453" s="39"/>
      <c r="F453" s="40"/>
      <c r="G453" s="39"/>
      <c r="H453" s="41"/>
      <c r="I453" s="41"/>
      <c r="J453" s="42"/>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33"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7"/>
      <c r="B454" s="38"/>
      <c r="C454" s="38"/>
      <c r="D454" s="39"/>
      <c r="E454" s="39"/>
      <c r="F454" s="40"/>
      <c r="G454" s="39"/>
      <c r="H454" s="41"/>
      <c r="I454" s="41"/>
      <c r="J454" s="42"/>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7"/>
      <c r="B455" s="38"/>
      <c r="C455" s="38"/>
      <c r="D455" s="39"/>
      <c r="E455" s="39"/>
      <c r="F455" s="40"/>
      <c r="G455" s="39"/>
      <c r="H455" s="41"/>
      <c r="I455" s="41"/>
      <c r="J455" s="42"/>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33"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7"/>
      <c r="B456" s="38"/>
      <c r="C456" s="38"/>
      <c r="D456" s="39"/>
      <c r="E456" s="39"/>
      <c r="F456" s="40"/>
      <c r="G456" s="39"/>
      <c r="H456" s="41"/>
      <c r="I456" s="41"/>
      <c r="J456" s="42"/>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7"/>
      <c r="B457" s="38"/>
      <c r="C457" s="38"/>
      <c r="D457" s="39"/>
      <c r="E457" s="39"/>
      <c r="F457" s="40"/>
      <c r="G457" s="39"/>
      <c r="H457" s="41"/>
      <c r="I457" s="41"/>
      <c r="J457" s="42"/>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33"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7"/>
      <c r="B458" s="38"/>
      <c r="C458" s="38"/>
      <c r="D458" s="39"/>
      <c r="E458" s="39"/>
      <c r="F458" s="40"/>
      <c r="G458" s="39"/>
      <c r="H458" s="41"/>
      <c r="I458" s="41"/>
      <c r="J458" s="42"/>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7"/>
      <c r="B459" s="38"/>
      <c r="C459" s="38"/>
      <c r="D459" s="39"/>
      <c r="E459" s="39"/>
      <c r="F459" s="40"/>
      <c r="G459" s="39"/>
      <c r="H459" s="41"/>
      <c r="I459" s="41"/>
      <c r="J459" s="42"/>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33"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7"/>
      <c r="B460" s="38"/>
      <c r="C460" s="38"/>
      <c r="D460" s="39"/>
      <c r="E460" s="39"/>
      <c r="F460" s="40"/>
      <c r="G460" s="39"/>
      <c r="H460" s="41"/>
      <c r="I460" s="41"/>
      <c r="J460" s="42"/>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7"/>
      <c r="B461" s="38"/>
      <c r="C461" s="38"/>
      <c r="D461" s="39"/>
      <c r="E461" s="39"/>
      <c r="F461" s="40"/>
      <c r="G461" s="39"/>
      <c r="H461" s="41"/>
      <c r="I461" s="41"/>
      <c r="J461" s="42"/>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33"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7"/>
      <c r="B462" s="38"/>
      <c r="C462" s="38"/>
      <c r="D462" s="39"/>
      <c r="E462" s="39"/>
      <c r="F462" s="40"/>
      <c r="G462" s="39"/>
      <c r="H462" s="41"/>
      <c r="I462" s="41"/>
      <c r="J462" s="42"/>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7"/>
      <c r="B463" s="38"/>
      <c r="C463" s="38"/>
      <c r="D463" s="39"/>
      <c r="E463" s="39"/>
      <c r="F463" s="40"/>
      <c r="G463" s="39"/>
      <c r="H463" s="41"/>
      <c r="I463" s="41"/>
      <c r="J463" s="42"/>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33"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7"/>
      <c r="B464" s="38"/>
      <c r="C464" s="38"/>
      <c r="D464" s="39"/>
      <c r="E464" s="39"/>
      <c r="F464" s="40"/>
      <c r="G464" s="39"/>
      <c r="H464" s="41"/>
      <c r="I464" s="41"/>
      <c r="J464" s="42"/>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7"/>
      <c r="B465" s="38"/>
      <c r="C465" s="38"/>
      <c r="D465" s="39"/>
      <c r="E465" s="39"/>
      <c r="F465" s="40"/>
      <c r="G465" s="39"/>
      <c r="H465" s="41"/>
      <c r="I465" s="41"/>
      <c r="J465" s="42"/>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33"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7"/>
      <c r="B466" s="38"/>
      <c r="C466" s="38"/>
      <c r="D466" s="39"/>
      <c r="E466" s="39"/>
      <c r="F466" s="40"/>
      <c r="G466" s="39"/>
      <c r="H466" s="41"/>
      <c r="I466" s="41"/>
      <c r="J466" s="42"/>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7"/>
      <c r="B467" s="38"/>
      <c r="C467" s="38"/>
      <c r="D467" s="39"/>
      <c r="E467" s="39"/>
      <c r="F467" s="40"/>
      <c r="G467" s="39"/>
      <c r="H467" s="41"/>
      <c r="I467" s="41"/>
      <c r="J467" s="42"/>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33"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7"/>
      <c r="B468" s="38"/>
      <c r="C468" s="38"/>
      <c r="D468" s="39"/>
      <c r="E468" s="39"/>
      <c r="F468" s="40"/>
      <c r="G468" s="39"/>
      <c r="H468" s="41"/>
      <c r="I468" s="41"/>
      <c r="J468" s="42"/>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7"/>
      <c r="B469" s="38"/>
      <c r="C469" s="38"/>
      <c r="D469" s="39"/>
      <c r="E469" s="39"/>
      <c r="F469" s="40"/>
      <c r="G469" s="39"/>
      <c r="H469" s="41"/>
      <c r="I469" s="41"/>
      <c r="J469" s="42"/>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33"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7"/>
      <c r="B470" s="38"/>
      <c r="C470" s="38"/>
      <c r="D470" s="39"/>
      <c r="E470" s="39"/>
      <c r="F470" s="40"/>
      <c r="G470" s="39"/>
      <c r="H470" s="41"/>
      <c r="I470" s="41"/>
      <c r="J470" s="42"/>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7"/>
      <c r="B471" s="38"/>
      <c r="C471" s="38"/>
      <c r="D471" s="39"/>
      <c r="E471" s="39"/>
      <c r="F471" s="40"/>
      <c r="G471" s="39"/>
      <c r="H471" s="41"/>
      <c r="I471" s="41"/>
      <c r="J471" s="42"/>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33"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7"/>
      <c r="B472" s="38"/>
      <c r="C472" s="38"/>
      <c r="D472" s="39"/>
      <c r="E472" s="39"/>
      <c r="F472" s="40"/>
      <c r="G472" s="39"/>
      <c r="H472" s="41"/>
      <c r="I472" s="41"/>
      <c r="J472" s="42"/>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7"/>
      <c r="B473" s="38"/>
      <c r="C473" s="38"/>
      <c r="D473" s="39"/>
      <c r="E473" s="39"/>
      <c r="F473" s="40"/>
      <c r="G473" s="39"/>
      <c r="H473" s="41"/>
      <c r="I473" s="41"/>
      <c r="J473" s="42"/>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33"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7"/>
      <c r="B474" s="38"/>
      <c r="C474" s="38"/>
      <c r="D474" s="39"/>
      <c r="E474" s="39"/>
      <c r="F474" s="40"/>
      <c r="G474" s="39"/>
      <c r="H474" s="41"/>
      <c r="I474" s="41"/>
      <c r="J474" s="42"/>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7"/>
      <c r="B475" s="38"/>
      <c r="C475" s="38"/>
      <c r="D475" s="39"/>
      <c r="E475" s="39"/>
      <c r="F475" s="40"/>
      <c r="G475" s="39"/>
      <c r="H475" s="41"/>
      <c r="I475" s="41"/>
      <c r="J475" s="42"/>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33"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7"/>
      <c r="B476" s="38"/>
      <c r="C476" s="38"/>
      <c r="D476" s="39"/>
      <c r="E476" s="39"/>
      <c r="F476" s="40"/>
      <c r="G476" s="39"/>
      <c r="H476" s="41"/>
      <c r="I476" s="41"/>
      <c r="J476" s="42"/>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7"/>
      <c r="B477" s="38"/>
      <c r="C477" s="38"/>
      <c r="D477" s="39"/>
      <c r="E477" s="39"/>
      <c r="F477" s="40"/>
      <c r="G477" s="39"/>
      <c r="H477" s="41"/>
      <c r="I477" s="41"/>
      <c r="J477" s="42"/>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33"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7"/>
      <c r="B478" s="38"/>
      <c r="C478" s="38"/>
      <c r="D478" s="39"/>
      <c r="E478" s="39"/>
      <c r="F478" s="40"/>
      <c r="G478" s="39"/>
      <c r="H478" s="41"/>
      <c r="I478" s="41"/>
      <c r="J478" s="42"/>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7"/>
      <c r="B479" s="38"/>
      <c r="C479" s="38"/>
      <c r="D479" s="39"/>
      <c r="E479" s="39"/>
      <c r="F479" s="40"/>
      <c r="G479" s="39"/>
      <c r="H479" s="41"/>
      <c r="I479" s="41"/>
      <c r="J479" s="42"/>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33"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7"/>
      <c r="B480" s="38"/>
      <c r="C480" s="38"/>
      <c r="D480" s="39"/>
      <c r="E480" s="39"/>
      <c r="F480" s="40"/>
      <c r="G480" s="39"/>
      <c r="H480" s="41"/>
      <c r="I480" s="41"/>
      <c r="J480" s="42"/>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7"/>
      <c r="B481" s="38"/>
      <c r="C481" s="38"/>
      <c r="D481" s="39"/>
      <c r="E481" s="39"/>
      <c r="F481" s="40"/>
      <c r="G481" s="39"/>
      <c r="H481" s="41"/>
      <c r="I481" s="41"/>
      <c r="J481" s="42"/>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33"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7"/>
      <c r="B482" s="38"/>
      <c r="C482" s="38"/>
      <c r="D482" s="39"/>
      <c r="E482" s="39"/>
      <c r="F482" s="40"/>
      <c r="G482" s="39"/>
      <c r="H482" s="41"/>
      <c r="I482" s="41"/>
      <c r="J482" s="42"/>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7"/>
      <c r="B483" s="38"/>
      <c r="C483" s="38"/>
      <c r="D483" s="39"/>
      <c r="E483" s="39"/>
      <c r="F483" s="40"/>
      <c r="G483" s="39"/>
      <c r="H483" s="41"/>
      <c r="I483" s="41"/>
      <c r="J483" s="42"/>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33"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7"/>
      <c r="B484" s="38"/>
      <c r="C484" s="38"/>
      <c r="D484" s="39"/>
      <c r="E484" s="39"/>
      <c r="F484" s="40"/>
      <c r="G484" s="39"/>
      <c r="H484" s="41"/>
      <c r="I484" s="41"/>
      <c r="J484" s="42"/>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7"/>
      <c r="B485" s="38"/>
      <c r="C485" s="38"/>
      <c r="D485" s="39"/>
      <c r="E485" s="39"/>
      <c r="F485" s="40"/>
      <c r="G485" s="39"/>
      <c r="H485" s="41"/>
      <c r="I485" s="41"/>
      <c r="J485" s="42"/>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33"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7"/>
      <c r="B486" s="38"/>
      <c r="C486" s="38"/>
      <c r="D486" s="39"/>
      <c r="E486" s="39"/>
      <c r="F486" s="40"/>
      <c r="G486" s="39"/>
      <c r="H486" s="41"/>
      <c r="I486" s="41"/>
      <c r="J486" s="42"/>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7"/>
      <c r="B487" s="38"/>
      <c r="C487" s="38"/>
      <c r="D487" s="39"/>
      <c r="E487" s="39"/>
      <c r="F487" s="40"/>
      <c r="G487" s="39"/>
      <c r="H487" s="41"/>
      <c r="I487" s="41"/>
      <c r="J487" s="42"/>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33"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7"/>
      <c r="B488" s="38"/>
      <c r="C488" s="38"/>
      <c r="D488" s="39"/>
      <c r="E488" s="39"/>
      <c r="F488" s="40"/>
      <c r="G488" s="39"/>
      <c r="H488" s="41"/>
      <c r="I488" s="41"/>
      <c r="J488" s="42"/>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7"/>
      <c r="B489" s="38"/>
      <c r="C489" s="38"/>
      <c r="D489" s="39"/>
      <c r="E489" s="39"/>
      <c r="F489" s="40"/>
      <c r="G489" s="39"/>
      <c r="H489" s="41"/>
      <c r="I489" s="41"/>
      <c r="J489" s="42"/>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33"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7"/>
      <c r="B490" s="38"/>
      <c r="C490" s="38"/>
      <c r="D490" s="39"/>
      <c r="E490" s="39"/>
      <c r="F490" s="40"/>
      <c r="G490" s="39"/>
      <c r="H490" s="41"/>
      <c r="I490" s="41"/>
      <c r="J490" s="42"/>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7"/>
      <c r="B491" s="38"/>
      <c r="C491" s="38"/>
      <c r="D491" s="39"/>
      <c r="E491" s="39"/>
      <c r="F491" s="40"/>
      <c r="G491" s="39"/>
      <c r="H491" s="41"/>
      <c r="I491" s="41"/>
      <c r="J491" s="42"/>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33"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7"/>
      <c r="B492" s="38"/>
      <c r="C492" s="38"/>
      <c r="D492" s="39"/>
      <c r="E492" s="39"/>
      <c r="F492" s="40"/>
      <c r="G492" s="39"/>
      <c r="H492" s="41"/>
      <c r="I492" s="41"/>
      <c r="J492" s="42"/>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7"/>
      <c r="B493" s="38"/>
      <c r="C493" s="38"/>
      <c r="D493" s="39"/>
      <c r="E493" s="39"/>
      <c r="F493" s="40"/>
      <c r="G493" s="39"/>
      <c r="H493" s="41"/>
      <c r="I493" s="41"/>
      <c r="J493" s="42"/>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33"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7"/>
      <c r="B494" s="38"/>
      <c r="C494" s="38"/>
      <c r="D494" s="39"/>
      <c r="E494" s="39"/>
      <c r="F494" s="40"/>
      <c r="G494" s="39"/>
      <c r="H494" s="41"/>
      <c r="I494" s="41"/>
      <c r="J494" s="42"/>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7"/>
      <c r="B495" s="38"/>
      <c r="C495" s="38"/>
      <c r="D495" s="39"/>
      <c r="E495" s="39"/>
      <c r="F495" s="40"/>
      <c r="G495" s="39"/>
      <c r="H495" s="41"/>
      <c r="I495" s="41"/>
      <c r="J495" s="42"/>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33"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7"/>
      <c r="B496" s="38"/>
      <c r="C496" s="38"/>
      <c r="D496" s="39"/>
      <c r="E496" s="39"/>
      <c r="F496" s="40"/>
      <c r="G496" s="39"/>
      <c r="H496" s="41"/>
      <c r="I496" s="41"/>
      <c r="J496" s="42"/>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7"/>
      <c r="B497" s="38"/>
      <c r="C497" s="38"/>
      <c r="D497" s="39"/>
      <c r="E497" s="39"/>
      <c r="F497" s="40"/>
      <c r="G497" s="39"/>
      <c r="H497" s="41"/>
      <c r="I497" s="41"/>
      <c r="J497" s="42"/>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33"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7"/>
      <c r="B498" s="38"/>
      <c r="C498" s="38"/>
      <c r="D498" s="39"/>
      <c r="E498" s="39"/>
      <c r="F498" s="40"/>
      <c r="G498" s="39"/>
      <c r="H498" s="41"/>
      <c r="I498" s="41"/>
      <c r="J498" s="42"/>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7"/>
      <c r="B499" s="38"/>
      <c r="C499" s="38"/>
      <c r="D499" s="39"/>
      <c r="E499" s="39"/>
      <c r="F499" s="40"/>
      <c r="G499" s="39"/>
      <c r="H499" s="41"/>
      <c r="I499" s="41"/>
      <c r="J499" s="42"/>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33"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7"/>
      <c r="B500" s="38"/>
      <c r="C500" s="38"/>
      <c r="D500" s="39"/>
      <c r="E500" s="39"/>
      <c r="F500" s="40"/>
      <c r="G500" s="39"/>
      <c r="H500" s="41"/>
      <c r="I500" s="41"/>
      <c r="J500" s="42"/>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7"/>
      <c r="B501" s="38"/>
      <c r="C501" s="38"/>
      <c r="D501" s="39"/>
      <c r="E501" s="39"/>
      <c r="F501" s="40"/>
      <c r="G501" s="39"/>
      <c r="H501" s="41"/>
      <c r="I501" s="41"/>
      <c r="J501" s="42"/>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33"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7"/>
      <c r="B502" s="38"/>
      <c r="C502" s="38"/>
      <c r="D502" s="39"/>
      <c r="E502" s="39"/>
      <c r="F502" s="40"/>
      <c r="G502" s="39"/>
      <c r="H502" s="41"/>
      <c r="I502" s="41"/>
      <c r="J502" s="42"/>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7"/>
      <c r="B503" s="38"/>
      <c r="C503" s="38"/>
      <c r="D503" s="39"/>
      <c r="E503" s="39"/>
      <c r="F503" s="40"/>
      <c r="G503" s="39"/>
      <c r="H503" s="41"/>
      <c r="I503" s="41"/>
      <c r="J503" s="42"/>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33"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7"/>
      <c r="B504" s="38"/>
      <c r="C504" s="38"/>
      <c r="D504" s="39"/>
      <c r="E504" s="39"/>
      <c r="F504" s="40"/>
      <c r="G504" s="39"/>
      <c r="H504" s="41"/>
      <c r="I504" s="41"/>
      <c r="J504" s="42"/>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7"/>
      <c r="B505" s="38"/>
      <c r="C505" s="38"/>
      <c r="D505" s="39"/>
      <c r="E505" s="39"/>
      <c r="F505" s="40"/>
      <c r="G505" s="39"/>
      <c r="H505" s="41"/>
      <c r="I505" s="41"/>
      <c r="J505" s="42"/>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33"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7"/>
      <c r="B506" s="38"/>
      <c r="C506" s="38"/>
      <c r="D506" s="39"/>
      <c r="E506" s="39"/>
      <c r="F506" s="40"/>
      <c r="G506" s="39"/>
      <c r="H506" s="41"/>
      <c r="I506" s="41"/>
      <c r="J506" s="42"/>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7"/>
      <c r="B507" s="38"/>
      <c r="C507" s="38"/>
      <c r="D507" s="39"/>
      <c r="E507" s="39"/>
      <c r="F507" s="40"/>
      <c r="G507" s="39"/>
      <c r="H507" s="41"/>
      <c r="I507" s="41"/>
      <c r="J507" s="42"/>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33"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7"/>
      <c r="B508" s="38"/>
      <c r="C508" s="38"/>
      <c r="D508" s="39"/>
      <c r="E508" s="39"/>
      <c r="F508" s="40"/>
      <c r="G508" s="39"/>
      <c r="H508" s="41"/>
      <c r="I508" s="41"/>
      <c r="J508" s="42"/>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7"/>
      <c r="B509" s="38"/>
      <c r="C509" s="38"/>
      <c r="D509" s="39"/>
      <c r="E509" s="39"/>
      <c r="F509" s="40"/>
      <c r="G509" s="39"/>
      <c r="H509" s="41"/>
      <c r="I509" s="41"/>
      <c r="J509" s="42"/>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33"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7"/>
      <c r="B510" s="38"/>
      <c r="C510" s="38"/>
      <c r="D510" s="39"/>
      <c r="E510" s="39"/>
      <c r="F510" s="40"/>
      <c r="G510" s="39"/>
      <c r="H510" s="41"/>
      <c r="I510" s="41"/>
      <c r="J510" s="42"/>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7"/>
      <c r="B511" s="38"/>
      <c r="C511" s="38"/>
      <c r="D511" s="39"/>
      <c r="E511" s="39"/>
      <c r="F511" s="40"/>
      <c r="G511" s="39"/>
      <c r="H511" s="41"/>
      <c r="I511" s="41"/>
      <c r="J511" s="42"/>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33"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7"/>
      <c r="B512" s="38"/>
      <c r="C512" s="38"/>
      <c r="D512" s="39"/>
      <c r="E512" s="39"/>
      <c r="F512" s="40"/>
      <c r="G512" s="39"/>
      <c r="H512" s="41"/>
      <c r="I512" s="41"/>
      <c r="J512" s="42"/>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7"/>
      <c r="B513" s="38"/>
      <c r="C513" s="38"/>
      <c r="D513" s="39"/>
      <c r="E513" s="39"/>
      <c r="F513" s="40"/>
      <c r="G513" s="39"/>
      <c r="H513" s="41"/>
      <c r="I513" s="41"/>
      <c r="J513" s="42"/>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33"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7"/>
      <c r="B514" s="38"/>
      <c r="C514" s="38"/>
      <c r="D514" s="39"/>
      <c r="E514" s="39"/>
      <c r="F514" s="40"/>
      <c r="G514" s="39"/>
      <c r="H514" s="41"/>
      <c r="I514" s="41"/>
      <c r="J514" s="42"/>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7"/>
      <c r="B515" s="38"/>
      <c r="C515" s="38"/>
      <c r="D515" s="39"/>
      <c r="E515" s="39"/>
      <c r="F515" s="40"/>
      <c r="G515" s="39"/>
      <c r="H515" s="41"/>
      <c r="I515" s="41"/>
      <c r="J515" s="42"/>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33"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7"/>
      <c r="B516" s="38"/>
      <c r="C516" s="38"/>
      <c r="D516" s="39"/>
      <c r="E516" s="39"/>
      <c r="F516" s="40"/>
      <c r="G516" s="39"/>
      <c r="H516" s="41"/>
      <c r="I516" s="41"/>
      <c r="J516" s="42"/>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7"/>
      <c r="B517" s="38"/>
      <c r="C517" s="38"/>
      <c r="D517" s="39"/>
      <c r="E517" s="39"/>
      <c r="F517" s="40"/>
      <c r="G517" s="39"/>
      <c r="H517" s="41"/>
      <c r="I517" s="41"/>
      <c r="J517" s="42"/>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33"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7"/>
      <c r="B518" s="38"/>
      <c r="C518" s="38"/>
      <c r="D518" s="39"/>
      <c r="E518" s="39"/>
      <c r="F518" s="40"/>
      <c r="G518" s="39"/>
      <c r="H518" s="41"/>
      <c r="I518" s="41"/>
      <c r="J518" s="42"/>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7"/>
      <c r="B519" s="38"/>
      <c r="C519" s="38"/>
      <c r="D519" s="39"/>
      <c r="E519" s="39"/>
      <c r="F519" s="40"/>
      <c r="G519" s="39"/>
      <c r="H519" s="41"/>
      <c r="I519" s="41"/>
      <c r="J519" s="42"/>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33"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7"/>
      <c r="B520" s="38"/>
      <c r="C520" s="38"/>
      <c r="D520" s="39"/>
      <c r="E520" s="39"/>
      <c r="F520" s="40"/>
      <c r="G520" s="39"/>
      <c r="H520" s="41"/>
      <c r="I520" s="41"/>
      <c r="J520" s="42"/>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7"/>
      <c r="B521" s="38"/>
      <c r="C521" s="38"/>
      <c r="D521" s="39"/>
      <c r="E521" s="39"/>
      <c r="F521" s="40"/>
      <c r="G521" s="39"/>
      <c r="H521" s="41"/>
      <c r="I521" s="41"/>
      <c r="J521" s="42"/>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33"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7"/>
      <c r="B522" s="38"/>
      <c r="C522" s="38"/>
      <c r="D522" s="39"/>
      <c r="E522" s="39"/>
      <c r="F522" s="40"/>
      <c r="G522" s="39"/>
      <c r="H522" s="41"/>
      <c r="I522" s="41"/>
      <c r="J522" s="42"/>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7"/>
      <c r="B523" s="38"/>
      <c r="C523" s="38"/>
      <c r="D523" s="39"/>
      <c r="E523" s="39"/>
      <c r="F523" s="40"/>
      <c r="G523" s="39"/>
      <c r="H523" s="41"/>
      <c r="I523" s="41"/>
      <c r="J523" s="42"/>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33"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7"/>
      <c r="B524" s="38"/>
      <c r="C524" s="38"/>
      <c r="D524" s="39"/>
      <c r="E524" s="39"/>
      <c r="F524" s="40"/>
      <c r="G524" s="39"/>
      <c r="H524" s="41"/>
      <c r="I524" s="41"/>
      <c r="J524" s="42"/>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7"/>
      <c r="B525" s="38"/>
      <c r="C525" s="38"/>
      <c r="D525" s="39"/>
      <c r="E525" s="39"/>
      <c r="F525" s="40"/>
      <c r="G525" s="39"/>
      <c r="H525" s="41"/>
      <c r="I525" s="41"/>
      <c r="J525" s="42"/>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33"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7"/>
      <c r="B526" s="38"/>
      <c r="C526" s="38"/>
      <c r="D526" s="39"/>
      <c r="E526" s="39"/>
      <c r="F526" s="40"/>
      <c r="G526" s="39"/>
      <c r="H526" s="41"/>
      <c r="I526" s="41"/>
      <c r="J526" s="42"/>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7"/>
      <c r="B527" s="38"/>
      <c r="C527" s="38"/>
      <c r="D527" s="39"/>
      <c r="E527" s="39"/>
      <c r="F527" s="40"/>
      <c r="G527" s="39"/>
      <c r="H527" s="41"/>
      <c r="I527" s="41"/>
      <c r="J527" s="42"/>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33"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7"/>
      <c r="B528" s="38"/>
      <c r="C528" s="38"/>
      <c r="D528" s="39"/>
      <c r="E528" s="39"/>
      <c r="F528" s="40"/>
      <c r="G528" s="39"/>
      <c r="H528" s="41"/>
      <c r="I528" s="41"/>
      <c r="J528" s="42"/>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7"/>
      <c r="B529" s="38"/>
      <c r="C529" s="38"/>
      <c r="D529" s="39"/>
      <c r="E529" s="39"/>
      <c r="F529" s="40"/>
      <c r="G529" s="39"/>
      <c r="H529" s="41"/>
      <c r="I529" s="41"/>
      <c r="J529" s="42"/>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33"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7"/>
      <c r="B530" s="38"/>
      <c r="C530" s="38"/>
      <c r="D530" s="39"/>
      <c r="E530" s="39"/>
      <c r="F530" s="40"/>
      <c r="G530" s="39"/>
      <c r="H530" s="41"/>
      <c r="I530" s="41"/>
      <c r="J530" s="42"/>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7"/>
      <c r="B531" s="38"/>
      <c r="C531" s="38"/>
      <c r="D531" s="39"/>
      <c r="E531" s="39"/>
      <c r="F531" s="40"/>
      <c r="G531" s="39"/>
      <c r="H531" s="41"/>
      <c r="I531" s="41"/>
      <c r="J531" s="42"/>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33"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7"/>
      <c r="B532" s="38"/>
      <c r="C532" s="38"/>
      <c r="D532" s="39"/>
      <c r="E532" s="39"/>
      <c r="F532" s="40"/>
      <c r="G532" s="39"/>
      <c r="H532" s="41"/>
      <c r="I532" s="41"/>
      <c r="J532" s="42"/>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7"/>
      <c r="B533" s="38"/>
      <c r="C533" s="38"/>
      <c r="D533" s="39"/>
      <c r="E533" s="39"/>
      <c r="F533" s="40"/>
      <c r="G533" s="39"/>
      <c r="H533" s="41"/>
      <c r="I533" s="41"/>
      <c r="J533" s="42"/>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33"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7"/>
      <c r="B534" s="38"/>
      <c r="C534" s="38"/>
      <c r="D534" s="39"/>
      <c r="E534" s="39"/>
      <c r="F534" s="40"/>
      <c r="G534" s="39"/>
      <c r="H534" s="41"/>
      <c r="I534" s="41"/>
      <c r="J534" s="42"/>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7"/>
      <c r="B535" s="38"/>
      <c r="C535" s="38"/>
      <c r="D535" s="39"/>
      <c r="E535" s="39"/>
      <c r="F535" s="40"/>
      <c r="G535" s="39"/>
      <c r="H535" s="41"/>
      <c r="I535" s="41"/>
      <c r="J535" s="42"/>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33"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7"/>
      <c r="B536" s="38"/>
      <c r="C536" s="38"/>
      <c r="D536" s="39"/>
      <c r="E536" s="39"/>
      <c r="F536" s="40"/>
      <c r="G536" s="39"/>
      <c r="H536" s="41"/>
      <c r="I536" s="41"/>
      <c r="J536" s="42"/>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7"/>
      <c r="B537" s="38"/>
      <c r="C537" s="38"/>
      <c r="D537" s="39"/>
      <c r="E537" s="39"/>
      <c r="F537" s="40"/>
      <c r="G537" s="39"/>
      <c r="H537" s="41"/>
      <c r="I537" s="41"/>
      <c r="J537" s="42"/>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33"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7"/>
      <c r="B538" s="38"/>
      <c r="C538" s="38"/>
      <c r="D538" s="39"/>
      <c r="E538" s="39"/>
      <c r="F538" s="40"/>
      <c r="G538" s="39"/>
      <c r="H538" s="41"/>
      <c r="I538" s="41"/>
      <c r="J538" s="42"/>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7"/>
      <c r="B539" s="38"/>
      <c r="C539" s="38"/>
      <c r="D539" s="39"/>
      <c r="E539" s="39"/>
      <c r="F539" s="40"/>
      <c r="G539" s="39"/>
      <c r="H539" s="41"/>
      <c r="I539" s="41"/>
      <c r="J539" s="42"/>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33"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7"/>
      <c r="B540" s="38"/>
      <c r="C540" s="38"/>
      <c r="D540" s="39"/>
      <c r="E540" s="39"/>
      <c r="F540" s="40"/>
      <c r="G540" s="39"/>
      <c r="H540" s="41"/>
      <c r="I540" s="41"/>
      <c r="J540" s="42"/>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7"/>
      <c r="B541" s="38"/>
      <c r="C541" s="38"/>
      <c r="D541" s="39"/>
      <c r="E541" s="39"/>
      <c r="F541" s="40"/>
      <c r="G541" s="39"/>
      <c r="H541" s="41"/>
      <c r="I541" s="41"/>
      <c r="J541" s="42"/>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33"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7"/>
      <c r="B542" s="38"/>
      <c r="C542" s="38"/>
      <c r="D542" s="39"/>
      <c r="E542" s="39"/>
      <c r="F542" s="40"/>
      <c r="G542" s="39"/>
      <c r="H542" s="41"/>
      <c r="I542" s="41"/>
      <c r="J542" s="42"/>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7"/>
      <c r="B543" s="38"/>
      <c r="C543" s="38"/>
      <c r="D543" s="39"/>
      <c r="E543" s="39"/>
      <c r="F543" s="40"/>
      <c r="G543" s="39"/>
      <c r="H543" s="41"/>
      <c r="I543" s="41"/>
      <c r="J543" s="42"/>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33"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7"/>
      <c r="B544" s="38"/>
      <c r="C544" s="38"/>
      <c r="D544" s="39"/>
      <c r="E544" s="39"/>
      <c r="F544" s="40"/>
      <c r="G544" s="39"/>
      <c r="H544" s="41"/>
      <c r="I544" s="41"/>
      <c r="J544" s="42"/>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7"/>
      <c r="B545" s="38"/>
      <c r="C545" s="38"/>
      <c r="D545" s="39"/>
      <c r="E545" s="39"/>
      <c r="F545" s="40"/>
      <c r="G545" s="39"/>
      <c r="H545" s="41"/>
      <c r="I545" s="41"/>
      <c r="J545" s="42"/>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33"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7"/>
      <c r="B546" s="38"/>
      <c r="C546" s="38"/>
      <c r="D546" s="39"/>
      <c r="E546" s="39"/>
      <c r="F546" s="40"/>
      <c r="G546" s="39"/>
      <c r="H546" s="41"/>
      <c r="I546" s="41"/>
      <c r="J546" s="42"/>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7"/>
      <c r="B547" s="38"/>
      <c r="C547" s="38"/>
      <c r="D547" s="39"/>
      <c r="E547" s="39"/>
      <c r="F547" s="40"/>
      <c r="G547" s="39"/>
      <c r="H547" s="41"/>
      <c r="I547" s="41"/>
      <c r="J547" s="42"/>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33"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7"/>
      <c r="B548" s="38"/>
      <c r="C548" s="38"/>
      <c r="D548" s="39"/>
      <c r="E548" s="39"/>
      <c r="F548" s="40"/>
      <c r="G548" s="39"/>
      <c r="H548" s="41"/>
      <c r="I548" s="41"/>
      <c r="J548" s="42"/>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7"/>
      <c r="B549" s="38"/>
      <c r="C549" s="38"/>
      <c r="D549" s="39"/>
      <c r="E549" s="39"/>
      <c r="F549" s="40"/>
      <c r="G549" s="39"/>
      <c r="H549" s="41"/>
      <c r="I549" s="41"/>
      <c r="J549" s="42"/>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33"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7"/>
      <c r="B550" s="38"/>
      <c r="C550" s="38"/>
      <c r="D550" s="39"/>
      <c r="E550" s="39"/>
      <c r="F550" s="40"/>
      <c r="G550" s="39"/>
      <c r="H550" s="41"/>
      <c r="I550" s="41"/>
      <c r="J550" s="42"/>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7"/>
      <c r="B551" s="38"/>
      <c r="C551" s="38"/>
      <c r="D551" s="39"/>
      <c r="E551" s="39"/>
      <c r="F551" s="40"/>
      <c r="G551" s="39"/>
      <c r="H551" s="41"/>
      <c r="I551" s="41"/>
      <c r="J551" s="42"/>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33"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7"/>
      <c r="B552" s="38"/>
      <c r="C552" s="38"/>
      <c r="D552" s="39"/>
      <c r="E552" s="39"/>
      <c r="F552" s="40"/>
      <c r="G552" s="39"/>
      <c r="H552" s="41"/>
      <c r="I552" s="41"/>
      <c r="J552" s="42"/>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7"/>
      <c r="B553" s="38"/>
      <c r="C553" s="38"/>
      <c r="D553" s="39"/>
      <c r="E553" s="39"/>
      <c r="F553" s="40"/>
      <c r="G553" s="39"/>
      <c r="H553" s="41"/>
      <c r="I553" s="41"/>
      <c r="J553" s="42"/>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33"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7"/>
      <c r="B554" s="38"/>
      <c r="C554" s="38"/>
      <c r="D554" s="39"/>
      <c r="E554" s="39"/>
      <c r="F554" s="40"/>
      <c r="G554" s="39"/>
      <c r="H554" s="41"/>
      <c r="I554" s="41"/>
      <c r="J554" s="42"/>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7"/>
      <c r="B555" s="38"/>
      <c r="C555" s="38"/>
      <c r="D555" s="39"/>
      <c r="E555" s="39"/>
      <c r="F555" s="40"/>
      <c r="G555" s="39"/>
      <c r="H555" s="41"/>
      <c r="I555" s="41"/>
      <c r="J555" s="42"/>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33"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7"/>
      <c r="B556" s="38"/>
      <c r="C556" s="38"/>
      <c r="D556" s="39"/>
      <c r="E556" s="39"/>
      <c r="F556" s="40"/>
      <c r="G556" s="39"/>
      <c r="H556" s="41"/>
      <c r="I556" s="41"/>
      <c r="J556" s="42"/>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7"/>
      <c r="B557" s="38"/>
      <c r="C557" s="38"/>
      <c r="D557" s="39"/>
      <c r="E557" s="39"/>
      <c r="F557" s="40"/>
      <c r="G557" s="39"/>
      <c r="H557" s="41"/>
      <c r="I557" s="41"/>
      <c r="J557" s="42"/>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33"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7"/>
      <c r="B558" s="38"/>
      <c r="C558" s="38"/>
      <c r="D558" s="39"/>
      <c r="E558" s="39"/>
      <c r="F558" s="40"/>
      <c r="G558" s="39"/>
      <c r="H558" s="41"/>
      <c r="I558" s="41"/>
      <c r="J558" s="42"/>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7"/>
      <c r="B559" s="38"/>
      <c r="C559" s="38"/>
      <c r="D559" s="39"/>
      <c r="E559" s="39"/>
      <c r="F559" s="40"/>
      <c r="G559" s="39"/>
      <c r="H559" s="41"/>
      <c r="I559" s="41"/>
      <c r="J559" s="42"/>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33"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7"/>
      <c r="B560" s="38"/>
      <c r="C560" s="38"/>
      <c r="D560" s="39"/>
      <c r="E560" s="39"/>
      <c r="F560" s="40"/>
      <c r="G560" s="39"/>
      <c r="H560" s="41"/>
      <c r="I560" s="41"/>
      <c r="J560" s="42"/>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7"/>
      <c r="B561" s="38"/>
      <c r="C561" s="38"/>
      <c r="D561" s="39"/>
      <c r="E561" s="39"/>
      <c r="F561" s="40"/>
      <c r="G561" s="39"/>
      <c r="H561" s="41"/>
      <c r="I561" s="41"/>
      <c r="J561" s="42"/>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33"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7"/>
      <c r="B562" s="38"/>
      <c r="C562" s="38"/>
      <c r="D562" s="39"/>
      <c r="E562" s="39"/>
      <c r="F562" s="40"/>
      <c r="G562" s="39"/>
      <c r="H562" s="41"/>
      <c r="I562" s="41"/>
      <c r="J562" s="42"/>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7"/>
      <c r="B563" s="38"/>
      <c r="C563" s="38"/>
      <c r="D563" s="39"/>
      <c r="E563" s="39"/>
      <c r="F563" s="40"/>
      <c r="G563" s="39"/>
      <c r="H563" s="41"/>
      <c r="I563" s="41"/>
      <c r="J563" s="42"/>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33"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7"/>
      <c r="B564" s="38"/>
      <c r="C564" s="38"/>
      <c r="D564" s="39"/>
      <c r="E564" s="39"/>
      <c r="F564" s="40"/>
      <c r="G564" s="39"/>
      <c r="H564" s="41"/>
      <c r="I564" s="41"/>
      <c r="J564" s="42"/>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7"/>
      <c r="B565" s="38"/>
      <c r="C565" s="38"/>
      <c r="D565" s="39"/>
      <c r="E565" s="39"/>
      <c r="F565" s="40"/>
      <c r="G565" s="39"/>
      <c r="H565" s="41"/>
      <c r="I565" s="41"/>
      <c r="J565" s="42"/>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33"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7"/>
      <c r="B566" s="38"/>
      <c r="C566" s="38"/>
      <c r="D566" s="39"/>
      <c r="E566" s="39"/>
      <c r="F566" s="40"/>
      <c r="G566" s="39"/>
      <c r="H566" s="41"/>
      <c r="I566" s="41"/>
      <c r="J566" s="42"/>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7"/>
      <c r="B567" s="38"/>
      <c r="C567" s="38"/>
      <c r="D567" s="39"/>
      <c r="E567" s="39"/>
      <c r="F567" s="40"/>
      <c r="G567" s="39"/>
      <c r="H567" s="41"/>
      <c r="I567" s="41"/>
      <c r="J567" s="42"/>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33"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7"/>
      <c r="B568" s="38"/>
      <c r="C568" s="38"/>
      <c r="D568" s="39"/>
      <c r="E568" s="39"/>
      <c r="F568" s="40"/>
      <c r="G568" s="39"/>
      <c r="H568" s="41"/>
      <c r="I568" s="41"/>
      <c r="J568" s="42"/>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7"/>
      <c r="B569" s="38"/>
      <c r="C569" s="38"/>
      <c r="D569" s="39"/>
      <c r="E569" s="39"/>
      <c r="F569" s="40"/>
      <c r="G569" s="39"/>
      <c r="H569" s="41"/>
      <c r="I569" s="41"/>
      <c r="J569" s="42"/>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33"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7"/>
      <c r="B570" s="38"/>
      <c r="C570" s="38"/>
      <c r="D570" s="39"/>
      <c r="E570" s="39"/>
      <c r="F570" s="40"/>
      <c r="G570" s="39"/>
      <c r="H570" s="41"/>
      <c r="I570" s="41"/>
      <c r="J570" s="42"/>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7"/>
      <c r="B571" s="38"/>
      <c r="C571" s="38"/>
      <c r="D571" s="39"/>
      <c r="E571" s="39"/>
      <c r="F571" s="40"/>
      <c r="G571" s="39"/>
      <c r="H571" s="41"/>
      <c r="I571" s="41"/>
      <c r="J571" s="42"/>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33"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7"/>
      <c r="B572" s="38"/>
      <c r="C572" s="38"/>
      <c r="D572" s="39"/>
      <c r="E572" s="39"/>
      <c r="F572" s="40"/>
      <c r="G572" s="39"/>
      <c r="H572" s="41"/>
      <c r="I572" s="41"/>
      <c r="J572" s="42"/>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7"/>
      <c r="B573" s="38"/>
      <c r="C573" s="38"/>
      <c r="D573" s="39"/>
      <c r="E573" s="39"/>
      <c r="F573" s="40"/>
      <c r="G573" s="39"/>
      <c r="H573" s="41"/>
      <c r="I573" s="41"/>
      <c r="J573" s="42"/>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33"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7"/>
      <c r="B574" s="38"/>
      <c r="C574" s="38"/>
      <c r="D574" s="39"/>
      <c r="E574" s="39"/>
      <c r="F574" s="40"/>
      <c r="G574" s="39"/>
      <c r="H574" s="41"/>
      <c r="I574" s="41"/>
      <c r="J574" s="42"/>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7"/>
      <c r="B575" s="38"/>
      <c r="C575" s="38"/>
      <c r="D575" s="39"/>
      <c r="E575" s="39"/>
      <c r="F575" s="40"/>
      <c r="G575" s="39"/>
      <c r="H575" s="41"/>
      <c r="I575" s="41"/>
      <c r="J575" s="42"/>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33"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7"/>
      <c r="B576" s="38"/>
      <c r="C576" s="38"/>
      <c r="D576" s="39"/>
      <c r="E576" s="39"/>
      <c r="F576" s="40"/>
      <c r="G576" s="39"/>
      <c r="H576" s="41"/>
      <c r="I576" s="41"/>
      <c r="J576" s="42"/>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7"/>
      <c r="B577" s="38"/>
      <c r="C577" s="38"/>
      <c r="D577" s="39"/>
      <c r="E577" s="39"/>
      <c r="F577" s="40"/>
      <c r="G577" s="39"/>
      <c r="H577" s="41"/>
      <c r="I577" s="41"/>
      <c r="J577" s="42"/>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33"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7"/>
      <c r="B578" s="38"/>
      <c r="C578" s="38"/>
      <c r="D578" s="39"/>
      <c r="E578" s="39"/>
      <c r="F578" s="40"/>
      <c r="G578" s="39"/>
      <c r="H578" s="41"/>
      <c r="I578" s="41"/>
      <c r="J578" s="42"/>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7"/>
      <c r="B579" s="38"/>
      <c r="C579" s="38"/>
      <c r="D579" s="39"/>
      <c r="E579" s="39"/>
      <c r="F579" s="40"/>
      <c r="G579" s="39"/>
      <c r="H579" s="41"/>
      <c r="I579" s="41"/>
      <c r="J579" s="42"/>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33"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7"/>
      <c r="B580" s="38"/>
      <c r="C580" s="38"/>
      <c r="D580" s="39"/>
      <c r="E580" s="39"/>
      <c r="F580" s="40"/>
      <c r="G580" s="39"/>
      <c r="H580" s="41"/>
      <c r="I580" s="41"/>
      <c r="J580" s="42"/>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7"/>
      <c r="B581" s="38"/>
      <c r="C581" s="38"/>
      <c r="D581" s="39"/>
      <c r="E581" s="39"/>
      <c r="F581" s="40"/>
      <c r="G581" s="39"/>
      <c r="H581" s="41"/>
      <c r="I581" s="41"/>
      <c r="J581" s="42"/>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33"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7"/>
      <c r="B582" s="38"/>
      <c r="C582" s="38"/>
      <c r="D582" s="39"/>
      <c r="E582" s="39"/>
      <c r="F582" s="40"/>
      <c r="G582" s="39"/>
      <c r="H582" s="41"/>
      <c r="I582" s="41"/>
      <c r="J582" s="42"/>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7"/>
      <c r="B583" s="38"/>
      <c r="C583" s="38"/>
      <c r="D583" s="39"/>
      <c r="E583" s="39"/>
      <c r="F583" s="40"/>
      <c r="G583" s="39"/>
      <c r="H583" s="41"/>
      <c r="I583" s="41"/>
      <c r="J583" s="42"/>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33"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7"/>
      <c r="B584" s="38"/>
      <c r="C584" s="38"/>
      <c r="D584" s="39"/>
      <c r="E584" s="39"/>
      <c r="F584" s="40"/>
      <c r="G584" s="39"/>
      <c r="H584" s="41"/>
      <c r="I584" s="41"/>
      <c r="J584" s="42"/>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7"/>
      <c r="B585" s="38"/>
      <c r="C585" s="38"/>
      <c r="D585" s="39"/>
      <c r="E585" s="39"/>
      <c r="F585" s="40"/>
      <c r="G585" s="39"/>
      <c r="H585" s="41"/>
      <c r="I585" s="41"/>
      <c r="J585" s="42"/>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33"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7"/>
      <c r="B586" s="38"/>
      <c r="C586" s="38"/>
      <c r="D586" s="39"/>
      <c r="E586" s="39"/>
      <c r="F586" s="40"/>
      <c r="G586" s="39"/>
      <c r="H586" s="41"/>
      <c r="I586" s="41"/>
      <c r="J586" s="42"/>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7"/>
      <c r="B587" s="38"/>
      <c r="C587" s="38"/>
      <c r="D587" s="39"/>
      <c r="E587" s="39"/>
      <c r="F587" s="40"/>
      <c r="G587" s="39"/>
      <c r="H587" s="41"/>
      <c r="I587" s="41"/>
      <c r="J587" s="42"/>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33"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7"/>
      <c r="B588" s="38"/>
      <c r="C588" s="38"/>
      <c r="D588" s="39"/>
      <c r="E588" s="39"/>
      <c r="F588" s="40"/>
      <c r="G588" s="39"/>
      <c r="H588" s="41"/>
      <c r="I588" s="41"/>
      <c r="J588" s="42"/>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7"/>
      <c r="B589" s="38"/>
      <c r="C589" s="38"/>
      <c r="D589" s="39"/>
      <c r="E589" s="39"/>
      <c r="F589" s="40"/>
      <c r="G589" s="39"/>
      <c r="H589" s="41"/>
      <c r="I589" s="41"/>
      <c r="J589" s="42"/>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33"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7"/>
      <c r="B590" s="38"/>
      <c r="C590" s="38"/>
      <c r="D590" s="39"/>
      <c r="E590" s="39"/>
      <c r="F590" s="40"/>
      <c r="G590" s="39"/>
      <c r="H590" s="41"/>
      <c r="I590" s="41"/>
      <c r="J590" s="42"/>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7"/>
      <c r="B591" s="38"/>
      <c r="C591" s="38"/>
      <c r="D591" s="39"/>
      <c r="E591" s="39"/>
      <c r="F591" s="40"/>
      <c r="G591" s="39"/>
      <c r="H591" s="41"/>
      <c r="I591" s="41"/>
      <c r="J591" s="42"/>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33"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7"/>
      <c r="B592" s="38"/>
      <c r="C592" s="38"/>
      <c r="D592" s="39"/>
      <c r="E592" s="39"/>
      <c r="F592" s="40"/>
      <c r="G592" s="39"/>
      <c r="H592" s="41"/>
      <c r="I592" s="41"/>
      <c r="J592" s="42"/>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7"/>
      <c r="B593" s="38"/>
      <c r="C593" s="38"/>
      <c r="D593" s="39"/>
      <c r="E593" s="39"/>
      <c r="F593" s="40"/>
      <c r="G593" s="39"/>
      <c r="H593" s="41"/>
      <c r="I593" s="41"/>
      <c r="J593" s="42"/>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33"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7"/>
      <c r="B594" s="38"/>
      <c r="C594" s="38"/>
      <c r="D594" s="39"/>
      <c r="E594" s="39"/>
      <c r="F594" s="40"/>
      <c r="G594" s="39"/>
      <c r="H594" s="41"/>
      <c r="I594" s="41"/>
      <c r="J594" s="42"/>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7"/>
      <c r="B595" s="38"/>
      <c r="C595" s="38"/>
      <c r="D595" s="39"/>
      <c r="E595" s="39"/>
      <c r="F595" s="40"/>
      <c r="G595" s="39"/>
      <c r="H595" s="41"/>
      <c r="I595" s="41"/>
      <c r="J595" s="42"/>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33"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7"/>
      <c r="B596" s="38"/>
      <c r="C596" s="38"/>
      <c r="D596" s="39"/>
      <c r="E596" s="39"/>
      <c r="F596" s="40"/>
      <c r="G596" s="39"/>
      <c r="H596" s="41"/>
      <c r="I596" s="41"/>
      <c r="J596" s="42"/>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7"/>
      <c r="B597" s="38"/>
      <c r="C597" s="38"/>
      <c r="D597" s="39"/>
      <c r="E597" s="39"/>
      <c r="F597" s="40"/>
      <c r="G597" s="39"/>
      <c r="H597" s="41"/>
      <c r="I597" s="41"/>
      <c r="J597" s="42"/>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33"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7"/>
      <c r="B598" s="38"/>
      <c r="C598" s="38"/>
      <c r="D598" s="39"/>
      <c r="E598" s="39"/>
      <c r="F598" s="40"/>
      <c r="G598" s="39"/>
      <c r="H598" s="41"/>
      <c r="I598" s="41"/>
      <c r="J598" s="42"/>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7"/>
      <c r="B599" s="38"/>
      <c r="C599" s="38"/>
      <c r="D599" s="39"/>
      <c r="E599" s="39"/>
      <c r="F599" s="40"/>
      <c r="G599" s="39"/>
      <c r="H599" s="41"/>
      <c r="I599" s="41"/>
      <c r="J599" s="42"/>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33"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7"/>
      <c r="B600" s="38"/>
      <c r="C600" s="38"/>
      <c r="D600" s="39"/>
      <c r="E600" s="39"/>
      <c r="F600" s="40"/>
      <c r="G600" s="39"/>
      <c r="H600" s="41"/>
      <c r="I600" s="41"/>
      <c r="J600" s="42"/>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7"/>
      <c r="B601" s="38"/>
      <c r="C601" s="38"/>
      <c r="D601" s="39"/>
      <c r="E601" s="39"/>
      <c r="F601" s="40"/>
      <c r="G601" s="39"/>
      <c r="H601" s="41"/>
      <c r="I601" s="41"/>
      <c r="J601" s="42"/>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33"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7"/>
      <c r="B602" s="38"/>
      <c r="C602" s="38"/>
      <c r="D602" s="39"/>
      <c r="E602" s="39"/>
      <c r="F602" s="40"/>
      <c r="G602" s="39"/>
      <c r="H602" s="41"/>
      <c r="I602" s="41"/>
      <c r="J602" s="42"/>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7"/>
      <c r="B603" s="38"/>
      <c r="C603" s="38"/>
      <c r="D603" s="39"/>
      <c r="E603" s="39"/>
      <c r="F603" s="40"/>
      <c r="G603" s="39"/>
      <c r="H603" s="41"/>
      <c r="I603" s="41"/>
      <c r="J603" s="42"/>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33"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7"/>
      <c r="B604" s="38"/>
      <c r="C604" s="38"/>
      <c r="D604" s="39"/>
      <c r="E604" s="39"/>
      <c r="F604" s="40"/>
      <c r="G604" s="39"/>
      <c r="H604" s="41"/>
      <c r="I604" s="41"/>
      <c r="J604" s="42"/>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7"/>
      <c r="B605" s="38"/>
      <c r="C605" s="38"/>
      <c r="D605" s="39"/>
      <c r="E605" s="39"/>
      <c r="F605" s="40"/>
      <c r="G605" s="39"/>
      <c r="H605" s="41"/>
      <c r="I605" s="41"/>
      <c r="J605" s="42"/>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33"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7"/>
      <c r="B606" s="38"/>
      <c r="C606" s="38"/>
      <c r="D606" s="39"/>
      <c r="E606" s="39"/>
      <c r="F606" s="40"/>
      <c r="G606" s="39"/>
      <c r="H606" s="41"/>
      <c r="I606" s="41"/>
      <c r="J606" s="42"/>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7"/>
      <c r="B607" s="38"/>
      <c r="C607" s="38"/>
      <c r="D607" s="39"/>
      <c r="E607" s="39"/>
      <c r="F607" s="40"/>
      <c r="G607" s="39"/>
      <c r="H607" s="41"/>
      <c r="I607" s="41"/>
      <c r="J607" s="42"/>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33"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7"/>
      <c r="B608" s="38"/>
      <c r="C608" s="38"/>
      <c r="D608" s="39"/>
      <c r="E608" s="39"/>
      <c r="F608" s="40"/>
      <c r="G608" s="39"/>
      <c r="H608" s="41"/>
      <c r="I608" s="41"/>
      <c r="J608" s="42"/>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7"/>
      <c r="B609" s="38"/>
      <c r="C609" s="38"/>
      <c r="D609" s="39"/>
      <c r="E609" s="39"/>
      <c r="F609" s="40"/>
      <c r="G609" s="39"/>
      <c r="H609" s="41"/>
      <c r="I609" s="41"/>
      <c r="J609" s="42"/>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33"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7"/>
      <c r="B610" s="38"/>
      <c r="C610" s="38"/>
      <c r="D610" s="39"/>
      <c r="E610" s="39"/>
      <c r="F610" s="40"/>
      <c r="G610" s="39"/>
      <c r="H610" s="41"/>
      <c r="I610" s="41"/>
      <c r="J610" s="42"/>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7"/>
      <c r="B611" s="38"/>
      <c r="C611" s="38"/>
      <c r="D611" s="39"/>
      <c r="E611" s="39"/>
      <c r="F611" s="40"/>
      <c r="G611" s="39"/>
      <c r="H611" s="41"/>
      <c r="I611" s="41"/>
      <c r="J611" s="42"/>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33"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7"/>
      <c r="B612" s="38"/>
      <c r="C612" s="38"/>
      <c r="D612" s="39"/>
      <c r="E612" s="39"/>
      <c r="F612" s="40"/>
      <c r="G612" s="39"/>
      <c r="H612" s="41"/>
      <c r="I612" s="41"/>
      <c r="J612" s="42"/>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7"/>
      <c r="B613" s="38"/>
      <c r="C613" s="38"/>
      <c r="D613" s="39"/>
      <c r="E613" s="39"/>
      <c r="F613" s="40"/>
      <c r="G613" s="39"/>
      <c r="H613" s="41"/>
      <c r="I613" s="41"/>
      <c r="J613" s="42"/>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33"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7"/>
      <c r="B614" s="38"/>
      <c r="C614" s="38"/>
      <c r="D614" s="39"/>
      <c r="E614" s="39"/>
      <c r="F614" s="40"/>
      <c r="G614" s="39"/>
      <c r="H614" s="41"/>
      <c r="I614" s="41"/>
      <c r="J614" s="42"/>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7"/>
      <c r="B615" s="38"/>
      <c r="C615" s="38"/>
      <c r="D615" s="39"/>
      <c r="E615" s="39"/>
      <c r="F615" s="40"/>
      <c r="G615" s="39"/>
      <c r="H615" s="41"/>
      <c r="I615" s="41"/>
      <c r="J615" s="42"/>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33"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7"/>
      <c r="B616" s="38"/>
      <c r="C616" s="38"/>
      <c r="D616" s="39"/>
      <c r="E616" s="39"/>
      <c r="F616" s="40"/>
      <c r="G616" s="39"/>
      <c r="H616" s="41"/>
      <c r="I616" s="41"/>
      <c r="J616" s="42"/>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7"/>
      <c r="B617" s="38"/>
      <c r="C617" s="38"/>
      <c r="D617" s="39"/>
      <c r="E617" s="39"/>
      <c r="F617" s="40"/>
      <c r="G617" s="39"/>
      <c r="H617" s="41"/>
      <c r="I617" s="41"/>
      <c r="J617" s="42"/>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33"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7"/>
      <c r="B618" s="38"/>
      <c r="C618" s="38"/>
      <c r="D618" s="39"/>
      <c r="E618" s="39"/>
      <c r="F618" s="40"/>
      <c r="G618" s="39"/>
      <c r="H618" s="41"/>
      <c r="I618" s="41"/>
      <c r="J618" s="42"/>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7"/>
      <c r="B619" s="38"/>
      <c r="C619" s="38"/>
      <c r="D619" s="39"/>
      <c r="E619" s="39"/>
      <c r="F619" s="40"/>
      <c r="G619" s="39"/>
      <c r="H619" s="41"/>
      <c r="I619" s="41"/>
      <c r="J619" s="42"/>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33"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7"/>
      <c r="B620" s="38"/>
      <c r="C620" s="38"/>
      <c r="D620" s="39"/>
      <c r="E620" s="39"/>
      <c r="F620" s="40"/>
      <c r="G620" s="39"/>
      <c r="H620" s="41"/>
      <c r="I620" s="41"/>
      <c r="J620" s="42"/>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7"/>
      <c r="B621" s="38"/>
      <c r="C621" s="38"/>
      <c r="D621" s="39"/>
      <c r="E621" s="39"/>
      <c r="F621" s="40"/>
      <c r="G621" s="39"/>
      <c r="H621" s="41"/>
      <c r="I621" s="41"/>
      <c r="J621" s="42"/>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33"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7"/>
      <c r="B622" s="38"/>
      <c r="C622" s="38"/>
      <c r="D622" s="39"/>
      <c r="E622" s="39"/>
      <c r="F622" s="40"/>
      <c r="G622" s="39"/>
      <c r="H622" s="41"/>
      <c r="I622" s="41"/>
      <c r="J622" s="42"/>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7"/>
      <c r="B623" s="38"/>
      <c r="C623" s="38"/>
      <c r="D623" s="39"/>
      <c r="E623" s="39"/>
      <c r="F623" s="40"/>
      <c r="G623" s="39"/>
      <c r="H623" s="41"/>
      <c r="I623" s="41"/>
      <c r="J623" s="42"/>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33"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7"/>
      <c r="B624" s="38"/>
      <c r="C624" s="38"/>
      <c r="D624" s="39"/>
      <c r="E624" s="39"/>
      <c r="F624" s="40"/>
      <c r="G624" s="39"/>
      <c r="H624" s="41"/>
      <c r="I624" s="41"/>
      <c r="J624" s="42"/>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7"/>
      <c r="B625" s="38"/>
      <c r="C625" s="38"/>
      <c r="D625" s="39"/>
      <c r="E625" s="39"/>
      <c r="F625" s="40"/>
      <c r="G625" s="39"/>
      <c r="H625" s="41"/>
      <c r="I625" s="41"/>
      <c r="J625" s="42"/>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33"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7"/>
      <c r="B626" s="38"/>
      <c r="C626" s="38"/>
      <c r="D626" s="39"/>
      <c r="E626" s="39"/>
      <c r="F626" s="40"/>
      <c r="G626" s="39"/>
      <c r="H626" s="41"/>
      <c r="I626" s="41"/>
      <c r="J626" s="42"/>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7"/>
      <c r="B627" s="38"/>
      <c r="C627" s="38"/>
      <c r="D627" s="39"/>
      <c r="E627" s="39"/>
      <c r="F627" s="40"/>
      <c r="G627" s="39"/>
      <c r="H627" s="41"/>
      <c r="I627" s="41"/>
      <c r="J627" s="42"/>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33"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7"/>
      <c r="B628" s="38"/>
      <c r="C628" s="38"/>
      <c r="D628" s="39"/>
      <c r="E628" s="39"/>
      <c r="F628" s="40"/>
      <c r="G628" s="39"/>
      <c r="H628" s="41"/>
      <c r="I628" s="41"/>
      <c r="J628" s="42"/>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7"/>
      <c r="B629" s="38"/>
      <c r="C629" s="38"/>
      <c r="D629" s="39"/>
      <c r="E629" s="39"/>
      <c r="F629" s="40"/>
      <c r="G629" s="39"/>
      <c r="H629" s="41"/>
      <c r="I629" s="41"/>
      <c r="J629" s="42"/>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33"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7"/>
      <c r="B630" s="38"/>
      <c r="C630" s="38"/>
      <c r="D630" s="39"/>
      <c r="E630" s="39"/>
      <c r="F630" s="40"/>
      <c r="G630" s="39"/>
      <c r="H630" s="41"/>
      <c r="I630" s="41"/>
      <c r="J630" s="42"/>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7"/>
      <c r="B631" s="38"/>
      <c r="C631" s="38"/>
      <c r="D631" s="39"/>
      <c r="E631" s="39"/>
      <c r="F631" s="40"/>
      <c r="G631" s="39"/>
      <c r="H631" s="41"/>
      <c r="I631" s="41"/>
      <c r="J631" s="42"/>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33"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7"/>
      <c r="B632" s="38"/>
      <c r="C632" s="38"/>
      <c r="D632" s="39"/>
      <c r="E632" s="39"/>
      <c r="F632" s="40"/>
      <c r="G632" s="39"/>
      <c r="H632" s="41"/>
      <c r="I632" s="41"/>
      <c r="J632" s="42"/>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7"/>
      <c r="B633" s="38"/>
      <c r="C633" s="38"/>
      <c r="D633" s="39"/>
      <c r="E633" s="39"/>
      <c r="F633" s="40"/>
      <c r="G633" s="39"/>
      <c r="H633" s="41"/>
      <c r="I633" s="41"/>
      <c r="J633" s="42"/>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33"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7"/>
      <c r="B634" s="38"/>
      <c r="C634" s="38"/>
      <c r="D634" s="39"/>
      <c r="E634" s="39"/>
      <c r="F634" s="40"/>
      <c r="G634" s="39"/>
      <c r="H634" s="41"/>
      <c r="I634" s="41"/>
      <c r="J634" s="42"/>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7"/>
      <c r="B635" s="38"/>
      <c r="C635" s="38"/>
      <c r="D635" s="39"/>
      <c r="E635" s="39"/>
      <c r="F635" s="40"/>
      <c r="G635" s="39"/>
      <c r="H635" s="41"/>
      <c r="I635" s="41"/>
      <c r="J635" s="42"/>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33"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7"/>
      <c r="B636" s="38"/>
      <c r="C636" s="38"/>
      <c r="D636" s="39"/>
      <c r="E636" s="39"/>
      <c r="F636" s="40"/>
      <c r="G636" s="39"/>
      <c r="H636" s="41"/>
      <c r="I636" s="41"/>
      <c r="J636" s="42"/>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7"/>
      <c r="B637" s="38"/>
      <c r="C637" s="38"/>
      <c r="D637" s="39"/>
      <c r="E637" s="39"/>
      <c r="F637" s="40"/>
      <c r="G637" s="39"/>
      <c r="H637" s="41"/>
      <c r="I637" s="41"/>
      <c r="J637" s="42"/>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33"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7"/>
      <c r="B638" s="38"/>
      <c r="C638" s="38"/>
      <c r="D638" s="39"/>
      <c r="E638" s="39"/>
      <c r="F638" s="40"/>
      <c r="G638" s="39"/>
      <c r="H638" s="41"/>
      <c r="I638" s="41"/>
      <c r="J638" s="42"/>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7"/>
      <c r="B639" s="38"/>
      <c r="C639" s="38"/>
      <c r="D639" s="39"/>
      <c r="E639" s="39"/>
      <c r="F639" s="40"/>
      <c r="G639" s="39"/>
      <c r="H639" s="41"/>
      <c r="I639" s="41"/>
      <c r="J639" s="42"/>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33"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7"/>
      <c r="B640" s="38"/>
      <c r="C640" s="38"/>
      <c r="D640" s="39"/>
      <c r="E640" s="39"/>
      <c r="F640" s="40"/>
      <c r="G640" s="39"/>
      <c r="H640" s="41"/>
      <c r="I640" s="41"/>
      <c r="J640" s="42"/>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7"/>
      <c r="B641" s="38"/>
      <c r="C641" s="38"/>
      <c r="D641" s="39"/>
      <c r="E641" s="39"/>
      <c r="F641" s="40"/>
      <c r="G641" s="39"/>
      <c r="H641" s="41"/>
      <c r="I641" s="41"/>
      <c r="J641" s="42"/>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33"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7"/>
      <c r="B642" s="38"/>
      <c r="C642" s="38"/>
      <c r="D642" s="39"/>
      <c r="E642" s="39"/>
      <c r="F642" s="40"/>
      <c r="G642" s="39"/>
      <c r="H642" s="41"/>
      <c r="I642" s="41"/>
      <c r="J642" s="42"/>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7"/>
      <c r="B643" s="38"/>
      <c r="C643" s="38"/>
      <c r="D643" s="39"/>
      <c r="E643" s="39"/>
      <c r="F643" s="40"/>
      <c r="G643" s="39"/>
      <c r="H643" s="41"/>
      <c r="I643" s="41"/>
      <c r="J643" s="42"/>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33"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7"/>
      <c r="B644" s="38"/>
      <c r="C644" s="38"/>
      <c r="D644" s="39"/>
      <c r="E644" s="39"/>
      <c r="F644" s="40"/>
      <c r="G644" s="39"/>
      <c r="H644" s="41"/>
      <c r="I644" s="41"/>
      <c r="J644" s="42"/>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7"/>
      <c r="B645" s="38"/>
      <c r="C645" s="38"/>
      <c r="D645" s="39"/>
      <c r="E645" s="39"/>
      <c r="F645" s="40"/>
      <c r="G645" s="39"/>
      <c r="H645" s="41"/>
      <c r="I645" s="41"/>
      <c r="J645" s="42"/>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33"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7"/>
      <c r="B646" s="38"/>
      <c r="C646" s="38"/>
      <c r="D646" s="39"/>
      <c r="E646" s="39"/>
      <c r="F646" s="40"/>
      <c r="G646" s="39"/>
      <c r="H646" s="41"/>
      <c r="I646" s="41"/>
      <c r="J646" s="42"/>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7"/>
      <c r="B647" s="38"/>
      <c r="C647" s="38"/>
      <c r="D647" s="39"/>
      <c r="E647" s="39"/>
      <c r="F647" s="40"/>
      <c r="G647" s="39"/>
      <c r="H647" s="41"/>
      <c r="I647" s="41"/>
      <c r="J647" s="42"/>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33"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7"/>
      <c r="B648" s="38"/>
      <c r="C648" s="38"/>
      <c r="D648" s="39"/>
      <c r="E648" s="39"/>
      <c r="F648" s="40"/>
      <c r="G648" s="39"/>
      <c r="H648" s="41"/>
      <c r="I648" s="41"/>
      <c r="J648" s="42"/>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7"/>
      <c r="B649" s="38"/>
      <c r="C649" s="38"/>
      <c r="D649" s="39"/>
      <c r="E649" s="39"/>
      <c r="F649" s="40"/>
      <c r="G649" s="39"/>
      <c r="H649" s="41"/>
      <c r="I649" s="41"/>
      <c r="J649" s="42"/>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33"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7"/>
      <c r="B650" s="38"/>
      <c r="C650" s="38"/>
      <c r="D650" s="39"/>
      <c r="E650" s="39"/>
      <c r="F650" s="40"/>
      <c r="G650" s="39"/>
      <c r="H650" s="41"/>
      <c r="I650" s="41"/>
      <c r="J650" s="42"/>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7"/>
      <c r="B651" s="38"/>
      <c r="C651" s="38"/>
      <c r="D651" s="39"/>
      <c r="E651" s="39"/>
      <c r="F651" s="40"/>
      <c r="G651" s="39"/>
      <c r="H651" s="41"/>
      <c r="I651" s="41"/>
      <c r="J651" s="42"/>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33"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7"/>
      <c r="B652" s="38"/>
      <c r="C652" s="38"/>
      <c r="D652" s="39"/>
      <c r="E652" s="39"/>
      <c r="F652" s="40"/>
      <c r="G652" s="39"/>
      <c r="H652" s="41"/>
      <c r="I652" s="41"/>
      <c r="J652" s="42"/>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7"/>
      <c r="B653" s="38"/>
      <c r="C653" s="38"/>
      <c r="D653" s="39"/>
      <c r="E653" s="39"/>
      <c r="F653" s="40"/>
      <c r="G653" s="39"/>
      <c r="H653" s="41"/>
      <c r="I653" s="41"/>
      <c r="J653" s="42"/>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33"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7"/>
      <c r="B654" s="38"/>
      <c r="C654" s="38"/>
      <c r="D654" s="39"/>
      <c r="E654" s="39"/>
      <c r="F654" s="40"/>
      <c r="G654" s="39"/>
      <c r="H654" s="41"/>
      <c r="I654" s="41"/>
      <c r="J654" s="42"/>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7"/>
      <c r="B655" s="38"/>
      <c r="C655" s="38"/>
      <c r="D655" s="39"/>
      <c r="E655" s="39"/>
      <c r="F655" s="40"/>
      <c r="G655" s="39"/>
      <c r="H655" s="41"/>
      <c r="I655" s="41"/>
      <c r="J655" s="42"/>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33"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7"/>
      <c r="B656" s="38"/>
      <c r="C656" s="38"/>
      <c r="D656" s="39"/>
      <c r="E656" s="39"/>
      <c r="F656" s="40"/>
      <c r="G656" s="39"/>
      <c r="H656" s="41"/>
      <c r="I656" s="41"/>
      <c r="J656" s="42"/>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7"/>
      <c r="B657" s="38"/>
      <c r="C657" s="38"/>
      <c r="D657" s="39"/>
      <c r="E657" s="39"/>
      <c r="F657" s="40"/>
      <c r="G657" s="39"/>
      <c r="H657" s="41"/>
      <c r="I657" s="41"/>
      <c r="J657" s="42"/>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33"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7"/>
      <c r="B658" s="38"/>
      <c r="C658" s="38"/>
      <c r="D658" s="39"/>
      <c r="E658" s="39"/>
      <c r="F658" s="40"/>
      <c r="G658" s="39"/>
      <c r="H658" s="41"/>
      <c r="I658" s="41"/>
      <c r="J658" s="42"/>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7"/>
      <c r="B659" s="38"/>
      <c r="C659" s="38"/>
      <c r="D659" s="39"/>
      <c r="E659" s="39"/>
      <c r="F659" s="40"/>
      <c r="G659" s="39"/>
      <c r="H659" s="41"/>
      <c r="I659" s="41"/>
      <c r="J659" s="42"/>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33"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7"/>
      <c r="B660" s="38"/>
      <c r="C660" s="38"/>
      <c r="D660" s="39"/>
      <c r="E660" s="39"/>
      <c r="F660" s="40"/>
      <c r="G660" s="39"/>
      <c r="H660" s="41"/>
      <c r="I660" s="41"/>
      <c r="J660" s="42"/>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7"/>
      <c r="B661" s="38"/>
      <c r="C661" s="38"/>
      <c r="D661" s="39"/>
      <c r="E661" s="39"/>
      <c r="F661" s="40"/>
      <c r="G661" s="39"/>
      <c r="H661" s="41"/>
      <c r="I661" s="41"/>
      <c r="J661" s="42"/>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33"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7"/>
      <c r="B662" s="38"/>
      <c r="C662" s="38"/>
      <c r="D662" s="39"/>
      <c r="E662" s="39"/>
      <c r="F662" s="40"/>
      <c r="G662" s="39"/>
      <c r="H662" s="41"/>
      <c r="I662" s="41"/>
      <c r="J662" s="42"/>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7"/>
      <c r="B663" s="38"/>
      <c r="C663" s="38"/>
      <c r="D663" s="39"/>
      <c r="E663" s="39"/>
      <c r="F663" s="40"/>
      <c r="G663" s="39"/>
      <c r="H663" s="41"/>
      <c r="I663" s="41"/>
      <c r="J663" s="42"/>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33"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7"/>
      <c r="B664" s="38"/>
      <c r="C664" s="38"/>
      <c r="D664" s="39"/>
      <c r="E664" s="39"/>
      <c r="F664" s="40"/>
      <c r="G664" s="39"/>
      <c r="H664" s="41"/>
      <c r="I664" s="41"/>
      <c r="J664" s="42"/>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7"/>
      <c r="B665" s="38"/>
      <c r="C665" s="38"/>
      <c r="D665" s="39"/>
      <c r="E665" s="39"/>
      <c r="F665" s="40"/>
      <c r="G665" s="39"/>
      <c r="H665" s="41"/>
      <c r="I665" s="41"/>
      <c r="J665" s="42"/>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33"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7"/>
      <c r="B666" s="38"/>
      <c r="C666" s="38"/>
      <c r="D666" s="39"/>
      <c r="E666" s="39"/>
      <c r="F666" s="40"/>
      <c r="G666" s="39"/>
      <c r="H666" s="41"/>
      <c r="I666" s="41"/>
      <c r="J666" s="42"/>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7"/>
      <c r="B667" s="38"/>
      <c r="C667" s="38"/>
      <c r="D667" s="39"/>
      <c r="E667" s="39"/>
      <c r="F667" s="40"/>
      <c r="G667" s="39"/>
      <c r="H667" s="41"/>
      <c r="I667" s="41"/>
      <c r="J667" s="42"/>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33"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7"/>
      <c r="B668" s="38"/>
      <c r="C668" s="38"/>
      <c r="D668" s="39"/>
      <c r="E668" s="39"/>
      <c r="F668" s="40"/>
      <c r="G668" s="39"/>
      <c r="H668" s="41"/>
      <c r="I668" s="41"/>
      <c r="J668" s="42"/>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7"/>
      <c r="B669" s="38"/>
      <c r="C669" s="38"/>
      <c r="D669" s="39"/>
      <c r="E669" s="39"/>
      <c r="F669" s="40"/>
      <c r="G669" s="39"/>
      <c r="H669" s="41"/>
      <c r="I669" s="41"/>
      <c r="J669" s="42"/>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33"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7"/>
      <c r="B670" s="38"/>
      <c r="C670" s="38"/>
      <c r="D670" s="39"/>
      <c r="E670" s="39"/>
      <c r="F670" s="40"/>
      <c r="G670" s="39"/>
      <c r="H670" s="41"/>
      <c r="I670" s="41"/>
      <c r="J670" s="42"/>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7"/>
      <c r="B671" s="38"/>
      <c r="C671" s="38"/>
      <c r="D671" s="39"/>
      <c r="E671" s="39"/>
      <c r="F671" s="40"/>
      <c r="G671" s="39"/>
      <c r="H671" s="41"/>
      <c r="I671" s="41"/>
      <c r="J671" s="42"/>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33"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7"/>
      <c r="B672" s="38"/>
      <c r="C672" s="38"/>
      <c r="D672" s="39"/>
      <c r="E672" s="39"/>
      <c r="F672" s="40"/>
      <c r="G672" s="39"/>
      <c r="H672" s="41"/>
      <c r="I672" s="41"/>
      <c r="J672" s="42"/>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7"/>
      <c r="B673" s="38"/>
      <c r="C673" s="38"/>
      <c r="D673" s="39"/>
      <c r="E673" s="39"/>
      <c r="F673" s="40"/>
      <c r="G673" s="39"/>
      <c r="H673" s="41"/>
      <c r="I673" s="41"/>
      <c r="J673" s="42"/>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33"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7"/>
      <c r="B674" s="38"/>
      <c r="C674" s="38"/>
      <c r="D674" s="39"/>
      <c r="E674" s="39"/>
      <c r="F674" s="40"/>
      <c r="G674" s="39"/>
      <c r="H674" s="41"/>
      <c r="I674" s="41"/>
      <c r="J674" s="42"/>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7"/>
      <c r="B675" s="38"/>
      <c r="C675" s="38"/>
      <c r="D675" s="39"/>
      <c r="E675" s="39"/>
      <c r="F675" s="40"/>
      <c r="G675" s="39"/>
      <c r="H675" s="41"/>
      <c r="I675" s="41"/>
      <c r="J675" s="42"/>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33"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7"/>
      <c r="B676" s="38"/>
      <c r="C676" s="38"/>
      <c r="D676" s="39"/>
      <c r="E676" s="39"/>
      <c r="F676" s="40"/>
      <c r="G676" s="39"/>
      <c r="H676" s="41"/>
      <c r="I676" s="41"/>
      <c r="J676" s="42"/>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7"/>
      <c r="B677" s="38"/>
      <c r="C677" s="38"/>
      <c r="D677" s="39"/>
      <c r="E677" s="39"/>
      <c r="F677" s="40"/>
      <c r="G677" s="39"/>
      <c r="H677" s="41"/>
      <c r="I677" s="41"/>
      <c r="J677" s="42"/>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33"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7"/>
      <c r="B678" s="38"/>
      <c r="C678" s="38"/>
      <c r="D678" s="39"/>
      <c r="E678" s="39"/>
      <c r="F678" s="40"/>
      <c r="G678" s="39"/>
      <c r="H678" s="41"/>
      <c r="I678" s="41"/>
      <c r="J678" s="42"/>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7"/>
      <c r="B679" s="38"/>
      <c r="C679" s="38"/>
      <c r="D679" s="39"/>
      <c r="E679" s="39"/>
      <c r="F679" s="40"/>
      <c r="G679" s="39"/>
      <c r="H679" s="41"/>
      <c r="I679" s="41"/>
      <c r="J679" s="42"/>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33"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7"/>
      <c r="B680" s="38"/>
      <c r="C680" s="38"/>
      <c r="D680" s="39"/>
      <c r="E680" s="39"/>
      <c r="F680" s="40"/>
      <c r="G680" s="39"/>
      <c r="H680" s="41"/>
      <c r="I680" s="41"/>
      <c r="J680" s="42"/>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7"/>
      <c r="B681" s="38"/>
      <c r="C681" s="38"/>
      <c r="D681" s="39"/>
      <c r="E681" s="39"/>
      <c r="F681" s="40"/>
      <c r="G681" s="39"/>
      <c r="H681" s="41"/>
      <c r="I681" s="41"/>
      <c r="J681" s="42"/>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33"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7"/>
      <c r="B682" s="38"/>
      <c r="C682" s="38"/>
      <c r="D682" s="39"/>
      <c r="E682" s="39"/>
      <c r="F682" s="40"/>
      <c r="G682" s="39"/>
      <c r="H682" s="41"/>
      <c r="I682" s="41"/>
      <c r="J682" s="42"/>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7"/>
      <c r="B683" s="38"/>
      <c r="C683" s="38"/>
      <c r="D683" s="39"/>
      <c r="E683" s="39"/>
      <c r="F683" s="40"/>
      <c r="G683" s="39"/>
      <c r="H683" s="41"/>
      <c r="I683" s="41"/>
      <c r="J683" s="42"/>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33"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7"/>
      <c r="B684" s="38"/>
      <c r="C684" s="38"/>
      <c r="D684" s="39"/>
      <c r="E684" s="39"/>
      <c r="F684" s="40"/>
      <c r="G684" s="39"/>
      <c r="H684" s="41"/>
      <c r="I684" s="41"/>
      <c r="J684" s="42"/>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7"/>
      <c r="B685" s="38"/>
      <c r="C685" s="38"/>
      <c r="D685" s="39"/>
      <c r="E685" s="39"/>
      <c r="F685" s="40"/>
      <c r="G685" s="39"/>
      <c r="H685" s="41"/>
      <c r="I685" s="41"/>
      <c r="J685" s="42"/>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33"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7"/>
      <c r="B686" s="38"/>
      <c r="C686" s="38"/>
      <c r="D686" s="39"/>
      <c r="E686" s="39"/>
      <c r="F686" s="40"/>
      <c r="G686" s="39"/>
      <c r="H686" s="41"/>
      <c r="I686" s="41"/>
      <c r="J686" s="42"/>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7"/>
      <c r="B687" s="38"/>
      <c r="C687" s="38"/>
      <c r="D687" s="39"/>
      <c r="E687" s="39"/>
      <c r="F687" s="40"/>
      <c r="G687" s="39"/>
      <c r="H687" s="41"/>
      <c r="I687" s="41"/>
      <c r="J687" s="42"/>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33"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7"/>
      <c r="B688" s="38"/>
      <c r="C688" s="38"/>
      <c r="D688" s="39"/>
      <c r="E688" s="39"/>
      <c r="F688" s="40"/>
      <c r="G688" s="39"/>
      <c r="H688" s="41"/>
      <c r="I688" s="41"/>
      <c r="J688" s="42"/>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7"/>
      <c r="B689" s="38"/>
      <c r="C689" s="38"/>
      <c r="D689" s="39"/>
      <c r="E689" s="39"/>
      <c r="F689" s="40"/>
      <c r="G689" s="39"/>
      <c r="H689" s="41"/>
      <c r="I689" s="41"/>
      <c r="J689" s="42"/>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33"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7"/>
      <c r="B690" s="38"/>
      <c r="C690" s="38"/>
      <c r="D690" s="39"/>
      <c r="E690" s="39"/>
      <c r="F690" s="40"/>
      <c r="G690" s="39"/>
      <c r="H690" s="41"/>
      <c r="I690" s="41"/>
      <c r="J690" s="42"/>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7"/>
      <c r="B691" s="38"/>
      <c r="C691" s="38"/>
      <c r="D691" s="39"/>
      <c r="E691" s="39"/>
      <c r="F691" s="40"/>
      <c r="G691" s="39"/>
      <c r="H691" s="41"/>
      <c r="I691" s="41"/>
      <c r="J691" s="42"/>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33"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7"/>
      <c r="B692" s="38"/>
      <c r="C692" s="38"/>
      <c r="D692" s="39"/>
      <c r="E692" s="39"/>
      <c r="F692" s="40"/>
      <c r="G692" s="39"/>
      <c r="H692" s="41"/>
      <c r="I692" s="41"/>
      <c r="J692" s="42"/>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7"/>
      <c r="B693" s="38"/>
      <c r="C693" s="38"/>
      <c r="D693" s="39"/>
      <c r="E693" s="39"/>
      <c r="F693" s="40"/>
      <c r="G693" s="39"/>
      <c r="H693" s="41"/>
      <c r="I693" s="41"/>
      <c r="J693" s="42"/>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33"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7"/>
      <c r="B694" s="38"/>
      <c r="C694" s="38"/>
      <c r="D694" s="39"/>
      <c r="E694" s="39"/>
      <c r="F694" s="40"/>
      <c r="G694" s="39"/>
      <c r="H694" s="41"/>
      <c r="I694" s="41"/>
      <c r="J694" s="42"/>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7"/>
      <c r="B695" s="38"/>
      <c r="C695" s="38"/>
      <c r="D695" s="39"/>
      <c r="E695" s="39"/>
      <c r="F695" s="40"/>
      <c r="G695" s="39"/>
      <c r="H695" s="41"/>
      <c r="I695" s="41"/>
      <c r="J695" s="42"/>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33"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7"/>
      <c r="B696" s="38"/>
      <c r="C696" s="38"/>
      <c r="D696" s="39"/>
      <c r="E696" s="39"/>
      <c r="F696" s="40"/>
      <c r="G696" s="39"/>
      <c r="H696" s="41"/>
      <c r="I696" s="41"/>
      <c r="J696" s="42"/>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7"/>
      <c r="B697" s="38"/>
      <c r="C697" s="38"/>
      <c r="D697" s="39"/>
      <c r="E697" s="39"/>
      <c r="F697" s="40"/>
      <c r="G697" s="39"/>
      <c r="H697" s="41"/>
      <c r="I697" s="41"/>
      <c r="J697" s="42"/>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33"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7"/>
      <c r="B698" s="38"/>
      <c r="C698" s="38"/>
      <c r="D698" s="39"/>
      <c r="E698" s="39"/>
      <c r="F698" s="40"/>
      <c r="G698" s="39"/>
      <c r="H698" s="41"/>
      <c r="I698" s="41"/>
      <c r="J698" s="42"/>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7"/>
      <c r="B699" s="38"/>
      <c r="C699" s="38"/>
      <c r="D699" s="39"/>
      <c r="E699" s="39"/>
      <c r="F699" s="40"/>
      <c r="G699" s="39"/>
      <c r="H699" s="41"/>
      <c r="I699" s="41"/>
      <c r="J699" s="42"/>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33"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7"/>
      <c r="B700" s="38"/>
      <c r="C700" s="38"/>
      <c r="D700" s="39"/>
      <c r="E700" s="39"/>
      <c r="F700" s="40"/>
      <c r="G700" s="39"/>
      <c r="H700" s="41"/>
      <c r="I700" s="41"/>
      <c r="J700" s="42"/>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7"/>
      <c r="B701" s="38"/>
      <c r="C701" s="38"/>
      <c r="D701" s="39"/>
      <c r="E701" s="39"/>
      <c r="F701" s="40"/>
      <c r="G701" s="39"/>
      <c r="H701" s="41"/>
      <c r="I701" s="41"/>
      <c r="J701" s="42"/>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33"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7"/>
      <c r="B702" s="38"/>
      <c r="C702" s="38"/>
      <c r="D702" s="39"/>
      <c r="E702" s="39"/>
      <c r="F702" s="40"/>
      <c r="G702" s="39"/>
      <c r="H702" s="41"/>
      <c r="I702" s="41"/>
      <c r="J702" s="42"/>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7"/>
      <c r="B703" s="38"/>
      <c r="C703" s="38"/>
      <c r="D703" s="39"/>
      <c r="E703" s="39"/>
      <c r="F703" s="40"/>
      <c r="G703" s="39"/>
      <c r="H703" s="41"/>
      <c r="I703" s="41"/>
      <c r="J703" s="42"/>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33"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7"/>
      <c r="B704" s="38"/>
      <c r="C704" s="38"/>
      <c r="D704" s="39"/>
      <c r="E704" s="39"/>
      <c r="F704" s="40"/>
      <c r="G704" s="39"/>
      <c r="H704" s="41"/>
      <c r="I704" s="41"/>
      <c r="J704" s="42"/>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7"/>
      <c r="B705" s="38"/>
      <c r="C705" s="38"/>
      <c r="D705" s="39"/>
      <c r="E705" s="39"/>
      <c r="F705" s="40"/>
      <c r="G705" s="39"/>
      <c r="H705" s="41"/>
      <c r="I705" s="41"/>
      <c r="J705" s="42"/>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33"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7"/>
      <c r="B706" s="38"/>
      <c r="C706" s="38"/>
      <c r="D706" s="39"/>
      <c r="E706" s="39"/>
      <c r="F706" s="40"/>
      <c r="G706" s="39"/>
      <c r="H706" s="41"/>
      <c r="I706" s="41"/>
      <c r="J706" s="42"/>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7"/>
      <c r="B707" s="38"/>
      <c r="C707" s="38"/>
      <c r="D707" s="39"/>
      <c r="E707" s="39"/>
      <c r="F707" s="40"/>
      <c r="G707" s="39"/>
      <c r="H707" s="41"/>
      <c r="I707" s="41"/>
      <c r="J707" s="42"/>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33"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7"/>
      <c r="B708" s="38"/>
      <c r="C708" s="38"/>
      <c r="D708" s="39"/>
      <c r="E708" s="39"/>
      <c r="F708" s="40"/>
      <c r="G708" s="39"/>
      <c r="H708" s="41"/>
      <c r="I708" s="41"/>
      <c r="J708" s="42"/>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7"/>
      <c r="B709" s="38"/>
      <c r="C709" s="38"/>
      <c r="D709" s="39"/>
      <c r="E709" s="39"/>
      <c r="F709" s="40"/>
      <c r="G709" s="39"/>
      <c r="H709" s="41"/>
      <c r="I709" s="41"/>
      <c r="J709" s="42"/>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33"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7"/>
      <c r="B710" s="38"/>
      <c r="C710" s="38"/>
      <c r="D710" s="39"/>
      <c r="E710" s="39"/>
      <c r="F710" s="40"/>
      <c r="G710" s="39"/>
      <c r="H710" s="41"/>
      <c r="I710" s="41"/>
      <c r="J710" s="42"/>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7"/>
      <c r="B711" s="38"/>
      <c r="C711" s="38"/>
      <c r="D711" s="39"/>
      <c r="E711" s="39"/>
      <c r="F711" s="40"/>
      <c r="G711" s="39"/>
      <c r="H711" s="41"/>
      <c r="I711" s="41"/>
      <c r="J711" s="42"/>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33"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7"/>
      <c r="B712" s="38"/>
      <c r="C712" s="38"/>
      <c r="D712" s="39"/>
      <c r="E712" s="39"/>
      <c r="F712" s="40"/>
      <c r="G712" s="39"/>
      <c r="H712" s="41"/>
      <c r="I712" s="41"/>
      <c r="J712" s="42"/>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7"/>
      <c r="B713" s="38"/>
      <c r="C713" s="38"/>
      <c r="D713" s="39"/>
      <c r="E713" s="39"/>
      <c r="F713" s="40"/>
      <c r="G713" s="39"/>
      <c r="H713" s="41"/>
      <c r="I713" s="41"/>
      <c r="J713" s="42"/>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33"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7"/>
      <c r="B714" s="38"/>
      <c r="C714" s="38"/>
      <c r="D714" s="39"/>
      <c r="E714" s="39"/>
      <c r="F714" s="40"/>
      <c r="G714" s="39"/>
      <c r="H714" s="41"/>
      <c r="I714" s="41"/>
      <c r="J714" s="42"/>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7"/>
      <c r="B715" s="38"/>
      <c r="C715" s="38"/>
      <c r="D715" s="39"/>
      <c r="E715" s="39"/>
      <c r="F715" s="40"/>
      <c r="G715" s="39"/>
      <c r="H715" s="41"/>
      <c r="I715" s="41"/>
      <c r="J715" s="42"/>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33"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7"/>
      <c r="B716" s="38"/>
      <c r="C716" s="38"/>
      <c r="D716" s="39"/>
      <c r="E716" s="39"/>
      <c r="F716" s="40"/>
      <c r="G716" s="39"/>
      <c r="H716" s="41"/>
      <c r="I716" s="41"/>
      <c r="J716" s="42"/>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7"/>
      <c r="B717" s="38"/>
      <c r="C717" s="38"/>
      <c r="D717" s="39"/>
      <c r="E717" s="39"/>
      <c r="F717" s="40"/>
      <c r="G717" s="39"/>
      <c r="H717" s="41"/>
      <c r="I717" s="41"/>
      <c r="J717" s="42"/>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33"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7"/>
      <c r="B718" s="38"/>
      <c r="C718" s="38"/>
      <c r="D718" s="39"/>
      <c r="E718" s="39"/>
      <c r="F718" s="40"/>
      <c r="G718" s="39"/>
      <c r="H718" s="41"/>
      <c r="I718" s="41"/>
      <c r="J718" s="42"/>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7"/>
      <c r="B719" s="38"/>
      <c r="C719" s="38"/>
      <c r="D719" s="39"/>
      <c r="E719" s="39"/>
      <c r="F719" s="40"/>
      <c r="G719" s="39"/>
      <c r="H719" s="41"/>
      <c r="I719" s="41"/>
      <c r="J719" s="42"/>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33"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7"/>
      <c r="B720" s="38"/>
      <c r="C720" s="38"/>
      <c r="D720" s="39"/>
      <c r="E720" s="39"/>
      <c r="F720" s="40"/>
      <c r="G720" s="39"/>
      <c r="H720" s="41"/>
      <c r="I720" s="41"/>
      <c r="J720" s="42"/>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7"/>
      <c r="B721" s="38"/>
      <c r="C721" s="38"/>
      <c r="D721" s="39"/>
      <c r="E721" s="39"/>
      <c r="F721" s="40"/>
      <c r="G721" s="39"/>
      <c r="H721" s="41"/>
      <c r="I721" s="41"/>
      <c r="J721" s="42"/>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33"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7"/>
      <c r="B722" s="38"/>
      <c r="C722" s="38"/>
      <c r="D722" s="39"/>
      <c r="E722" s="39"/>
      <c r="F722" s="40"/>
      <c r="G722" s="39"/>
      <c r="H722" s="41"/>
      <c r="I722" s="41"/>
      <c r="J722" s="42"/>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7"/>
      <c r="B723" s="38"/>
      <c r="C723" s="38"/>
      <c r="D723" s="39"/>
      <c r="E723" s="39"/>
      <c r="F723" s="40"/>
      <c r="G723" s="39"/>
      <c r="H723" s="41"/>
      <c r="I723" s="41"/>
      <c r="J723" s="42"/>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33"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7"/>
      <c r="B724" s="38"/>
      <c r="C724" s="38"/>
      <c r="D724" s="39"/>
      <c r="E724" s="39"/>
      <c r="F724" s="40"/>
      <c r="G724" s="39"/>
      <c r="H724" s="41"/>
      <c r="I724" s="41"/>
      <c r="J724" s="42"/>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7"/>
      <c r="B725" s="38"/>
      <c r="C725" s="38"/>
      <c r="D725" s="39"/>
      <c r="E725" s="39"/>
      <c r="F725" s="40"/>
      <c r="G725" s="39"/>
      <c r="H725" s="41"/>
      <c r="I725" s="41"/>
      <c r="J725" s="42"/>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33"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7"/>
      <c r="B726" s="38"/>
      <c r="C726" s="38"/>
      <c r="D726" s="39"/>
      <c r="E726" s="39"/>
      <c r="F726" s="40"/>
      <c r="G726" s="39"/>
      <c r="H726" s="41"/>
      <c r="I726" s="41"/>
      <c r="J726" s="42"/>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7"/>
      <c r="B727" s="38"/>
      <c r="C727" s="38"/>
      <c r="D727" s="39"/>
      <c r="E727" s="39"/>
      <c r="F727" s="40"/>
      <c r="G727" s="39"/>
      <c r="H727" s="41"/>
      <c r="I727" s="41"/>
      <c r="J727" s="42"/>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33"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7"/>
      <c r="B728" s="38"/>
      <c r="C728" s="38"/>
      <c r="D728" s="39"/>
      <c r="E728" s="39"/>
      <c r="F728" s="40"/>
      <c r="G728" s="39"/>
      <c r="H728" s="41"/>
      <c r="I728" s="41"/>
      <c r="J728" s="42"/>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7"/>
      <c r="B729" s="38"/>
      <c r="C729" s="38"/>
      <c r="D729" s="39"/>
      <c r="E729" s="39"/>
      <c r="F729" s="40"/>
      <c r="G729" s="39"/>
      <c r="H729" s="41"/>
      <c r="I729" s="41"/>
      <c r="J729" s="42"/>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33"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7"/>
      <c r="B730" s="38"/>
      <c r="C730" s="38"/>
      <c r="D730" s="39"/>
      <c r="E730" s="39"/>
      <c r="F730" s="40"/>
      <c r="G730" s="39"/>
      <c r="H730" s="41"/>
      <c r="I730" s="41"/>
      <c r="J730" s="42"/>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7"/>
      <c r="B731" s="38"/>
      <c r="C731" s="38"/>
      <c r="D731" s="39"/>
      <c r="E731" s="39"/>
      <c r="F731" s="40"/>
      <c r="G731" s="39"/>
      <c r="H731" s="41"/>
      <c r="I731" s="41"/>
      <c r="J731" s="42"/>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33"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7"/>
      <c r="B732" s="38"/>
      <c r="C732" s="38"/>
      <c r="D732" s="39"/>
      <c r="E732" s="39"/>
      <c r="F732" s="40"/>
      <c r="G732" s="39"/>
      <c r="H732" s="41"/>
      <c r="I732" s="41"/>
      <c r="J732" s="42"/>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7"/>
      <c r="B733" s="38"/>
      <c r="C733" s="38"/>
      <c r="D733" s="39"/>
      <c r="E733" s="39"/>
      <c r="F733" s="40"/>
      <c r="G733" s="39"/>
      <c r="H733" s="41"/>
      <c r="I733" s="41"/>
      <c r="J733" s="42"/>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33"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7"/>
      <c r="B734" s="38"/>
      <c r="C734" s="38"/>
      <c r="D734" s="39"/>
      <c r="E734" s="39"/>
      <c r="F734" s="40"/>
      <c r="G734" s="39"/>
      <c r="H734" s="41"/>
      <c r="I734" s="41"/>
      <c r="J734" s="42"/>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7"/>
      <c r="B735" s="38"/>
      <c r="C735" s="38"/>
      <c r="D735" s="39"/>
      <c r="E735" s="39"/>
      <c r="F735" s="40"/>
      <c r="G735" s="39"/>
      <c r="H735" s="41"/>
      <c r="I735" s="41"/>
      <c r="J735" s="42"/>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33"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7"/>
      <c r="B736" s="38"/>
      <c r="C736" s="38"/>
      <c r="D736" s="39"/>
      <c r="E736" s="39"/>
      <c r="F736" s="40"/>
      <c r="G736" s="39"/>
      <c r="H736" s="41"/>
      <c r="I736" s="41"/>
      <c r="J736" s="42"/>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7"/>
      <c r="B737" s="38"/>
      <c r="C737" s="38"/>
      <c r="D737" s="39"/>
      <c r="E737" s="39"/>
      <c r="F737" s="40"/>
      <c r="G737" s="39"/>
      <c r="H737" s="41"/>
      <c r="I737" s="41"/>
      <c r="J737" s="42"/>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33"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7"/>
      <c r="B738" s="38"/>
      <c r="C738" s="38"/>
      <c r="D738" s="39"/>
      <c r="E738" s="39"/>
      <c r="F738" s="40"/>
      <c r="G738" s="39"/>
      <c r="H738" s="41"/>
      <c r="I738" s="41"/>
      <c r="J738" s="42"/>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7"/>
      <c r="B739" s="38"/>
      <c r="C739" s="38"/>
      <c r="D739" s="39"/>
      <c r="E739" s="39"/>
      <c r="F739" s="40"/>
      <c r="G739" s="39"/>
      <c r="H739" s="41"/>
      <c r="I739" s="41"/>
      <c r="J739" s="42"/>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33"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7"/>
      <c r="B740" s="38"/>
      <c r="C740" s="38"/>
      <c r="D740" s="39"/>
      <c r="E740" s="39"/>
      <c r="F740" s="40"/>
      <c r="G740" s="39"/>
      <c r="H740" s="41"/>
      <c r="I740" s="41"/>
      <c r="J740" s="42"/>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7"/>
      <c r="B741" s="38"/>
      <c r="C741" s="38"/>
      <c r="D741" s="39"/>
      <c r="E741" s="39"/>
      <c r="F741" s="40"/>
      <c r="G741" s="39"/>
      <c r="H741" s="41"/>
      <c r="I741" s="41"/>
      <c r="J741" s="42"/>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33"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7"/>
      <c r="B742" s="38"/>
      <c r="C742" s="38"/>
      <c r="D742" s="39"/>
      <c r="E742" s="39"/>
      <c r="F742" s="40"/>
      <c r="G742" s="39"/>
      <c r="H742" s="41"/>
      <c r="I742" s="41"/>
      <c r="J742" s="42"/>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7"/>
      <c r="B743" s="38"/>
      <c r="C743" s="38"/>
      <c r="D743" s="39"/>
      <c r="E743" s="39"/>
      <c r="F743" s="40"/>
      <c r="G743" s="39"/>
      <c r="H743" s="41"/>
      <c r="I743" s="41"/>
      <c r="J743" s="42"/>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33"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7"/>
      <c r="B744" s="38"/>
      <c r="C744" s="38"/>
      <c r="D744" s="39"/>
      <c r="E744" s="39"/>
      <c r="F744" s="40"/>
      <c r="G744" s="39"/>
      <c r="H744" s="41"/>
      <c r="I744" s="41"/>
      <c r="J744" s="42"/>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7"/>
      <c r="B745" s="38"/>
      <c r="C745" s="38"/>
      <c r="D745" s="39"/>
      <c r="E745" s="39"/>
      <c r="F745" s="40"/>
      <c r="G745" s="39"/>
      <c r="H745" s="41"/>
      <c r="I745" s="41"/>
      <c r="J745" s="42"/>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33"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7"/>
      <c r="B746" s="38"/>
      <c r="C746" s="38"/>
      <c r="D746" s="39"/>
      <c r="E746" s="39"/>
      <c r="F746" s="40"/>
      <c r="G746" s="39"/>
      <c r="H746" s="41"/>
      <c r="I746" s="41"/>
      <c r="J746" s="42"/>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7"/>
      <c r="B747" s="38"/>
      <c r="C747" s="38"/>
      <c r="D747" s="39"/>
      <c r="E747" s="39"/>
      <c r="F747" s="40"/>
      <c r="G747" s="39"/>
      <c r="H747" s="41"/>
      <c r="I747" s="41"/>
      <c r="J747" s="42"/>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33"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7"/>
      <c r="B748" s="38"/>
      <c r="C748" s="38"/>
      <c r="D748" s="39"/>
      <c r="E748" s="39"/>
      <c r="F748" s="40"/>
      <c r="G748" s="39"/>
      <c r="H748" s="41"/>
      <c r="I748" s="41"/>
      <c r="J748" s="42"/>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7"/>
      <c r="B749" s="38"/>
      <c r="C749" s="38"/>
      <c r="D749" s="39"/>
      <c r="E749" s="39"/>
      <c r="F749" s="40"/>
      <c r="G749" s="39"/>
      <c r="H749" s="41"/>
      <c r="I749" s="41"/>
      <c r="J749" s="42"/>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33"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7"/>
      <c r="B750" s="38"/>
      <c r="C750" s="38"/>
      <c r="D750" s="39"/>
      <c r="E750" s="39"/>
      <c r="F750" s="40"/>
      <c r="G750" s="39"/>
      <c r="H750" s="41"/>
      <c r="I750" s="41"/>
      <c r="J750" s="42"/>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7"/>
      <c r="B751" s="38"/>
      <c r="C751" s="38"/>
      <c r="D751" s="39"/>
      <c r="E751" s="39"/>
      <c r="F751" s="40"/>
      <c r="G751" s="39"/>
      <c r="H751" s="41"/>
      <c r="I751" s="41"/>
      <c r="J751" s="42"/>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33"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7"/>
      <c r="B752" s="38"/>
      <c r="C752" s="38"/>
      <c r="D752" s="39"/>
      <c r="E752" s="39"/>
      <c r="F752" s="40"/>
      <c r="G752" s="39"/>
      <c r="H752" s="41"/>
      <c r="I752" s="41"/>
      <c r="J752" s="42"/>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7"/>
      <c r="B753" s="38"/>
      <c r="C753" s="38"/>
      <c r="D753" s="39"/>
      <c r="E753" s="39"/>
      <c r="F753" s="40"/>
      <c r="G753" s="39"/>
      <c r="H753" s="41"/>
      <c r="I753" s="41"/>
      <c r="J753" s="42"/>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33"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7"/>
      <c r="B754" s="38"/>
      <c r="C754" s="38"/>
      <c r="D754" s="39"/>
      <c r="E754" s="39"/>
      <c r="F754" s="40"/>
      <c r="G754" s="39"/>
      <c r="H754" s="41"/>
      <c r="I754" s="41"/>
      <c r="J754" s="42"/>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7"/>
      <c r="B755" s="38"/>
      <c r="C755" s="38"/>
      <c r="D755" s="39"/>
      <c r="E755" s="39"/>
      <c r="F755" s="40"/>
      <c r="G755" s="39"/>
      <c r="H755" s="41"/>
      <c r="I755" s="41"/>
      <c r="J755" s="42"/>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33"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7"/>
      <c r="B756" s="38"/>
      <c r="C756" s="38"/>
      <c r="D756" s="39"/>
      <c r="E756" s="39"/>
      <c r="F756" s="40"/>
      <c r="G756" s="39"/>
      <c r="H756" s="41"/>
      <c r="I756" s="41"/>
      <c r="J756" s="42"/>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7"/>
      <c r="B757" s="38"/>
      <c r="C757" s="38"/>
      <c r="D757" s="39"/>
      <c r="E757" s="39"/>
      <c r="F757" s="40"/>
      <c r="G757" s="39"/>
      <c r="H757" s="41"/>
      <c r="I757" s="41"/>
      <c r="J757" s="42"/>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33"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7"/>
      <c r="B758" s="38"/>
      <c r="C758" s="38"/>
      <c r="D758" s="39"/>
      <c r="E758" s="39"/>
      <c r="F758" s="40"/>
      <c r="G758" s="39"/>
      <c r="H758" s="41"/>
      <c r="I758" s="41"/>
      <c r="J758" s="42"/>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7"/>
      <c r="B759" s="38"/>
      <c r="C759" s="38"/>
      <c r="D759" s="39"/>
      <c r="E759" s="39"/>
      <c r="F759" s="40"/>
      <c r="G759" s="39"/>
      <c r="H759" s="41"/>
      <c r="I759" s="41"/>
      <c r="J759" s="42"/>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33"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7"/>
      <c r="B760" s="38"/>
      <c r="C760" s="38"/>
      <c r="D760" s="39"/>
      <c r="E760" s="39"/>
      <c r="F760" s="40"/>
      <c r="G760" s="39"/>
      <c r="H760" s="41"/>
      <c r="I760" s="41"/>
      <c r="J760" s="42"/>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7"/>
      <c r="B761" s="38"/>
      <c r="C761" s="38"/>
      <c r="D761" s="39"/>
      <c r="E761" s="39"/>
      <c r="F761" s="40"/>
      <c r="G761" s="39"/>
      <c r="H761" s="41"/>
      <c r="I761" s="41"/>
      <c r="J761" s="42"/>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33"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7"/>
      <c r="B762" s="38"/>
      <c r="C762" s="38"/>
      <c r="D762" s="39"/>
      <c r="E762" s="39"/>
      <c r="F762" s="40"/>
      <c r="G762" s="39"/>
      <c r="H762" s="41"/>
      <c r="I762" s="41"/>
      <c r="J762" s="42"/>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7"/>
      <c r="B763" s="38"/>
      <c r="C763" s="38"/>
      <c r="D763" s="39"/>
      <c r="E763" s="39"/>
      <c r="F763" s="40"/>
      <c r="G763" s="39"/>
      <c r="H763" s="41"/>
      <c r="I763" s="41"/>
      <c r="J763" s="42"/>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33"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7"/>
      <c r="B764" s="38"/>
      <c r="C764" s="38"/>
      <c r="D764" s="39"/>
      <c r="E764" s="39"/>
      <c r="F764" s="40"/>
      <c r="G764" s="39"/>
      <c r="H764" s="41"/>
      <c r="I764" s="41"/>
      <c r="J764" s="42"/>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7"/>
      <c r="B765" s="38"/>
      <c r="C765" s="38"/>
      <c r="D765" s="39"/>
      <c r="E765" s="39"/>
      <c r="F765" s="40"/>
      <c r="G765" s="39"/>
      <c r="H765" s="41"/>
      <c r="I765" s="41"/>
      <c r="J765" s="42"/>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33"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7"/>
      <c r="B766" s="38"/>
      <c r="C766" s="38"/>
      <c r="D766" s="39"/>
      <c r="E766" s="39"/>
      <c r="F766" s="40"/>
      <c r="G766" s="39"/>
      <c r="H766" s="41"/>
      <c r="I766" s="41"/>
      <c r="J766" s="42"/>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7"/>
      <c r="B767" s="38"/>
      <c r="C767" s="38"/>
      <c r="D767" s="39"/>
      <c r="E767" s="39"/>
      <c r="F767" s="40"/>
      <c r="G767" s="39"/>
      <c r="H767" s="41"/>
      <c r="I767" s="41"/>
      <c r="J767" s="42"/>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33"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7"/>
      <c r="B768" s="38"/>
      <c r="C768" s="38"/>
      <c r="D768" s="39"/>
      <c r="E768" s="39"/>
      <c r="F768" s="40"/>
      <c r="G768" s="39"/>
      <c r="H768" s="41"/>
      <c r="I768" s="41"/>
      <c r="J768" s="42"/>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7"/>
      <c r="B769" s="38"/>
      <c r="C769" s="38"/>
      <c r="D769" s="39"/>
      <c r="E769" s="39"/>
      <c r="F769" s="40"/>
      <c r="G769" s="39"/>
      <c r="H769" s="41"/>
      <c r="I769" s="41"/>
      <c r="J769" s="42"/>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33"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7"/>
      <c r="B770" s="38"/>
      <c r="C770" s="38"/>
      <c r="D770" s="39"/>
      <c r="E770" s="39"/>
      <c r="F770" s="40"/>
      <c r="G770" s="39"/>
      <c r="H770" s="41"/>
      <c r="I770" s="41"/>
      <c r="J770" s="42"/>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7"/>
      <c r="B771" s="38"/>
      <c r="C771" s="38"/>
      <c r="D771" s="39"/>
      <c r="E771" s="39"/>
      <c r="F771" s="40"/>
      <c r="G771" s="39"/>
      <c r="H771" s="41"/>
      <c r="I771" s="41"/>
      <c r="J771" s="42"/>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33"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7"/>
      <c r="B772" s="38"/>
      <c r="C772" s="38"/>
      <c r="D772" s="39"/>
      <c r="E772" s="39"/>
      <c r="F772" s="40"/>
      <c r="G772" s="39"/>
      <c r="H772" s="41"/>
      <c r="I772" s="41"/>
      <c r="J772" s="42"/>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7"/>
      <c r="B773" s="38"/>
      <c r="C773" s="38"/>
      <c r="D773" s="39"/>
      <c r="E773" s="39"/>
      <c r="F773" s="40"/>
      <c r="G773" s="39"/>
      <c r="H773" s="41"/>
      <c r="I773" s="41"/>
      <c r="J773" s="42"/>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33"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7"/>
      <c r="B774" s="38"/>
      <c r="C774" s="38"/>
      <c r="D774" s="39"/>
      <c r="E774" s="39"/>
      <c r="F774" s="40"/>
      <c r="G774" s="39"/>
      <c r="H774" s="41"/>
      <c r="I774" s="41"/>
      <c r="J774" s="42"/>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7"/>
      <c r="B775" s="38"/>
      <c r="C775" s="38"/>
      <c r="D775" s="39"/>
      <c r="E775" s="39"/>
      <c r="F775" s="40"/>
      <c r="G775" s="39"/>
      <c r="H775" s="41"/>
      <c r="I775" s="41"/>
      <c r="J775" s="42"/>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33"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7"/>
      <c r="B776" s="38"/>
      <c r="C776" s="38"/>
      <c r="D776" s="39"/>
      <c r="E776" s="39"/>
      <c r="F776" s="40"/>
      <c r="G776" s="39"/>
      <c r="H776" s="41"/>
      <c r="I776" s="41"/>
      <c r="J776" s="42"/>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7"/>
      <c r="B777" s="38"/>
      <c r="C777" s="38"/>
      <c r="D777" s="39"/>
      <c r="E777" s="39"/>
      <c r="F777" s="40"/>
      <c r="G777" s="39"/>
      <c r="H777" s="41"/>
      <c r="I777" s="41"/>
      <c r="J777" s="42"/>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33"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7"/>
      <c r="B778" s="38"/>
      <c r="C778" s="38"/>
      <c r="D778" s="39"/>
      <c r="E778" s="39"/>
      <c r="F778" s="40"/>
      <c r="G778" s="39"/>
      <c r="H778" s="41"/>
      <c r="I778" s="41"/>
      <c r="J778" s="42"/>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7"/>
      <c r="B779" s="38"/>
      <c r="C779" s="38"/>
      <c r="D779" s="39"/>
      <c r="E779" s="39"/>
      <c r="F779" s="40"/>
      <c r="G779" s="39"/>
      <c r="H779" s="41"/>
      <c r="I779" s="41"/>
      <c r="J779" s="42"/>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33"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7"/>
      <c r="B780" s="38"/>
      <c r="C780" s="38"/>
      <c r="D780" s="39"/>
      <c r="E780" s="39"/>
      <c r="F780" s="40"/>
      <c r="G780" s="39"/>
      <c r="H780" s="41"/>
      <c r="I780" s="41"/>
      <c r="J780" s="42"/>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7"/>
      <c r="B781" s="38"/>
      <c r="C781" s="38"/>
      <c r="D781" s="39"/>
      <c r="E781" s="39"/>
      <c r="F781" s="40"/>
      <c r="G781" s="39"/>
      <c r="H781" s="41"/>
      <c r="I781" s="41"/>
      <c r="J781" s="42"/>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33"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7"/>
      <c r="B782" s="38"/>
      <c r="C782" s="38"/>
      <c r="D782" s="39"/>
      <c r="E782" s="39"/>
      <c r="F782" s="40"/>
      <c r="G782" s="39"/>
      <c r="H782" s="41"/>
      <c r="I782" s="41"/>
      <c r="J782" s="42"/>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7"/>
      <c r="B783" s="38"/>
      <c r="C783" s="38"/>
      <c r="D783" s="39"/>
      <c r="E783" s="39"/>
      <c r="F783" s="40"/>
      <c r="G783" s="39"/>
      <c r="H783" s="41"/>
      <c r="I783" s="41"/>
      <c r="J783" s="42"/>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33"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7"/>
      <c r="B784" s="38"/>
      <c r="C784" s="38"/>
      <c r="D784" s="39"/>
      <c r="E784" s="39"/>
      <c r="F784" s="40"/>
      <c r="G784" s="39"/>
      <c r="H784" s="41"/>
      <c r="I784" s="41"/>
      <c r="J784" s="42"/>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7"/>
      <c r="B785" s="38"/>
      <c r="C785" s="38"/>
      <c r="D785" s="39"/>
      <c r="E785" s="39"/>
      <c r="F785" s="40"/>
      <c r="G785" s="39"/>
      <c r="H785" s="41"/>
      <c r="I785" s="41"/>
      <c r="J785" s="42"/>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33"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7"/>
      <c r="B786" s="38"/>
      <c r="C786" s="38"/>
      <c r="D786" s="39"/>
      <c r="E786" s="39"/>
      <c r="F786" s="40"/>
      <c r="G786" s="39"/>
      <c r="H786" s="41"/>
      <c r="I786" s="41"/>
      <c r="J786" s="42"/>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7"/>
      <c r="B787" s="38"/>
      <c r="C787" s="38"/>
      <c r="D787" s="39"/>
      <c r="E787" s="39"/>
      <c r="F787" s="40"/>
      <c r="G787" s="39"/>
      <c r="H787" s="41"/>
      <c r="I787" s="41"/>
      <c r="J787" s="42"/>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33"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7"/>
      <c r="B788" s="38"/>
      <c r="C788" s="38"/>
      <c r="D788" s="39"/>
      <c r="E788" s="39"/>
      <c r="F788" s="40"/>
      <c r="G788" s="39"/>
      <c r="H788" s="41"/>
      <c r="I788" s="41"/>
      <c r="J788" s="42"/>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7"/>
      <c r="B789" s="38"/>
      <c r="C789" s="38"/>
      <c r="D789" s="39"/>
      <c r="E789" s="39"/>
      <c r="F789" s="40"/>
      <c r="G789" s="39"/>
      <c r="H789" s="41"/>
      <c r="I789" s="41"/>
      <c r="J789" s="42"/>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33"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7"/>
      <c r="B790" s="38"/>
      <c r="C790" s="38"/>
      <c r="D790" s="39"/>
      <c r="E790" s="39"/>
      <c r="F790" s="40"/>
      <c r="G790" s="39"/>
      <c r="H790" s="41"/>
      <c r="I790" s="41"/>
      <c r="J790" s="42"/>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7"/>
      <c r="B791" s="38"/>
      <c r="C791" s="38"/>
      <c r="D791" s="39"/>
      <c r="E791" s="39"/>
      <c r="F791" s="40"/>
      <c r="G791" s="39"/>
      <c r="H791" s="41"/>
      <c r="I791" s="41"/>
      <c r="J791" s="42"/>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33"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7"/>
      <c r="B792" s="38"/>
      <c r="C792" s="38"/>
      <c r="D792" s="39"/>
      <c r="E792" s="39"/>
      <c r="F792" s="40"/>
      <c r="G792" s="39"/>
      <c r="H792" s="41"/>
      <c r="I792" s="41"/>
      <c r="J792" s="42"/>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7"/>
      <c r="B793" s="38"/>
      <c r="C793" s="38"/>
      <c r="D793" s="39"/>
      <c r="E793" s="39"/>
      <c r="F793" s="40"/>
      <c r="G793" s="39"/>
      <c r="H793" s="41"/>
      <c r="I793" s="41"/>
      <c r="J793" s="42"/>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33"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7"/>
      <c r="B794" s="38"/>
      <c r="C794" s="38"/>
      <c r="D794" s="39"/>
      <c r="E794" s="39"/>
      <c r="F794" s="40"/>
      <c r="G794" s="39"/>
      <c r="H794" s="41"/>
      <c r="I794" s="41"/>
      <c r="J794" s="42"/>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7"/>
      <c r="B795" s="38"/>
      <c r="C795" s="38"/>
      <c r="D795" s="39"/>
      <c r="E795" s="39"/>
      <c r="F795" s="40"/>
      <c r="G795" s="39"/>
      <c r="H795" s="41"/>
      <c r="I795" s="41"/>
      <c r="J795" s="42"/>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33"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7"/>
      <c r="B796" s="38"/>
      <c r="C796" s="38"/>
      <c r="D796" s="39"/>
      <c r="E796" s="39"/>
      <c r="F796" s="40"/>
      <c r="G796" s="39"/>
      <c r="H796" s="41"/>
      <c r="I796" s="41"/>
      <c r="J796" s="42"/>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7"/>
      <c r="B797" s="38"/>
      <c r="C797" s="38"/>
      <c r="D797" s="39"/>
      <c r="E797" s="39"/>
      <c r="F797" s="40"/>
      <c r="G797" s="39"/>
      <c r="H797" s="41"/>
      <c r="I797" s="41"/>
      <c r="J797" s="42"/>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33"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7"/>
      <c r="B798" s="38"/>
      <c r="C798" s="38"/>
      <c r="D798" s="39"/>
      <c r="E798" s="39"/>
      <c r="F798" s="40"/>
      <c r="G798" s="39"/>
      <c r="H798" s="41"/>
      <c r="I798" s="41"/>
      <c r="J798" s="42"/>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7"/>
      <c r="B799" s="38"/>
      <c r="C799" s="38"/>
      <c r="D799" s="39"/>
      <c r="E799" s="39"/>
      <c r="F799" s="40"/>
      <c r="G799" s="39"/>
      <c r="H799" s="41"/>
      <c r="I799" s="41"/>
      <c r="J799" s="42"/>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33"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7"/>
      <c r="B800" s="38"/>
      <c r="C800" s="38"/>
      <c r="D800" s="39"/>
      <c r="E800" s="39"/>
      <c r="F800" s="40"/>
      <c r="G800" s="39"/>
      <c r="H800" s="41"/>
      <c r="I800" s="41"/>
      <c r="J800" s="42"/>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7"/>
      <c r="B801" s="38"/>
      <c r="C801" s="38"/>
      <c r="D801" s="39"/>
      <c r="E801" s="39"/>
      <c r="F801" s="40"/>
      <c r="G801" s="39"/>
      <c r="H801" s="41"/>
      <c r="I801" s="41"/>
      <c r="J801" s="42"/>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33"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7"/>
      <c r="B802" s="38"/>
      <c r="C802" s="38"/>
      <c r="D802" s="39"/>
      <c r="E802" s="39"/>
      <c r="F802" s="40"/>
      <c r="G802" s="39"/>
      <c r="H802" s="41"/>
      <c r="I802" s="41"/>
      <c r="J802" s="42"/>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7"/>
      <c r="B803" s="38"/>
      <c r="C803" s="38"/>
      <c r="D803" s="39"/>
      <c r="E803" s="39"/>
      <c r="F803" s="40"/>
      <c r="G803" s="39"/>
      <c r="H803" s="41"/>
      <c r="I803" s="41"/>
      <c r="J803" s="42"/>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33"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7"/>
      <c r="B804" s="38"/>
      <c r="C804" s="38"/>
      <c r="D804" s="39"/>
      <c r="E804" s="39"/>
      <c r="F804" s="40"/>
      <c r="G804" s="39"/>
      <c r="H804" s="41"/>
      <c r="I804" s="41"/>
      <c r="J804" s="42"/>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7"/>
      <c r="B805" s="38"/>
      <c r="C805" s="38"/>
      <c r="D805" s="39"/>
      <c r="E805" s="39"/>
      <c r="F805" s="40"/>
      <c r="G805" s="39"/>
      <c r="H805" s="41"/>
      <c r="I805" s="41"/>
      <c r="J805" s="42"/>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33"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7"/>
      <c r="B806" s="38"/>
      <c r="C806" s="38"/>
      <c r="D806" s="39"/>
      <c r="E806" s="39"/>
      <c r="F806" s="40"/>
      <c r="G806" s="39"/>
      <c r="H806" s="41"/>
      <c r="I806" s="41"/>
      <c r="J806" s="42"/>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7"/>
      <c r="B807" s="38"/>
      <c r="C807" s="38"/>
      <c r="D807" s="39"/>
      <c r="E807" s="39"/>
      <c r="F807" s="40"/>
      <c r="G807" s="39"/>
      <c r="H807" s="41"/>
      <c r="I807" s="41"/>
      <c r="J807" s="42"/>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33"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7"/>
      <c r="B808" s="38"/>
      <c r="C808" s="38"/>
      <c r="D808" s="39"/>
      <c r="E808" s="39"/>
      <c r="F808" s="40"/>
      <c r="G808" s="39"/>
      <c r="H808" s="41"/>
      <c r="I808" s="41"/>
      <c r="J808" s="42"/>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7"/>
      <c r="B809" s="38"/>
      <c r="C809" s="38"/>
      <c r="D809" s="39"/>
      <c r="E809" s="39"/>
      <c r="F809" s="40"/>
      <c r="G809" s="39"/>
      <c r="H809" s="41"/>
      <c r="I809" s="41"/>
      <c r="J809" s="42"/>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33"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7"/>
      <c r="B810" s="38"/>
      <c r="C810" s="38"/>
      <c r="D810" s="39"/>
      <c r="E810" s="39"/>
      <c r="F810" s="40"/>
      <c r="G810" s="39"/>
      <c r="H810" s="41"/>
      <c r="I810" s="41"/>
      <c r="J810" s="42"/>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7"/>
      <c r="B811" s="38"/>
      <c r="C811" s="38"/>
      <c r="D811" s="39"/>
      <c r="E811" s="39"/>
      <c r="F811" s="40"/>
      <c r="G811" s="39"/>
      <c r="H811" s="41"/>
      <c r="I811" s="41"/>
      <c r="J811" s="42"/>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33"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7"/>
      <c r="B812" s="38"/>
      <c r="C812" s="38"/>
      <c r="D812" s="39"/>
      <c r="E812" s="39"/>
      <c r="F812" s="40"/>
      <c r="G812" s="39"/>
      <c r="H812" s="41"/>
      <c r="I812" s="41"/>
      <c r="J812" s="42"/>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7"/>
      <c r="B813" s="38"/>
      <c r="C813" s="38"/>
      <c r="D813" s="39"/>
      <c r="E813" s="39"/>
      <c r="F813" s="40"/>
      <c r="G813" s="39"/>
      <c r="H813" s="41"/>
      <c r="I813" s="41"/>
      <c r="J813" s="42"/>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33"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7"/>
      <c r="B814" s="38"/>
      <c r="C814" s="38"/>
      <c r="D814" s="39"/>
      <c r="E814" s="39"/>
      <c r="F814" s="40"/>
      <c r="G814" s="39"/>
      <c r="H814" s="41"/>
      <c r="I814" s="41"/>
      <c r="J814" s="42"/>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7"/>
      <c r="B815" s="38"/>
      <c r="C815" s="38"/>
      <c r="D815" s="39"/>
      <c r="E815" s="39"/>
      <c r="F815" s="40"/>
      <c r="G815" s="39"/>
      <c r="H815" s="41"/>
      <c r="I815" s="41"/>
      <c r="J815" s="42"/>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33"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7"/>
      <c r="B816" s="38"/>
      <c r="C816" s="38"/>
      <c r="D816" s="39"/>
      <c r="E816" s="39"/>
      <c r="F816" s="40"/>
      <c r="G816" s="39"/>
      <c r="H816" s="41"/>
      <c r="I816" s="41"/>
      <c r="J816" s="42"/>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7"/>
      <c r="B817" s="38"/>
      <c r="C817" s="38"/>
      <c r="D817" s="39"/>
      <c r="E817" s="39"/>
      <c r="F817" s="40"/>
      <c r="G817" s="39"/>
      <c r="H817" s="41"/>
      <c r="I817" s="41"/>
      <c r="J817" s="42"/>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33"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7"/>
      <c r="B818" s="38"/>
      <c r="C818" s="38"/>
      <c r="D818" s="39"/>
      <c r="E818" s="39"/>
      <c r="F818" s="40"/>
      <c r="G818" s="39"/>
      <c r="H818" s="41"/>
      <c r="I818" s="41"/>
      <c r="J818" s="42"/>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7"/>
      <c r="B819" s="38"/>
      <c r="C819" s="38"/>
      <c r="D819" s="39"/>
      <c r="E819" s="39"/>
      <c r="F819" s="40"/>
      <c r="G819" s="39"/>
      <c r="H819" s="41"/>
      <c r="I819" s="41"/>
      <c r="J819" s="42"/>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33"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7"/>
      <c r="B820" s="38"/>
      <c r="C820" s="38"/>
      <c r="D820" s="39"/>
      <c r="E820" s="39"/>
      <c r="F820" s="40"/>
      <c r="G820" s="39"/>
      <c r="H820" s="41"/>
      <c r="I820" s="41"/>
      <c r="J820" s="42"/>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7"/>
      <c r="B821" s="38"/>
      <c r="C821" s="38"/>
      <c r="D821" s="39"/>
      <c r="E821" s="39"/>
      <c r="F821" s="40"/>
      <c r="G821" s="39"/>
      <c r="H821" s="41"/>
      <c r="I821" s="41"/>
      <c r="J821" s="42"/>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33"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7"/>
      <c r="B822" s="38"/>
      <c r="C822" s="38"/>
      <c r="D822" s="39"/>
      <c r="E822" s="39"/>
      <c r="F822" s="40"/>
      <c r="G822" s="39"/>
      <c r="H822" s="41"/>
      <c r="I822" s="41"/>
      <c r="J822" s="42"/>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7"/>
      <c r="B823" s="38"/>
      <c r="C823" s="38"/>
      <c r="D823" s="39"/>
      <c r="E823" s="39"/>
      <c r="F823" s="40"/>
      <c r="G823" s="39"/>
      <c r="H823" s="41"/>
      <c r="I823" s="41"/>
      <c r="J823" s="42"/>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33"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7"/>
      <c r="B824" s="38"/>
      <c r="C824" s="38"/>
      <c r="D824" s="39"/>
      <c r="E824" s="39"/>
      <c r="F824" s="40"/>
      <c r="G824" s="39"/>
      <c r="H824" s="41"/>
      <c r="I824" s="41"/>
      <c r="J824" s="42"/>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7"/>
      <c r="B825" s="38"/>
      <c r="C825" s="38"/>
      <c r="D825" s="39"/>
      <c r="E825" s="39"/>
      <c r="F825" s="40"/>
      <c r="G825" s="39"/>
      <c r="H825" s="41"/>
      <c r="I825" s="41"/>
      <c r="J825" s="42"/>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33"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7"/>
      <c r="B826" s="38"/>
      <c r="C826" s="38"/>
      <c r="D826" s="39"/>
      <c r="E826" s="39"/>
      <c r="F826" s="40"/>
      <c r="G826" s="39"/>
      <c r="H826" s="41"/>
      <c r="I826" s="41"/>
      <c r="J826" s="42"/>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7"/>
      <c r="B827" s="38"/>
      <c r="C827" s="38"/>
      <c r="D827" s="39"/>
      <c r="E827" s="39"/>
      <c r="F827" s="40"/>
      <c r="G827" s="39"/>
      <c r="H827" s="41"/>
      <c r="I827" s="41"/>
      <c r="J827" s="42"/>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33"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7"/>
      <c r="B828" s="38"/>
      <c r="C828" s="38"/>
      <c r="D828" s="39"/>
      <c r="E828" s="39"/>
      <c r="F828" s="40"/>
      <c r="G828" s="39"/>
      <c r="H828" s="41"/>
      <c r="I828" s="41"/>
      <c r="J828" s="42"/>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7"/>
      <c r="B829" s="38"/>
      <c r="C829" s="38"/>
      <c r="D829" s="39"/>
      <c r="E829" s="39"/>
      <c r="F829" s="40"/>
      <c r="G829" s="39"/>
      <c r="H829" s="41"/>
      <c r="I829" s="41"/>
      <c r="J829" s="42"/>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33"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7"/>
      <c r="B830" s="38"/>
      <c r="C830" s="38"/>
      <c r="D830" s="39"/>
      <c r="E830" s="39"/>
      <c r="F830" s="40"/>
      <c r="G830" s="39"/>
      <c r="H830" s="41"/>
      <c r="I830" s="41"/>
      <c r="J830" s="42"/>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7"/>
      <c r="B831" s="38"/>
      <c r="C831" s="38"/>
      <c r="D831" s="39"/>
      <c r="E831" s="39"/>
      <c r="F831" s="40"/>
      <c r="G831" s="39"/>
      <c r="H831" s="41"/>
      <c r="I831" s="41"/>
      <c r="J831" s="42"/>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33"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7"/>
      <c r="B832" s="38"/>
      <c r="C832" s="38"/>
      <c r="D832" s="39"/>
      <c r="E832" s="39"/>
      <c r="F832" s="40"/>
      <c r="G832" s="39"/>
      <c r="H832" s="41"/>
      <c r="I832" s="41"/>
      <c r="J832" s="42"/>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7"/>
      <c r="B833" s="38"/>
      <c r="C833" s="38"/>
      <c r="D833" s="39"/>
      <c r="E833" s="39"/>
      <c r="F833" s="40"/>
      <c r="G833" s="39"/>
      <c r="H833" s="41"/>
      <c r="I833" s="41"/>
      <c r="J833" s="42"/>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33"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7"/>
      <c r="B834" s="38"/>
      <c r="C834" s="38"/>
      <c r="D834" s="39"/>
      <c r="E834" s="39"/>
      <c r="F834" s="40"/>
      <c r="G834" s="39"/>
      <c r="H834" s="41"/>
      <c r="I834" s="41"/>
      <c r="J834" s="42"/>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7"/>
      <c r="B835" s="38"/>
      <c r="C835" s="38"/>
      <c r="D835" s="39"/>
      <c r="E835" s="39"/>
      <c r="F835" s="40"/>
      <c r="G835" s="39"/>
      <c r="H835" s="41"/>
      <c r="I835" s="41"/>
      <c r="J835" s="42"/>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33"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7"/>
      <c r="B836" s="38"/>
      <c r="C836" s="38"/>
      <c r="D836" s="39"/>
      <c r="E836" s="39"/>
      <c r="F836" s="40"/>
      <c r="G836" s="39"/>
      <c r="H836" s="41"/>
      <c r="I836" s="41"/>
      <c r="J836" s="42"/>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7"/>
      <c r="B837" s="38"/>
      <c r="C837" s="38"/>
      <c r="D837" s="39"/>
      <c r="E837" s="39"/>
      <c r="F837" s="40"/>
      <c r="G837" s="39"/>
      <c r="H837" s="41"/>
      <c r="I837" s="41"/>
      <c r="J837" s="42"/>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33"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7"/>
      <c r="B838" s="38"/>
      <c r="C838" s="38"/>
      <c r="D838" s="39"/>
      <c r="E838" s="39"/>
      <c r="F838" s="40"/>
      <c r="G838" s="39"/>
      <c r="H838" s="41"/>
      <c r="I838" s="41"/>
      <c r="J838" s="42"/>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7"/>
      <c r="B839" s="38"/>
      <c r="C839" s="38"/>
      <c r="D839" s="39"/>
      <c r="E839" s="39"/>
      <c r="F839" s="40"/>
      <c r="G839" s="39"/>
      <c r="H839" s="41"/>
      <c r="I839" s="41"/>
      <c r="J839" s="42"/>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33"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7"/>
      <c r="B840" s="38"/>
      <c r="C840" s="38"/>
      <c r="D840" s="39"/>
      <c r="E840" s="39"/>
      <c r="F840" s="40"/>
      <c r="G840" s="39"/>
      <c r="H840" s="41"/>
      <c r="I840" s="41"/>
      <c r="J840" s="42"/>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7"/>
      <c r="B841" s="38"/>
      <c r="C841" s="38"/>
      <c r="D841" s="39"/>
      <c r="E841" s="39"/>
      <c r="F841" s="40"/>
      <c r="G841" s="39"/>
      <c r="H841" s="41"/>
      <c r="I841" s="41"/>
      <c r="J841" s="42"/>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33"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7"/>
      <c r="B842" s="38"/>
      <c r="C842" s="38"/>
      <c r="D842" s="39"/>
      <c r="E842" s="39"/>
      <c r="F842" s="40"/>
      <c r="G842" s="39"/>
      <c r="H842" s="41"/>
      <c r="I842" s="41"/>
      <c r="J842" s="42"/>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7"/>
      <c r="B843" s="38"/>
      <c r="C843" s="38"/>
      <c r="D843" s="39"/>
      <c r="E843" s="39"/>
      <c r="F843" s="40"/>
      <c r="G843" s="39"/>
      <c r="H843" s="41"/>
      <c r="I843" s="41"/>
      <c r="J843" s="42"/>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33"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7"/>
      <c r="B844" s="38"/>
      <c r="C844" s="38"/>
      <c r="D844" s="39"/>
      <c r="E844" s="39"/>
      <c r="F844" s="40"/>
      <c r="G844" s="39"/>
      <c r="H844" s="41"/>
      <c r="I844" s="41"/>
      <c r="J844" s="42"/>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7"/>
      <c r="B845" s="38"/>
      <c r="C845" s="38"/>
      <c r="D845" s="39"/>
      <c r="E845" s="39"/>
      <c r="F845" s="40"/>
      <c r="G845" s="39"/>
      <c r="H845" s="41"/>
      <c r="I845" s="41"/>
      <c r="J845" s="42"/>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33"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7"/>
      <c r="B846" s="38"/>
      <c r="C846" s="38"/>
      <c r="D846" s="39"/>
      <c r="E846" s="39"/>
      <c r="F846" s="40"/>
      <c r="G846" s="39"/>
      <c r="H846" s="41"/>
      <c r="I846" s="41"/>
      <c r="J846" s="42"/>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7"/>
      <c r="B847" s="38"/>
      <c r="C847" s="38"/>
      <c r="D847" s="39"/>
      <c r="E847" s="39"/>
      <c r="F847" s="40"/>
      <c r="G847" s="39"/>
      <c r="H847" s="41"/>
      <c r="I847" s="41"/>
      <c r="J847" s="42"/>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33"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7"/>
      <c r="B848" s="38"/>
      <c r="C848" s="38"/>
      <c r="D848" s="39"/>
      <c r="E848" s="39"/>
      <c r="F848" s="40"/>
      <c r="G848" s="39"/>
      <c r="H848" s="41"/>
      <c r="I848" s="41"/>
      <c r="J848" s="42"/>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7"/>
      <c r="B849" s="38"/>
      <c r="C849" s="38"/>
      <c r="D849" s="39"/>
      <c r="E849" s="39"/>
      <c r="F849" s="40"/>
      <c r="G849" s="39"/>
      <c r="H849" s="41"/>
      <c r="I849" s="41"/>
      <c r="J849" s="42"/>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33"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7"/>
      <c r="B850" s="38"/>
      <c r="C850" s="38"/>
      <c r="D850" s="39"/>
      <c r="E850" s="39"/>
      <c r="F850" s="40"/>
      <c r="G850" s="39"/>
      <c r="H850" s="41"/>
      <c r="I850" s="41"/>
      <c r="J850" s="42"/>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7"/>
      <c r="B851" s="38"/>
      <c r="C851" s="38"/>
      <c r="D851" s="39"/>
      <c r="E851" s="39"/>
      <c r="F851" s="40"/>
      <c r="G851" s="39"/>
      <c r="H851" s="41"/>
      <c r="I851" s="41"/>
      <c r="J851" s="42"/>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33"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7"/>
      <c r="B852" s="38"/>
      <c r="C852" s="38"/>
      <c r="D852" s="39"/>
      <c r="E852" s="39"/>
      <c r="F852" s="40"/>
      <c r="G852" s="39"/>
      <c r="H852" s="41"/>
      <c r="I852" s="41"/>
      <c r="J852" s="42"/>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7"/>
      <c r="B853" s="38"/>
      <c r="C853" s="38"/>
      <c r="D853" s="39"/>
      <c r="E853" s="39"/>
      <c r="F853" s="40"/>
      <c r="G853" s="39"/>
      <c r="H853" s="41"/>
      <c r="I853" s="41"/>
      <c r="J853" s="42"/>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33"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7"/>
      <c r="B854" s="38"/>
      <c r="C854" s="38"/>
      <c r="D854" s="39"/>
      <c r="E854" s="39"/>
      <c r="F854" s="40"/>
      <c r="G854" s="39"/>
      <c r="H854" s="41"/>
      <c r="I854" s="41"/>
      <c r="J854" s="42"/>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7"/>
      <c r="B855" s="38"/>
      <c r="C855" s="38"/>
      <c r="D855" s="39"/>
      <c r="E855" s="39"/>
      <c r="F855" s="40"/>
      <c r="G855" s="39"/>
      <c r="H855" s="41"/>
      <c r="I855" s="41"/>
      <c r="J855" s="42"/>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33"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7"/>
      <c r="B856" s="38"/>
      <c r="C856" s="38"/>
      <c r="D856" s="39"/>
      <c r="E856" s="39"/>
      <c r="F856" s="40"/>
      <c r="G856" s="39"/>
      <c r="H856" s="41"/>
      <c r="I856" s="41"/>
      <c r="J856" s="42"/>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7"/>
      <c r="B857" s="38"/>
      <c r="C857" s="38"/>
      <c r="D857" s="39"/>
      <c r="E857" s="39"/>
      <c r="F857" s="40"/>
      <c r="G857" s="39"/>
      <c r="H857" s="41"/>
      <c r="I857" s="41"/>
      <c r="J857" s="42"/>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33"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7"/>
      <c r="B858" s="38"/>
      <c r="C858" s="38"/>
      <c r="D858" s="39"/>
      <c r="E858" s="39"/>
      <c r="F858" s="40"/>
      <c r="G858" s="39"/>
      <c r="H858" s="41"/>
      <c r="I858" s="41"/>
      <c r="J858" s="42"/>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7"/>
      <c r="B859" s="38"/>
      <c r="C859" s="38"/>
      <c r="D859" s="39"/>
      <c r="E859" s="39"/>
      <c r="F859" s="40"/>
      <c r="G859" s="39"/>
      <c r="H859" s="41"/>
      <c r="I859" s="41"/>
      <c r="J859" s="42"/>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33"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7"/>
      <c r="B860" s="38"/>
      <c r="C860" s="38"/>
      <c r="D860" s="39"/>
      <c r="E860" s="39"/>
      <c r="F860" s="40"/>
      <c r="G860" s="39"/>
      <c r="H860" s="41"/>
      <c r="I860" s="41"/>
      <c r="J860" s="42"/>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7"/>
      <c r="B861" s="38"/>
      <c r="C861" s="38"/>
      <c r="D861" s="39"/>
      <c r="E861" s="39"/>
      <c r="F861" s="40"/>
      <c r="G861" s="39"/>
      <c r="H861" s="41"/>
      <c r="I861" s="41"/>
      <c r="J861" s="42"/>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33"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7"/>
      <c r="B862" s="38"/>
      <c r="C862" s="38"/>
      <c r="D862" s="39"/>
      <c r="E862" s="39"/>
      <c r="F862" s="40"/>
      <c r="G862" s="39"/>
      <c r="H862" s="41"/>
      <c r="I862" s="41"/>
      <c r="J862" s="42"/>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7"/>
      <c r="B863" s="38"/>
      <c r="C863" s="38"/>
      <c r="D863" s="39"/>
      <c r="E863" s="39"/>
      <c r="F863" s="40"/>
      <c r="G863" s="39"/>
      <c r="H863" s="41"/>
      <c r="I863" s="41"/>
      <c r="J863" s="42"/>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33"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7"/>
      <c r="B864" s="38"/>
      <c r="C864" s="38"/>
      <c r="D864" s="39"/>
      <c r="E864" s="39"/>
      <c r="F864" s="40"/>
      <c r="G864" s="39"/>
      <c r="H864" s="41"/>
      <c r="I864" s="41"/>
      <c r="J864" s="42"/>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7"/>
      <c r="B865" s="38"/>
      <c r="C865" s="38"/>
      <c r="D865" s="39"/>
      <c r="E865" s="39"/>
      <c r="F865" s="40"/>
      <c r="G865" s="39"/>
      <c r="H865" s="41"/>
      <c r="I865" s="41"/>
      <c r="J865" s="42"/>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33"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7"/>
      <c r="B866" s="38"/>
      <c r="C866" s="38"/>
      <c r="D866" s="39"/>
      <c r="E866" s="39"/>
      <c r="F866" s="40"/>
      <c r="G866" s="39"/>
      <c r="H866" s="41"/>
      <c r="I866" s="41"/>
      <c r="J866" s="42"/>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7"/>
      <c r="B867" s="38"/>
      <c r="C867" s="38"/>
      <c r="D867" s="39"/>
      <c r="E867" s="39"/>
      <c r="F867" s="40"/>
      <c r="G867" s="39"/>
      <c r="H867" s="41"/>
      <c r="I867" s="41"/>
      <c r="J867" s="42"/>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33"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7"/>
      <c r="B868" s="38"/>
      <c r="C868" s="38"/>
      <c r="D868" s="39"/>
      <c r="E868" s="39"/>
      <c r="F868" s="40"/>
      <c r="G868" s="39"/>
      <c r="H868" s="41"/>
      <c r="I868" s="41"/>
      <c r="J868" s="42"/>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7"/>
      <c r="B869" s="38"/>
      <c r="C869" s="38"/>
      <c r="D869" s="39"/>
      <c r="E869" s="39"/>
      <c r="F869" s="40"/>
      <c r="G869" s="39"/>
      <c r="H869" s="41"/>
      <c r="I869" s="41"/>
      <c r="J869" s="42"/>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33"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7"/>
      <c r="B870" s="38"/>
      <c r="C870" s="38"/>
      <c r="D870" s="39"/>
      <c r="E870" s="39"/>
      <c r="F870" s="40"/>
      <c r="G870" s="39"/>
      <c r="H870" s="41"/>
      <c r="I870" s="41"/>
      <c r="J870" s="42"/>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7"/>
      <c r="B871" s="38"/>
      <c r="C871" s="38"/>
      <c r="D871" s="39"/>
      <c r="E871" s="39"/>
      <c r="F871" s="40"/>
      <c r="G871" s="39"/>
      <c r="H871" s="41"/>
      <c r="I871" s="41"/>
      <c r="J871" s="42"/>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33"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7"/>
      <c r="B872" s="38"/>
      <c r="C872" s="38"/>
      <c r="D872" s="39"/>
      <c r="E872" s="39"/>
      <c r="F872" s="40"/>
      <c r="G872" s="39"/>
      <c r="H872" s="41"/>
      <c r="I872" s="41"/>
      <c r="J872" s="42"/>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7"/>
      <c r="B873" s="38"/>
      <c r="C873" s="38"/>
      <c r="D873" s="39"/>
      <c r="E873" s="39"/>
      <c r="F873" s="40"/>
      <c r="G873" s="39"/>
      <c r="H873" s="41"/>
      <c r="I873" s="41"/>
      <c r="J873" s="42"/>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33"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7"/>
      <c r="B874" s="38"/>
      <c r="C874" s="38"/>
      <c r="D874" s="39"/>
      <c r="E874" s="39"/>
      <c r="F874" s="40"/>
      <c r="G874" s="39"/>
      <c r="H874" s="41"/>
      <c r="I874" s="41"/>
      <c r="J874" s="42"/>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7"/>
      <c r="B875" s="38"/>
      <c r="C875" s="38"/>
      <c r="D875" s="39"/>
      <c r="E875" s="39"/>
      <c r="F875" s="40"/>
      <c r="G875" s="39"/>
      <c r="H875" s="41"/>
      <c r="I875" s="41"/>
      <c r="J875" s="42"/>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33"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7"/>
      <c r="B876" s="38"/>
      <c r="C876" s="38"/>
      <c r="D876" s="39"/>
      <c r="E876" s="39"/>
      <c r="F876" s="40"/>
      <c r="G876" s="39"/>
      <c r="H876" s="41"/>
      <c r="I876" s="41"/>
      <c r="J876" s="42"/>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7"/>
      <c r="B877" s="38"/>
      <c r="C877" s="38"/>
      <c r="D877" s="39"/>
      <c r="E877" s="39"/>
      <c r="F877" s="40"/>
      <c r="G877" s="39"/>
      <c r="H877" s="41"/>
      <c r="I877" s="41"/>
      <c r="J877" s="42"/>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33"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7"/>
      <c r="B878" s="38"/>
      <c r="C878" s="38"/>
      <c r="D878" s="39"/>
      <c r="E878" s="39"/>
      <c r="F878" s="40"/>
      <c r="G878" s="39"/>
      <c r="H878" s="41"/>
      <c r="I878" s="41"/>
      <c r="J878" s="42"/>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7"/>
      <c r="B879" s="38"/>
      <c r="C879" s="38"/>
      <c r="D879" s="39"/>
      <c r="E879" s="39"/>
      <c r="F879" s="40"/>
      <c r="G879" s="39"/>
      <c r="H879" s="41"/>
      <c r="I879" s="41"/>
      <c r="J879" s="42"/>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33"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7"/>
      <c r="B880" s="38"/>
      <c r="C880" s="38"/>
      <c r="D880" s="39"/>
      <c r="E880" s="39"/>
      <c r="F880" s="40"/>
      <c r="G880" s="39"/>
      <c r="H880" s="41"/>
      <c r="I880" s="41"/>
      <c r="J880" s="42"/>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7"/>
      <c r="B881" s="38"/>
      <c r="C881" s="38"/>
      <c r="D881" s="39"/>
      <c r="E881" s="39"/>
      <c r="F881" s="40"/>
      <c r="G881" s="39"/>
      <c r="H881" s="41"/>
      <c r="I881" s="41"/>
      <c r="J881" s="42"/>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33"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7"/>
      <c r="B882" s="38"/>
      <c r="C882" s="38"/>
      <c r="D882" s="39"/>
      <c r="E882" s="39"/>
      <c r="F882" s="40"/>
      <c r="G882" s="39"/>
      <c r="H882" s="41"/>
      <c r="I882" s="41"/>
      <c r="J882" s="42"/>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7"/>
      <c r="B883" s="38"/>
      <c r="C883" s="38"/>
      <c r="D883" s="39"/>
      <c r="E883" s="39"/>
      <c r="F883" s="40"/>
      <c r="G883" s="39"/>
      <c r="H883" s="41"/>
      <c r="I883" s="41"/>
      <c r="J883" s="42"/>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33"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7"/>
      <c r="B884" s="38"/>
      <c r="C884" s="38"/>
      <c r="D884" s="39"/>
      <c r="E884" s="39"/>
      <c r="F884" s="40"/>
      <c r="G884" s="39"/>
      <c r="H884" s="41"/>
      <c r="I884" s="41"/>
      <c r="J884" s="42"/>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7"/>
      <c r="B885" s="38"/>
      <c r="C885" s="38"/>
      <c r="D885" s="39"/>
      <c r="E885" s="39"/>
      <c r="F885" s="40"/>
      <c r="G885" s="39"/>
      <c r="H885" s="41"/>
      <c r="I885" s="41"/>
      <c r="J885" s="42"/>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33"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7"/>
      <c r="B886" s="38"/>
      <c r="C886" s="38"/>
      <c r="D886" s="39"/>
      <c r="E886" s="39"/>
      <c r="F886" s="40"/>
      <c r="G886" s="39"/>
      <c r="H886" s="41"/>
      <c r="I886" s="41"/>
      <c r="J886" s="42"/>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7"/>
      <c r="B887" s="38"/>
      <c r="C887" s="38"/>
      <c r="D887" s="39"/>
      <c r="E887" s="39"/>
      <c r="F887" s="40"/>
      <c r="G887" s="39"/>
      <c r="H887" s="41"/>
      <c r="I887" s="41"/>
      <c r="J887" s="42"/>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33"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7"/>
      <c r="B888" s="38"/>
      <c r="C888" s="38"/>
      <c r="D888" s="39"/>
      <c r="E888" s="39"/>
      <c r="F888" s="40"/>
      <c r="G888" s="39"/>
      <c r="H888" s="41"/>
      <c r="I888" s="41"/>
      <c r="J888" s="42"/>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7"/>
      <c r="B889" s="38"/>
      <c r="C889" s="38"/>
      <c r="D889" s="39"/>
      <c r="E889" s="39"/>
      <c r="F889" s="40"/>
      <c r="G889" s="39"/>
      <c r="H889" s="41"/>
      <c r="I889" s="41"/>
      <c r="J889" s="42"/>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33"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7"/>
      <c r="B890" s="38"/>
      <c r="C890" s="38"/>
      <c r="D890" s="39"/>
      <c r="E890" s="39"/>
      <c r="F890" s="40"/>
      <c r="G890" s="39"/>
      <c r="H890" s="41"/>
      <c r="I890" s="41"/>
      <c r="J890" s="42"/>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7"/>
      <c r="B891" s="38"/>
      <c r="C891" s="38"/>
      <c r="D891" s="39"/>
      <c r="E891" s="39"/>
      <c r="F891" s="40"/>
      <c r="G891" s="39"/>
      <c r="H891" s="41"/>
      <c r="I891" s="41"/>
      <c r="J891" s="42"/>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33"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7"/>
      <c r="B892" s="38"/>
      <c r="C892" s="38"/>
      <c r="D892" s="39"/>
      <c r="E892" s="39"/>
      <c r="F892" s="40"/>
      <c r="G892" s="39"/>
      <c r="H892" s="41"/>
      <c r="I892" s="41"/>
      <c r="J892" s="42"/>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7"/>
      <c r="B893" s="38"/>
      <c r="C893" s="38"/>
      <c r="D893" s="39"/>
      <c r="E893" s="39"/>
      <c r="F893" s="40"/>
      <c r="G893" s="39"/>
      <c r="H893" s="41"/>
      <c r="I893" s="41"/>
      <c r="J893" s="42"/>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33"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7"/>
      <c r="B894" s="38"/>
      <c r="C894" s="38"/>
      <c r="D894" s="39"/>
      <c r="E894" s="39"/>
      <c r="F894" s="40"/>
      <c r="G894" s="39"/>
      <c r="H894" s="41"/>
      <c r="I894" s="41"/>
      <c r="J894" s="42"/>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7"/>
      <c r="B895" s="38"/>
      <c r="C895" s="38"/>
      <c r="D895" s="39"/>
      <c r="E895" s="39"/>
      <c r="F895" s="40"/>
      <c r="G895" s="39"/>
      <c r="H895" s="41"/>
      <c r="I895" s="41"/>
      <c r="J895" s="42"/>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33"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7"/>
      <c r="B896" s="38"/>
      <c r="C896" s="38"/>
      <c r="D896" s="39"/>
      <c r="E896" s="39"/>
      <c r="F896" s="40"/>
      <c r="G896" s="39"/>
      <c r="H896" s="41"/>
      <c r="I896" s="41"/>
      <c r="J896" s="42"/>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7"/>
      <c r="B897" s="38"/>
      <c r="C897" s="38"/>
      <c r="D897" s="39"/>
      <c r="E897" s="39"/>
      <c r="F897" s="40"/>
      <c r="G897" s="39"/>
      <c r="H897" s="41"/>
      <c r="I897" s="41"/>
      <c r="J897" s="42"/>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33"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7"/>
      <c r="B898" s="38"/>
      <c r="C898" s="38"/>
      <c r="D898" s="39"/>
      <c r="E898" s="39"/>
      <c r="F898" s="40"/>
      <c r="G898" s="39"/>
      <c r="H898" s="41"/>
      <c r="I898" s="41"/>
      <c r="J898" s="42"/>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7"/>
      <c r="B899" s="38"/>
      <c r="C899" s="38"/>
      <c r="D899" s="39"/>
      <c r="E899" s="39"/>
      <c r="F899" s="40"/>
      <c r="G899" s="39"/>
      <c r="H899" s="41"/>
      <c r="I899" s="41"/>
      <c r="J899" s="42"/>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33"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7"/>
      <c r="B900" s="38"/>
      <c r="C900" s="38"/>
      <c r="D900" s="39"/>
      <c r="E900" s="39"/>
      <c r="F900" s="40"/>
      <c r="G900" s="39"/>
      <c r="H900" s="41"/>
      <c r="I900" s="41"/>
      <c r="J900" s="42"/>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7"/>
      <c r="B901" s="38"/>
      <c r="C901" s="38"/>
      <c r="D901" s="39"/>
      <c r="E901" s="39"/>
      <c r="F901" s="40"/>
      <c r="G901" s="39"/>
      <c r="H901" s="41"/>
      <c r="I901" s="41"/>
      <c r="J901" s="42"/>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33"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7"/>
      <c r="B902" s="38"/>
      <c r="C902" s="38"/>
      <c r="D902" s="39"/>
      <c r="E902" s="39"/>
      <c r="F902" s="40"/>
      <c r="G902" s="39"/>
      <c r="H902" s="41"/>
      <c r="I902" s="41"/>
      <c r="J902" s="42"/>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7"/>
      <c r="B903" s="38"/>
      <c r="C903" s="38"/>
      <c r="D903" s="39"/>
      <c r="E903" s="39"/>
      <c r="F903" s="40"/>
      <c r="G903" s="39"/>
      <c r="H903" s="41"/>
      <c r="I903" s="41"/>
      <c r="J903" s="42"/>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33"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7"/>
      <c r="B904" s="38"/>
      <c r="C904" s="38"/>
      <c r="D904" s="39"/>
      <c r="E904" s="39"/>
      <c r="F904" s="40"/>
      <c r="G904" s="39"/>
      <c r="H904" s="41"/>
      <c r="I904" s="41"/>
      <c r="J904" s="42"/>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7"/>
      <c r="B905" s="38"/>
      <c r="C905" s="38"/>
      <c r="D905" s="39"/>
      <c r="E905" s="39"/>
      <c r="F905" s="40"/>
      <c r="G905" s="39"/>
      <c r="H905" s="41"/>
      <c r="I905" s="41"/>
      <c r="J905" s="42"/>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33"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7"/>
      <c r="B906" s="38"/>
      <c r="C906" s="38"/>
      <c r="D906" s="39"/>
      <c r="E906" s="39"/>
      <c r="F906" s="40"/>
      <c r="G906" s="39"/>
      <c r="H906" s="41"/>
      <c r="I906" s="41"/>
      <c r="J906" s="42"/>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7"/>
      <c r="B907" s="38"/>
      <c r="C907" s="38"/>
      <c r="D907" s="39"/>
      <c r="E907" s="39"/>
      <c r="F907" s="40"/>
      <c r="G907" s="39"/>
      <c r="H907" s="41"/>
      <c r="I907" s="41"/>
      <c r="J907" s="42"/>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33"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7"/>
      <c r="B908" s="38"/>
      <c r="C908" s="38"/>
      <c r="D908" s="39"/>
      <c r="E908" s="39"/>
      <c r="F908" s="40"/>
      <c r="G908" s="39"/>
      <c r="H908" s="41"/>
      <c r="I908" s="41"/>
      <c r="J908" s="42"/>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7"/>
      <c r="B909" s="38"/>
      <c r="C909" s="38"/>
      <c r="D909" s="39"/>
      <c r="E909" s="39"/>
      <c r="F909" s="40"/>
      <c r="G909" s="39"/>
      <c r="H909" s="41"/>
      <c r="I909" s="41"/>
      <c r="J909" s="42"/>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33"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7"/>
      <c r="B910" s="38"/>
      <c r="C910" s="38"/>
      <c r="D910" s="39"/>
      <c r="E910" s="39"/>
      <c r="F910" s="40"/>
      <c r="G910" s="39"/>
      <c r="H910" s="41"/>
      <c r="I910" s="41"/>
      <c r="J910" s="42"/>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7"/>
      <c r="B911" s="38"/>
      <c r="C911" s="38"/>
      <c r="D911" s="39"/>
      <c r="E911" s="39"/>
      <c r="F911" s="40"/>
      <c r="G911" s="39"/>
      <c r="H911" s="41"/>
      <c r="I911" s="41"/>
      <c r="J911" s="42"/>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33"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7"/>
      <c r="B912" s="38"/>
      <c r="C912" s="38"/>
      <c r="D912" s="39"/>
      <c r="E912" s="39"/>
      <c r="F912" s="40"/>
      <c r="G912" s="39"/>
      <c r="H912" s="41"/>
      <c r="I912" s="41"/>
      <c r="J912" s="42"/>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7"/>
      <c r="B913" s="38"/>
      <c r="C913" s="38"/>
      <c r="D913" s="39"/>
      <c r="E913" s="39"/>
      <c r="F913" s="40"/>
      <c r="G913" s="39"/>
      <c r="H913" s="41"/>
      <c r="I913" s="41"/>
      <c r="J913" s="42"/>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33"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7"/>
      <c r="B914" s="38"/>
      <c r="C914" s="38"/>
      <c r="D914" s="39"/>
      <c r="E914" s="39"/>
      <c r="F914" s="40"/>
      <c r="G914" s="39"/>
      <c r="H914" s="41"/>
      <c r="I914" s="41"/>
      <c r="J914" s="42"/>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7"/>
      <c r="B915" s="38"/>
      <c r="C915" s="38"/>
      <c r="D915" s="39"/>
      <c r="E915" s="39"/>
      <c r="F915" s="40"/>
      <c r="G915" s="39"/>
      <c r="H915" s="41"/>
      <c r="I915" s="41"/>
      <c r="J915" s="42"/>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33"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7"/>
      <c r="B916" s="38"/>
      <c r="C916" s="38"/>
      <c r="D916" s="39"/>
      <c r="E916" s="39"/>
      <c r="F916" s="40"/>
      <c r="G916" s="39"/>
      <c r="H916" s="41"/>
      <c r="I916" s="41"/>
      <c r="J916" s="42"/>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7"/>
      <c r="B917" s="38"/>
      <c r="C917" s="38"/>
      <c r="D917" s="39"/>
      <c r="E917" s="39"/>
      <c r="F917" s="40"/>
      <c r="G917" s="39"/>
      <c r="H917" s="41"/>
      <c r="I917" s="41"/>
      <c r="J917" s="42"/>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33"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7"/>
      <c r="B918" s="38"/>
      <c r="C918" s="38"/>
      <c r="D918" s="39"/>
      <c r="E918" s="39"/>
      <c r="F918" s="40"/>
      <c r="G918" s="39"/>
      <c r="H918" s="41"/>
      <c r="I918" s="41"/>
      <c r="J918" s="42"/>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7"/>
      <c r="B919" s="38"/>
      <c r="C919" s="38"/>
      <c r="D919" s="39"/>
      <c r="E919" s="39"/>
      <c r="F919" s="40"/>
      <c r="G919" s="39"/>
      <c r="H919" s="41"/>
      <c r="I919" s="41"/>
      <c r="J919" s="42"/>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33"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7"/>
      <c r="B920" s="38"/>
      <c r="C920" s="38"/>
      <c r="D920" s="39"/>
      <c r="E920" s="39"/>
      <c r="F920" s="40"/>
      <c r="G920" s="39"/>
      <c r="H920" s="41"/>
      <c r="I920" s="41"/>
      <c r="J920" s="42"/>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7"/>
      <c r="B921" s="38"/>
      <c r="C921" s="38"/>
      <c r="D921" s="39"/>
      <c r="E921" s="39"/>
      <c r="F921" s="40"/>
      <c r="G921" s="39"/>
      <c r="H921" s="41"/>
      <c r="I921" s="41"/>
      <c r="J921" s="42"/>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33"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7"/>
      <c r="B922" s="38"/>
      <c r="C922" s="38"/>
      <c r="D922" s="39"/>
      <c r="E922" s="39"/>
      <c r="F922" s="40"/>
      <c r="G922" s="39"/>
      <c r="H922" s="41"/>
      <c r="I922" s="41"/>
      <c r="J922" s="42"/>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7"/>
      <c r="B923" s="38"/>
      <c r="C923" s="38"/>
      <c r="D923" s="39"/>
      <c r="E923" s="39"/>
      <c r="F923" s="40"/>
      <c r="G923" s="39"/>
      <c r="H923" s="41"/>
      <c r="I923" s="41"/>
      <c r="J923" s="42"/>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33"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7"/>
      <c r="B924" s="38"/>
      <c r="C924" s="38"/>
      <c r="D924" s="39"/>
      <c r="E924" s="39"/>
      <c r="F924" s="40"/>
      <c r="G924" s="39"/>
      <c r="H924" s="41"/>
      <c r="I924" s="41"/>
      <c r="J924" s="42"/>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7"/>
      <c r="B925" s="38"/>
      <c r="C925" s="38"/>
      <c r="D925" s="39"/>
      <c r="E925" s="39"/>
      <c r="F925" s="40"/>
      <c r="G925" s="39"/>
      <c r="H925" s="41"/>
      <c r="I925" s="41"/>
      <c r="J925" s="42"/>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33"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7"/>
      <c r="B926" s="38"/>
      <c r="C926" s="38"/>
      <c r="D926" s="39"/>
      <c r="E926" s="39"/>
      <c r="F926" s="40"/>
      <c r="G926" s="39"/>
      <c r="H926" s="41"/>
      <c r="I926" s="41"/>
      <c r="J926" s="42"/>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7"/>
      <c r="B927" s="38"/>
      <c r="C927" s="38"/>
      <c r="D927" s="39"/>
      <c r="E927" s="39"/>
      <c r="F927" s="40"/>
      <c r="G927" s="39"/>
      <c r="H927" s="41"/>
      <c r="I927" s="41"/>
      <c r="J927" s="42"/>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33"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7"/>
      <c r="B928" s="38"/>
      <c r="C928" s="38"/>
      <c r="D928" s="39"/>
      <c r="E928" s="39"/>
      <c r="F928" s="40"/>
      <c r="G928" s="39"/>
      <c r="H928" s="41"/>
      <c r="I928" s="41"/>
      <c r="J928" s="42"/>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7"/>
      <c r="B929" s="38"/>
      <c r="C929" s="38"/>
      <c r="D929" s="39"/>
      <c r="E929" s="39"/>
      <c r="F929" s="40"/>
      <c r="G929" s="39"/>
      <c r="H929" s="41"/>
      <c r="I929" s="41"/>
      <c r="J929" s="42"/>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33"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7"/>
      <c r="B930" s="38"/>
      <c r="C930" s="38"/>
      <c r="D930" s="39"/>
      <c r="E930" s="39"/>
      <c r="F930" s="40"/>
      <c r="G930" s="39"/>
      <c r="H930" s="41"/>
      <c r="I930" s="41"/>
      <c r="J930" s="42"/>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7"/>
      <c r="B931" s="38"/>
      <c r="C931" s="38"/>
      <c r="D931" s="39"/>
      <c r="E931" s="39"/>
      <c r="F931" s="40"/>
      <c r="G931" s="39"/>
      <c r="H931" s="41"/>
      <c r="I931" s="41"/>
      <c r="J931" s="42"/>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33"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7"/>
      <c r="B932" s="38"/>
      <c r="C932" s="38"/>
      <c r="D932" s="39"/>
      <c r="E932" s="39"/>
      <c r="F932" s="40"/>
      <c r="G932" s="39"/>
      <c r="H932" s="41"/>
      <c r="I932" s="41"/>
      <c r="J932" s="42"/>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7"/>
      <c r="B933" s="38"/>
      <c r="C933" s="38"/>
      <c r="D933" s="39"/>
      <c r="E933" s="39"/>
      <c r="F933" s="40"/>
      <c r="G933" s="39"/>
      <c r="H933" s="41"/>
      <c r="I933" s="41"/>
      <c r="J933" s="42"/>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33"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7"/>
      <c r="B934" s="38"/>
      <c r="C934" s="38"/>
      <c r="D934" s="39"/>
      <c r="E934" s="39"/>
      <c r="F934" s="40"/>
      <c r="G934" s="39"/>
      <c r="H934" s="41"/>
      <c r="I934" s="41"/>
      <c r="J934" s="42"/>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7"/>
      <c r="B935" s="38"/>
      <c r="C935" s="38"/>
      <c r="D935" s="39"/>
      <c r="E935" s="39"/>
      <c r="F935" s="40"/>
      <c r="G935" s="39"/>
      <c r="H935" s="41"/>
      <c r="I935" s="41"/>
      <c r="J935" s="42"/>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33"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7"/>
      <c r="B936" s="38"/>
      <c r="C936" s="38"/>
      <c r="D936" s="39"/>
      <c r="E936" s="39"/>
      <c r="F936" s="40"/>
      <c r="G936" s="39"/>
      <c r="H936" s="41"/>
      <c r="I936" s="41"/>
      <c r="J936" s="42"/>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7"/>
      <c r="B937" s="38"/>
      <c r="C937" s="38"/>
      <c r="D937" s="39"/>
      <c r="E937" s="39"/>
      <c r="F937" s="40"/>
      <c r="G937" s="39"/>
      <c r="H937" s="41"/>
      <c r="I937" s="41"/>
      <c r="J937" s="42"/>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33"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7"/>
      <c r="B938" s="38"/>
      <c r="C938" s="38"/>
      <c r="D938" s="39"/>
      <c r="E938" s="39"/>
      <c r="F938" s="40"/>
      <c r="G938" s="39"/>
      <c r="H938" s="41"/>
      <c r="I938" s="41"/>
      <c r="J938" s="42"/>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7"/>
      <c r="B939" s="38"/>
      <c r="C939" s="38"/>
      <c r="D939" s="39"/>
      <c r="E939" s="39"/>
      <c r="F939" s="40"/>
      <c r="G939" s="39"/>
      <c r="H939" s="41"/>
      <c r="I939" s="41"/>
      <c r="J939" s="42"/>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33"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7"/>
      <c r="B940" s="38"/>
      <c r="C940" s="38"/>
      <c r="D940" s="39"/>
      <c r="E940" s="39"/>
      <c r="F940" s="40"/>
      <c r="G940" s="39"/>
      <c r="H940" s="41"/>
      <c r="I940" s="41"/>
      <c r="J940" s="42"/>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7"/>
      <c r="B941" s="38"/>
      <c r="C941" s="38"/>
      <c r="D941" s="39"/>
      <c r="E941" s="39"/>
      <c r="F941" s="40"/>
      <c r="G941" s="39"/>
      <c r="H941" s="41"/>
      <c r="I941" s="41"/>
      <c r="J941" s="42"/>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33"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7"/>
      <c r="B942" s="38"/>
      <c r="C942" s="38"/>
      <c r="D942" s="39"/>
      <c r="E942" s="39"/>
      <c r="F942" s="40"/>
      <c r="G942" s="39"/>
      <c r="H942" s="41"/>
      <c r="I942" s="41"/>
      <c r="J942" s="42"/>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7"/>
      <c r="B943" s="38"/>
      <c r="C943" s="38"/>
      <c r="D943" s="39"/>
      <c r="E943" s="39"/>
      <c r="F943" s="40"/>
      <c r="G943" s="39"/>
      <c r="H943" s="41"/>
      <c r="I943" s="41"/>
      <c r="J943" s="42"/>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33"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7"/>
      <c r="B944" s="38"/>
      <c r="C944" s="38"/>
      <c r="D944" s="39"/>
      <c r="E944" s="39"/>
      <c r="F944" s="40"/>
      <c r="G944" s="39"/>
      <c r="H944" s="41"/>
      <c r="I944" s="41"/>
      <c r="J944" s="42"/>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7"/>
      <c r="B945" s="38"/>
      <c r="C945" s="38"/>
      <c r="D945" s="39"/>
      <c r="E945" s="39"/>
      <c r="F945" s="40"/>
      <c r="G945" s="39"/>
      <c r="H945" s="41"/>
      <c r="I945" s="41"/>
      <c r="J945" s="42"/>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33"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7"/>
      <c r="B946" s="38"/>
      <c r="C946" s="38"/>
      <c r="D946" s="39"/>
      <c r="E946" s="39"/>
      <c r="F946" s="40"/>
      <c r="G946" s="39"/>
      <c r="H946" s="41"/>
      <c r="I946" s="41"/>
      <c r="J946" s="42"/>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7"/>
      <c r="B947" s="38"/>
      <c r="C947" s="38"/>
      <c r="D947" s="39"/>
      <c r="E947" s="39"/>
      <c r="F947" s="40"/>
      <c r="G947" s="39"/>
      <c r="H947" s="41"/>
      <c r="I947" s="41"/>
      <c r="J947" s="42"/>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33"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7"/>
      <c r="B948" s="38"/>
      <c r="C948" s="38"/>
      <c r="D948" s="39"/>
      <c r="E948" s="39"/>
      <c r="F948" s="40"/>
      <c r="G948" s="39"/>
      <c r="H948" s="41"/>
      <c r="I948" s="41"/>
      <c r="J948" s="42"/>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7"/>
      <c r="B949" s="38"/>
      <c r="C949" s="38"/>
      <c r="D949" s="39"/>
      <c r="E949" s="39"/>
      <c r="F949" s="40"/>
      <c r="G949" s="39"/>
      <c r="H949" s="41"/>
      <c r="I949" s="41"/>
      <c r="J949" s="42"/>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33"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7"/>
      <c r="B950" s="38"/>
      <c r="C950" s="38"/>
      <c r="D950" s="39"/>
      <c r="E950" s="39"/>
      <c r="F950" s="40"/>
      <c r="G950" s="39"/>
      <c r="H950" s="41"/>
      <c r="I950" s="41"/>
      <c r="J950" s="42"/>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7"/>
      <c r="B951" s="38"/>
      <c r="C951" s="38"/>
      <c r="D951" s="39"/>
      <c r="E951" s="39"/>
      <c r="F951" s="40"/>
      <c r="G951" s="39"/>
      <c r="H951" s="41"/>
      <c r="I951" s="41"/>
      <c r="J951" s="42"/>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33"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7"/>
      <c r="B952" s="38"/>
      <c r="C952" s="38"/>
      <c r="D952" s="39"/>
      <c r="E952" s="39"/>
      <c r="F952" s="40"/>
      <c r="G952" s="39"/>
      <c r="H952" s="41"/>
      <c r="I952" s="41"/>
      <c r="J952" s="42"/>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7"/>
      <c r="B953" s="38"/>
      <c r="C953" s="38"/>
      <c r="D953" s="39"/>
      <c r="E953" s="39"/>
      <c r="F953" s="40"/>
      <c r="G953" s="39"/>
      <c r="H953" s="41"/>
      <c r="I953" s="41"/>
      <c r="J953" s="42"/>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33"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7"/>
      <c r="B954" s="38"/>
      <c r="C954" s="38"/>
      <c r="D954" s="39"/>
      <c r="E954" s="39"/>
      <c r="F954" s="40"/>
      <c r="G954" s="39"/>
      <c r="H954" s="41"/>
      <c r="I954" s="41"/>
      <c r="J954" s="42"/>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7"/>
      <c r="B955" s="38"/>
      <c r="C955" s="38"/>
      <c r="D955" s="39"/>
      <c r="E955" s="39"/>
      <c r="F955" s="40"/>
      <c r="G955" s="39"/>
      <c r="H955" s="41"/>
      <c r="I955" s="41"/>
      <c r="J955" s="42"/>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33"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7"/>
      <c r="B956" s="38"/>
      <c r="C956" s="38"/>
      <c r="D956" s="39"/>
      <c r="E956" s="39"/>
      <c r="F956" s="40"/>
      <c r="G956" s="39"/>
      <c r="H956" s="41"/>
      <c r="I956" s="41"/>
      <c r="J956" s="42"/>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7"/>
      <c r="B957" s="38"/>
      <c r="C957" s="38"/>
      <c r="D957" s="39"/>
      <c r="E957" s="39"/>
      <c r="F957" s="40"/>
      <c r="G957" s="39"/>
      <c r="H957" s="41"/>
      <c r="I957" s="41"/>
      <c r="J957" s="42"/>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33"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7"/>
      <c r="B958" s="38"/>
      <c r="C958" s="38"/>
      <c r="D958" s="39"/>
      <c r="E958" s="39"/>
      <c r="F958" s="40"/>
      <c r="G958" s="39"/>
      <c r="H958" s="41"/>
      <c r="I958" s="41"/>
      <c r="J958" s="42"/>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7"/>
      <c r="B959" s="38"/>
      <c r="C959" s="38"/>
      <c r="D959" s="39"/>
      <c r="E959" s="39"/>
      <c r="F959" s="40"/>
      <c r="G959" s="39"/>
      <c r="H959" s="41"/>
      <c r="I959" s="41"/>
      <c r="J959" s="42"/>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33"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7"/>
      <c r="B960" s="38"/>
      <c r="C960" s="38"/>
      <c r="D960" s="39"/>
      <c r="E960" s="39"/>
      <c r="F960" s="40"/>
      <c r="G960" s="39"/>
      <c r="H960" s="41"/>
      <c r="I960" s="41"/>
      <c r="J960" s="42"/>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7"/>
      <c r="B961" s="38"/>
      <c r="C961" s="38"/>
      <c r="D961" s="39"/>
      <c r="E961" s="39"/>
      <c r="F961" s="40"/>
      <c r="G961" s="39"/>
      <c r="H961" s="41"/>
      <c r="I961" s="41"/>
      <c r="J961" s="42"/>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33"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7"/>
      <c r="B962" s="38"/>
      <c r="C962" s="38"/>
      <c r="D962" s="39"/>
      <c r="E962" s="39"/>
      <c r="F962" s="40"/>
      <c r="G962" s="39"/>
      <c r="H962" s="41"/>
      <c r="I962" s="41"/>
      <c r="J962" s="42"/>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7"/>
      <c r="B963" s="38"/>
      <c r="C963" s="38"/>
      <c r="D963" s="39"/>
      <c r="E963" s="39"/>
      <c r="F963" s="40"/>
      <c r="G963" s="39"/>
      <c r="H963" s="41"/>
      <c r="I963" s="41"/>
      <c r="J963" s="42"/>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33"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7"/>
      <c r="B964" s="38"/>
      <c r="C964" s="38"/>
      <c r="D964" s="39"/>
      <c r="E964" s="39"/>
      <c r="F964" s="40"/>
      <c r="G964" s="39"/>
      <c r="H964" s="41"/>
      <c r="I964" s="41"/>
      <c r="J964" s="42"/>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7"/>
      <c r="B965" s="38"/>
      <c r="C965" s="38"/>
      <c r="D965" s="39"/>
      <c r="E965" s="39"/>
      <c r="F965" s="40"/>
      <c r="G965" s="39"/>
      <c r="H965" s="41"/>
      <c r="I965" s="41"/>
      <c r="J965" s="42"/>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33"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7"/>
      <c r="B966" s="38"/>
      <c r="C966" s="38"/>
      <c r="D966" s="39"/>
      <c r="E966" s="39"/>
      <c r="F966" s="40"/>
      <c r="G966" s="39"/>
      <c r="H966" s="41"/>
      <c r="I966" s="41"/>
      <c r="J966" s="42"/>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7"/>
      <c r="B967" s="38"/>
      <c r="C967" s="38"/>
      <c r="D967" s="39"/>
      <c r="E967" s="39"/>
      <c r="F967" s="40"/>
      <c r="G967" s="39"/>
      <c r="H967" s="41"/>
      <c r="I967" s="41"/>
      <c r="J967" s="42"/>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33"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7"/>
      <c r="B968" s="38"/>
      <c r="C968" s="38"/>
      <c r="D968" s="39"/>
      <c r="E968" s="39"/>
      <c r="F968" s="40"/>
      <c r="G968" s="39"/>
      <c r="H968" s="41"/>
      <c r="I968" s="41"/>
      <c r="J968" s="42"/>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7"/>
      <c r="B969" s="38"/>
      <c r="C969" s="38"/>
      <c r="D969" s="39"/>
      <c r="E969" s="39"/>
      <c r="F969" s="40"/>
      <c r="G969" s="39"/>
      <c r="H969" s="41"/>
      <c r="I969" s="41"/>
      <c r="J969" s="42"/>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33"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7"/>
      <c r="B970" s="38"/>
      <c r="C970" s="38"/>
      <c r="D970" s="39"/>
      <c r="E970" s="39"/>
      <c r="F970" s="40"/>
      <c r="G970" s="39"/>
      <c r="H970" s="41"/>
      <c r="I970" s="41"/>
      <c r="J970" s="42"/>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7"/>
      <c r="B971" s="38"/>
      <c r="C971" s="38"/>
      <c r="D971" s="39"/>
      <c r="E971" s="39"/>
      <c r="F971" s="40"/>
      <c r="G971" s="39"/>
      <c r="H971" s="41"/>
      <c r="I971" s="41"/>
      <c r="J971" s="42"/>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33"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7"/>
      <c r="B972" s="38"/>
      <c r="C972" s="38"/>
      <c r="D972" s="39"/>
      <c r="E972" s="39"/>
      <c r="F972" s="40"/>
      <c r="G972" s="39"/>
      <c r="H972" s="41"/>
      <c r="I972" s="41"/>
      <c r="J972" s="42"/>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7"/>
      <c r="B973" s="38"/>
      <c r="C973" s="38"/>
      <c r="D973" s="39"/>
      <c r="E973" s="39"/>
      <c r="F973" s="40"/>
      <c r="G973" s="39"/>
      <c r="H973" s="41"/>
      <c r="I973" s="41"/>
      <c r="J973" s="42"/>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33"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7"/>
      <c r="B974" s="38"/>
      <c r="C974" s="38"/>
      <c r="D974" s="39"/>
      <c r="E974" s="39"/>
      <c r="F974" s="40"/>
      <c r="G974" s="39"/>
      <c r="H974" s="41"/>
      <c r="I974" s="41"/>
      <c r="J974" s="42"/>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7"/>
      <c r="B975" s="38"/>
      <c r="C975" s="38"/>
      <c r="D975" s="39"/>
      <c r="E975" s="39"/>
      <c r="F975" s="40"/>
      <c r="G975" s="39"/>
      <c r="H975" s="41"/>
      <c r="I975" s="41"/>
      <c r="J975" s="42"/>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33"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7"/>
      <c r="B976" s="38"/>
      <c r="C976" s="38"/>
      <c r="D976" s="39"/>
      <c r="E976" s="39"/>
      <c r="F976" s="40"/>
      <c r="G976" s="39"/>
      <c r="H976" s="41"/>
      <c r="I976" s="41"/>
      <c r="J976" s="42"/>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7"/>
      <c r="B977" s="38"/>
      <c r="C977" s="38"/>
      <c r="D977" s="39"/>
      <c r="E977" s="39"/>
      <c r="F977" s="40"/>
      <c r="G977" s="39"/>
      <c r="H977" s="41"/>
      <c r="I977" s="41"/>
      <c r="J977" s="42"/>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33"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7"/>
      <c r="B978" s="38"/>
      <c r="C978" s="38"/>
      <c r="D978" s="39"/>
      <c r="E978" s="39"/>
      <c r="F978" s="40"/>
      <c r="G978" s="39"/>
      <c r="H978" s="41"/>
      <c r="I978" s="41"/>
      <c r="J978" s="42"/>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7"/>
      <c r="B979" s="38"/>
      <c r="C979" s="38"/>
      <c r="D979" s="39"/>
      <c r="E979" s="39"/>
      <c r="F979" s="40"/>
      <c r="G979" s="39"/>
      <c r="H979" s="41"/>
      <c r="I979" s="41"/>
      <c r="J979" s="42"/>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33"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7"/>
      <c r="B980" s="38"/>
      <c r="C980" s="38"/>
      <c r="D980" s="39"/>
      <c r="E980" s="39"/>
      <c r="F980" s="40"/>
      <c r="G980" s="39"/>
      <c r="H980" s="41"/>
      <c r="I980" s="41"/>
      <c r="J980" s="42"/>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7"/>
      <c r="B981" s="38"/>
      <c r="C981" s="38"/>
      <c r="D981" s="39"/>
      <c r="E981" s="39"/>
      <c r="F981" s="40"/>
      <c r="G981" s="39"/>
      <c r="H981" s="41"/>
      <c r="I981" s="41"/>
      <c r="J981" s="42"/>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33"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7"/>
      <c r="B982" s="38"/>
      <c r="C982" s="38"/>
      <c r="D982" s="39"/>
      <c r="E982" s="39"/>
      <c r="F982" s="40"/>
      <c r="G982" s="39"/>
      <c r="H982" s="41"/>
      <c r="I982" s="41"/>
      <c r="J982" s="42"/>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7"/>
      <c r="B983" s="38"/>
      <c r="C983" s="38"/>
      <c r="D983" s="39"/>
      <c r="E983" s="39"/>
      <c r="F983" s="40"/>
      <c r="G983" s="39"/>
      <c r="H983" s="41"/>
      <c r="I983" s="41"/>
      <c r="J983" s="42"/>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33"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7"/>
      <c r="B984" s="38"/>
      <c r="C984" s="38"/>
      <c r="D984" s="39"/>
      <c r="E984" s="39"/>
      <c r="F984" s="40"/>
      <c r="G984" s="39"/>
      <c r="H984" s="41"/>
      <c r="I984" s="41"/>
      <c r="J984" s="42"/>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7"/>
      <c r="B985" s="38"/>
      <c r="C985" s="38"/>
      <c r="D985" s="39"/>
      <c r="E985" s="39"/>
      <c r="F985" s="40"/>
      <c r="G985" s="39"/>
      <c r="H985" s="41"/>
      <c r="I985" s="41"/>
      <c r="J985" s="42"/>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33"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7"/>
      <c r="B986" s="38"/>
      <c r="C986" s="38"/>
      <c r="D986" s="39"/>
      <c r="E986" s="39"/>
      <c r="F986" s="40"/>
      <c r="G986" s="39"/>
      <c r="H986" s="41"/>
      <c r="I986" s="41"/>
      <c r="J986" s="42"/>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7"/>
      <c r="B987" s="38"/>
      <c r="C987" s="38"/>
      <c r="D987" s="39"/>
      <c r="E987" s="39"/>
      <c r="F987" s="40"/>
      <c r="G987" s="39"/>
      <c r="H987" s="41"/>
      <c r="I987" s="41"/>
      <c r="J987" s="42"/>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33"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7"/>
      <c r="B988" s="38"/>
      <c r="C988" s="38"/>
      <c r="D988" s="39"/>
      <c r="E988" s="39"/>
      <c r="F988" s="40"/>
      <c r="G988" s="39"/>
      <c r="H988" s="41"/>
      <c r="I988" s="41"/>
      <c r="J988" s="42"/>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7"/>
      <c r="B989" s="38"/>
      <c r="C989" s="38"/>
      <c r="D989" s="39"/>
      <c r="E989" s="39"/>
      <c r="F989" s="40"/>
      <c r="G989" s="39"/>
      <c r="H989" s="41"/>
      <c r="I989" s="41"/>
      <c r="J989" s="42"/>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33"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7"/>
      <c r="B990" s="38"/>
      <c r="C990" s="38"/>
      <c r="D990" s="39"/>
      <c r="E990" s="39"/>
      <c r="F990" s="40"/>
      <c r="G990" s="39"/>
      <c r="H990" s="41"/>
      <c r="I990" s="41"/>
      <c r="J990" s="42"/>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7"/>
      <c r="B991" s="38"/>
      <c r="C991" s="38"/>
      <c r="D991" s="39"/>
      <c r="E991" s="39"/>
      <c r="F991" s="40"/>
      <c r="G991" s="39"/>
      <c r="H991" s="41"/>
      <c r="I991" s="41"/>
      <c r="J991" s="42"/>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33"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7"/>
      <c r="B992" s="38"/>
      <c r="C992" s="38"/>
      <c r="D992" s="39"/>
      <c r="E992" s="39"/>
      <c r="F992" s="40"/>
      <c r="G992" s="39"/>
      <c r="H992" s="41"/>
      <c r="I992" s="41"/>
      <c r="J992" s="42"/>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7"/>
      <c r="B993" s="38"/>
      <c r="C993" s="38"/>
      <c r="D993" s="39"/>
      <c r="E993" s="39"/>
      <c r="F993" s="40"/>
      <c r="G993" s="39"/>
      <c r="H993" s="41"/>
      <c r="I993" s="41"/>
      <c r="J993" s="42"/>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33"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7"/>
      <c r="B994" s="38"/>
      <c r="C994" s="38"/>
      <c r="D994" s="39"/>
      <c r="E994" s="39"/>
      <c r="F994" s="40"/>
      <c r="G994" s="39"/>
      <c r="H994" s="41"/>
      <c r="I994" s="41"/>
      <c r="J994" s="42"/>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7"/>
      <c r="B995" s="38"/>
      <c r="C995" s="38"/>
      <c r="D995" s="39"/>
      <c r="E995" s="39"/>
      <c r="F995" s="40"/>
      <c r="G995" s="39"/>
      <c r="H995" s="41"/>
      <c r="I995" s="41"/>
      <c r="J995" s="42"/>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33"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7"/>
      <c r="B996" s="38"/>
      <c r="C996" s="38"/>
      <c r="D996" s="39"/>
      <c r="E996" s="39"/>
      <c r="F996" s="40"/>
      <c r="G996" s="39"/>
      <c r="H996" s="41"/>
      <c r="I996" s="41"/>
      <c r="J996" s="42"/>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7"/>
      <c r="B997" s="38"/>
      <c r="C997" s="38"/>
      <c r="D997" s="39"/>
      <c r="E997" s="39"/>
      <c r="F997" s="40"/>
      <c r="G997" s="39"/>
      <c r="H997" s="41"/>
      <c r="I997" s="41"/>
      <c r="J997" s="42"/>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33"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7"/>
      <c r="B998" s="38"/>
      <c r="C998" s="38"/>
      <c r="D998" s="39"/>
      <c r="E998" s="39"/>
      <c r="F998" s="40"/>
      <c r="G998" s="39"/>
      <c r="H998" s="41"/>
      <c r="I998" s="41"/>
      <c r="J998" s="42"/>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7"/>
      <c r="B999" s="38"/>
      <c r="C999" s="38"/>
      <c r="D999" s="39"/>
      <c r="E999" s="39"/>
      <c r="F999" s="40"/>
      <c r="G999" s="39"/>
      <c r="H999" s="41"/>
      <c r="I999" s="41"/>
      <c r="J999" s="42"/>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33"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7"/>
      <c r="B1000" s="38"/>
      <c r="C1000" s="38"/>
      <c r="D1000" s="39"/>
      <c r="E1000" s="39"/>
      <c r="F1000" s="40"/>
      <c r="G1000" s="39"/>
      <c r="H1000" s="41"/>
      <c r="I1000" s="41"/>
      <c r="J1000" s="42"/>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3"/>
      <c r="T1001" s="33"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3"/>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3"/>
      <c r="T1003" s="33"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3"/>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3"/>
      <c r="T1005" s="33"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3"/>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3"/>
      <c r="T1007" s="33"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3"/>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3"/>
      <c r="T1009" s="33"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3"/>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3"/>
      <c r="T1011" s="33"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3"/>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3"/>
      <c r="T1013" s="33"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3"/>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3"/>
      <c r="T1015" s="33"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3"/>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3"/>
      <c r="T1017" s="33"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3"/>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3"/>
      <c r="T1019" s="33"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3"/>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3"/>
      <c r="T1021" s="33"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3"/>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3"/>
      <c r="T1023" s="33"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3"/>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3"/>
      <c r="T1025" s="33"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3"/>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3"/>
      <c r="T1027" s="33"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3"/>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3"/>
      <c r="T1029" s="33"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3"/>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3"/>
      <c r="T1031" s="33"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3"/>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3"/>
      <c r="T1033" s="33"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3"/>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3"/>
      <c r="T1035" s="33"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3"/>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3"/>
      <c r="T1037" s="33"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3"/>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3"/>
      <c r="T1039" s="33"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3"/>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3"/>
      <c r="T1041" s="33"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3"/>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3"/>
      <c r="T1043" s="33"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3"/>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3"/>
      <c r="T1045" s="33"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3"/>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3"/>
      <c r="T1047" s="33"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3"/>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3"/>
      <c r="T1049" s="33"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3"/>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3"/>
      <c r="T1051" s="33"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3"/>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3"/>
      <c r="T1053" s="33"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3"/>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3"/>
      <c r="T1055" s="33"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3"/>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3"/>
      <c r="T1057" s="33"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3"/>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3"/>
      <c r="T1059" s="33"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3"/>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3"/>
      <c r="T1061" s="33"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3"/>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3"/>
      <c r="T1063" s="33"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3"/>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3"/>
      <c r="T1065" s="33"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3"/>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3"/>
      <c r="T1067" s="33"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3"/>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3"/>
      <c r="T1069" s="33"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3"/>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3"/>
      <c r="T1071" s="33"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3"/>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3"/>
      <c r="T1073" s="33"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3"/>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3"/>
      <c r="T1075" s="33"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3"/>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3"/>
      <c r="T1077" s="33"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3"/>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3"/>
      <c r="T1079" s="33"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3"/>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3"/>
      <c r="T1081" s="33"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3"/>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3"/>
      <c r="T1083" s="33"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3"/>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3"/>
      <c r="T1085" s="33"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3"/>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3"/>
      <c r="T1087" s="33"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3"/>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3"/>
      <c r="T1089" s="33"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3"/>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3"/>
      <c r="T1091" s="33"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3"/>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3"/>
      <c r="T1093" s="33"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3"/>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3"/>
      <c r="T1095" s="33"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3"/>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3"/>
      <c r="T1097" s="33"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3"/>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3"/>
      <c r="T1099" s="33"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3"/>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3"/>
      <c r="T1101" s="33"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3"/>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3"/>
      <c r="T1103" s="33"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3"/>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3"/>
      <c r="T1105" s="33"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3"/>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3"/>
      <c r="T1107" s="33"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3"/>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3"/>
      <c r="T1109" s="33"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3"/>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3"/>
      <c r="T1111" s="33"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3"/>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3"/>
      <c r="T1113" s="33"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3"/>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3"/>
      <c r="T1115" s="33"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3"/>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3"/>
      <c r="T1117" s="33"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3"/>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3"/>
      <c r="T1119" s="33"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3"/>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3"/>
      <c r="T1121" s="33"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3"/>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3"/>
      <c r="T1123" s="33"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3"/>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3"/>
      <c r="T1125" s="33"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3"/>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3"/>
      <c r="T1127" s="33"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3"/>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3"/>
      <c r="T1129" s="33"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3"/>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3"/>
      <c r="T1131" s="33"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3"/>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3"/>
      <c r="T1133" s="33"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3"/>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3"/>
      <c r="T1135" s="33"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3"/>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3"/>
      <c r="T1137" s="33"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3"/>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3"/>
      <c r="T1139" s="33"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3"/>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3"/>
      <c r="T1141" s="33"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3"/>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3"/>
      <c r="T1143" s="33"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3"/>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3"/>
      <c r="T1145" s="33"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3"/>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3"/>
      <c r="T1147" s="33"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3"/>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3"/>
      <c r="T1149" s="33"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3"/>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3"/>
      <c r="T1151" s="33"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3"/>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3"/>
      <c r="T1153" s="33"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3"/>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3"/>
      <c r="T1155" s="33"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3"/>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3"/>
      <c r="T1157" s="33"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3"/>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3"/>
      <c r="T1159" s="33"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3"/>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3"/>
      <c r="T1161" s="33"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3"/>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3"/>
      <c r="T1163" s="33"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3"/>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3"/>
      <c r="T1165" s="33"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3"/>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3"/>
      <c r="T1167" s="33"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3"/>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3"/>
      <c r="T1169" s="33"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3"/>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3"/>
      <c r="T1171" s="33"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3"/>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3"/>
      <c r="T1173" s="33"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3"/>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3"/>
      <c r="T1175" s="33"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3"/>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3"/>
      <c r="T1177" s="33"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3"/>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3"/>
      <c r="T1179" s="33"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3"/>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3"/>
      <c r="T1181" s="33"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3"/>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3"/>
      <c r="T1183" s="33"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3"/>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3"/>
      <c r="T1185" s="33"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3"/>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3"/>
      <c r="T1187" s="33"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3"/>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3"/>
      <c r="T1189" s="33"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3"/>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3"/>
      <c r="T1191" s="33"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3"/>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3"/>
      <c r="T1193" s="33"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3"/>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3"/>
      <c r="T1195" s="33"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3"/>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3"/>
      <c r="T1197" s="33"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3"/>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3"/>
      <c r="T1199" s="33"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3"/>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3"/>
      <c r="T1201" s="33"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3"/>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3"/>
      <c r="T1203" s="33"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3"/>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3"/>
      <c r="T1205" s="33"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3"/>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3"/>
      <c r="T1207" s="33"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3"/>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3"/>
      <c r="T1209" s="33"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3"/>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3"/>
      <c r="T1211" s="33"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3"/>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3"/>
      <c r="T1213" s="33"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3"/>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3"/>
      <c r="T1215" s="33"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3"/>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3"/>
      <c r="T1217" s="33"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3"/>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3"/>
      <c r="T1219" s="33"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3"/>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3"/>
      <c r="T1221" s="33"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3"/>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3"/>
      <c r="T1223" s="33"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3"/>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3"/>
      <c r="T1225" s="33"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3"/>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3"/>
      <c r="T1227" s="33"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3"/>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3"/>
      <c r="T1229" s="33"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3"/>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3"/>
      <c r="T1231" s="33"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3"/>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3"/>
      <c r="T1233" s="33"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3"/>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3"/>
      <c r="T1235" s="33"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3"/>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3"/>
      <c r="T1237" s="33"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3"/>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3"/>
      <c r="T1239" s="33"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3"/>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3"/>
      <c r="T1241" s="33"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3"/>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3"/>
      <c r="T1243" s="33"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3"/>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3"/>
      <c r="T1245" s="33"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3"/>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3"/>
      <c r="T1247" s="33"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3"/>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3"/>
      <c r="T1249" s="33"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3"/>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3"/>
      <c r="T1251" s="33"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3"/>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3"/>
      <c r="T1253" s="33"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3"/>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3"/>
      <c r="T1255" s="33"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3"/>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3"/>
      <c r="T1257" s="33"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3"/>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3"/>
      <c r="T1259" s="33"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3"/>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3"/>
      <c r="T1261" s="33"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3"/>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3"/>
      <c r="T1263" s="33"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3"/>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3"/>
      <c r="T1265" s="33"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3"/>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3"/>
      <c r="T1267" s="33"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3"/>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3"/>
      <c r="T1269" s="33"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3"/>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3"/>
      <c r="T1271" s="33"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3"/>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3"/>
      <c r="T1273" s="33"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3"/>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3"/>
      <c r="T1275" s="33"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3"/>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3"/>
      <c r="T1277" s="33"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3"/>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3"/>
      <c r="T1279" s="33"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3"/>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3"/>
      <c r="T1281" s="33"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3"/>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3"/>
      <c r="T1283" s="33"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3"/>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3"/>
      <c r="T1285" s="33"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3"/>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3"/>
      <c r="T1287" s="33"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3"/>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3"/>
      <c r="T1289" s="33"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3"/>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3"/>
      <c r="T1291" s="33"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3"/>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3"/>
      <c r="T1293" s="33"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3"/>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3"/>
      <c r="T1295" s="33"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3"/>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3"/>
      <c r="T1297" s="33"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3"/>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3"/>
      <c r="T1299" s="33"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3"/>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3"/>
      <c r="T1301" s="33"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3"/>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3"/>
      <c r="T1303" s="33"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3"/>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3"/>
      <c r="T1305" s="33"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3"/>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3"/>
      <c r="T1307" s="33"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3"/>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3"/>
      <c r="T1309" s="33"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3"/>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3"/>
      <c r="T1311" s="33"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3"/>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3"/>
      <c r="T1313" s="33"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3"/>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3"/>
      <c r="T1315" s="33"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3"/>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3"/>
      <c r="T1317" s="33"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3"/>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3"/>
      <c r="T1319" s="33"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3"/>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3"/>
      <c r="T1321" s="33"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3"/>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3"/>
      <c r="T1323" s="33"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3"/>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3"/>
      <c r="T1325" s="33"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3"/>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3"/>
      <c r="T1327" s="33"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3"/>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3"/>
      <c r="T1329" s="33"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3"/>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3"/>
      <c r="T1331" s="33"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3"/>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3"/>
      <c r="T1333" s="33"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3"/>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3"/>
      <c r="T1335" s="33"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3"/>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3"/>
      <c r="T1337" s="33"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3"/>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3"/>
      <c r="T1339" s="33"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3"/>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3"/>
      <c r="T1341" s="33"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3"/>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3"/>
      <c r="T1343" s="33"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3"/>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3"/>
      <c r="T1345" s="33"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3"/>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3"/>
      <c r="T1347" s="33"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3"/>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3"/>
      <c r="T1349" s="33"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3"/>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3"/>
      <c r="T1351" s="33"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3"/>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3"/>
      <c r="T1353" s="33"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3"/>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3"/>
      <c r="T1355" s="33"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3"/>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3"/>
      <c r="T1357" s="33"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3"/>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3"/>
      <c r="T1359" s="33"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3"/>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3"/>
      <c r="T1361" s="33"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3"/>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3"/>
      <c r="T1363" s="33"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3"/>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3"/>
      <c r="T1365" s="33"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3"/>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3"/>
      <c r="T1367" s="33"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3"/>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3"/>
      <c r="T1369" s="33"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3"/>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3"/>
      <c r="T1371" s="33"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3"/>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3"/>
      <c r="T1373" s="33"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3"/>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3"/>
      <c r="T1375" s="33"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3"/>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3"/>
      <c r="T1377" s="33"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3"/>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3"/>
      <c r="T1379" s="33"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3"/>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3"/>
      <c r="T1381" s="33"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3"/>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3"/>
      <c r="T1383" s="33"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3"/>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3"/>
      <c r="T1385" s="33"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3"/>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3"/>
      <c r="T1387" s="33"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3"/>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3"/>
      <c r="T1389" s="33"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3"/>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3"/>
      <c r="T1391" s="33"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3"/>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3"/>
      <c r="T1393" s="33"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3"/>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3"/>
      <c r="T1395" s="33"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3"/>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3"/>
      <c r="T1397" s="33"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3"/>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3"/>
      <c r="T1399" s="33"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3"/>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3"/>
      <c r="T1401" s="33"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3"/>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3"/>
      <c r="T1403" s="33"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3"/>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3"/>
      <c r="T1405" s="33"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3"/>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3"/>
      <c r="T1407" s="33"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3"/>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3"/>
      <c r="T1409" s="33"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3"/>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3"/>
      <c r="T1411" s="33"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3"/>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3"/>
      <c r="T1413" s="33"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3"/>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3"/>
      <c r="T1415" s="33"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3"/>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3"/>
      <c r="T1417" s="33"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3"/>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3"/>
      <c r="T1419" s="33"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3"/>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3"/>
      <c r="T1421" s="33"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3"/>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3"/>
      <c r="T1423" s="33"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3"/>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3"/>
      <c r="T1425" s="33"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3"/>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3"/>
      <c r="T1427" s="33"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3"/>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3"/>
      <c r="T1429" s="33"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3"/>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3"/>
      <c r="T1431" s="33"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3"/>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3"/>
      <c r="T1433" s="33"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3"/>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3"/>
      <c r="T1435" s="33"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3"/>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3"/>
      <c r="T1437" s="33"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3"/>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3"/>
      <c r="T1439" s="33"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3"/>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3"/>
      <c r="T1441" s="33"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3"/>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3"/>
      <c r="T1443" s="33"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3"/>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3"/>
      <c r="T1445" s="33"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3"/>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3"/>
      <c r="T1447" s="33"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3"/>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3"/>
      <c r="T1449" s="33"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3"/>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3"/>
      <c r="T1451" s="33"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3"/>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3"/>
      <c r="T1453" s="33"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3"/>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3"/>
      <c r="T1455" s="33"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3"/>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3"/>
      <c r="T1457" s="33"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3"/>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3"/>
      <c r="T1459" s="33"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3"/>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3"/>
      <c r="T1461" s="33"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3"/>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3"/>
      <c r="T1463" s="33"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3"/>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3"/>
      <c r="T1465" s="33"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3"/>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3"/>
      <c r="T1467" s="33"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3"/>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3"/>
      <c r="T1469" s="33"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3"/>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3"/>
      <c r="T1471" s="33"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3"/>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3"/>
      <c r="T1473" s="33"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3"/>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3"/>
      <c r="T1475" s="33"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3"/>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3"/>
      <c r="T1477" s="33"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3"/>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3"/>
      <c r="T1479" s="33"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3"/>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3"/>
      <c r="T1481" s="33"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3"/>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3"/>
      <c r="T1483" s="33"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3"/>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3"/>
      <c r="T1485" s="33"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3"/>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3"/>
      <c r="T1487" s="33"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3"/>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3"/>
      <c r="T1489" s="33"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3"/>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3"/>
      <c r="T1491" s="33"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3"/>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3"/>
      <c r="T1493" s="33"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3"/>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3"/>
      <c r="T1495" s="33"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3"/>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3"/>
      <c r="T1497" s="33"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3"/>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3"/>
      <c r="T1499" s="33"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3"/>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3"/>
      <c r="T1501" s="33"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3"/>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3"/>
      <c r="T1503" s="33"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3"/>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3"/>
      <c r="T1505" s="33"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3"/>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3"/>
      <c r="T1507" s="33"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3"/>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3"/>
      <c r="T1509" s="33"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3"/>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3"/>
      <c r="T1511" s="33"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3"/>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3"/>
      <c r="T1513" s="33"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3"/>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3"/>
      <c r="T1515" s="33"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3"/>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3"/>
      <c r="T1517" s="33"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3"/>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3"/>
      <c r="T1519" s="33"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3"/>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3"/>
      <c r="T1521" s="33"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3"/>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3"/>
      <c r="T1523" s="33"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3"/>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3"/>
      <c r="T1525" s="33"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3"/>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3"/>
      <c r="T1527" s="33"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3"/>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3"/>
      <c r="T1529" s="33"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3"/>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3"/>
      <c r="T1531" s="33"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3"/>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3"/>
      <c r="T1533" s="33"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3"/>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3"/>
      <c r="T1535" s="33"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3"/>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3"/>
      <c r="T1537" s="33"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3"/>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3"/>
      <c r="T1539" s="33"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3"/>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3"/>
      <c r="T1541" s="33"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3"/>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3"/>
      <c r="T1543" s="33"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3"/>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3"/>
      <c r="T1545" s="33"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3"/>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3"/>
      <c r="T1547" s="33"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3"/>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3"/>
      <c r="T1549" s="33"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3"/>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3"/>
      <c r="T1551" s="33"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3"/>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3"/>
      <c r="T1553" s="33"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3"/>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3"/>
      <c r="T1555" s="33"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3"/>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3"/>
      <c r="T1557" s="33"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3"/>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3"/>
      <c r="T1559" s="33"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3"/>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3"/>
      <c r="T1561" s="33"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3"/>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3"/>
      <c r="T1563" s="33"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3"/>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3"/>
      <c r="T1565" s="33"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3"/>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3"/>
      <c r="T1567" s="33"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3"/>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3"/>
      <c r="T1569" s="33"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3"/>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3"/>
      <c r="T1571" s="33"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3"/>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3"/>
      <c r="T1573" s="33"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3"/>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3"/>
      <c r="T1575" s="33"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3"/>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3"/>
      <c r="T1577" s="33"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3"/>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3"/>
      <c r="T1579" s="33"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3"/>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3"/>
      <c r="T1581" s="33"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3"/>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3"/>
      <c r="T1583" s="33"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3"/>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3"/>
      <c r="T1585" s="33"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3"/>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3"/>
      <c r="T1587" s="33"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3"/>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3"/>
      <c r="T1589" s="33"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3"/>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3"/>
      <c r="T1591" s="33"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3"/>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3"/>
      <c r="T1593" s="33"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3"/>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3"/>
      <c r="T1595" s="33"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3"/>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3"/>
      <c r="T1597" s="33"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3"/>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3"/>
      <c r="T1599" s="33"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3"/>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3"/>
      <c r="T1601" s="33"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3"/>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3"/>
      <c r="T1603" s="33"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3"/>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3"/>
      <c r="T1605" s="33"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3"/>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3"/>
      <c r="T1607" s="33"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3"/>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3"/>
      <c r="T1609" s="33"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3"/>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3"/>
      <c r="T1611" s="33"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3"/>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3"/>
      <c r="T1613" s="33"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3"/>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3"/>
      <c r="T1615" s="33"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3"/>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3"/>
      <c r="T1617" s="33"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3"/>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3"/>
      <c r="T1619" s="33"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3"/>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3"/>
      <c r="T1621" s="33"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3"/>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3"/>
      <c r="T1623" s="33"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3"/>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3"/>
      <c r="T1625" s="33"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3"/>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3"/>
      <c r="T1627" s="33"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3"/>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3"/>
      <c r="T1629" s="33"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3"/>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3"/>
      <c r="T1631" s="33"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3"/>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3"/>
      <c r="T1633" s="33"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3"/>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3"/>
      <c r="T1635" s="33"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3"/>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3"/>
      <c r="T1637" s="33"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3"/>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3"/>
      <c r="T1639" s="33"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3"/>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3"/>
      <c r="T1641" s="33"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3"/>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3"/>
      <c r="T1643" s="33"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3"/>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3"/>
      <c r="T1645" s="33"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3"/>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3"/>
      <c r="T1647" s="33"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3"/>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3"/>
      <c r="T1649" s="33"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3"/>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3"/>
      <c r="T1651" s="33"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3"/>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3"/>
      <c r="T1653" s="33"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3"/>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3"/>
      <c r="T1655" s="33"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3"/>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3"/>
      <c r="T1657" s="33"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3"/>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3"/>
      <c r="T1659" s="33"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3"/>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3"/>
      <c r="T1661" s="33"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3"/>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3"/>
      <c r="T1663" s="33"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3"/>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3"/>
      <c r="T1665" s="33"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3"/>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3"/>
      <c r="T1667" s="33"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3"/>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3"/>
      <c r="T1669" s="33"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3"/>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3"/>
      <c r="T1671" s="33"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3"/>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3"/>
      <c r="T1673" s="33"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3"/>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3"/>
      <c r="T1675" s="33"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3"/>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3"/>
      <c r="T1677" s="33"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3"/>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3"/>
      <c r="T1679" s="33"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3"/>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3"/>
      <c r="T1681" s="33"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3"/>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3"/>
      <c r="T1683" s="33"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3"/>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3"/>
      <c r="T1685" s="33"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3"/>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3"/>
      <c r="T1687" s="33"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3"/>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3"/>
      <c r="T1689" s="33"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3"/>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3"/>
      <c r="T1691" s="33"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3"/>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3"/>
      <c r="T1693" s="33"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3"/>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3"/>
      <c r="T1695" s="33"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3"/>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3"/>
      <c r="T1697" s="33"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3"/>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3"/>
      <c r="T1699" s="33"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3"/>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3"/>
      <c r="T1701" s="33"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3"/>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3"/>
      <c r="T1703" s="33"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3"/>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3"/>
      <c r="T1705" s="33"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3"/>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3"/>
      <c r="T1707" s="33"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3"/>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3"/>
      <c r="T1709" s="33"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3"/>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3"/>
      <c r="T1711" s="33"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3"/>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3"/>
      <c r="T1713" s="33"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3"/>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3"/>
      <c r="T1715" s="33"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3"/>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3"/>
      <c r="T1717" s="33"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3"/>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3"/>
      <c r="T1719" s="33"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3"/>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3"/>
      <c r="T1721" s="33"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3"/>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3"/>
      <c r="T1723" s="33"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3"/>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3"/>
      <c r="T1725" s="33"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3"/>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3"/>
      <c r="T1727" s="33"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3"/>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3"/>
      <c r="T1729" s="33"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3"/>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3"/>
      <c r="T1731" s="33"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3"/>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3"/>
      <c r="T1733" s="33"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3"/>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3"/>
      <c r="T1735" s="33"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3"/>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3"/>
      <c r="T1737" s="33"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3"/>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3"/>
      <c r="T1739" s="33"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3"/>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3"/>
      <c r="T1741" s="33"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3"/>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3"/>
      <c r="T1743" s="33"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3"/>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3"/>
      <c r="T1745" s="33"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3"/>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3"/>
      <c r="T1747" s="33"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3"/>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3"/>
      <c r="T1749" s="33"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3"/>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3"/>
      <c r="T1751" s="33"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3"/>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3"/>
      <c r="T1753" s="33"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3"/>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3"/>
      <c r="T1755" s="33"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3"/>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3"/>
      <c r="T1757" s="33"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3"/>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3"/>
      <c r="T1759" s="33"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3"/>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3"/>
      <c r="T1761" s="33"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3"/>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3"/>
      <c r="T1763" s="33"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3"/>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3"/>
      <c r="T1765" s="33"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3"/>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3"/>
      <c r="T1767" s="33"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3"/>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3"/>
      <c r="T1769" s="33"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3"/>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3"/>
      <c r="T1771" s="33"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3"/>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3"/>
      <c r="T1773" s="33"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3"/>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3"/>
      <c r="T1775" s="33"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3"/>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3"/>
      <c r="T1777" s="33"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3"/>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3"/>
      <c r="T1779" s="33"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3"/>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3"/>
      <c r="T1781" s="33"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3"/>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3"/>
      <c r="T1783" s="33"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3"/>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3"/>
      <c r="T1785" s="33"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3"/>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3"/>
      <c r="T1787" s="33"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3"/>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3"/>
      <c r="T1789" s="33"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3"/>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3"/>
      <c r="T1791" s="33"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3"/>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3"/>
      <c r="T1793" s="33"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3"/>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3"/>
      <c r="T1795" s="33"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3"/>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3"/>
      <c r="T1797" s="33"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3"/>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3"/>
      <c r="T1799" s="33"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3"/>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3"/>
      <c r="T1801" s="33"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3"/>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3"/>
      <c r="T1803" s="33"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3"/>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3"/>
      <c r="T1805" s="33"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3"/>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3"/>
      <c r="T1807" s="33"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3"/>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3"/>
      <c r="T1809" s="33"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3"/>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3"/>
      <c r="T1811" s="33"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3"/>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3"/>
      <c r="T1813" s="33"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3"/>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3"/>
      <c r="T1815" s="33"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3"/>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3"/>
      <c r="T1817" s="33"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3"/>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3"/>
      <c r="T1819" s="33"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3"/>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3"/>
      <c r="T1821" s="33"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3"/>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3"/>
      <c r="T1823" s="33"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3"/>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3"/>
      <c r="T1825" s="33"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3"/>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3"/>
      <c r="T1827" s="33"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3"/>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3"/>
      <c r="T1829" s="33"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3"/>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3"/>
      <c r="T1831" s="33"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3"/>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3"/>
      <c r="T1833" s="33"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3"/>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3"/>
      <c r="T1835" s="33"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3"/>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3"/>
      <c r="T1837" s="33"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3"/>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3"/>
      <c r="T1839" s="33"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3"/>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3"/>
      <c r="T1841" s="33"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3"/>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3"/>
      <c r="T1843" s="33"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3"/>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3"/>
      <c r="T1845" s="33"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3"/>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3"/>
      <c r="T1847" s="33"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3"/>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3"/>
      <c r="T1849" s="33"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3"/>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3"/>
      <c r="T1851" s="33"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3"/>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3"/>
      <c r="T1853" s="33"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3"/>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3"/>
      <c r="T1855" s="33"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3"/>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3"/>
      <c r="T1857" s="33"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3"/>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3"/>
      <c r="T1859" s="33"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3"/>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3"/>
      <c r="T1861" s="33"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3"/>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3"/>
      <c r="T1863" s="33"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3"/>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3"/>
      <c r="T1865" s="33"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3"/>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3"/>
      <c r="T1867" s="33"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3"/>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3"/>
      <c r="T1869" s="33"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3"/>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3"/>
      <c r="T1871" s="33"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3"/>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3"/>
      <c r="T1873" s="33"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3"/>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3"/>
      <c r="T1875" s="33"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3"/>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3"/>
      <c r="T1877" s="33"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3"/>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3"/>
      <c r="T1879" s="33"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3"/>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3"/>
      <c r="T1881" s="33"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3"/>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3"/>
      <c r="T1883" s="33"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3"/>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3"/>
      <c r="T1885" s="33"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3"/>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3"/>
      <c r="T1887" s="33"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3"/>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3"/>
      <c r="T1889" s="33"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3"/>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3"/>
      <c r="T1891" s="33"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3"/>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3"/>
      <c r="T1893" s="33"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3"/>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3"/>
      <c r="T1895" s="33"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3"/>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3"/>
      <c r="T1897" s="33"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3"/>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3"/>
      <c r="T1899" s="33"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3"/>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3"/>
      <c r="T1901" s="33"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3"/>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3"/>
      <c r="T1903" s="33"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3"/>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3"/>
      <c r="T1905" s="33"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3"/>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3"/>
      <c r="T1907" s="33"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3"/>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3"/>
      <c r="T1909" s="33"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3"/>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3"/>
      <c r="T1911" s="33"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3"/>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3"/>
      <c r="T1913" s="33"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3"/>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3"/>
      <c r="T1915" s="33"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3"/>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3"/>
      <c r="T1917" s="33"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3"/>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3"/>
      <c r="T1919" s="33"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3"/>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3"/>
      <c r="T1921" s="33"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3"/>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3"/>
      <c r="T1923" s="33"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3"/>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3"/>
      <c r="T1925" s="33"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3"/>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3"/>
      <c r="T1927" s="33"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3"/>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3"/>
      <c r="T1929" s="33"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3"/>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3"/>
      <c r="T1931" s="33"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3"/>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3"/>
      <c r="T1933" s="33"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3"/>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3"/>
      <c r="T1935" s="33"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3"/>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3"/>
      <c r="T1937" s="33"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3"/>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3"/>
      <c r="T1939" s="33"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3"/>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3"/>
      <c r="T1941" s="33"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3"/>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3"/>
      <c r="T1943" s="33"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3"/>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3"/>
      <c r="T1945" s="33"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3"/>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3"/>
      <c r="T1947" s="33"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3"/>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3"/>
      <c r="T1949" s="33"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3"/>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3"/>
      <c r="T1951" s="33"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3"/>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3"/>
      <c r="T1953" s="33"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3"/>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3"/>
      <c r="T1955" s="33"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3"/>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3"/>
      <c r="T1957" s="33"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3"/>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3"/>
      <c r="T1959" s="33"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3"/>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3"/>
      <c r="T1961" s="33"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3"/>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3"/>
      <c r="T1963" s="33"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3"/>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3"/>
      <c r="T1965" s="33"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3"/>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3"/>
      <c r="T1967" s="33"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3"/>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3"/>
      <c r="T1969" s="33"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3"/>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3"/>
      <c r="T1971" s="33"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3"/>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3"/>
      <c r="T1973" s="33"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3"/>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3"/>
      <c r="T1975" s="33"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3"/>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3"/>
      <c r="T1977" s="33"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3"/>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3"/>
      <c r="T1979" s="33"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3"/>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3"/>
      <c r="T1981" s="33"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3"/>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3"/>
      <c r="T1983" s="33"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3"/>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3"/>
      <c r="T1985" s="33"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3"/>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3"/>
      <c r="T1987" s="33"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3"/>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3"/>
      <c r="T1989" s="33"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3"/>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3"/>
      <c r="T1991" s="33"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3"/>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3"/>
      <c r="T1993" s="33"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3"/>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3"/>
      <c r="T1995" s="33"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3"/>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3"/>
      <c r="T1997" s="33"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3"/>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3"/>
      <c r="T1999" s="33"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3"/>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33"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33"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33"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33"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33"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33"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33"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33"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33"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33"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33"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33"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33"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33"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33"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33"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33"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33"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33"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33"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33"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33"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33"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33"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33"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33"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33"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33"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33"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33"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33"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33"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33"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33"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33"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33"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33"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33"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33"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33"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33"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33"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33"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33"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33"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33"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33"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33"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33"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33"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33"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33"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33"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33"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33"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33"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33"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33"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33"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33"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33"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33"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33"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33"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33"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33"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33"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33"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33"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33"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33"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33"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33"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33"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33"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33"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33"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33"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33"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33"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33"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33"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33"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33"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33"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33"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33"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33"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33"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33"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33"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33"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33"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33"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33"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33"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33"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33"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33"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33"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33"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33"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33"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33"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33"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33"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33"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33"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33"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33"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33"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33"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33"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33"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33"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33"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33"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33"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33"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33"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33"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33"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33"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33"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33"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33"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33"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33"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33"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33"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33"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33"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33"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33"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33"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33"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33"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33"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33"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33"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33"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33"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33"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33"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33"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33"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33"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33"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33"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33"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33"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33"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33"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33"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33"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33"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33"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33"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33"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33"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33"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33"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33"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33"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33"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33"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33"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33"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33"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33"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33"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33"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33"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33"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33"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33"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33"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33"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33"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33"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33"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33"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33"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33"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33"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33"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33"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33"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33"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33"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33"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33"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33"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33"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33"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33"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33"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33"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33"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33"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33"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33"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33"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33"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33"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33"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33"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33"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33"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33"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33"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33"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33"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33"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33"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33"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33"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33"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33"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33"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33"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33"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33"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33"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33"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33"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33"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33"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33"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33"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33"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33"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33"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33"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33"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33"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33"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33"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33"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33"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33"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33"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33"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33"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33"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33"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33"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33"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33"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33"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33"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33"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33"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33"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33"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33"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33"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33"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33"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33"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33"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33"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33"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33"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33"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33"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33"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33"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33"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33"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33"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33"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33"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33"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33"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33"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33"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33"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33"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33"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33"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33"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33"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33"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33"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33"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33"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33"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33"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33"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33"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33"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33"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33"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33"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33"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33"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33"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33"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33"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33"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33"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33"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33"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33"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33"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33"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33"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33"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33"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33"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33"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33"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33"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33"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33"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33"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33"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33"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33"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33"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33"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33"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33"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33"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33"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33"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33"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33"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33"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33"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33"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33"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33"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33"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33"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33"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33"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33"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33"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33"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33"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33"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33"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33"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33"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33"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33"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33"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33"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33"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33"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33"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33"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33"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33"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33"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33"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33"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33"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33"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33"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33"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33"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33"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33"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33"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33"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33"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33"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33"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33"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33"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33"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33"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33"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33"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33"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33"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33"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33"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33"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33"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33"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33"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33"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33"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33"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33"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33"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33"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33"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33"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33"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33"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33"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33"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33"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33"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33"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33"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33"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33"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33"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33"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33"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33"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33"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33"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33"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33"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33"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33"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33"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33"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33"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33"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33"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33"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33"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33"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33"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33"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33"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33"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33"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33"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33"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33"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33"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33"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33"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33"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33"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33"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33"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33"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33"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33"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33"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33"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33"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33"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33"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33"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33"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33"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33"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33"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33"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33"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33"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33"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33"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33"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33"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33"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33"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33"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33"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33"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33"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33"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33"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33"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33"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33"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33"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33"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33"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33"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33"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33"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33"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33"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33"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33"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33"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33"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33"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33"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33"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33"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33"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33"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33"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33"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33"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33"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33"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33"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33"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33"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33"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33"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33"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33"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33"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33"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33"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33"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33"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33"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33"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33"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33"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33"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33"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33"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33"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33"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33"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33"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33"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33"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33"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33"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33"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33"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33"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33"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33"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33"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33"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33"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33"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33"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33"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33"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33"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33"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33"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33"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33"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33"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33"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33"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33"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33"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33"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33"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33"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33"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33"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33"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33"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33"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33"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33"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33"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33"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33"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33"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33"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33"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33"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33"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33"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33"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33"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33"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33"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33"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33"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33"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33"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33"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33"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33"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33"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33"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33"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33"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33"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33"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33"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33"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33"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33"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33"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33"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33"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33"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33"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33"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33"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33"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33"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33"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33"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33"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33"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33"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33"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33"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33"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33"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33"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33"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33"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33"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33"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33"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33"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33"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33"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33"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33"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33"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33"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33"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33"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33"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33"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33"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33"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33"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33"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33"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33"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33"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33"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33"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33"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33"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33"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33"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33"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33"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33"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33"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33"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33"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33"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33"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33"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33"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33"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33"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33"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33"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33"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33"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33"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33"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33"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33"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33"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33"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33"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33"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33"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33"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33"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33"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33"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33"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33"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33"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33"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33"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33"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33"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33"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33"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33"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33"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33"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33"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33"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33"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33"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33"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33"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33"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33"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33"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33"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33"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33"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33"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33"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33"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33"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33"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33"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33"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33"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33"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33"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33"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33"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33"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33"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33"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33"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33"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33"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33"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33"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33"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33"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33"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33"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33"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33"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33"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33"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33"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33"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33"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33"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33"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33"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33"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33"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33"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33"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33"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33"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33"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33"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33"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33"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33"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33"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33"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33"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33"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33"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33"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33"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33"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33"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33"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33"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33"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33"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33"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33"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33"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33"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33"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33"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33"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33"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33"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33"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33"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33"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33"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33"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33"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33"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33"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33"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33"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33"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33"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33"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33"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33"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33"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33"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33"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33"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33"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33"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33"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33"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33"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33"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33"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33"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33"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33"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33"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33"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33"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33"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33"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33"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33"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33"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33"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33"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33"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33"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33"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33"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33"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33"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33"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33"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33"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33"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33"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33"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33"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33"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33"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33"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33"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33"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33"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33"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33"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33"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33"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33"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33"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33"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33"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33"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33"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33"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33"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33"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33"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33"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33"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33"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33"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33"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33"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33"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33"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33"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33"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33"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33"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33"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33"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33"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33"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33"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33"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33"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33"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33"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33"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33"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33"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33"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33"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33"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33"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33"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33"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33"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33"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33"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33"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33"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33"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33"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33"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33"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33"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33"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33"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33"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33"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33"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33"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33"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33"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33"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33"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33"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33"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33"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33"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33"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33"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33"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33"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33"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33"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33"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33"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33"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33"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33"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33"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33"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33"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33"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33"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33"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33"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33"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33"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33"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33"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33"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33"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33"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33"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33"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33"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33"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33"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33"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33"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33"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33"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33"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33"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33"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33"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33"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33"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33"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33"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33"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33"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33"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33"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33"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33"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33"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33"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33"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33"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33"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33"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33"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33"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33"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33"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33"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33"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33"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33"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33"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33"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33"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33"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33"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33"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33"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33"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33"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33"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33"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33"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33"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33"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33"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33"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33"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33"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33"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33"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33"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33"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33"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33"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33"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33"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33"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33"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33"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33"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33"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33"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33"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33"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33"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33"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33"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33"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33"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33"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33"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33"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33"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33"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33"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33"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33"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33"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33"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33"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33"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33"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33"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33"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33"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33"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33"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33"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33"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33"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33"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33"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33"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33"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33"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33"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33"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33"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33"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33"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33"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33"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33"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33"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33"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33"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33"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33"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33"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33"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33"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33"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33"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33"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33"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33"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33"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33"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33"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33"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33"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33"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33"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33"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33"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33"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33"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33"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33"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33"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33"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33"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33"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33"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33"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33"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33"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33"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33"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33"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33"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33"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33"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33"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33"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33"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33"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33"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33"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33"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33"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33"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33"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33"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33"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33"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33"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33"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33"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33"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33"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33"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33"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33"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33"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33"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33"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33"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33"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33"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33"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33"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33"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33"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33"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33"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33"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33"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33"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33"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33"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33"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33"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33"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33"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33"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33"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33"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33"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33"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33"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33"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33"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33"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33"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33"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33"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33"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33"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33"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33"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33"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33"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33"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33"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33"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33"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33"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33"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33"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33"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33"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33"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33"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33"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33"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33"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33"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33"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33"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33"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33"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33"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33"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33"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33"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33"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33"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33"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33"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33"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33"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33"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33"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33"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33"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33"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33"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33"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33"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33"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33"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33"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33"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33"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33"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33"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33"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33"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33"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33"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33"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33"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33"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33"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33"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33"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33"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33"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33"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33"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33"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33"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33"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33"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33"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33"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33"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33"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33"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33"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33"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33"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33"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33"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33"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33"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33"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33"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33"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33"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33"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33"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33"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33"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33"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33"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33"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33"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33"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33"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33"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33"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33"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33"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33"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33"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33"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33"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33"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33"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33"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33"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33"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33"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33"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33"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33"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33"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33"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33"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33"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33"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33"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33"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33"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33"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33"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33"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33"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33"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33"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33"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33"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33"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33"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33"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33"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33"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33"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33"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33"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33"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33"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33"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33"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33"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33"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33"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33"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33"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33"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33"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33"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33"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33"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33"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33"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33"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33"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33"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33"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33"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33"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33"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33"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33"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33"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33"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33"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33"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33"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33"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33"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33"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33"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33"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33"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33"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33"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33"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33"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33"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33"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33"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33"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33"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33"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33"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33"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33"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33"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33"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33"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33"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33"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33"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33"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33"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33"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33"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33"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33"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33"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33"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33"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33"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33"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33"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33"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33"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33"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33"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33"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33"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33"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33"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33"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33"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33"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33"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33"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33"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33"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33"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33"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33"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33"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33"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33"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33"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33"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33"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33"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33"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33"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33"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33"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33"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33"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33"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33"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33"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33"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33"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33"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33"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33"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33"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33"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33"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33"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33"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33"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33"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33"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33"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33"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33"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33"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33"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33"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33"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33"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33"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33"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33"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33"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33"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33"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33"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33"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33"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33"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33"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33"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33"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33"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33"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33"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33"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33"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33"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33"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33"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33"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33"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33"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33"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33"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33"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33"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33"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33"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33"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33"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33"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33"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33"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33"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33"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33"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33"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33"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33"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33"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33"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33"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33"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33"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33"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33"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33"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33"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33"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33"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33"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33"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33"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33"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33"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33"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33"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33"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33"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33"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33"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33"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33"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33"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33"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33"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33"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33"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33"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33"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33"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33"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33"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33"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33"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33"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33"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33"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33"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33"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33"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33"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33"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33"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33"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33"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33"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33"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33"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33"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33"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33"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33"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33"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33"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33"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33"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33"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33"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33"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33"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33"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33"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33"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33"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33"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33"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33"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33"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33"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33"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33"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33"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33"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33"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33"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33"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33"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33"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33"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33"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33"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33"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33"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33"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33"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33"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33"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33"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33"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33"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33"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33"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33"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33"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33"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33"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33"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33"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3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00"/>
    <col collapsed="false" customWidth="true" hidden="false" outlineLevel="0" max="2" min="2" style="1" width="140"/>
    <col collapsed="false" customWidth="true" hidden="false" outlineLevel="0" max="3" min="3" style="1" width="160"/>
    <col collapsed="false" customWidth="true" hidden="false" outlineLevel="0" max="4" min="4" style="1" width="100"/>
    <col collapsed="false" customWidth="true" hidden="false" outlineLevel="0" max="5" min="5" style="1" width="180"/>
    <col collapsed="false" customWidth="true" hidden="false" outlineLevel="0" max="7" min="6" style="1" width="160"/>
    <col collapsed="false" customWidth="true" hidden="false" outlineLevel="0" max="8" min="8" style="1" width="320"/>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4" t="s">
        <v>870</v>
      </c>
    </row>
    <row r="2" customFormat="false" ht="27.75" hidden="false" customHeight="true" outlineLevel="0" collapsed="false">
      <c r="A2" s="45" t="s">
        <v>871</v>
      </c>
      <c r="B2" s="45"/>
      <c r="C2" s="45"/>
      <c r="D2" s="45"/>
      <c r="E2" s="45"/>
      <c r="F2" s="45"/>
      <c r="G2" s="45"/>
      <c r="H2" s="45"/>
      <c r="I2" s="45"/>
      <c r="J2" s="46"/>
      <c r="K2" s="46"/>
      <c r="L2" s="46"/>
      <c r="M2" s="46"/>
      <c r="N2" s="46"/>
      <c r="O2" s="46"/>
    </row>
    <row r="3" customFormat="false" ht="36" hidden="false" customHeight="true" outlineLevel="0" collapsed="false">
      <c r="A3" s="4" t="s">
        <v>753</v>
      </c>
      <c r="B3" s="4" t="s">
        <v>872</v>
      </c>
      <c r="C3" s="4" t="s">
        <v>873</v>
      </c>
      <c r="D3" s="4" t="s">
        <v>874</v>
      </c>
      <c r="E3" s="4" t="s">
        <v>875</v>
      </c>
      <c r="F3" s="4" t="s">
        <v>686</v>
      </c>
      <c r="G3" s="4" t="s">
        <v>876</v>
      </c>
      <c r="H3" s="4" t="s">
        <v>877</v>
      </c>
      <c r="I3" s="4"/>
      <c r="J3" s="47"/>
      <c r="K3" s="47"/>
      <c r="L3" s="47"/>
      <c r="M3" s="47"/>
      <c r="N3" s="47"/>
      <c r="O3" s="47"/>
    </row>
    <row r="4" customFormat="false" ht="25.5" hidden="false" customHeight="true" outlineLevel="0" collapsed="false">
      <c r="A4" s="48" t="s">
        <v>878</v>
      </c>
      <c r="B4" s="49" t="s">
        <v>879</v>
      </c>
      <c r="C4" s="49" t="s">
        <v>880</v>
      </c>
      <c r="D4" s="49" t="s">
        <v>881</v>
      </c>
      <c r="E4" s="48" t="s">
        <v>882</v>
      </c>
      <c r="F4" s="48" t="s">
        <v>883</v>
      </c>
      <c r="G4" s="49" t="s">
        <v>776</v>
      </c>
      <c r="H4" s="49" t="s">
        <v>884</v>
      </c>
      <c r="I4" s="49" t="s">
        <v>885</v>
      </c>
      <c r="J4" s="9"/>
      <c r="K4" s="9"/>
      <c r="L4" s="9"/>
      <c r="M4" s="9"/>
      <c r="N4" s="9"/>
      <c r="O4" s="9"/>
    </row>
    <row r="5" customFormat="false" ht="25.5" hidden="false" customHeight="true" outlineLevel="0" collapsed="false">
      <c r="A5" s="48" t="s">
        <v>878</v>
      </c>
      <c r="B5" s="49" t="s">
        <v>879</v>
      </c>
      <c r="C5" s="49" t="s">
        <v>886</v>
      </c>
      <c r="D5" s="49" t="s">
        <v>887</v>
      </c>
      <c r="E5" s="48" t="s">
        <v>882</v>
      </c>
      <c r="F5" s="48"/>
      <c r="G5" s="49" t="s">
        <v>776</v>
      </c>
      <c r="H5" s="49" t="s">
        <v>884</v>
      </c>
      <c r="I5" s="49" t="s">
        <v>885</v>
      </c>
      <c r="J5" s="9"/>
      <c r="K5" s="9"/>
      <c r="L5" s="9"/>
      <c r="M5" s="9"/>
      <c r="N5" s="9"/>
      <c r="O5" s="9"/>
    </row>
    <row r="6" customFormat="false" ht="25.5" hidden="false" customHeight="true" outlineLevel="0" collapsed="false">
      <c r="A6" s="48" t="s">
        <v>878</v>
      </c>
      <c r="B6" s="49" t="s">
        <v>879</v>
      </c>
      <c r="C6" s="49" t="s">
        <v>888</v>
      </c>
      <c r="D6" s="49" t="s">
        <v>887</v>
      </c>
      <c r="E6" s="48" t="s">
        <v>882</v>
      </c>
      <c r="F6" s="48"/>
      <c r="G6" s="49" t="s">
        <v>776</v>
      </c>
      <c r="H6" s="49" t="s">
        <v>884</v>
      </c>
      <c r="I6" s="49" t="s">
        <v>885</v>
      </c>
      <c r="J6" s="9"/>
      <c r="K6" s="9"/>
      <c r="L6" s="9"/>
      <c r="M6" s="9"/>
      <c r="N6" s="9"/>
      <c r="O6" s="9"/>
    </row>
    <row r="7" customFormat="false" ht="25.5" hidden="false" customHeight="true" outlineLevel="0" collapsed="false">
      <c r="A7" s="48" t="s">
        <v>878</v>
      </c>
      <c r="B7" s="49" t="s">
        <v>879</v>
      </c>
      <c r="C7" s="49" t="s">
        <v>889</v>
      </c>
      <c r="D7" s="49" t="s">
        <v>890</v>
      </c>
      <c r="E7" s="48" t="s">
        <v>882</v>
      </c>
      <c r="F7" s="48"/>
      <c r="G7" s="49" t="s">
        <v>776</v>
      </c>
      <c r="H7" s="49" t="s">
        <v>884</v>
      </c>
      <c r="I7" s="49" t="s">
        <v>885</v>
      </c>
      <c r="J7" s="9"/>
      <c r="K7" s="9"/>
      <c r="L7" s="9"/>
      <c r="M7" s="9"/>
      <c r="N7" s="9"/>
      <c r="O7" s="9"/>
    </row>
    <row r="8" customFormat="false" ht="25.5" hidden="false" customHeight="true" outlineLevel="0" collapsed="false">
      <c r="A8" s="48" t="s">
        <v>878</v>
      </c>
      <c r="B8" s="49" t="s">
        <v>891</v>
      </c>
      <c r="C8" s="49" t="s">
        <v>892</v>
      </c>
      <c r="D8" s="49"/>
      <c r="E8" s="48" t="s">
        <v>893</v>
      </c>
      <c r="F8" s="48" t="s">
        <v>894</v>
      </c>
      <c r="G8" s="49" t="s">
        <v>776</v>
      </c>
      <c r="H8" s="49" t="s">
        <v>895</v>
      </c>
      <c r="I8" s="49" t="s">
        <v>885</v>
      </c>
      <c r="J8" s="9"/>
      <c r="K8" s="9"/>
      <c r="L8" s="9"/>
      <c r="M8" s="9"/>
      <c r="N8" s="9"/>
      <c r="O8" s="9"/>
    </row>
    <row r="9" customFormat="false" ht="25.5" hidden="false" customHeight="true" outlineLevel="0" collapsed="false">
      <c r="A9" s="48" t="s">
        <v>878</v>
      </c>
      <c r="B9" s="49" t="s">
        <v>896</v>
      </c>
      <c r="C9" s="49" t="s">
        <v>897</v>
      </c>
      <c r="D9" s="49" t="s">
        <v>898</v>
      </c>
      <c r="E9" s="49" t="s">
        <v>899</v>
      </c>
      <c r="F9" s="49"/>
      <c r="G9" s="49" t="s">
        <v>776</v>
      </c>
      <c r="H9" s="49" t="s">
        <v>895</v>
      </c>
      <c r="I9" s="49" t="s">
        <v>885</v>
      </c>
      <c r="J9" s="46"/>
      <c r="K9" s="46"/>
      <c r="L9" s="46"/>
      <c r="M9" s="46"/>
      <c r="N9" s="46"/>
      <c r="O9" s="46"/>
    </row>
    <row r="10" customFormat="false" ht="25.5" hidden="false" customHeight="true" outlineLevel="0" collapsed="false">
      <c r="A10" s="48" t="s">
        <v>878</v>
      </c>
      <c r="B10" s="49" t="s">
        <v>896</v>
      </c>
      <c r="C10" s="49" t="s">
        <v>900</v>
      </c>
      <c r="D10" s="49" t="s">
        <v>898</v>
      </c>
      <c r="E10" s="49" t="s">
        <v>893</v>
      </c>
      <c r="F10" s="49"/>
      <c r="G10" s="49" t="s">
        <v>776</v>
      </c>
      <c r="H10" s="49" t="s">
        <v>895</v>
      </c>
      <c r="I10" s="49" t="s">
        <v>885</v>
      </c>
      <c r="J10" s="46"/>
      <c r="K10" s="46"/>
      <c r="L10" s="46"/>
      <c r="M10" s="46"/>
      <c r="N10" s="46"/>
      <c r="O10" s="46"/>
    </row>
    <row r="11" customFormat="false" ht="25.5" hidden="false" customHeight="true" outlineLevel="0" collapsed="false">
      <c r="A11" s="48" t="s">
        <v>878</v>
      </c>
      <c r="B11" s="49" t="s">
        <v>896</v>
      </c>
      <c r="C11" s="49" t="s">
        <v>901</v>
      </c>
      <c r="D11" s="49" t="s">
        <v>898</v>
      </c>
      <c r="E11" s="49" t="s">
        <v>893</v>
      </c>
      <c r="F11" s="49"/>
      <c r="G11" s="49" t="s">
        <v>776</v>
      </c>
      <c r="H11" s="49" t="s">
        <v>895</v>
      </c>
      <c r="I11" s="49" t="s">
        <v>885</v>
      </c>
      <c r="J11" s="46"/>
      <c r="K11" s="46"/>
      <c r="L11" s="46"/>
      <c r="M11" s="46"/>
      <c r="N11" s="46"/>
      <c r="O11" s="46"/>
    </row>
    <row r="12" customFormat="false" ht="25.5" hidden="false" customHeight="true" outlineLevel="0" collapsed="false">
      <c r="A12" s="48" t="s">
        <v>878</v>
      </c>
      <c r="B12" s="49" t="s">
        <v>896</v>
      </c>
      <c r="C12" s="49" t="s">
        <v>902</v>
      </c>
      <c r="D12" s="49" t="s">
        <v>903</v>
      </c>
      <c r="E12" s="49" t="s">
        <v>893</v>
      </c>
      <c r="F12" s="49"/>
      <c r="G12" s="49" t="s">
        <v>776</v>
      </c>
      <c r="H12" s="49" t="s">
        <v>895</v>
      </c>
      <c r="I12" s="49" t="s">
        <v>885</v>
      </c>
      <c r="J12" s="46"/>
      <c r="K12" s="46"/>
      <c r="L12" s="46"/>
      <c r="M12" s="46"/>
      <c r="N12" s="46"/>
      <c r="O12" s="46"/>
    </row>
    <row r="13" customFormat="false" ht="25.5" hidden="false" customHeight="true" outlineLevel="0" collapsed="false">
      <c r="A13" s="48" t="s">
        <v>878</v>
      </c>
      <c r="B13" s="49" t="s">
        <v>896</v>
      </c>
      <c r="C13" s="49" t="s">
        <v>904</v>
      </c>
      <c r="D13" s="49"/>
      <c r="E13" s="49" t="s">
        <v>893</v>
      </c>
      <c r="F13" s="49"/>
      <c r="G13" s="49" t="s">
        <v>776</v>
      </c>
      <c r="H13" s="49" t="s">
        <v>895</v>
      </c>
      <c r="I13" s="49" t="s">
        <v>885</v>
      </c>
      <c r="J13" s="46"/>
      <c r="K13" s="46"/>
      <c r="L13" s="46"/>
      <c r="M13" s="46"/>
      <c r="N13" s="46"/>
      <c r="O13" s="46"/>
    </row>
    <row r="14" customFormat="false" ht="25.5" hidden="false" customHeight="true" outlineLevel="0" collapsed="false">
      <c r="A14" s="48" t="s">
        <v>878</v>
      </c>
      <c r="B14" s="49" t="s">
        <v>896</v>
      </c>
      <c r="C14" s="49" t="s">
        <v>905</v>
      </c>
      <c r="D14" s="49"/>
      <c r="E14" s="49" t="s">
        <v>893</v>
      </c>
      <c r="F14" s="49"/>
      <c r="G14" s="49" t="s">
        <v>776</v>
      </c>
      <c r="H14" s="49" t="s">
        <v>895</v>
      </c>
      <c r="I14" s="49" t="s">
        <v>885</v>
      </c>
      <c r="J14" s="46"/>
      <c r="K14" s="46"/>
      <c r="L14" s="46"/>
      <c r="M14" s="46"/>
      <c r="N14" s="46"/>
      <c r="O14" s="46"/>
    </row>
    <row r="15" customFormat="false" ht="25.5" hidden="false" customHeight="true" outlineLevel="0" collapsed="false">
      <c r="A15" s="48" t="s">
        <v>878</v>
      </c>
      <c r="B15" s="49" t="s">
        <v>896</v>
      </c>
      <c r="C15" s="49" t="s">
        <v>906</v>
      </c>
      <c r="D15" s="49"/>
      <c r="E15" s="49" t="s">
        <v>893</v>
      </c>
      <c r="F15" s="49"/>
      <c r="G15" s="49" t="s">
        <v>776</v>
      </c>
      <c r="H15" s="49" t="s">
        <v>895</v>
      </c>
      <c r="I15" s="49" t="s">
        <v>885</v>
      </c>
      <c r="J15" s="46"/>
      <c r="K15" s="46"/>
      <c r="L15" s="46"/>
      <c r="M15" s="46"/>
      <c r="N15" s="46"/>
      <c r="O15" s="46"/>
    </row>
    <row r="16" customFormat="false" ht="25.5" hidden="false" customHeight="true" outlineLevel="0" collapsed="false">
      <c r="A16" s="50" t="s">
        <v>878</v>
      </c>
      <c r="B16" s="51" t="s">
        <v>907</v>
      </c>
      <c r="C16" s="51" t="s">
        <v>908</v>
      </c>
      <c r="D16" s="51"/>
      <c r="E16" s="51" t="s">
        <v>909</v>
      </c>
      <c r="F16" s="51"/>
      <c r="G16" s="52" t="s">
        <v>910</v>
      </c>
      <c r="H16" s="51" t="s">
        <v>911</v>
      </c>
      <c r="I16" s="51" t="s">
        <v>912</v>
      </c>
      <c r="J16" s="53"/>
      <c r="K16" s="53"/>
    </row>
    <row r="17" customFormat="false" ht="25.5" hidden="false" customHeight="true" outlineLevel="0" collapsed="false">
      <c r="A17" s="48" t="s">
        <v>878</v>
      </c>
      <c r="B17" s="49" t="s">
        <v>907</v>
      </c>
      <c r="C17" s="49" t="s">
        <v>913</v>
      </c>
      <c r="D17" s="49"/>
      <c r="E17" s="49" t="s">
        <v>893</v>
      </c>
      <c r="F17" s="49"/>
      <c r="G17" s="49" t="s">
        <v>776</v>
      </c>
      <c r="H17" s="49" t="s">
        <v>895</v>
      </c>
      <c r="I17" s="49" t="s">
        <v>885</v>
      </c>
      <c r="J17" s="53"/>
      <c r="K17" s="53"/>
    </row>
    <row r="18" customFormat="false" ht="25.5" hidden="false" customHeight="true" outlineLevel="0" collapsed="false">
      <c r="A18" s="48" t="s">
        <v>878</v>
      </c>
      <c r="B18" s="49" t="s">
        <v>907</v>
      </c>
      <c r="C18" s="49" t="s">
        <v>914</v>
      </c>
      <c r="D18" s="49"/>
      <c r="E18" s="49" t="s">
        <v>893</v>
      </c>
      <c r="F18" s="49"/>
      <c r="G18" s="49" t="s">
        <v>776</v>
      </c>
      <c r="H18" s="49" t="s">
        <v>895</v>
      </c>
      <c r="I18" s="49" t="s">
        <v>885</v>
      </c>
      <c r="J18" s="53"/>
      <c r="K18" s="53"/>
    </row>
    <row r="19" customFormat="false" ht="25.5" hidden="false" customHeight="true" outlineLevel="0" collapsed="false">
      <c r="A19" s="48" t="s">
        <v>878</v>
      </c>
      <c r="B19" s="49" t="s">
        <v>915</v>
      </c>
      <c r="C19" s="49" t="s">
        <v>916</v>
      </c>
      <c r="D19" s="49"/>
      <c r="E19" s="49" t="s">
        <v>893</v>
      </c>
      <c r="F19" s="49"/>
      <c r="G19" s="49" t="s">
        <v>776</v>
      </c>
      <c r="H19" s="49" t="s">
        <v>895</v>
      </c>
      <c r="I19" s="49" t="s">
        <v>885</v>
      </c>
      <c r="J19" s="53"/>
      <c r="K19" s="53"/>
    </row>
    <row r="20" customFormat="false" ht="25.5" hidden="false" customHeight="true" outlineLevel="0" collapsed="false">
      <c r="A20" s="48" t="s">
        <v>878</v>
      </c>
      <c r="B20" s="49" t="s">
        <v>917</v>
      </c>
      <c r="C20" s="49" t="s">
        <v>918</v>
      </c>
      <c r="D20" s="49" t="s">
        <v>919</v>
      </c>
      <c r="E20" s="49" t="s">
        <v>882</v>
      </c>
      <c r="F20" s="49" t="s">
        <v>920</v>
      </c>
      <c r="G20" s="49" t="s">
        <v>776</v>
      </c>
      <c r="H20" s="49" t="s">
        <v>884</v>
      </c>
      <c r="I20" s="49" t="s">
        <v>885</v>
      </c>
      <c r="J20" s="53"/>
      <c r="K20" s="53"/>
    </row>
    <row r="21" customFormat="false" ht="25.5" hidden="false" customHeight="true" outlineLevel="0" collapsed="false">
      <c r="A21" s="48" t="s">
        <v>878</v>
      </c>
      <c r="B21" s="49" t="s">
        <v>917</v>
      </c>
      <c r="C21" s="49" t="s">
        <v>921</v>
      </c>
      <c r="D21" s="49" t="s">
        <v>922</v>
      </c>
      <c r="E21" s="49" t="s">
        <v>882</v>
      </c>
      <c r="F21" s="49" t="s">
        <v>923</v>
      </c>
      <c r="G21" s="49" t="s">
        <v>776</v>
      </c>
      <c r="H21" s="49" t="s">
        <v>884</v>
      </c>
      <c r="I21" s="49" t="s">
        <v>885</v>
      </c>
      <c r="J21" s="53"/>
      <c r="K21" s="53"/>
    </row>
    <row r="22" customFormat="false" ht="25.5" hidden="false" customHeight="true" outlineLevel="0" collapsed="false">
      <c r="A22" s="48" t="s">
        <v>878</v>
      </c>
      <c r="B22" s="49" t="s">
        <v>917</v>
      </c>
      <c r="C22" s="49" t="s">
        <v>924</v>
      </c>
      <c r="D22" s="49"/>
      <c r="E22" s="49" t="s">
        <v>893</v>
      </c>
      <c r="F22" s="49"/>
      <c r="G22" s="49" t="s">
        <v>776</v>
      </c>
      <c r="H22" s="49" t="s">
        <v>895</v>
      </c>
      <c r="I22" s="49" t="s">
        <v>885</v>
      </c>
      <c r="J22" s="53"/>
      <c r="K22" s="53"/>
    </row>
    <row r="23" customFormat="false" ht="25.5" hidden="false" customHeight="true" outlineLevel="0" collapsed="false">
      <c r="A23" s="48" t="s">
        <v>878</v>
      </c>
      <c r="B23" s="49" t="s">
        <v>925</v>
      </c>
      <c r="C23" s="49" t="s">
        <v>926</v>
      </c>
      <c r="D23" s="49"/>
      <c r="E23" s="49" t="s">
        <v>882</v>
      </c>
      <c r="F23" s="49" t="s">
        <v>927</v>
      </c>
      <c r="G23" s="49" t="s">
        <v>776</v>
      </c>
      <c r="H23" s="49" t="s">
        <v>884</v>
      </c>
      <c r="I23" s="49" t="s">
        <v>885</v>
      </c>
      <c r="J23" s="53"/>
      <c r="K23" s="53"/>
    </row>
    <row r="24" customFormat="false" ht="25.5" hidden="false" customHeight="true" outlineLevel="0" collapsed="false">
      <c r="A24" s="48" t="s">
        <v>878</v>
      </c>
      <c r="B24" s="49" t="s">
        <v>925</v>
      </c>
      <c r="C24" s="49" t="s">
        <v>928</v>
      </c>
      <c r="D24" s="49" t="s">
        <v>929</v>
      </c>
      <c r="E24" s="49" t="s">
        <v>930</v>
      </c>
      <c r="F24" s="49"/>
      <c r="G24" s="49" t="s">
        <v>776</v>
      </c>
      <c r="H24" s="49" t="s">
        <v>931</v>
      </c>
      <c r="I24" s="49" t="s">
        <v>885</v>
      </c>
      <c r="J24" s="53"/>
      <c r="K24" s="53"/>
    </row>
    <row r="25" customFormat="false" ht="25.5" hidden="false" customHeight="true" outlineLevel="0" collapsed="false">
      <c r="A25" s="48" t="s">
        <v>878</v>
      </c>
      <c r="B25" s="49" t="s">
        <v>932</v>
      </c>
      <c r="C25" s="49" t="s">
        <v>933</v>
      </c>
      <c r="D25" s="49"/>
      <c r="E25" s="49" t="s">
        <v>882</v>
      </c>
      <c r="F25" s="49" t="s">
        <v>934</v>
      </c>
      <c r="G25" s="49" t="s">
        <v>776</v>
      </c>
      <c r="H25" s="49" t="s">
        <v>884</v>
      </c>
      <c r="I25" s="49" t="s">
        <v>885</v>
      </c>
      <c r="J25" s="53"/>
      <c r="K25" s="53"/>
    </row>
    <row r="26" customFormat="false" ht="25.5" hidden="false" customHeight="true" outlineLevel="0" collapsed="false">
      <c r="A26" s="48" t="s">
        <v>878</v>
      </c>
      <c r="B26" s="49" t="s">
        <v>932</v>
      </c>
      <c r="C26" s="49" t="s">
        <v>935</v>
      </c>
      <c r="D26" s="49" t="s">
        <v>936</v>
      </c>
      <c r="E26" s="49" t="s">
        <v>882</v>
      </c>
      <c r="F26" s="49" t="s">
        <v>937</v>
      </c>
      <c r="G26" s="49" t="s">
        <v>776</v>
      </c>
      <c r="H26" s="49" t="s">
        <v>884</v>
      </c>
      <c r="I26" s="49" t="s">
        <v>885</v>
      </c>
      <c r="J26" s="53"/>
      <c r="K26" s="53"/>
    </row>
    <row r="27" customFormat="false" ht="25.5" hidden="false" customHeight="true" outlineLevel="0" collapsed="false">
      <c r="A27" s="48" t="s">
        <v>878</v>
      </c>
      <c r="B27" s="49" t="s">
        <v>932</v>
      </c>
      <c r="C27" s="49" t="s">
        <v>938</v>
      </c>
      <c r="D27" s="49"/>
      <c r="E27" s="49" t="s">
        <v>893</v>
      </c>
      <c r="F27" s="49"/>
      <c r="G27" s="49" t="s">
        <v>776</v>
      </c>
      <c r="H27" s="49" t="s">
        <v>895</v>
      </c>
      <c r="I27" s="49" t="s">
        <v>885</v>
      </c>
      <c r="J27" s="53"/>
      <c r="K27" s="53"/>
    </row>
    <row r="28" customFormat="false" ht="25.5" hidden="false" customHeight="true" outlineLevel="0" collapsed="false">
      <c r="A28" s="48" t="s">
        <v>878</v>
      </c>
      <c r="B28" s="49" t="s">
        <v>939</v>
      </c>
      <c r="C28" s="49" t="s">
        <v>940</v>
      </c>
      <c r="D28" s="49"/>
      <c r="E28" s="49" t="s">
        <v>893</v>
      </c>
      <c r="F28" s="49" t="s">
        <v>941</v>
      </c>
      <c r="G28" s="49" t="s">
        <v>776</v>
      </c>
      <c r="H28" s="49" t="s">
        <v>895</v>
      </c>
      <c r="I28" s="49" t="s">
        <v>885</v>
      </c>
      <c r="J28" s="53"/>
      <c r="K28" s="53"/>
    </row>
    <row r="29" customFormat="false" ht="25.5" hidden="false" customHeight="true" outlineLevel="0" collapsed="false">
      <c r="A29" s="48" t="s">
        <v>942</v>
      </c>
      <c r="B29" s="49" t="s">
        <v>879</v>
      </c>
      <c r="C29" s="49" t="s">
        <v>943</v>
      </c>
      <c r="D29" s="49" t="s">
        <v>944</v>
      </c>
      <c r="E29" s="49" t="s">
        <v>843</v>
      </c>
      <c r="F29" s="49" t="s">
        <v>945</v>
      </c>
      <c r="G29" s="49" t="s">
        <v>776</v>
      </c>
      <c r="H29" s="49" t="s">
        <v>946</v>
      </c>
      <c r="I29" s="49" t="s">
        <v>885</v>
      </c>
      <c r="J29" s="53"/>
      <c r="K29" s="53"/>
    </row>
    <row r="30" customFormat="false" ht="25.5" hidden="false" customHeight="true" outlineLevel="0" collapsed="false">
      <c r="A30" s="50" t="s">
        <v>942</v>
      </c>
      <c r="B30" s="51" t="s">
        <v>879</v>
      </c>
      <c r="C30" s="51" t="s">
        <v>947</v>
      </c>
      <c r="D30" s="51"/>
      <c r="E30" s="51" t="s">
        <v>40</v>
      </c>
      <c r="F30" s="51"/>
      <c r="G30" s="52" t="s">
        <v>910</v>
      </c>
      <c r="H30" s="51" t="s">
        <v>948</v>
      </c>
      <c r="I30" s="51" t="s">
        <v>912</v>
      </c>
      <c r="J30" s="53"/>
      <c r="K30" s="53"/>
    </row>
    <row r="31" customFormat="false" ht="25.5" hidden="false" customHeight="true" outlineLevel="0" collapsed="false">
      <c r="A31" s="50" t="s">
        <v>942</v>
      </c>
      <c r="B31" s="51" t="s">
        <v>879</v>
      </c>
      <c r="C31" s="51" t="s">
        <v>949</v>
      </c>
      <c r="D31" s="51"/>
      <c r="E31" s="51" t="s">
        <v>811</v>
      </c>
      <c r="F31" s="51"/>
      <c r="G31" s="52" t="s">
        <v>910</v>
      </c>
      <c r="H31" s="51" t="s">
        <v>948</v>
      </c>
      <c r="I31" s="51" t="s">
        <v>912</v>
      </c>
      <c r="J31" s="53"/>
      <c r="K31" s="53"/>
    </row>
    <row r="32" customFormat="false" ht="25.5" hidden="false" customHeight="true" outlineLevel="0" collapsed="false">
      <c r="A32" s="48" t="s">
        <v>942</v>
      </c>
      <c r="B32" s="49" t="s">
        <v>950</v>
      </c>
      <c r="C32" s="49" t="s">
        <v>951</v>
      </c>
      <c r="D32" s="49"/>
      <c r="E32" s="49" t="s">
        <v>217</v>
      </c>
      <c r="F32" s="49" t="s">
        <v>952</v>
      </c>
      <c r="G32" s="49" t="s">
        <v>776</v>
      </c>
      <c r="H32" s="49" t="s">
        <v>946</v>
      </c>
      <c r="I32" s="49" t="s">
        <v>885</v>
      </c>
      <c r="J32" s="53"/>
      <c r="K32" s="53"/>
    </row>
    <row r="33" customFormat="false" ht="25.5" hidden="false" customHeight="true" outlineLevel="0" collapsed="false">
      <c r="A33" s="48" t="s">
        <v>942</v>
      </c>
      <c r="B33" s="49" t="s">
        <v>950</v>
      </c>
      <c r="C33" s="49" t="s">
        <v>953</v>
      </c>
      <c r="D33" s="49" t="s">
        <v>954</v>
      </c>
      <c r="E33" s="49" t="s">
        <v>217</v>
      </c>
      <c r="F33" s="49" t="s">
        <v>955</v>
      </c>
      <c r="G33" s="49" t="s">
        <v>776</v>
      </c>
      <c r="H33" s="49" t="s">
        <v>946</v>
      </c>
      <c r="I33" s="49" t="s">
        <v>885</v>
      </c>
      <c r="J33" s="53"/>
      <c r="K33" s="53"/>
    </row>
    <row r="34" customFormat="false" ht="25.5" hidden="false" customHeight="true" outlineLevel="0" collapsed="false">
      <c r="A34" s="50" t="s">
        <v>942</v>
      </c>
      <c r="B34" s="51" t="s">
        <v>950</v>
      </c>
      <c r="C34" s="51" t="s">
        <v>956</v>
      </c>
      <c r="D34" s="51" t="s">
        <v>954</v>
      </c>
      <c r="E34" s="51" t="s">
        <v>957</v>
      </c>
      <c r="F34" s="51" t="s">
        <v>958</v>
      </c>
      <c r="G34" s="52" t="s">
        <v>910</v>
      </c>
      <c r="H34" s="51" t="s">
        <v>959</v>
      </c>
      <c r="I34" s="51" t="s">
        <v>912</v>
      </c>
      <c r="J34" s="53"/>
      <c r="K34" s="53"/>
    </row>
    <row r="35" customFormat="false" ht="25.5" hidden="false" customHeight="true" outlineLevel="0" collapsed="false">
      <c r="A35" s="48" t="s">
        <v>942</v>
      </c>
      <c r="B35" s="49" t="s">
        <v>907</v>
      </c>
      <c r="C35" s="49" t="s">
        <v>960</v>
      </c>
      <c r="D35" s="49"/>
      <c r="E35" s="49" t="s">
        <v>217</v>
      </c>
      <c r="F35" s="49" t="s">
        <v>961</v>
      </c>
      <c r="G35" s="49" t="s">
        <v>776</v>
      </c>
      <c r="H35" s="49" t="s">
        <v>946</v>
      </c>
      <c r="I35" s="49" t="s">
        <v>885</v>
      </c>
      <c r="J35" s="53"/>
      <c r="K35" s="53"/>
    </row>
    <row r="36" customFormat="false" ht="25.5" hidden="false" customHeight="true" outlineLevel="0" collapsed="false">
      <c r="A36" s="48" t="s">
        <v>942</v>
      </c>
      <c r="B36" s="49" t="s">
        <v>915</v>
      </c>
      <c r="C36" s="49" t="s">
        <v>962</v>
      </c>
      <c r="D36" s="49"/>
      <c r="E36" s="49" t="s">
        <v>963</v>
      </c>
      <c r="F36" s="49"/>
      <c r="G36" s="49" t="s">
        <v>776</v>
      </c>
      <c r="H36" s="49" t="s">
        <v>946</v>
      </c>
      <c r="I36" s="49" t="s">
        <v>885</v>
      </c>
      <c r="J36" s="53"/>
      <c r="K36" s="53"/>
    </row>
    <row r="37" customFormat="false" ht="25.5" hidden="false" customHeight="true" outlineLevel="0" collapsed="false">
      <c r="A37" s="48" t="s">
        <v>942</v>
      </c>
      <c r="B37" s="49" t="s">
        <v>917</v>
      </c>
      <c r="C37" s="49" t="s">
        <v>964</v>
      </c>
      <c r="D37" s="49" t="s">
        <v>965</v>
      </c>
      <c r="E37" s="49" t="s">
        <v>217</v>
      </c>
      <c r="F37" s="49" t="s">
        <v>966</v>
      </c>
      <c r="G37" s="49" t="s">
        <v>776</v>
      </c>
      <c r="H37" s="49" t="s">
        <v>946</v>
      </c>
      <c r="I37" s="49" t="s">
        <v>885</v>
      </c>
      <c r="J37" s="53"/>
      <c r="K37" s="53"/>
    </row>
    <row r="38" customFormat="false" ht="25.5" hidden="false" customHeight="true" outlineLevel="0" collapsed="false">
      <c r="A38" s="48" t="s">
        <v>942</v>
      </c>
      <c r="B38" s="49" t="s">
        <v>917</v>
      </c>
      <c r="C38" s="49" t="s">
        <v>967</v>
      </c>
      <c r="D38" s="49" t="s">
        <v>968</v>
      </c>
      <c r="E38" s="49" t="s">
        <v>969</v>
      </c>
      <c r="F38" s="49" t="s">
        <v>970</v>
      </c>
      <c r="G38" s="49" t="s">
        <v>776</v>
      </c>
      <c r="H38" s="49" t="s">
        <v>946</v>
      </c>
      <c r="I38" s="49" t="s">
        <v>885</v>
      </c>
      <c r="J38" s="53"/>
      <c r="K38" s="53"/>
    </row>
    <row r="39" customFormat="false" ht="25.5" hidden="false" customHeight="true" outlineLevel="0" collapsed="false">
      <c r="A39" s="48" t="s">
        <v>942</v>
      </c>
      <c r="B39" s="49" t="s">
        <v>925</v>
      </c>
      <c r="C39" s="49" t="s">
        <v>971</v>
      </c>
      <c r="D39" s="49" t="s">
        <v>972</v>
      </c>
      <c r="E39" s="49" t="s">
        <v>217</v>
      </c>
      <c r="F39" s="49"/>
      <c r="G39" s="49" t="s">
        <v>776</v>
      </c>
      <c r="H39" s="49" t="s">
        <v>946</v>
      </c>
      <c r="I39" s="49" t="s">
        <v>885</v>
      </c>
      <c r="J39" s="53"/>
      <c r="K39" s="53"/>
    </row>
    <row r="40" customFormat="false" ht="25.5" hidden="false" customHeight="true" outlineLevel="0" collapsed="false">
      <c r="A40" s="50" t="s">
        <v>942</v>
      </c>
      <c r="B40" s="51" t="s">
        <v>925</v>
      </c>
      <c r="C40" s="51" t="s">
        <v>973</v>
      </c>
      <c r="D40" s="51" t="s">
        <v>968</v>
      </c>
      <c r="E40" s="51" t="s">
        <v>974</v>
      </c>
      <c r="F40" s="51" t="s">
        <v>975</v>
      </c>
      <c r="G40" s="52" t="s">
        <v>910</v>
      </c>
      <c r="H40" s="51" t="s">
        <v>948</v>
      </c>
      <c r="I40" s="51" t="s">
        <v>912</v>
      </c>
      <c r="J40" s="53"/>
      <c r="K40" s="53"/>
    </row>
    <row r="41" customFormat="false" ht="25.5" hidden="false" customHeight="true" outlineLevel="0" collapsed="false">
      <c r="A41" s="48" t="s">
        <v>942</v>
      </c>
      <c r="B41" s="49" t="s">
        <v>925</v>
      </c>
      <c r="C41" s="49" t="s">
        <v>976</v>
      </c>
      <c r="D41" s="49"/>
      <c r="E41" s="49" t="s">
        <v>217</v>
      </c>
      <c r="F41" s="49" t="s">
        <v>927</v>
      </c>
      <c r="G41" s="49" t="s">
        <v>776</v>
      </c>
      <c r="H41" s="49" t="s">
        <v>946</v>
      </c>
      <c r="I41" s="49" t="s">
        <v>885</v>
      </c>
      <c r="J41" s="53"/>
      <c r="K41" s="53"/>
    </row>
    <row r="42" customFormat="false" ht="25.5" hidden="false" customHeight="true" outlineLevel="0" collapsed="false">
      <c r="A42" s="48" t="s">
        <v>942</v>
      </c>
      <c r="B42" s="49" t="s">
        <v>977</v>
      </c>
      <c r="C42" s="49" t="s">
        <v>978</v>
      </c>
      <c r="D42" s="49"/>
      <c r="E42" s="49" t="s">
        <v>217</v>
      </c>
      <c r="F42" s="49"/>
      <c r="G42" s="49" t="s">
        <v>776</v>
      </c>
      <c r="H42" s="49" t="s">
        <v>946</v>
      </c>
      <c r="I42" s="49" t="s">
        <v>885</v>
      </c>
      <c r="J42" s="53"/>
      <c r="K42" s="53"/>
    </row>
    <row r="43" customFormat="false" ht="25.5" hidden="false" customHeight="true" outlineLevel="0" collapsed="false">
      <c r="A43" s="50" t="s">
        <v>942</v>
      </c>
      <c r="B43" s="51" t="s">
        <v>977</v>
      </c>
      <c r="C43" s="51" t="s">
        <v>979</v>
      </c>
      <c r="D43" s="51" t="s">
        <v>980</v>
      </c>
      <c r="E43" s="51" t="s">
        <v>981</v>
      </c>
      <c r="F43" s="51" t="s">
        <v>982</v>
      </c>
      <c r="G43" s="52" t="s">
        <v>910</v>
      </c>
      <c r="H43" s="51" t="s">
        <v>983</v>
      </c>
      <c r="I43" s="51" t="s">
        <v>912</v>
      </c>
      <c r="J43" s="53"/>
      <c r="K43" s="53"/>
    </row>
    <row r="44" customFormat="false" ht="25.5" hidden="false" customHeight="true" outlineLevel="0" collapsed="false">
      <c r="A44" s="48" t="s">
        <v>942</v>
      </c>
      <c r="B44" s="49" t="s">
        <v>932</v>
      </c>
      <c r="C44" s="49" t="s">
        <v>984</v>
      </c>
      <c r="D44" s="49" t="s">
        <v>936</v>
      </c>
      <c r="E44" s="49" t="s">
        <v>985</v>
      </c>
      <c r="F44" s="49" t="s">
        <v>986</v>
      </c>
      <c r="G44" s="49" t="s">
        <v>776</v>
      </c>
      <c r="H44" s="49" t="s">
        <v>946</v>
      </c>
      <c r="I44" s="49" t="s">
        <v>885</v>
      </c>
      <c r="J44" s="53"/>
      <c r="K44" s="53"/>
    </row>
    <row r="45" customFormat="false" ht="25.5" hidden="false" customHeight="true" outlineLevel="0" collapsed="false">
      <c r="A45" s="48" t="s">
        <v>942</v>
      </c>
      <c r="B45" s="49" t="s">
        <v>939</v>
      </c>
      <c r="C45" s="49" t="s">
        <v>987</v>
      </c>
      <c r="D45" s="49" t="s">
        <v>988</v>
      </c>
      <c r="E45" s="49" t="s">
        <v>217</v>
      </c>
      <c r="F45" s="49" t="s">
        <v>989</v>
      </c>
      <c r="G45" s="49" t="s">
        <v>776</v>
      </c>
      <c r="H45" s="49" t="s">
        <v>946</v>
      </c>
      <c r="I45" s="49" t="s">
        <v>885</v>
      </c>
      <c r="J45" s="53"/>
      <c r="K45" s="53"/>
    </row>
    <row r="46" customFormat="false" ht="25.5" hidden="false" customHeight="true" outlineLevel="0" collapsed="false">
      <c r="A46" s="50" t="s">
        <v>942</v>
      </c>
      <c r="B46" s="51" t="s">
        <v>939</v>
      </c>
      <c r="C46" s="51" t="s">
        <v>990</v>
      </c>
      <c r="D46" s="51" t="s">
        <v>991</v>
      </c>
      <c r="E46" s="51" t="s">
        <v>992</v>
      </c>
      <c r="F46" s="51" t="s">
        <v>993</v>
      </c>
      <c r="G46" s="52" t="s">
        <v>910</v>
      </c>
      <c r="H46" s="51" t="s">
        <v>994</v>
      </c>
      <c r="I46" s="51" t="s">
        <v>912</v>
      </c>
      <c r="J46" s="53"/>
      <c r="K46" s="53"/>
    </row>
    <row r="47" customFormat="false" ht="25.5" hidden="false" customHeight="true" outlineLevel="0" collapsed="false">
      <c r="A47" s="48" t="s">
        <v>995</v>
      </c>
      <c r="B47" s="49" t="s">
        <v>879</v>
      </c>
      <c r="C47" s="49" t="s">
        <v>880</v>
      </c>
      <c r="D47" s="49" t="s">
        <v>881</v>
      </c>
      <c r="E47" s="49" t="s">
        <v>882</v>
      </c>
      <c r="F47" s="49" t="s">
        <v>883</v>
      </c>
      <c r="G47" s="49" t="s">
        <v>776</v>
      </c>
      <c r="H47" s="49" t="s">
        <v>884</v>
      </c>
      <c r="I47" s="49" t="s">
        <v>885</v>
      </c>
      <c r="J47" s="53"/>
      <c r="K47" s="53"/>
    </row>
    <row r="48" customFormat="false" ht="25.5" hidden="false" customHeight="true" outlineLevel="0" collapsed="false">
      <c r="A48" s="48" t="s">
        <v>995</v>
      </c>
      <c r="B48" s="49" t="s">
        <v>879</v>
      </c>
      <c r="C48" s="49" t="s">
        <v>943</v>
      </c>
      <c r="D48" s="49" t="s">
        <v>944</v>
      </c>
      <c r="E48" s="49" t="s">
        <v>843</v>
      </c>
      <c r="F48" s="49" t="s">
        <v>945</v>
      </c>
      <c r="G48" s="49" t="s">
        <v>776</v>
      </c>
      <c r="H48" s="49" t="s">
        <v>996</v>
      </c>
      <c r="I48" s="49" t="s">
        <v>885</v>
      </c>
      <c r="J48" s="53"/>
      <c r="K48" s="53"/>
    </row>
    <row r="49" customFormat="false" ht="25.5" hidden="false" customHeight="true" outlineLevel="0" collapsed="false">
      <c r="A49" s="48" t="s">
        <v>995</v>
      </c>
      <c r="B49" s="49" t="s">
        <v>879</v>
      </c>
      <c r="C49" s="49" t="s">
        <v>947</v>
      </c>
      <c r="D49" s="49"/>
      <c r="E49" s="49" t="s">
        <v>40</v>
      </c>
      <c r="F49" s="49"/>
      <c r="G49" s="49" t="s">
        <v>776</v>
      </c>
      <c r="H49" s="49" t="s">
        <v>997</v>
      </c>
      <c r="I49" s="49" t="s">
        <v>885</v>
      </c>
      <c r="J49" s="53"/>
      <c r="K49" s="53"/>
    </row>
    <row r="50" customFormat="false" ht="25.5" hidden="false" customHeight="true" outlineLevel="0" collapsed="false">
      <c r="A50" s="48" t="s">
        <v>995</v>
      </c>
      <c r="B50" s="49" t="s">
        <v>879</v>
      </c>
      <c r="C50" s="49" t="s">
        <v>949</v>
      </c>
      <c r="D50" s="49"/>
      <c r="E50" s="49" t="s">
        <v>811</v>
      </c>
      <c r="F50" s="49"/>
      <c r="G50" s="49" t="s">
        <v>776</v>
      </c>
      <c r="H50" s="49" t="s">
        <v>996</v>
      </c>
      <c r="I50" s="49" t="s">
        <v>885</v>
      </c>
      <c r="J50" s="53"/>
      <c r="K50" s="53"/>
    </row>
    <row r="51" customFormat="false" ht="25.5" hidden="false" customHeight="true" outlineLevel="0" collapsed="false">
      <c r="A51" s="48" t="s">
        <v>995</v>
      </c>
      <c r="B51" s="49" t="s">
        <v>879</v>
      </c>
      <c r="C51" s="49" t="s">
        <v>998</v>
      </c>
      <c r="D51" s="49" t="s">
        <v>881</v>
      </c>
      <c r="E51" s="49" t="s">
        <v>146</v>
      </c>
      <c r="F51" s="49"/>
      <c r="G51" s="49" t="s">
        <v>776</v>
      </c>
      <c r="H51" s="49" t="s">
        <v>996</v>
      </c>
      <c r="I51" s="49" t="s">
        <v>885</v>
      </c>
      <c r="J51" s="53"/>
      <c r="K51" s="53"/>
    </row>
    <row r="52" customFormat="false" ht="25.5" hidden="false" customHeight="true" outlineLevel="0" collapsed="false">
      <c r="A52" s="48" t="s">
        <v>995</v>
      </c>
      <c r="B52" s="49" t="s">
        <v>879</v>
      </c>
      <c r="C52" s="49" t="s">
        <v>999</v>
      </c>
      <c r="D52" s="49" t="s">
        <v>890</v>
      </c>
      <c r="E52" s="49" t="s">
        <v>146</v>
      </c>
      <c r="F52" s="49" t="s">
        <v>1000</v>
      </c>
      <c r="G52" s="49" t="s">
        <v>776</v>
      </c>
      <c r="H52" s="49" t="s">
        <v>996</v>
      </c>
      <c r="I52" s="49" t="s">
        <v>885</v>
      </c>
      <c r="J52" s="53"/>
      <c r="K52" s="53"/>
    </row>
    <row r="53" customFormat="false" ht="25.5" hidden="false" customHeight="true" outlineLevel="0" collapsed="false">
      <c r="A53" s="48" t="s">
        <v>995</v>
      </c>
      <c r="B53" s="49" t="s">
        <v>879</v>
      </c>
      <c r="C53" s="49" t="s">
        <v>1001</v>
      </c>
      <c r="D53" s="49"/>
      <c r="E53" s="49" t="s">
        <v>146</v>
      </c>
      <c r="F53" s="49"/>
      <c r="G53" s="49" t="s">
        <v>776</v>
      </c>
      <c r="H53" s="49" t="s">
        <v>996</v>
      </c>
      <c r="I53" s="49" t="s">
        <v>885</v>
      </c>
      <c r="J53" s="53"/>
      <c r="K53" s="53"/>
    </row>
    <row r="54" customFormat="false" ht="25.5" hidden="false" customHeight="true" outlineLevel="0" collapsed="false">
      <c r="A54" s="48" t="s">
        <v>995</v>
      </c>
      <c r="B54" s="49" t="s">
        <v>879</v>
      </c>
      <c r="C54" s="49" t="s">
        <v>886</v>
      </c>
      <c r="D54" s="49" t="s">
        <v>887</v>
      </c>
      <c r="E54" s="49" t="s">
        <v>882</v>
      </c>
      <c r="F54" s="49"/>
      <c r="G54" s="49" t="s">
        <v>776</v>
      </c>
      <c r="H54" s="49" t="s">
        <v>884</v>
      </c>
      <c r="I54" s="49" t="s">
        <v>885</v>
      </c>
      <c r="J54" s="53"/>
      <c r="K54" s="53"/>
    </row>
    <row r="55" customFormat="false" ht="25.5" hidden="false" customHeight="true" outlineLevel="0" collapsed="false">
      <c r="A55" s="48" t="s">
        <v>995</v>
      </c>
      <c r="B55" s="49" t="s">
        <v>879</v>
      </c>
      <c r="C55" s="49" t="s">
        <v>888</v>
      </c>
      <c r="D55" s="49" t="s">
        <v>887</v>
      </c>
      <c r="E55" s="49" t="s">
        <v>882</v>
      </c>
      <c r="F55" s="49"/>
      <c r="G55" s="49" t="s">
        <v>776</v>
      </c>
      <c r="H55" s="49" t="s">
        <v>884</v>
      </c>
      <c r="I55" s="49" t="s">
        <v>885</v>
      </c>
      <c r="J55" s="53"/>
      <c r="K55" s="53"/>
    </row>
    <row r="56" customFormat="false" ht="25.5" hidden="false" customHeight="true" outlineLevel="0" collapsed="false">
      <c r="A56" s="48" t="s">
        <v>995</v>
      </c>
      <c r="B56" s="49" t="s">
        <v>879</v>
      </c>
      <c r="C56" s="49" t="s">
        <v>889</v>
      </c>
      <c r="D56" s="49" t="s">
        <v>890</v>
      </c>
      <c r="E56" s="49" t="s">
        <v>882</v>
      </c>
      <c r="F56" s="49"/>
      <c r="G56" s="49" t="s">
        <v>776</v>
      </c>
      <c r="H56" s="49" t="s">
        <v>884</v>
      </c>
      <c r="I56" s="49" t="s">
        <v>885</v>
      </c>
      <c r="J56" s="53"/>
      <c r="K56" s="53"/>
    </row>
    <row r="57" customFormat="false" ht="25.5" hidden="false" customHeight="true" outlineLevel="0" collapsed="false">
      <c r="A57" s="48" t="s">
        <v>995</v>
      </c>
      <c r="B57" s="49" t="s">
        <v>891</v>
      </c>
      <c r="C57" s="49" t="s">
        <v>1002</v>
      </c>
      <c r="D57" s="49" t="s">
        <v>898</v>
      </c>
      <c r="E57" s="49" t="s">
        <v>146</v>
      </c>
      <c r="F57" s="49"/>
      <c r="G57" s="49" t="s">
        <v>776</v>
      </c>
      <c r="H57" s="49" t="s">
        <v>996</v>
      </c>
      <c r="I57" s="49" t="s">
        <v>885</v>
      </c>
      <c r="J57" s="53"/>
      <c r="K57" s="53"/>
    </row>
    <row r="58" customFormat="false" ht="25.5" hidden="false" customHeight="true" outlineLevel="0" collapsed="false">
      <c r="A58" s="48" t="s">
        <v>995</v>
      </c>
      <c r="B58" s="49" t="s">
        <v>891</v>
      </c>
      <c r="C58" s="49" t="s">
        <v>1003</v>
      </c>
      <c r="D58" s="49" t="s">
        <v>1004</v>
      </c>
      <c r="E58" s="49" t="s">
        <v>146</v>
      </c>
      <c r="F58" s="49"/>
      <c r="G58" s="49" t="s">
        <v>776</v>
      </c>
      <c r="H58" s="49" t="s">
        <v>996</v>
      </c>
      <c r="I58" s="49" t="s">
        <v>885</v>
      </c>
      <c r="J58" s="53"/>
      <c r="K58" s="53"/>
    </row>
    <row r="59" customFormat="false" ht="25.5" hidden="false" customHeight="true" outlineLevel="0" collapsed="false">
      <c r="A59" s="50" t="s">
        <v>995</v>
      </c>
      <c r="B59" s="51" t="s">
        <v>891</v>
      </c>
      <c r="C59" s="51" t="s">
        <v>892</v>
      </c>
      <c r="D59" s="51"/>
      <c r="E59" s="51" t="s">
        <v>893</v>
      </c>
      <c r="F59" s="51" t="s">
        <v>894</v>
      </c>
      <c r="G59" s="52" t="s">
        <v>910</v>
      </c>
      <c r="H59" s="51" t="s">
        <v>1005</v>
      </c>
      <c r="I59" s="51" t="s">
        <v>912</v>
      </c>
      <c r="J59" s="53"/>
      <c r="K59" s="53"/>
    </row>
    <row r="60" customFormat="false" ht="25.5" hidden="false" customHeight="true" outlineLevel="0" collapsed="false">
      <c r="A60" s="48" t="s">
        <v>995</v>
      </c>
      <c r="B60" s="49" t="s">
        <v>891</v>
      </c>
      <c r="C60" s="49" t="s">
        <v>1006</v>
      </c>
      <c r="D60" s="49" t="s">
        <v>1007</v>
      </c>
      <c r="E60" s="49" t="s">
        <v>146</v>
      </c>
      <c r="F60" s="49" t="s">
        <v>1008</v>
      </c>
      <c r="G60" s="49" t="s">
        <v>776</v>
      </c>
      <c r="H60" s="49" t="s">
        <v>996</v>
      </c>
      <c r="I60" s="49" t="s">
        <v>885</v>
      </c>
      <c r="J60" s="53"/>
      <c r="K60" s="53"/>
    </row>
    <row r="61" customFormat="false" ht="25.5" hidden="false" customHeight="true" outlineLevel="0" collapsed="false">
      <c r="A61" s="48" t="s">
        <v>995</v>
      </c>
      <c r="B61" s="49" t="s">
        <v>1009</v>
      </c>
      <c r="C61" s="49" t="s">
        <v>1010</v>
      </c>
      <c r="D61" s="49" t="s">
        <v>1011</v>
      </c>
      <c r="E61" s="49" t="s">
        <v>146</v>
      </c>
      <c r="F61" s="49"/>
      <c r="G61" s="49" t="s">
        <v>776</v>
      </c>
      <c r="H61" s="49" t="s">
        <v>996</v>
      </c>
      <c r="I61" s="49" t="s">
        <v>885</v>
      </c>
      <c r="J61" s="53"/>
      <c r="K61" s="53"/>
    </row>
    <row r="62" customFormat="false" ht="25.5" hidden="false" customHeight="true" outlineLevel="0" collapsed="false">
      <c r="A62" s="48" t="s">
        <v>995</v>
      </c>
      <c r="B62" s="49" t="s">
        <v>1009</v>
      </c>
      <c r="C62" s="49" t="s">
        <v>1012</v>
      </c>
      <c r="D62" s="49" t="s">
        <v>1011</v>
      </c>
      <c r="E62" s="49" t="s">
        <v>1013</v>
      </c>
      <c r="F62" s="49"/>
      <c r="G62" s="49" t="s">
        <v>776</v>
      </c>
      <c r="H62" s="49" t="s">
        <v>996</v>
      </c>
      <c r="I62" s="49" t="s">
        <v>885</v>
      </c>
      <c r="J62" s="53"/>
      <c r="K62" s="53"/>
    </row>
    <row r="63" customFormat="false" ht="25.5" hidden="false" customHeight="true" outlineLevel="0" collapsed="false">
      <c r="A63" s="48" t="s">
        <v>995</v>
      </c>
      <c r="B63" s="49" t="s">
        <v>1009</v>
      </c>
      <c r="C63" s="49" t="s">
        <v>1014</v>
      </c>
      <c r="D63" s="49" t="s">
        <v>1011</v>
      </c>
      <c r="E63" s="49" t="s">
        <v>1015</v>
      </c>
      <c r="F63" s="49" t="s">
        <v>1016</v>
      </c>
      <c r="G63" s="49" t="s">
        <v>776</v>
      </c>
      <c r="H63" s="49" t="s">
        <v>996</v>
      </c>
      <c r="I63" s="49" t="s">
        <v>885</v>
      </c>
      <c r="J63" s="53"/>
      <c r="K63" s="53"/>
    </row>
    <row r="64" customFormat="false" ht="25.5" hidden="false" customHeight="true" outlineLevel="0" collapsed="false">
      <c r="A64" s="48" t="s">
        <v>995</v>
      </c>
      <c r="B64" s="49" t="s">
        <v>1009</v>
      </c>
      <c r="C64" s="49" t="s">
        <v>1017</v>
      </c>
      <c r="D64" s="49" t="s">
        <v>1011</v>
      </c>
      <c r="E64" s="49" t="s">
        <v>146</v>
      </c>
      <c r="F64" s="49"/>
      <c r="G64" s="49" t="s">
        <v>776</v>
      </c>
      <c r="H64" s="49" t="s">
        <v>996</v>
      </c>
      <c r="I64" s="49" t="s">
        <v>885</v>
      </c>
      <c r="J64" s="53"/>
      <c r="K64" s="53"/>
    </row>
    <row r="65" customFormat="false" ht="25.5" hidden="false" customHeight="true" outlineLevel="0" collapsed="false">
      <c r="A65" s="48" t="s">
        <v>995</v>
      </c>
      <c r="B65" s="49" t="s">
        <v>950</v>
      </c>
      <c r="C65" s="49" t="s">
        <v>1018</v>
      </c>
      <c r="D65" s="49" t="s">
        <v>1019</v>
      </c>
      <c r="E65" s="49" t="s">
        <v>1020</v>
      </c>
      <c r="F65" s="49"/>
      <c r="G65" s="49" t="s">
        <v>776</v>
      </c>
      <c r="H65" s="49" t="s">
        <v>996</v>
      </c>
      <c r="I65" s="49" t="s">
        <v>885</v>
      </c>
      <c r="J65" s="53"/>
      <c r="K65" s="53"/>
    </row>
    <row r="66" customFormat="false" ht="25.5" hidden="false" customHeight="true" outlineLevel="0" collapsed="false">
      <c r="A66" s="48" t="s">
        <v>995</v>
      </c>
      <c r="B66" s="49" t="s">
        <v>950</v>
      </c>
      <c r="C66" s="49" t="s">
        <v>1021</v>
      </c>
      <c r="D66" s="49" t="s">
        <v>954</v>
      </c>
      <c r="E66" s="49" t="s">
        <v>146</v>
      </c>
      <c r="F66" s="49"/>
      <c r="G66" s="49" t="s">
        <v>776</v>
      </c>
      <c r="H66" s="49" t="s">
        <v>996</v>
      </c>
      <c r="I66" s="49" t="s">
        <v>885</v>
      </c>
      <c r="J66" s="53"/>
      <c r="K66" s="53"/>
    </row>
    <row r="67" customFormat="false" ht="25.5" hidden="false" customHeight="true" outlineLevel="0" collapsed="false">
      <c r="A67" s="48" t="s">
        <v>995</v>
      </c>
      <c r="B67" s="49" t="s">
        <v>950</v>
      </c>
      <c r="C67" s="49" t="s">
        <v>1022</v>
      </c>
      <c r="D67" s="49" t="s">
        <v>1019</v>
      </c>
      <c r="E67" s="49" t="s">
        <v>1023</v>
      </c>
      <c r="F67" s="49"/>
      <c r="G67" s="49" t="s">
        <v>776</v>
      </c>
      <c r="H67" s="49" t="s">
        <v>996</v>
      </c>
      <c r="I67" s="49" t="s">
        <v>885</v>
      </c>
      <c r="J67" s="53"/>
      <c r="K67" s="53"/>
    </row>
    <row r="68" customFormat="false" ht="25.5" hidden="false" customHeight="true" outlineLevel="0" collapsed="false">
      <c r="A68" s="48" t="s">
        <v>995</v>
      </c>
      <c r="B68" s="49" t="s">
        <v>950</v>
      </c>
      <c r="C68" s="49" t="s">
        <v>956</v>
      </c>
      <c r="D68" s="49" t="s">
        <v>954</v>
      </c>
      <c r="E68" s="49" t="s">
        <v>957</v>
      </c>
      <c r="F68" s="49" t="s">
        <v>958</v>
      </c>
      <c r="G68" s="49" t="s">
        <v>776</v>
      </c>
      <c r="H68" s="49" t="s">
        <v>996</v>
      </c>
      <c r="I68" s="49" t="s">
        <v>885</v>
      </c>
      <c r="J68" s="53"/>
      <c r="K68" s="53"/>
    </row>
    <row r="69" customFormat="false" ht="25.5" hidden="false" customHeight="true" outlineLevel="0" collapsed="false">
      <c r="A69" s="48" t="s">
        <v>995</v>
      </c>
      <c r="B69" s="49" t="s">
        <v>950</v>
      </c>
      <c r="C69" s="49" t="s">
        <v>1024</v>
      </c>
      <c r="D69" s="49" t="s">
        <v>1025</v>
      </c>
      <c r="E69" s="49" t="s">
        <v>146</v>
      </c>
      <c r="F69" s="49" t="s">
        <v>1026</v>
      </c>
      <c r="G69" s="49" t="s">
        <v>776</v>
      </c>
      <c r="H69" s="49" t="s">
        <v>996</v>
      </c>
      <c r="I69" s="49" t="s">
        <v>885</v>
      </c>
      <c r="J69" s="53"/>
      <c r="K69" s="53"/>
    </row>
    <row r="70" customFormat="false" ht="25.5" hidden="false" customHeight="true" outlineLevel="0" collapsed="false">
      <c r="A70" s="48" t="s">
        <v>995</v>
      </c>
      <c r="B70" s="49" t="s">
        <v>950</v>
      </c>
      <c r="C70" s="49" t="s">
        <v>1027</v>
      </c>
      <c r="D70" s="49" t="s">
        <v>1025</v>
      </c>
      <c r="E70" s="49" t="s">
        <v>146</v>
      </c>
      <c r="F70" s="49"/>
      <c r="G70" s="49" t="s">
        <v>776</v>
      </c>
      <c r="H70" s="49" t="s">
        <v>996</v>
      </c>
      <c r="I70" s="49" t="s">
        <v>885</v>
      </c>
      <c r="J70" s="53"/>
      <c r="K70" s="53"/>
    </row>
    <row r="71" customFormat="false" ht="25.5" hidden="false" customHeight="true" outlineLevel="0" collapsed="false">
      <c r="A71" s="48" t="s">
        <v>995</v>
      </c>
      <c r="B71" s="49" t="s">
        <v>896</v>
      </c>
      <c r="C71" s="49" t="s">
        <v>1028</v>
      </c>
      <c r="D71" s="49" t="s">
        <v>1029</v>
      </c>
      <c r="E71" s="49" t="s">
        <v>146</v>
      </c>
      <c r="F71" s="49" t="s">
        <v>1030</v>
      </c>
      <c r="G71" s="49" t="s">
        <v>776</v>
      </c>
      <c r="H71" s="49" t="s">
        <v>996</v>
      </c>
      <c r="I71" s="49" t="s">
        <v>885</v>
      </c>
      <c r="J71" s="53"/>
      <c r="K71" s="53"/>
    </row>
    <row r="72" customFormat="false" ht="25.5" hidden="false" customHeight="true" outlineLevel="0" collapsed="false">
      <c r="A72" s="50" t="s">
        <v>995</v>
      </c>
      <c r="B72" s="51" t="s">
        <v>896</v>
      </c>
      <c r="C72" s="51" t="s">
        <v>897</v>
      </c>
      <c r="D72" s="51" t="s">
        <v>898</v>
      </c>
      <c r="E72" s="51" t="s">
        <v>899</v>
      </c>
      <c r="F72" s="51"/>
      <c r="G72" s="52" t="s">
        <v>910</v>
      </c>
      <c r="H72" s="51" t="s">
        <v>1005</v>
      </c>
      <c r="I72" s="51" t="s">
        <v>912</v>
      </c>
      <c r="J72" s="53"/>
      <c r="K72" s="53"/>
    </row>
    <row r="73" customFormat="false" ht="25.5" hidden="false" customHeight="true" outlineLevel="0" collapsed="false">
      <c r="A73" s="50" t="s">
        <v>995</v>
      </c>
      <c r="B73" s="51" t="s">
        <v>896</v>
      </c>
      <c r="C73" s="51" t="s">
        <v>900</v>
      </c>
      <c r="D73" s="51" t="s">
        <v>898</v>
      </c>
      <c r="E73" s="51" t="s">
        <v>893</v>
      </c>
      <c r="F73" s="51"/>
      <c r="G73" s="52" t="s">
        <v>910</v>
      </c>
      <c r="H73" s="51" t="s">
        <v>1005</v>
      </c>
      <c r="I73" s="51" t="s">
        <v>912</v>
      </c>
      <c r="J73" s="53"/>
      <c r="K73" s="53"/>
    </row>
    <row r="74" customFormat="false" ht="25.5" hidden="false" customHeight="true" outlineLevel="0" collapsed="false">
      <c r="A74" s="50" t="s">
        <v>995</v>
      </c>
      <c r="B74" s="51" t="s">
        <v>896</v>
      </c>
      <c r="C74" s="51" t="s">
        <v>901</v>
      </c>
      <c r="D74" s="51" t="s">
        <v>898</v>
      </c>
      <c r="E74" s="51" t="s">
        <v>893</v>
      </c>
      <c r="F74" s="51"/>
      <c r="G74" s="52" t="s">
        <v>910</v>
      </c>
      <c r="H74" s="51" t="s">
        <v>1005</v>
      </c>
      <c r="I74" s="51" t="s">
        <v>912</v>
      </c>
      <c r="J74" s="53"/>
      <c r="K74" s="53"/>
    </row>
    <row r="75" customFormat="false" ht="25.5" hidden="false" customHeight="true" outlineLevel="0" collapsed="false">
      <c r="A75" s="50" t="s">
        <v>995</v>
      </c>
      <c r="B75" s="51" t="s">
        <v>896</v>
      </c>
      <c r="C75" s="51" t="s">
        <v>902</v>
      </c>
      <c r="D75" s="51" t="s">
        <v>903</v>
      </c>
      <c r="E75" s="51" t="s">
        <v>893</v>
      </c>
      <c r="F75" s="51"/>
      <c r="G75" s="52" t="s">
        <v>910</v>
      </c>
      <c r="H75" s="51" t="s">
        <v>1005</v>
      </c>
      <c r="I75" s="51" t="s">
        <v>912</v>
      </c>
      <c r="J75" s="53"/>
      <c r="K75" s="53"/>
    </row>
    <row r="76" customFormat="false" ht="25.5" hidden="false" customHeight="true" outlineLevel="0" collapsed="false">
      <c r="A76" s="50" t="s">
        <v>995</v>
      </c>
      <c r="B76" s="51" t="s">
        <v>896</v>
      </c>
      <c r="C76" s="51" t="s">
        <v>904</v>
      </c>
      <c r="D76" s="51"/>
      <c r="E76" s="51" t="s">
        <v>893</v>
      </c>
      <c r="F76" s="51"/>
      <c r="G76" s="52" t="s">
        <v>910</v>
      </c>
      <c r="H76" s="51" t="s">
        <v>1005</v>
      </c>
      <c r="I76" s="51" t="s">
        <v>912</v>
      </c>
      <c r="J76" s="53"/>
      <c r="K76" s="53"/>
    </row>
    <row r="77" customFormat="false" ht="25.5" hidden="false" customHeight="true" outlineLevel="0" collapsed="false">
      <c r="A77" s="50" t="s">
        <v>995</v>
      </c>
      <c r="B77" s="51" t="s">
        <v>896</v>
      </c>
      <c r="C77" s="51" t="s">
        <v>905</v>
      </c>
      <c r="D77" s="51"/>
      <c r="E77" s="51" t="s">
        <v>893</v>
      </c>
      <c r="F77" s="51"/>
      <c r="G77" s="52" t="s">
        <v>910</v>
      </c>
      <c r="H77" s="51" t="s">
        <v>1005</v>
      </c>
      <c r="I77" s="51" t="s">
        <v>912</v>
      </c>
      <c r="J77" s="53"/>
      <c r="K77" s="53"/>
    </row>
    <row r="78" customFormat="false" ht="25.5" hidden="false" customHeight="true" outlineLevel="0" collapsed="false">
      <c r="A78" s="50" t="s">
        <v>995</v>
      </c>
      <c r="B78" s="51" t="s">
        <v>896</v>
      </c>
      <c r="C78" s="51" t="s">
        <v>906</v>
      </c>
      <c r="D78" s="51"/>
      <c r="E78" s="51" t="s">
        <v>893</v>
      </c>
      <c r="F78" s="51"/>
      <c r="G78" s="52" t="s">
        <v>910</v>
      </c>
      <c r="H78" s="51" t="s">
        <v>1005</v>
      </c>
      <c r="I78" s="51" t="s">
        <v>912</v>
      </c>
      <c r="J78" s="53"/>
      <c r="K78" s="53"/>
    </row>
    <row r="79" customFormat="false" ht="25.5" hidden="false" customHeight="true" outlineLevel="0" collapsed="false">
      <c r="A79" s="48" t="s">
        <v>995</v>
      </c>
      <c r="B79" s="49" t="s">
        <v>907</v>
      </c>
      <c r="C79" s="49" t="s">
        <v>1031</v>
      </c>
      <c r="D79" s="49" t="s">
        <v>1032</v>
      </c>
      <c r="E79" s="49" t="s">
        <v>146</v>
      </c>
      <c r="F79" s="49"/>
      <c r="G79" s="49" t="s">
        <v>776</v>
      </c>
      <c r="H79" s="49" t="s">
        <v>996</v>
      </c>
      <c r="I79" s="49" t="s">
        <v>885</v>
      </c>
      <c r="J79" s="53"/>
      <c r="K79" s="53"/>
    </row>
    <row r="80" customFormat="false" ht="25.5" hidden="false" customHeight="true" outlineLevel="0" collapsed="false">
      <c r="A80" s="48" t="s">
        <v>995</v>
      </c>
      <c r="B80" s="49" t="s">
        <v>907</v>
      </c>
      <c r="C80" s="49" t="s">
        <v>1033</v>
      </c>
      <c r="D80" s="49" t="s">
        <v>1034</v>
      </c>
      <c r="E80" s="49" t="s">
        <v>146</v>
      </c>
      <c r="F80" s="49"/>
      <c r="G80" s="49" t="s">
        <v>776</v>
      </c>
      <c r="H80" s="49" t="s">
        <v>996</v>
      </c>
      <c r="I80" s="49" t="s">
        <v>885</v>
      </c>
      <c r="J80" s="53"/>
      <c r="K80" s="53"/>
    </row>
    <row r="81" customFormat="false" ht="25.5" hidden="false" customHeight="true" outlineLevel="0" collapsed="false">
      <c r="A81" s="48" t="s">
        <v>995</v>
      </c>
      <c r="B81" s="49" t="s">
        <v>907</v>
      </c>
      <c r="C81" s="49" t="s">
        <v>1035</v>
      </c>
      <c r="D81" s="49" t="s">
        <v>1034</v>
      </c>
      <c r="E81" s="49" t="s">
        <v>1036</v>
      </c>
      <c r="F81" s="49" t="s">
        <v>1037</v>
      </c>
      <c r="G81" s="49" t="s">
        <v>776</v>
      </c>
      <c r="H81" s="49" t="s">
        <v>996</v>
      </c>
      <c r="I81" s="49" t="s">
        <v>885</v>
      </c>
      <c r="J81" s="53"/>
      <c r="K81" s="53"/>
    </row>
    <row r="82" customFormat="false" ht="25.5" hidden="false" customHeight="true" outlineLevel="0" collapsed="false">
      <c r="A82" s="48" t="s">
        <v>995</v>
      </c>
      <c r="B82" s="49" t="s">
        <v>907</v>
      </c>
      <c r="C82" s="49" t="s">
        <v>1038</v>
      </c>
      <c r="D82" s="49" t="s">
        <v>1039</v>
      </c>
      <c r="E82" s="49" t="s">
        <v>146</v>
      </c>
      <c r="F82" s="49"/>
      <c r="G82" s="49" t="s">
        <v>776</v>
      </c>
      <c r="H82" s="49" t="s">
        <v>996</v>
      </c>
      <c r="I82" s="49" t="s">
        <v>885</v>
      </c>
      <c r="J82" s="53"/>
      <c r="K82" s="53"/>
    </row>
    <row r="83" customFormat="false" ht="25.5" hidden="false" customHeight="true" outlineLevel="0" collapsed="false">
      <c r="A83" s="48" t="s">
        <v>995</v>
      </c>
      <c r="B83" s="49" t="s">
        <v>907</v>
      </c>
      <c r="C83" s="49" t="s">
        <v>908</v>
      </c>
      <c r="D83" s="49"/>
      <c r="E83" s="49" t="s">
        <v>909</v>
      </c>
      <c r="F83" s="49"/>
      <c r="G83" s="49" t="s">
        <v>776</v>
      </c>
      <c r="H83" s="49" t="s">
        <v>996</v>
      </c>
      <c r="I83" s="49" t="s">
        <v>885</v>
      </c>
      <c r="J83" s="53"/>
      <c r="K83" s="53"/>
    </row>
    <row r="84" customFormat="false" ht="25.5" hidden="false" customHeight="true" outlineLevel="0" collapsed="false">
      <c r="A84" s="50" t="s">
        <v>995</v>
      </c>
      <c r="B84" s="51" t="s">
        <v>907</v>
      </c>
      <c r="C84" s="51" t="s">
        <v>913</v>
      </c>
      <c r="D84" s="51"/>
      <c r="E84" s="51" t="s">
        <v>893</v>
      </c>
      <c r="F84" s="51"/>
      <c r="G84" s="52" t="s">
        <v>910</v>
      </c>
      <c r="H84" s="51" t="s">
        <v>1005</v>
      </c>
      <c r="I84" s="51" t="s">
        <v>912</v>
      </c>
      <c r="J84" s="53"/>
      <c r="K84" s="53"/>
    </row>
    <row r="85" customFormat="false" ht="25.5" hidden="false" customHeight="true" outlineLevel="0" collapsed="false">
      <c r="A85" s="50" t="s">
        <v>995</v>
      </c>
      <c r="B85" s="51" t="s">
        <v>907</v>
      </c>
      <c r="C85" s="51" t="s">
        <v>914</v>
      </c>
      <c r="D85" s="51"/>
      <c r="E85" s="51" t="s">
        <v>893</v>
      </c>
      <c r="F85" s="51"/>
      <c r="G85" s="52" t="s">
        <v>910</v>
      </c>
      <c r="H85" s="51" t="s">
        <v>1005</v>
      </c>
      <c r="I85" s="51" t="s">
        <v>912</v>
      </c>
      <c r="J85" s="53"/>
      <c r="K85" s="53"/>
    </row>
    <row r="86" customFormat="false" ht="25.5" hidden="false" customHeight="true" outlineLevel="0" collapsed="false">
      <c r="A86" s="48" t="s">
        <v>995</v>
      </c>
      <c r="B86" s="49" t="s">
        <v>907</v>
      </c>
      <c r="C86" s="49" t="s">
        <v>1040</v>
      </c>
      <c r="D86" s="49" t="s">
        <v>1039</v>
      </c>
      <c r="E86" s="49" t="s">
        <v>146</v>
      </c>
      <c r="F86" s="49"/>
      <c r="G86" s="49" t="s">
        <v>776</v>
      </c>
      <c r="H86" s="49" t="s">
        <v>996</v>
      </c>
      <c r="I86" s="49" t="s">
        <v>885</v>
      </c>
      <c r="J86" s="53"/>
      <c r="K86" s="53"/>
    </row>
    <row r="87" customFormat="false" ht="25.5" hidden="false" customHeight="true" outlineLevel="0" collapsed="false">
      <c r="A87" s="48" t="s">
        <v>995</v>
      </c>
      <c r="B87" s="49" t="s">
        <v>915</v>
      </c>
      <c r="C87" s="49" t="s">
        <v>1041</v>
      </c>
      <c r="D87" s="49" t="s">
        <v>1034</v>
      </c>
      <c r="E87" s="49" t="s">
        <v>146</v>
      </c>
      <c r="F87" s="49"/>
      <c r="G87" s="49" t="s">
        <v>776</v>
      </c>
      <c r="H87" s="49" t="s">
        <v>996</v>
      </c>
      <c r="I87" s="49" t="s">
        <v>885</v>
      </c>
      <c r="J87" s="53"/>
      <c r="K87" s="53"/>
    </row>
    <row r="88" customFormat="false" ht="25.5" hidden="false" customHeight="true" outlineLevel="0" collapsed="false">
      <c r="A88" s="48" t="s">
        <v>995</v>
      </c>
      <c r="B88" s="49" t="s">
        <v>915</v>
      </c>
      <c r="C88" s="49" t="s">
        <v>1042</v>
      </c>
      <c r="D88" s="49" t="s">
        <v>1034</v>
      </c>
      <c r="E88" s="49" t="s">
        <v>146</v>
      </c>
      <c r="F88" s="49"/>
      <c r="G88" s="49" t="s">
        <v>776</v>
      </c>
      <c r="H88" s="49" t="s">
        <v>996</v>
      </c>
      <c r="I88" s="49" t="s">
        <v>885</v>
      </c>
      <c r="J88" s="53"/>
      <c r="K88" s="53"/>
    </row>
    <row r="89" customFormat="false" ht="25.5" hidden="false" customHeight="true" outlineLevel="0" collapsed="false">
      <c r="A89" s="48" t="s">
        <v>995</v>
      </c>
      <c r="B89" s="49" t="s">
        <v>915</v>
      </c>
      <c r="C89" s="49" t="s">
        <v>1043</v>
      </c>
      <c r="D89" s="49" t="s">
        <v>903</v>
      </c>
      <c r="E89" s="49" t="s">
        <v>146</v>
      </c>
      <c r="F89" s="49"/>
      <c r="G89" s="49" t="s">
        <v>776</v>
      </c>
      <c r="H89" s="49" t="s">
        <v>996</v>
      </c>
      <c r="I89" s="49" t="s">
        <v>885</v>
      </c>
      <c r="J89" s="53"/>
      <c r="K89" s="53"/>
    </row>
    <row r="90" customFormat="false" ht="25.5" hidden="false" customHeight="true" outlineLevel="0" collapsed="false">
      <c r="A90" s="50" t="s">
        <v>995</v>
      </c>
      <c r="B90" s="51" t="s">
        <v>915</v>
      </c>
      <c r="C90" s="51" t="s">
        <v>916</v>
      </c>
      <c r="D90" s="51"/>
      <c r="E90" s="51" t="s">
        <v>893</v>
      </c>
      <c r="F90" s="51"/>
      <c r="G90" s="52" t="s">
        <v>910</v>
      </c>
      <c r="H90" s="51" t="s">
        <v>1005</v>
      </c>
      <c r="I90" s="51" t="s">
        <v>912</v>
      </c>
      <c r="J90" s="53"/>
      <c r="K90" s="53"/>
    </row>
    <row r="91" customFormat="false" ht="25.5" hidden="false" customHeight="true" outlineLevel="0" collapsed="false">
      <c r="A91" s="48" t="s">
        <v>995</v>
      </c>
      <c r="B91" s="49" t="s">
        <v>915</v>
      </c>
      <c r="C91" s="49" t="s">
        <v>1044</v>
      </c>
      <c r="D91" s="49" t="s">
        <v>1045</v>
      </c>
      <c r="E91" s="49" t="s">
        <v>146</v>
      </c>
      <c r="F91" s="49" t="s">
        <v>1046</v>
      </c>
      <c r="G91" s="49" t="s">
        <v>776</v>
      </c>
      <c r="H91" s="49" t="s">
        <v>996</v>
      </c>
      <c r="I91" s="49" t="s">
        <v>885</v>
      </c>
      <c r="J91" s="53"/>
      <c r="K91" s="53"/>
    </row>
    <row r="92" customFormat="false" ht="25.5" hidden="false" customHeight="true" outlineLevel="0" collapsed="false">
      <c r="A92" s="48" t="s">
        <v>995</v>
      </c>
      <c r="B92" s="49" t="s">
        <v>1047</v>
      </c>
      <c r="C92" s="49" t="s">
        <v>1048</v>
      </c>
      <c r="D92" s="49" t="s">
        <v>1049</v>
      </c>
      <c r="E92" s="49" t="s">
        <v>146</v>
      </c>
      <c r="F92" s="49"/>
      <c r="G92" s="49" t="s">
        <v>776</v>
      </c>
      <c r="H92" s="49" t="s">
        <v>996</v>
      </c>
      <c r="I92" s="49" t="s">
        <v>885</v>
      </c>
      <c r="J92" s="53"/>
      <c r="K92" s="53"/>
    </row>
    <row r="93" customFormat="false" ht="25.5" hidden="false" customHeight="true" outlineLevel="0" collapsed="false">
      <c r="A93" s="48" t="s">
        <v>995</v>
      </c>
      <c r="B93" s="49" t="s">
        <v>1047</v>
      </c>
      <c r="C93" s="49" t="s">
        <v>1050</v>
      </c>
      <c r="D93" s="49" t="s">
        <v>991</v>
      </c>
      <c r="E93" s="49" t="s">
        <v>146</v>
      </c>
      <c r="F93" s="49"/>
      <c r="G93" s="49" t="s">
        <v>776</v>
      </c>
      <c r="H93" s="49" t="s">
        <v>996</v>
      </c>
      <c r="I93" s="49" t="s">
        <v>885</v>
      </c>
      <c r="J93" s="53"/>
      <c r="K93" s="53"/>
    </row>
    <row r="94" customFormat="false" ht="25.5" hidden="false" customHeight="true" outlineLevel="0" collapsed="false">
      <c r="A94" s="48" t="s">
        <v>995</v>
      </c>
      <c r="B94" s="49" t="s">
        <v>1047</v>
      </c>
      <c r="C94" s="49" t="s">
        <v>1051</v>
      </c>
      <c r="D94" s="49" t="s">
        <v>991</v>
      </c>
      <c r="E94" s="49" t="s">
        <v>146</v>
      </c>
      <c r="F94" s="49"/>
      <c r="G94" s="49" t="s">
        <v>776</v>
      </c>
      <c r="H94" s="49" t="s">
        <v>996</v>
      </c>
      <c r="I94" s="49" t="s">
        <v>885</v>
      </c>
      <c r="J94" s="53"/>
      <c r="K94" s="53"/>
    </row>
    <row r="95" customFormat="false" ht="25.5" hidden="false" customHeight="true" outlineLevel="0" collapsed="false">
      <c r="A95" s="48" t="s">
        <v>995</v>
      </c>
      <c r="B95" s="49" t="s">
        <v>917</v>
      </c>
      <c r="C95" s="49" t="s">
        <v>918</v>
      </c>
      <c r="D95" s="49" t="s">
        <v>919</v>
      </c>
      <c r="E95" s="49" t="s">
        <v>882</v>
      </c>
      <c r="F95" s="49" t="s">
        <v>920</v>
      </c>
      <c r="G95" s="49" t="s">
        <v>776</v>
      </c>
      <c r="H95" s="49" t="s">
        <v>884</v>
      </c>
      <c r="I95" s="49" t="s">
        <v>885</v>
      </c>
      <c r="J95" s="53"/>
      <c r="K95" s="53"/>
    </row>
    <row r="96" customFormat="false" ht="25.5" hidden="false" customHeight="true" outlineLevel="0" collapsed="false">
      <c r="A96" s="48" t="s">
        <v>995</v>
      </c>
      <c r="B96" s="49" t="s">
        <v>917</v>
      </c>
      <c r="C96" s="49" t="s">
        <v>921</v>
      </c>
      <c r="D96" s="49" t="s">
        <v>922</v>
      </c>
      <c r="E96" s="49" t="s">
        <v>882</v>
      </c>
      <c r="F96" s="49" t="s">
        <v>923</v>
      </c>
      <c r="G96" s="49" t="s">
        <v>776</v>
      </c>
      <c r="H96" s="49" t="s">
        <v>884</v>
      </c>
      <c r="I96" s="49" t="s">
        <v>885</v>
      </c>
      <c r="J96" s="53"/>
      <c r="K96" s="53"/>
    </row>
    <row r="97" customFormat="false" ht="25.5" hidden="false" customHeight="true" outlineLevel="0" collapsed="false">
      <c r="A97" s="48" t="s">
        <v>995</v>
      </c>
      <c r="B97" s="49" t="s">
        <v>917</v>
      </c>
      <c r="C97" s="49" t="s">
        <v>1052</v>
      </c>
      <c r="D97" s="49" t="s">
        <v>968</v>
      </c>
      <c r="E97" s="49" t="s">
        <v>146</v>
      </c>
      <c r="F97" s="49" t="s">
        <v>1053</v>
      </c>
      <c r="G97" s="49" t="s">
        <v>776</v>
      </c>
      <c r="H97" s="49" t="s">
        <v>996</v>
      </c>
      <c r="I97" s="49" t="s">
        <v>885</v>
      </c>
      <c r="J97" s="53"/>
      <c r="K97" s="53"/>
    </row>
    <row r="98" customFormat="false" ht="25.5" hidden="false" customHeight="true" outlineLevel="0" collapsed="false">
      <c r="A98" s="48" t="s">
        <v>995</v>
      </c>
      <c r="B98" s="49" t="s">
        <v>917</v>
      </c>
      <c r="C98" s="49" t="s">
        <v>1054</v>
      </c>
      <c r="D98" s="49" t="s">
        <v>965</v>
      </c>
      <c r="E98" s="49" t="s">
        <v>1055</v>
      </c>
      <c r="F98" s="49" t="s">
        <v>1056</v>
      </c>
      <c r="G98" s="49" t="s">
        <v>776</v>
      </c>
      <c r="H98" s="49" t="s">
        <v>996</v>
      </c>
      <c r="I98" s="49" t="s">
        <v>885</v>
      </c>
      <c r="J98" s="53"/>
      <c r="K98" s="53"/>
    </row>
    <row r="99" customFormat="false" ht="25.5" hidden="false" customHeight="true" outlineLevel="0" collapsed="false">
      <c r="A99" s="50" t="s">
        <v>995</v>
      </c>
      <c r="B99" s="51" t="s">
        <v>917</v>
      </c>
      <c r="C99" s="51" t="s">
        <v>924</v>
      </c>
      <c r="D99" s="51"/>
      <c r="E99" s="51" t="s">
        <v>893</v>
      </c>
      <c r="F99" s="51"/>
      <c r="G99" s="52" t="s">
        <v>910</v>
      </c>
      <c r="H99" s="51" t="s">
        <v>1005</v>
      </c>
      <c r="I99" s="51" t="s">
        <v>912</v>
      </c>
      <c r="J99" s="53"/>
      <c r="K99" s="53"/>
    </row>
    <row r="100" customFormat="false" ht="25.5" hidden="false" customHeight="true" outlineLevel="0" collapsed="false">
      <c r="A100" s="48" t="s">
        <v>995</v>
      </c>
      <c r="B100" s="49" t="s">
        <v>925</v>
      </c>
      <c r="C100" s="49" t="s">
        <v>1057</v>
      </c>
      <c r="D100" s="49" t="s">
        <v>968</v>
      </c>
      <c r="E100" s="49" t="s">
        <v>146</v>
      </c>
      <c r="F100" s="49" t="s">
        <v>1058</v>
      </c>
      <c r="G100" s="49" t="s">
        <v>776</v>
      </c>
      <c r="H100" s="49" t="s">
        <v>996</v>
      </c>
      <c r="I100" s="49" t="s">
        <v>885</v>
      </c>
      <c r="J100" s="53"/>
      <c r="K100" s="53"/>
    </row>
    <row r="101" customFormat="false" ht="25.5" hidden="false" customHeight="true" outlineLevel="0" collapsed="false">
      <c r="A101" s="48" t="s">
        <v>995</v>
      </c>
      <c r="B101" s="49" t="s">
        <v>925</v>
      </c>
      <c r="C101" s="49" t="s">
        <v>1059</v>
      </c>
      <c r="D101" s="49" t="s">
        <v>968</v>
      </c>
      <c r="E101" s="49" t="s">
        <v>146</v>
      </c>
      <c r="F101" s="49"/>
      <c r="G101" s="49" t="s">
        <v>776</v>
      </c>
      <c r="H101" s="49" t="s">
        <v>996</v>
      </c>
      <c r="I101" s="49" t="s">
        <v>885</v>
      </c>
      <c r="J101" s="53"/>
      <c r="K101" s="53"/>
    </row>
    <row r="102" customFormat="false" ht="25.5" hidden="false" customHeight="true" outlineLevel="0" collapsed="false">
      <c r="A102" s="48" t="s">
        <v>995</v>
      </c>
      <c r="B102" s="49" t="s">
        <v>925</v>
      </c>
      <c r="C102" s="49" t="s">
        <v>1060</v>
      </c>
      <c r="D102" s="49" t="s">
        <v>1061</v>
      </c>
      <c r="E102" s="49" t="s">
        <v>146</v>
      </c>
      <c r="F102" s="49" t="s">
        <v>1062</v>
      </c>
      <c r="G102" s="49" t="s">
        <v>776</v>
      </c>
      <c r="H102" s="49" t="s">
        <v>996</v>
      </c>
      <c r="I102" s="49" t="s">
        <v>885</v>
      </c>
      <c r="J102" s="53"/>
      <c r="K102" s="53"/>
    </row>
    <row r="103" customFormat="false" ht="25.5" hidden="false" customHeight="true" outlineLevel="0" collapsed="false">
      <c r="A103" s="48" t="s">
        <v>995</v>
      </c>
      <c r="B103" s="49" t="s">
        <v>925</v>
      </c>
      <c r="C103" s="49" t="s">
        <v>1063</v>
      </c>
      <c r="D103" s="49" t="s">
        <v>972</v>
      </c>
      <c r="E103" s="49" t="s">
        <v>146</v>
      </c>
      <c r="F103" s="49" t="s">
        <v>1058</v>
      </c>
      <c r="G103" s="49" t="s">
        <v>776</v>
      </c>
      <c r="H103" s="49" t="s">
        <v>996</v>
      </c>
      <c r="I103" s="49" t="s">
        <v>885</v>
      </c>
      <c r="J103" s="53"/>
      <c r="K103" s="53"/>
    </row>
    <row r="104" customFormat="false" ht="25.5" hidden="false" customHeight="true" outlineLevel="0" collapsed="false">
      <c r="A104" s="48" t="s">
        <v>995</v>
      </c>
      <c r="B104" s="49" t="s">
        <v>925</v>
      </c>
      <c r="C104" s="49" t="s">
        <v>1064</v>
      </c>
      <c r="D104" s="49" t="s">
        <v>972</v>
      </c>
      <c r="E104" s="49" t="s">
        <v>146</v>
      </c>
      <c r="F104" s="49" t="s">
        <v>1065</v>
      </c>
      <c r="G104" s="49" t="s">
        <v>776</v>
      </c>
      <c r="H104" s="49" t="s">
        <v>996</v>
      </c>
      <c r="I104" s="49" t="s">
        <v>885</v>
      </c>
      <c r="J104" s="53"/>
      <c r="K104" s="53"/>
    </row>
    <row r="105" customFormat="false" ht="25.5" hidden="false" customHeight="true" outlineLevel="0" collapsed="false">
      <c r="A105" s="50" t="s">
        <v>995</v>
      </c>
      <c r="B105" s="51" t="s">
        <v>925</v>
      </c>
      <c r="C105" s="51" t="s">
        <v>973</v>
      </c>
      <c r="D105" s="51" t="s">
        <v>968</v>
      </c>
      <c r="E105" s="51" t="s">
        <v>974</v>
      </c>
      <c r="F105" s="51" t="s">
        <v>975</v>
      </c>
      <c r="G105" s="52" t="s">
        <v>910</v>
      </c>
      <c r="H105" s="51" t="s">
        <v>1066</v>
      </c>
      <c r="I105" s="51" t="s">
        <v>912</v>
      </c>
      <c r="J105" s="53"/>
      <c r="K105" s="53"/>
    </row>
    <row r="106" customFormat="false" ht="25.5" hidden="false" customHeight="true" outlineLevel="0" collapsed="false">
      <c r="A106" s="48" t="s">
        <v>995</v>
      </c>
      <c r="B106" s="49" t="s">
        <v>925</v>
      </c>
      <c r="C106" s="49" t="s">
        <v>1067</v>
      </c>
      <c r="D106" s="49" t="s">
        <v>1068</v>
      </c>
      <c r="E106" s="49" t="s">
        <v>1069</v>
      </c>
      <c r="F106" s="49"/>
      <c r="G106" s="49" t="s">
        <v>776</v>
      </c>
      <c r="H106" s="49" t="s">
        <v>996</v>
      </c>
      <c r="I106" s="49" t="s">
        <v>885</v>
      </c>
      <c r="J106" s="53"/>
      <c r="K106" s="53"/>
    </row>
    <row r="107" customFormat="false" ht="25.5" hidden="false" customHeight="true" outlineLevel="0" collapsed="false">
      <c r="A107" s="48" t="s">
        <v>995</v>
      </c>
      <c r="B107" s="49" t="s">
        <v>925</v>
      </c>
      <c r="C107" s="49" t="s">
        <v>926</v>
      </c>
      <c r="D107" s="49"/>
      <c r="E107" s="49" t="s">
        <v>882</v>
      </c>
      <c r="F107" s="49" t="s">
        <v>927</v>
      </c>
      <c r="G107" s="49" t="s">
        <v>776</v>
      </c>
      <c r="H107" s="49" t="s">
        <v>884</v>
      </c>
      <c r="I107" s="49" t="s">
        <v>885</v>
      </c>
      <c r="J107" s="53"/>
      <c r="K107" s="53"/>
    </row>
    <row r="108" customFormat="false" ht="25.5" hidden="false" customHeight="true" outlineLevel="0" collapsed="false">
      <c r="A108" s="48" t="s">
        <v>995</v>
      </c>
      <c r="B108" s="49" t="s">
        <v>925</v>
      </c>
      <c r="C108" s="49" t="s">
        <v>1070</v>
      </c>
      <c r="D108" s="49" t="s">
        <v>929</v>
      </c>
      <c r="E108" s="49" t="s">
        <v>146</v>
      </c>
      <c r="F108" s="49" t="s">
        <v>1071</v>
      </c>
      <c r="G108" s="49" t="s">
        <v>776</v>
      </c>
      <c r="H108" s="49" t="s">
        <v>996</v>
      </c>
      <c r="I108" s="49" t="s">
        <v>885</v>
      </c>
      <c r="J108" s="53"/>
      <c r="K108" s="53"/>
    </row>
    <row r="109" customFormat="false" ht="25.5" hidden="false" customHeight="true" outlineLevel="0" collapsed="false">
      <c r="A109" s="48" t="s">
        <v>995</v>
      </c>
      <c r="B109" s="49" t="s">
        <v>925</v>
      </c>
      <c r="C109" s="49" t="s">
        <v>928</v>
      </c>
      <c r="D109" s="49" t="s">
        <v>929</v>
      </c>
      <c r="E109" s="49" t="s">
        <v>930</v>
      </c>
      <c r="F109" s="49"/>
      <c r="G109" s="49" t="s">
        <v>776</v>
      </c>
      <c r="H109" s="49" t="s">
        <v>931</v>
      </c>
      <c r="I109" s="49" t="s">
        <v>885</v>
      </c>
      <c r="J109" s="53"/>
      <c r="K109" s="53"/>
    </row>
    <row r="110" customFormat="false" ht="25.5" hidden="false" customHeight="true" outlineLevel="0" collapsed="false">
      <c r="A110" s="48" t="s">
        <v>995</v>
      </c>
      <c r="B110" s="49" t="s">
        <v>977</v>
      </c>
      <c r="C110" s="49" t="s">
        <v>1072</v>
      </c>
      <c r="D110" s="49" t="s">
        <v>1073</v>
      </c>
      <c r="E110" s="49" t="s">
        <v>146</v>
      </c>
      <c r="F110" s="49"/>
      <c r="G110" s="49" t="s">
        <v>776</v>
      </c>
      <c r="H110" s="49" t="s">
        <v>996</v>
      </c>
      <c r="I110" s="49" t="s">
        <v>885</v>
      </c>
      <c r="J110" s="53"/>
      <c r="K110" s="53"/>
    </row>
    <row r="111" customFormat="false" ht="25.5" hidden="false" customHeight="true" outlineLevel="0" collapsed="false">
      <c r="A111" s="48" t="s">
        <v>995</v>
      </c>
      <c r="B111" s="49" t="s">
        <v>977</v>
      </c>
      <c r="C111" s="49" t="s">
        <v>1074</v>
      </c>
      <c r="D111" s="49" t="s">
        <v>1075</v>
      </c>
      <c r="E111" s="49" t="s">
        <v>1076</v>
      </c>
      <c r="F111" s="49"/>
      <c r="G111" s="49" t="s">
        <v>776</v>
      </c>
      <c r="H111" s="49" t="s">
        <v>996</v>
      </c>
      <c r="I111" s="49" t="s">
        <v>885</v>
      </c>
      <c r="J111" s="53"/>
      <c r="K111" s="53"/>
    </row>
    <row r="112" customFormat="false" ht="25.5" hidden="false" customHeight="true" outlineLevel="0" collapsed="false">
      <c r="A112" s="48" t="s">
        <v>995</v>
      </c>
      <c r="B112" s="49" t="s">
        <v>977</v>
      </c>
      <c r="C112" s="49" t="s">
        <v>979</v>
      </c>
      <c r="D112" s="49" t="s">
        <v>980</v>
      </c>
      <c r="E112" s="49" t="s">
        <v>981</v>
      </c>
      <c r="F112" s="49" t="s">
        <v>982</v>
      </c>
      <c r="G112" s="49" t="s">
        <v>776</v>
      </c>
      <c r="H112" s="49" t="s">
        <v>996</v>
      </c>
      <c r="I112" s="49" t="s">
        <v>885</v>
      </c>
      <c r="J112" s="53"/>
      <c r="K112" s="53"/>
    </row>
    <row r="113" customFormat="false" ht="25.5" hidden="false" customHeight="true" outlineLevel="0" collapsed="false">
      <c r="A113" s="48" t="s">
        <v>995</v>
      </c>
      <c r="B113" s="49" t="s">
        <v>977</v>
      </c>
      <c r="C113" s="49" t="s">
        <v>1077</v>
      </c>
      <c r="D113" s="49" t="s">
        <v>980</v>
      </c>
      <c r="E113" s="49" t="s">
        <v>1078</v>
      </c>
      <c r="F113" s="49"/>
      <c r="G113" s="49" t="s">
        <v>776</v>
      </c>
      <c r="H113" s="49" t="s">
        <v>996</v>
      </c>
      <c r="I113" s="49" t="s">
        <v>885</v>
      </c>
      <c r="J113" s="53"/>
      <c r="K113" s="53"/>
    </row>
    <row r="114" customFormat="false" ht="25.5" hidden="false" customHeight="true" outlineLevel="0" collapsed="false">
      <c r="A114" s="48" t="s">
        <v>995</v>
      </c>
      <c r="B114" s="49" t="s">
        <v>977</v>
      </c>
      <c r="C114" s="49" t="s">
        <v>1079</v>
      </c>
      <c r="D114" s="49" t="s">
        <v>1073</v>
      </c>
      <c r="E114" s="49" t="s">
        <v>1080</v>
      </c>
      <c r="F114" s="49"/>
      <c r="G114" s="49" t="s">
        <v>776</v>
      </c>
      <c r="H114" s="49" t="s">
        <v>996</v>
      </c>
      <c r="I114" s="49" t="s">
        <v>885</v>
      </c>
      <c r="J114" s="53"/>
      <c r="K114" s="53"/>
    </row>
    <row r="115" customFormat="false" ht="25.5" hidden="false" customHeight="true" outlineLevel="0" collapsed="false">
      <c r="A115" s="48" t="s">
        <v>995</v>
      </c>
      <c r="B115" s="49" t="s">
        <v>977</v>
      </c>
      <c r="C115" s="49" t="s">
        <v>1081</v>
      </c>
      <c r="D115" s="49" t="s">
        <v>1073</v>
      </c>
      <c r="E115" s="49" t="s">
        <v>1082</v>
      </c>
      <c r="F115" s="49" t="s">
        <v>1083</v>
      </c>
      <c r="G115" s="49" t="s">
        <v>776</v>
      </c>
      <c r="H115" s="49" t="s">
        <v>996</v>
      </c>
      <c r="I115" s="49" t="s">
        <v>885</v>
      </c>
      <c r="J115" s="53"/>
      <c r="K115" s="53"/>
    </row>
    <row r="116" customFormat="false" ht="25.5" hidden="false" customHeight="true" outlineLevel="0" collapsed="false">
      <c r="A116" s="48" t="s">
        <v>995</v>
      </c>
      <c r="B116" s="49" t="s">
        <v>977</v>
      </c>
      <c r="C116" s="49" t="s">
        <v>1084</v>
      </c>
      <c r="D116" s="49" t="s">
        <v>1073</v>
      </c>
      <c r="E116" s="49" t="s">
        <v>1085</v>
      </c>
      <c r="F116" s="49"/>
      <c r="G116" s="49" t="s">
        <v>776</v>
      </c>
      <c r="H116" s="49" t="s">
        <v>996</v>
      </c>
      <c r="I116" s="49" t="s">
        <v>885</v>
      </c>
      <c r="J116" s="53"/>
      <c r="K116" s="53"/>
    </row>
    <row r="117" customFormat="false" ht="25.5" hidden="false" customHeight="true" outlineLevel="0" collapsed="false">
      <c r="A117" s="48" t="s">
        <v>995</v>
      </c>
      <c r="B117" s="49" t="s">
        <v>932</v>
      </c>
      <c r="C117" s="49" t="s">
        <v>933</v>
      </c>
      <c r="D117" s="49"/>
      <c r="E117" s="49" t="s">
        <v>882</v>
      </c>
      <c r="F117" s="49" t="s">
        <v>934</v>
      </c>
      <c r="G117" s="49" t="s">
        <v>776</v>
      </c>
      <c r="H117" s="49" t="s">
        <v>884</v>
      </c>
      <c r="I117" s="49" t="s">
        <v>885</v>
      </c>
      <c r="J117" s="53"/>
      <c r="K117" s="53"/>
    </row>
    <row r="118" customFormat="false" ht="25.5" hidden="false" customHeight="true" outlineLevel="0" collapsed="false">
      <c r="A118" s="48" t="s">
        <v>995</v>
      </c>
      <c r="B118" s="49" t="s">
        <v>932</v>
      </c>
      <c r="C118" s="49" t="s">
        <v>984</v>
      </c>
      <c r="D118" s="49" t="s">
        <v>936</v>
      </c>
      <c r="E118" s="49" t="s">
        <v>985</v>
      </c>
      <c r="F118" s="49" t="s">
        <v>986</v>
      </c>
      <c r="G118" s="49" t="s">
        <v>776</v>
      </c>
      <c r="H118" s="49" t="s">
        <v>996</v>
      </c>
      <c r="I118" s="49" t="s">
        <v>885</v>
      </c>
      <c r="J118" s="53"/>
      <c r="K118" s="53"/>
    </row>
    <row r="119" customFormat="false" ht="25.5" hidden="false" customHeight="true" outlineLevel="0" collapsed="false">
      <c r="A119" s="48" t="s">
        <v>995</v>
      </c>
      <c r="B119" s="49" t="s">
        <v>932</v>
      </c>
      <c r="C119" s="49" t="s">
        <v>1086</v>
      </c>
      <c r="D119" s="49" t="s">
        <v>929</v>
      </c>
      <c r="E119" s="49" t="s">
        <v>1087</v>
      </c>
      <c r="F119" s="49" t="s">
        <v>1088</v>
      </c>
      <c r="G119" s="49" t="s">
        <v>776</v>
      </c>
      <c r="H119" s="49" t="s">
        <v>996</v>
      </c>
      <c r="I119" s="49" t="s">
        <v>885</v>
      </c>
      <c r="J119" s="53"/>
      <c r="K119" s="53"/>
    </row>
    <row r="120" customFormat="false" ht="25.5" hidden="false" customHeight="true" outlineLevel="0" collapsed="false">
      <c r="A120" s="48" t="s">
        <v>995</v>
      </c>
      <c r="B120" s="49" t="s">
        <v>932</v>
      </c>
      <c r="C120" s="49" t="s">
        <v>1089</v>
      </c>
      <c r="D120" s="49" t="s">
        <v>1090</v>
      </c>
      <c r="E120" s="49" t="s">
        <v>1091</v>
      </c>
      <c r="F120" s="49" t="s">
        <v>1092</v>
      </c>
      <c r="G120" s="49" t="s">
        <v>776</v>
      </c>
      <c r="H120" s="49" t="s">
        <v>996</v>
      </c>
      <c r="I120" s="49" t="s">
        <v>885</v>
      </c>
      <c r="J120" s="53"/>
      <c r="K120" s="53"/>
    </row>
    <row r="121" customFormat="false" ht="25.5" hidden="false" customHeight="true" outlineLevel="0" collapsed="false">
      <c r="A121" s="48" t="s">
        <v>995</v>
      </c>
      <c r="B121" s="49" t="s">
        <v>932</v>
      </c>
      <c r="C121" s="49" t="s">
        <v>1093</v>
      </c>
      <c r="D121" s="49" t="s">
        <v>936</v>
      </c>
      <c r="E121" s="49" t="s">
        <v>146</v>
      </c>
      <c r="F121" s="49" t="s">
        <v>1094</v>
      </c>
      <c r="G121" s="49" t="s">
        <v>776</v>
      </c>
      <c r="H121" s="49" t="s">
        <v>996</v>
      </c>
      <c r="I121" s="49" t="s">
        <v>885</v>
      </c>
      <c r="J121" s="53"/>
      <c r="K121" s="53"/>
    </row>
    <row r="122" customFormat="false" ht="25.5" hidden="false" customHeight="true" outlineLevel="0" collapsed="false">
      <c r="A122" s="48" t="s">
        <v>995</v>
      </c>
      <c r="B122" s="49" t="s">
        <v>932</v>
      </c>
      <c r="C122" s="49" t="s">
        <v>935</v>
      </c>
      <c r="D122" s="49" t="s">
        <v>936</v>
      </c>
      <c r="E122" s="49" t="s">
        <v>882</v>
      </c>
      <c r="F122" s="49" t="s">
        <v>937</v>
      </c>
      <c r="G122" s="49" t="s">
        <v>776</v>
      </c>
      <c r="H122" s="49" t="s">
        <v>884</v>
      </c>
      <c r="I122" s="49" t="s">
        <v>885</v>
      </c>
      <c r="J122" s="53"/>
      <c r="K122" s="53"/>
    </row>
    <row r="123" customFormat="false" ht="25.5" hidden="false" customHeight="true" outlineLevel="0" collapsed="false">
      <c r="A123" s="50" t="s">
        <v>995</v>
      </c>
      <c r="B123" s="51" t="s">
        <v>932</v>
      </c>
      <c r="C123" s="51" t="s">
        <v>938</v>
      </c>
      <c r="D123" s="51"/>
      <c r="E123" s="51" t="s">
        <v>893</v>
      </c>
      <c r="F123" s="51"/>
      <c r="G123" s="52" t="s">
        <v>910</v>
      </c>
      <c r="H123" s="51" t="s">
        <v>1005</v>
      </c>
      <c r="I123" s="51" t="s">
        <v>912</v>
      </c>
      <c r="J123" s="53"/>
      <c r="K123" s="53"/>
    </row>
    <row r="124" customFormat="false" ht="25.5" hidden="false" customHeight="true" outlineLevel="0" collapsed="false">
      <c r="A124" s="48" t="s">
        <v>995</v>
      </c>
      <c r="B124" s="49" t="s">
        <v>932</v>
      </c>
      <c r="C124" s="49" t="s">
        <v>1095</v>
      </c>
      <c r="D124" s="49"/>
      <c r="E124" s="49" t="s">
        <v>146</v>
      </c>
      <c r="F124" s="49"/>
      <c r="G124" s="49" t="s">
        <v>776</v>
      </c>
      <c r="H124" s="49" t="s">
        <v>996</v>
      </c>
      <c r="I124" s="49" t="s">
        <v>885</v>
      </c>
      <c r="J124" s="53"/>
      <c r="K124" s="53"/>
    </row>
    <row r="125" customFormat="false" ht="25.5" hidden="false" customHeight="true" outlineLevel="0" collapsed="false">
      <c r="A125" s="48" t="s">
        <v>995</v>
      </c>
      <c r="B125" s="49" t="s">
        <v>932</v>
      </c>
      <c r="C125" s="49" t="s">
        <v>1096</v>
      </c>
      <c r="D125" s="49" t="s">
        <v>936</v>
      </c>
      <c r="E125" s="49" t="s">
        <v>1097</v>
      </c>
      <c r="F125" s="49" t="s">
        <v>1098</v>
      </c>
      <c r="G125" s="49" t="s">
        <v>776</v>
      </c>
      <c r="H125" s="49" t="s">
        <v>996</v>
      </c>
      <c r="I125" s="49" t="s">
        <v>885</v>
      </c>
      <c r="J125" s="53"/>
      <c r="K125" s="53"/>
    </row>
    <row r="126" customFormat="false" ht="25.5" hidden="false" customHeight="true" outlineLevel="0" collapsed="false">
      <c r="A126" s="50" t="s">
        <v>995</v>
      </c>
      <c r="B126" s="51" t="s">
        <v>939</v>
      </c>
      <c r="C126" s="51" t="s">
        <v>940</v>
      </c>
      <c r="D126" s="51"/>
      <c r="E126" s="51" t="s">
        <v>893</v>
      </c>
      <c r="F126" s="51" t="s">
        <v>941</v>
      </c>
      <c r="G126" s="52" t="s">
        <v>910</v>
      </c>
      <c r="H126" s="51" t="s">
        <v>1005</v>
      </c>
      <c r="I126" s="51" t="s">
        <v>912</v>
      </c>
      <c r="J126" s="53"/>
      <c r="K126" s="53"/>
    </row>
    <row r="127" customFormat="false" ht="25.5" hidden="false" customHeight="true" outlineLevel="0" collapsed="false">
      <c r="A127" s="48" t="s">
        <v>995</v>
      </c>
      <c r="B127" s="49" t="s">
        <v>939</v>
      </c>
      <c r="C127" s="49" t="s">
        <v>1099</v>
      </c>
      <c r="D127" s="49" t="s">
        <v>1100</v>
      </c>
      <c r="E127" s="49" t="s">
        <v>1101</v>
      </c>
      <c r="F127" s="49" t="s">
        <v>993</v>
      </c>
      <c r="G127" s="49" t="s">
        <v>776</v>
      </c>
      <c r="H127" s="49" t="s">
        <v>996</v>
      </c>
      <c r="I127" s="49" t="s">
        <v>885</v>
      </c>
      <c r="J127" s="53"/>
      <c r="K127" s="53"/>
    </row>
    <row r="128" customFormat="false" ht="25.5" hidden="false" customHeight="true" outlineLevel="0" collapsed="false">
      <c r="A128" s="48" t="s">
        <v>995</v>
      </c>
      <c r="B128" s="49" t="s">
        <v>939</v>
      </c>
      <c r="C128" s="49" t="s">
        <v>1102</v>
      </c>
      <c r="D128" s="49" t="s">
        <v>988</v>
      </c>
      <c r="E128" s="49" t="s">
        <v>146</v>
      </c>
      <c r="F128" s="49" t="s">
        <v>993</v>
      </c>
      <c r="G128" s="49" t="s">
        <v>776</v>
      </c>
      <c r="H128" s="49" t="s">
        <v>996</v>
      </c>
      <c r="I128" s="49" t="s">
        <v>885</v>
      </c>
      <c r="J128" s="53"/>
      <c r="K128" s="53"/>
    </row>
    <row r="129" customFormat="false" ht="25.5" hidden="false" customHeight="true" outlineLevel="0" collapsed="false">
      <c r="A129" s="48" t="s">
        <v>995</v>
      </c>
      <c r="B129" s="49" t="s">
        <v>939</v>
      </c>
      <c r="C129" s="49" t="s">
        <v>1103</v>
      </c>
      <c r="D129" s="49" t="s">
        <v>1100</v>
      </c>
      <c r="E129" s="49" t="s">
        <v>146</v>
      </c>
      <c r="F129" s="49" t="s">
        <v>993</v>
      </c>
      <c r="G129" s="49" t="s">
        <v>776</v>
      </c>
      <c r="H129" s="49" t="s">
        <v>996</v>
      </c>
      <c r="I129" s="49" t="s">
        <v>885</v>
      </c>
      <c r="J129" s="53"/>
      <c r="K129" s="53"/>
    </row>
    <row r="130" customFormat="false" ht="25.5" hidden="false" customHeight="true" outlineLevel="0" collapsed="false">
      <c r="A130" s="48" t="s">
        <v>1104</v>
      </c>
      <c r="B130" s="49" t="s">
        <v>879</v>
      </c>
      <c r="C130" s="49" t="s">
        <v>943</v>
      </c>
      <c r="D130" s="49" t="s">
        <v>944</v>
      </c>
      <c r="E130" s="49" t="s">
        <v>843</v>
      </c>
      <c r="F130" s="49" t="s">
        <v>945</v>
      </c>
      <c r="G130" s="49" t="s">
        <v>776</v>
      </c>
      <c r="H130" s="49" t="s">
        <v>946</v>
      </c>
      <c r="I130" s="49" t="s">
        <v>885</v>
      </c>
      <c r="J130" s="53"/>
      <c r="K130" s="53"/>
    </row>
    <row r="131" customFormat="false" ht="25.5" hidden="false" customHeight="true" outlineLevel="0" collapsed="false">
      <c r="A131" s="48" t="s">
        <v>1104</v>
      </c>
      <c r="B131" s="49" t="s">
        <v>1009</v>
      </c>
      <c r="C131" s="49" t="s">
        <v>1012</v>
      </c>
      <c r="D131" s="49" t="s">
        <v>1011</v>
      </c>
      <c r="E131" s="49" t="s">
        <v>1013</v>
      </c>
      <c r="F131" s="49"/>
      <c r="G131" s="49" t="s">
        <v>776</v>
      </c>
      <c r="H131" s="49" t="s">
        <v>1105</v>
      </c>
      <c r="I131" s="49" t="s">
        <v>885</v>
      </c>
      <c r="J131" s="53"/>
      <c r="K131" s="53"/>
    </row>
    <row r="132" customFormat="false" ht="25.5" hidden="false" customHeight="true" outlineLevel="0" collapsed="false">
      <c r="A132" s="48" t="s">
        <v>1104</v>
      </c>
      <c r="B132" s="49" t="s">
        <v>950</v>
      </c>
      <c r="C132" s="49" t="s">
        <v>1106</v>
      </c>
      <c r="D132" s="49" t="s">
        <v>929</v>
      </c>
      <c r="E132" s="49" t="s">
        <v>1107</v>
      </c>
      <c r="F132" s="49"/>
      <c r="G132" s="49" t="s">
        <v>776</v>
      </c>
      <c r="H132" s="49" t="s">
        <v>1105</v>
      </c>
      <c r="I132" s="49" t="s">
        <v>885</v>
      </c>
      <c r="J132" s="53"/>
      <c r="K132" s="53"/>
    </row>
    <row r="133" customFormat="false" ht="25.5" hidden="false" customHeight="true" outlineLevel="0" collapsed="false">
      <c r="A133" s="48" t="s">
        <v>1104</v>
      </c>
      <c r="B133" s="49" t="s">
        <v>950</v>
      </c>
      <c r="C133" s="49" t="s">
        <v>951</v>
      </c>
      <c r="D133" s="49"/>
      <c r="E133" s="49" t="s">
        <v>217</v>
      </c>
      <c r="F133" s="49" t="s">
        <v>952</v>
      </c>
      <c r="G133" s="49" t="s">
        <v>776</v>
      </c>
      <c r="H133" s="49" t="s">
        <v>946</v>
      </c>
      <c r="I133" s="49" t="s">
        <v>885</v>
      </c>
      <c r="J133" s="53"/>
      <c r="K133" s="53"/>
    </row>
    <row r="134" customFormat="false" ht="25.5" hidden="false" customHeight="true" outlineLevel="0" collapsed="false">
      <c r="A134" s="48" t="s">
        <v>1104</v>
      </c>
      <c r="B134" s="49" t="s">
        <v>950</v>
      </c>
      <c r="C134" s="49" t="s">
        <v>953</v>
      </c>
      <c r="D134" s="49" t="s">
        <v>954</v>
      </c>
      <c r="E134" s="49" t="s">
        <v>217</v>
      </c>
      <c r="F134" s="49" t="s">
        <v>955</v>
      </c>
      <c r="G134" s="49" t="s">
        <v>776</v>
      </c>
      <c r="H134" s="49" t="s">
        <v>946</v>
      </c>
      <c r="I134" s="49" t="s">
        <v>885</v>
      </c>
      <c r="J134" s="53"/>
      <c r="K134" s="53"/>
    </row>
    <row r="135" customFormat="false" ht="25.5" hidden="false" customHeight="true" outlineLevel="0" collapsed="false">
      <c r="A135" s="48" t="s">
        <v>1104</v>
      </c>
      <c r="B135" s="49" t="s">
        <v>950</v>
      </c>
      <c r="C135" s="49" t="s">
        <v>956</v>
      </c>
      <c r="D135" s="49" t="s">
        <v>954</v>
      </c>
      <c r="E135" s="49" t="s">
        <v>957</v>
      </c>
      <c r="F135" s="49" t="s">
        <v>958</v>
      </c>
      <c r="G135" s="49" t="s">
        <v>776</v>
      </c>
      <c r="H135" s="49" t="s">
        <v>1105</v>
      </c>
      <c r="I135" s="49" t="s">
        <v>885</v>
      </c>
      <c r="J135" s="53"/>
      <c r="K135" s="53"/>
    </row>
    <row r="136" customFormat="false" ht="25.5" hidden="false" customHeight="true" outlineLevel="0" collapsed="false">
      <c r="A136" s="48" t="s">
        <v>1104</v>
      </c>
      <c r="B136" s="49" t="s">
        <v>907</v>
      </c>
      <c r="C136" s="49" t="s">
        <v>960</v>
      </c>
      <c r="D136" s="49"/>
      <c r="E136" s="49" t="s">
        <v>217</v>
      </c>
      <c r="F136" s="49" t="s">
        <v>961</v>
      </c>
      <c r="G136" s="49" t="s">
        <v>776</v>
      </c>
      <c r="H136" s="49" t="s">
        <v>946</v>
      </c>
      <c r="I136" s="49" t="s">
        <v>885</v>
      </c>
      <c r="J136" s="53"/>
      <c r="K136" s="53"/>
    </row>
    <row r="137" customFormat="false" ht="25.5" hidden="false" customHeight="true" outlineLevel="0" collapsed="false">
      <c r="A137" s="48" t="s">
        <v>1104</v>
      </c>
      <c r="B137" s="49" t="s">
        <v>915</v>
      </c>
      <c r="C137" s="49" t="s">
        <v>962</v>
      </c>
      <c r="D137" s="49"/>
      <c r="E137" s="49" t="s">
        <v>963</v>
      </c>
      <c r="F137" s="49"/>
      <c r="G137" s="49" t="s">
        <v>776</v>
      </c>
      <c r="H137" s="49" t="s">
        <v>946</v>
      </c>
      <c r="I137" s="49" t="s">
        <v>885</v>
      </c>
      <c r="J137" s="53"/>
      <c r="K137" s="53"/>
    </row>
    <row r="138" customFormat="false" ht="25.5" hidden="false" customHeight="true" outlineLevel="0" collapsed="false">
      <c r="A138" s="48" t="s">
        <v>1104</v>
      </c>
      <c r="B138" s="49" t="s">
        <v>917</v>
      </c>
      <c r="C138" s="49" t="s">
        <v>964</v>
      </c>
      <c r="D138" s="49" t="s">
        <v>965</v>
      </c>
      <c r="E138" s="49" t="s">
        <v>217</v>
      </c>
      <c r="F138" s="49" t="s">
        <v>966</v>
      </c>
      <c r="G138" s="49" t="s">
        <v>776</v>
      </c>
      <c r="H138" s="49" t="s">
        <v>946</v>
      </c>
      <c r="I138" s="49" t="s">
        <v>885</v>
      </c>
      <c r="J138" s="53"/>
      <c r="K138" s="53"/>
    </row>
    <row r="139" customFormat="false" ht="25.5" hidden="false" customHeight="true" outlineLevel="0" collapsed="false">
      <c r="A139" s="50" t="s">
        <v>1104</v>
      </c>
      <c r="B139" s="51" t="s">
        <v>917</v>
      </c>
      <c r="C139" s="51" t="s">
        <v>967</v>
      </c>
      <c r="D139" s="51" t="s">
        <v>968</v>
      </c>
      <c r="E139" s="51" t="s">
        <v>969</v>
      </c>
      <c r="F139" s="51" t="s">
        <v>970</v>
      </c>
      <c r="G139" s="52" t="s">
        <v>910</v>
      </c>
      <c r="H139" s="51" t="s">
        <v>959</v>
      </c>
      <c r="I139" s="51" t="s">
        <v>912</v>
      </c>
      <c r="J139" s="53"/>
      <c r="K139" s="53"/>
    </row>
    <row r="140" customFormat="false" ht="25.5" hidden="false" customHeight="true" outlineLevel="0" collapsed="false">
      <c r="A140" s="48" t="s">
        <v>1104</v>
      </c>
      <c r="B140" s="49" t="s">
        <v>925</v>
      </c>
      <c r="C140" s="49" t="s">
        <v>971</v>
      </c>
      <c r="D140" s="49" t="s">
        <v>972</v>
      </c>
      <c r="E140" s="49" t="s">
        <v>217</v>
      </c>
      <c r="F140" s="49"/>
      <c r="G140" s="49" t="s">
        <v>776</v>
      </c>
      <c r="H140" s="49" t="s">
        <v>946</v>
      </c>
      <c r="I140" s="49" t="s">
        <v>885</v>
      </c>
      <c r="J140" s="53"/>
      <c r="K140" s="53"/>
    </row>
    <row r="141" customFormat="false" ht="25.5" hidden="false" customHeight="true" outlineLevel="0" collapsed="false">
      <c r="A141" s="50" t="s">
        <v>1104</v>
      </c>
      <c r="B141" s="51" t="s">
        <v>925</v>
      </c>
      <c r="C141" s="51" t="s">
        <v>973</v>
      </c>
      <c r="D141" s="51" t="s">
        <v>968</v>
      </c>
      <c r="E141" s="51" t="s">
        <v>974</v>
      </c>
      <c r="F141" s="51" t="s">
        <v>975</v>
      </c>
      <c r="G141" s="52" t="s">
        <v>910</v>
      </c>
      <c r="H141" s="51" t="s">
        <v>1108</v>
      </c>
      <c r="I141" s="51" t="s">
        <v>912</v>
      </c>
      <c r="J141" s="53"/>
      <c r="K141" s="53"/>
    </row>
    <row r="142" customFormat="false" ht="25.5" hidden="false" customHeight="true" outlineLevel="0" collapsed="false">
      <c r="A142" s="48" t="s">
        <v>1104</v>
      </c>
      <c r="B142" s="49" t="s">
        <v>925</v>
      </c>
      <c r="C142" s="49" t="s">
        <v>976</v>
      </c>
      <c r="D142" s="49"/>
      <c r="E142" s="49" t="s">
        <v>217</v>
      </c>
      <c r="F142" s="49" t="s">
        <v>927</v>
      </c>
      <c r="G142" s="49" t="s">
        <v>776</v>
      </c>
      <c r="H142" s="49" t="s">
        <v>946</v>
      </c>
      <c r="I142" s="49" t="s">
        <v>885</v>
      </c>
      <c r="J142" s="53"/>
      <c r="K142" s="53"/>
    </row>
    <row r="143" customFormat="false" ht="25.5" hidden="false" customHeight="true" outlineLevel="0" collapsed="false">
      <c r="A143" s="48" t="s">
        <v>1104</v>
      </c>
      <c r="B143" s="49" t="s">
        <v>977</v>
      </c>
      <c r="C143" s="49" t="s">
        <v>978</v>
      </c>
      <c r="D143" s="49"/>
      <c r="E143" s="49" t="s">
        <v>217</v>
      </c>
      <c r="F143" s="49"/>
      <c r="G143" s="49" t="s">
        <v>776</v>
      </c>
      <c r="H143" s="49" t="s">
        <v>946</v>
      </c>
      <c r="I143" s="49" t="s">
        <v>885</v>
      </c>
      <c r="J143" s="53"/>
      <c r="K143" s="53"/>
    </row>
    <row r="144" customFormat="false" ht="25.5" hidden="false" customHeight="true" outlineLevel="0" collapsed="false">
      <c r="A144" s="48" t="s">
        <v>1104</v>
      </c>
      <c r="B144" s="49" t="s">
        <v>977</v>
      </c>
      <c r="C144" s="49" t="s">
        <v>1074</v>
      </c>
      <c r="D144" s="49" t="s">
        <v>1075</v>
      </c>
      <c r="E144" s="49" t="s">
        <v>1076</v>
      </c>
      <c r="F144" s="49"/>
      <c r="G144" s="49" t="s">
        <v>776</v>
      </c>
      <c r="H144" s="49" t="s">
        <v>1105</v>
      </c>
      <c r="I144" s="49" t="s">
        <v>885</v>
      </c>
      <c r="J144" s="53"/>
      <c r="K144" s="53"/>
    </row>
    <row r="145" customFormat="false" ht="25.5" hidden="false" customHeight="true" outlineLevel="0" collapsed="false">
      <c r="A145" s="48" t="s">
        <v>1104</v>
      </c>
      <c r="B145" s="49" t="s">
        <v>932</v>
      </c>
      <c r="C145" s="49" t="s">
        <v>984</v>
      </c>
      <c r="D145" s="49" t="s">
        <v>936</v>
      </c>
      <c r="E145" s="49" t="s">
        <v>985</v>
      </c>
      <c r="F145" s="49" t="s">
        <v>986</v>
      </c>
      <c r="G145" s="49" t="s">
        <v>776</v>
      </c>
      <c r="H145" s="49" t="s">
        <v>946</v>
      </c>
      <c r="I145" s="49" t="s">
        <v>885</v>
      </c>
      <c r="J145" s="53"/>
      <c r="K145" s="53"/>
    </row>
    <row r="146" customFormat="false" ht="25.5" hidden="false" customHeight="true" outlineLevel="0" collapsed="false">
      <c r="A146" s="48" t="s">
        <v>1104</v>
      </c>
      <c r="B146" s="49" t="s">
        <v>939</v>
      </c>
      <c r="C146" s="49" t="s">
        <v>987</v>
      </c>
      <c r="D146" s="49" t="s">
        <v>988</v>
      </c>
      <c r="E146" s="49" t="s">
        <v>217</v>
      </c>
      <c r="F146" s="49" t="s">
        <v>989</v>
      </c>
      <c r="G146" s="49" t="s">
        <v>776</v>
      </c>
      <c r="H146" s="49" t="s">
        <v>946</v>
      </c>
      <c r="I146" s="49" t="s">
        <v>885</v>
      </c>
      <c r="J146" s="53"/>
      <c r="K146" s="53"/>
    </row>
    <row r="147" customFormat="false" ht="25.5" hidden="false" customHeight="true" outlineLevel="0" collapsed="false">
      <c r="A147" s="48" t="s">
        <v>1104</v>
      </c>
      <c r="B147" s="49" t="s">
        <v>939</v>
      </c>
      <c r="C147" s="49" t="s">
        <v>1109</v>
      </c>
      <c r="D147" s="49" t="s">
        <v>1110</v>
      </c>
      <c r="E147" s="49" t="s">
        <v>1111</v>
      </c>
      <c r="F147" s="49" t="s">
        <v>941</v>
      </c>
      <c r="G147" s="49" t="s">
        <v>776</v>
      </c>
      <c r="H147" s="49" t="s">
        <v>1105</v>
      </c>
      <c r="I147" s="49" t="s">
        <v>885</v>
      </c>
      <c r="J147" s="53"/>
      <c r="K147" s="53"/>
    </row>
    <row r="148" customFormat="false" ht="25.5" hidden="false" customHeight="true" outlineLevel="0" collapsed="false">
      <c r="A148" s="50" t="s">
        <v>1104</v>
      </c>
      <c r="B148" s="51" t="s">
        <v>939</v>
      </c>
      <c r="C148" s="51" t="s">
        <v>990</v>
      </c>
      <c r="D148" s="51" t="s">
        <v>991</v>
      </c>
      <c r="E148" s="51" t="s">
        <v>992</v>
      </c>
      <c r="F148" s="51" t="s">
        <v>993</v>
      </c>
      <c r="G148" s="52" t="s">
        <v>910</v>
      </c>
      <c r="H148" s="51" t="s">
        <v>994</v>
      </c>
      <c r="I148" s="51" t="s">
        <v>912</v>
      </c>
      <c r="J148" s="53"/>
      <c r="K148" s="53"/>
    </row>
    <row r="149" customFormat="false" ht="25.5" hidden="false" customHeight="true" outlineLevel="0" collapsed="false">
      <c r="A149" s="48" t="s">
        <v>1104</v>
      </c>
      <c r="B149" s="49" t="s">
        <v>939</v>
      </c>
      <c r="C149" s="49" t="s">
        <v>1112</v>
      </c>
      <c r="D149" s="49" t="s">
        <v>991</v>
      </c>
      <c r="E149" s="49" t="s">
        <v>1113</v>
      </c>
      <c r="F149" s="49" t="s">
        <v>941</v>
      </c>
      <c r="G149" s="49" t="s">
        <v>776</v>
      </c>
      <c r="H149" s="49" t="s">
        <v>1105</v>
      </c>
      <c r="I149" s="49" t="s">
        <v>885</v>
      </c>
      <c r="J149" s="53"/>
      <c r="K149" s="53"/>
    </row>
    <row r="150" customFormat="false" ht="25.5" hidden="false" customHeight="true" outlineLevel="0" collapsed="false">
      <c r="A150" s="48" t="s">
        <v>1114</v>
      </c>
      <c r="B150" s="49" t="s">
        <v>879</v>
      </c>
      <c r="C150" s="49" t="s">
        <v>880</v>
      </c>
      <c r="D150" s="49" t="s">
        <v>881</v>
      </c>
      <c r="E150" s="49" t="s">
        <v>882</v>
      </c>
      <c r="F150" s="49" t="s">
        <v>883</v>
      </c>
      <c r="G150" s="49" t="s">
        <v>776</v>
      </c>
      <c r="H150" s="49" t="s">
        <v>884</v>
      </c>
      <c r="I150" s="49" t="s">
        <v>885</v>
      </c>
      <c r="J150" s="53"/>
      <c r="K150" s="53"/>
    </row>
    <row r="151" customFormat="false" ht="25.5" hidden="false" customHeight="true" outlineLevel="0" collapsed="false">
      <c r="A151" s="50" t="s">
        <v>1114</v>
      </c>
      <c r="B151" s="51" t="s">
        <v>879</v>
      </c>
      <c r="C151" s="51" t="s">
        <v>943</v>
      </c>
      <c r="D151" s="51" t="s">
        <v>944</v>
      </c>
      <c r="E151" s="51" t="s">
        <v>843</v>
      </c>
      <c r="F151" s="51" t="s">
        <v>945</v>
      </c>
      <c r="G151" s="52" t="s">
        <v>910</v>
      </c>
      <c r="H151" s="51" t="s">
        <v>1066</v>
      </c>
      <c r="I151" s="51" t="s">
        <v>912</v>
      </c>
      <c r="J151" s="53"/>
      <c r="K151" s="53"/>
    </row>
    <row r="152" customFormat="false" ht="25.5" hidden="false" customHeight="true" outlineLevel="0" collapsed="false">
      <c r="A152" s="50" t="s">
        <v>1114</v>
      </c>
      <c r="B152" s="51" t="s">
        <v>879</v>
      </c>
      <c r="C152" s="51" t="s">
        <v>949</v>
      </c>
      <c r="D152" s="51"/>
      <c r="E152" s="51" t="s">
        <v>811</v>
      </c>
      <c r="F152" s="51"/>
      <c r="G152" s="52" t="s">
        <v>910</v>
      </c>
      <c r="H152" s="51" t="s">
        <v>1066</v>
      </c>
      <c r="I152" s="51" t="s">
        <v>912</v>
      </c>
      <c r="J152" s="53"/>
      <c r="K152" s="53"/>
    </row>
    <row r="153" customFormat="false" ht="25.5" hidden="false" customHeight="true" outlineLevel="0" collapsed="false">
      <c r="A153" s="50" t="s">
        <v>1114</v>
      </c>
      <c r="B153" s="51" t="s">
        <v>879</v>
      </c>
      <c r="C153" s="51" t="s">
        <v>998</v>
      </c>
      <c r="D153" s="51" t="s">
        <v>881</v>
      </c>
      <c r="E153" s="51" t="s">
        <v>146</v>
      </c>
      <c r="F153" s="51"/>
      <c r="G153" s="52" t="s">
        <v>910</v>
      </c>
      <c r="H153" s="51" t="s">
        <v>1066</v>
      </c>
      <c r="I153" s="51" t="s">
        <v>912</v>
      </c>
      <c r="J153" s="53"/>
      <c r="K153" s="53"/>
    </row>
    <row r="154" customFormat="false" ht="25.5" hidden="false" customHeight="true" outlineLevel="0" collapsed="false">
      <c r="A154" s="50" t="s">
        <v>1114</v>
      </c>
      <c r="B154" s="51" t="s">
        <v>879</v>
      </c>
      <c r="C154" s="51" t="s">
        <v>999</v>
      </c>
      <c r="D154" s="51" t="s">
        <v>890</v>
      </c>
      <c r="E154" s="51" t="s">
        <v>146</v>
      </c>
      <c r="F154" s="51" t="s">
        <v>1000</v>
      </c>
      <c r="G154" s="52" t="s">
        <v>910</v>
      </c>
      <c r="H154" s="51" t="s">
        <v>1066</v>
      </c>
      <c r="I154" s="51" t="s">
        <v>912</v>
      </c>
      <c r="J154" s="53"/>
      <c r="K154" s="53"/>
    </row>
    <row r="155" customFormat="false" ht="25.5" hidden="false" customHeight="true" outlineLevel="0" collapsed="false">
      <c r="A155" s="50" t="s">
        <v>1114</v>
      </c>
      <c r="B155" s="51" t="s">
        <v>879</v>
      </c>
      <c r="C155" s="51" t="s">
        <v>1001</v>
      </c>
      <c r="D155" s="51"/>
      <c r="E155" s="51" t="s">
        <v>146</v>
      </c>
      <c r="F155" s="51"/>
      <c r="G155" s="52" t="s">
        <v>910</v>
      </c>
      <c r="H155" s="51" t="s">
        <v>1066</v>
      </c>
      <c r="I155" s="51" t="s">
        <v>912</v>
      </c>
      <c r="J155" s="53"/>
      <c r="K155" s="53"/>
    </row>
    <row r="156" customFormat="false" ht="25.5" hidden="false" customHeight="true" outlineLevel="0" collapsed="false">
      <c r="A156" s="48" t="s">
        <v>1114</v>
      </c>
      <c r="B156" s="49" t="s">
        <v>879</v>
      </c>
      <c r="C156" s="49" t="s">
        <v>886</v>
      </c>
      <c r="D156" s="49" t="s">
        <v>887</v>
      </c>
      <c r="E156" s="49" t="s">
        <v>882</v>
      </c>
      <c r="F156" s="49"/>
      <c r="G156" s="49" t="s">
        <v>776</v>
      </c>
      <c r="H156" s="49" t="s">
        <v>884</v>
      </c>
      <c r="I156" s="49" t="s">
        <v>885</v>
      </c>
      <c r="J156" s="53"/>
      <c r="K156" s="53"/>
    </row>
    <row r="157" customFormat="false" ht="25.5" hidden="false" customHeight="true" outlineLevel="0" collapsed="false">
      <c r="A157" s="48" t="s">
        <v>1114</v>
      </c>
      <c r="B157" s="49" t="s">
        <v>879</v>
      </c>
      <c r="C157" s="49" t="s">
        <v>888</v>
      </c>
      <c r="D157" s="49" t="s">
        <v>887</v>
      </c>
      <c r="E157" s="49" t="s">
        <v>882</v>
      </c>
      <c r="F157" s="49"/>
      <c r="G157" s="49" t="s">
        <v>776</v>
      </c>
      <c r="H157" s="49" t="s">
        <v>884</v>
      </c>
      <c r="I157" s="49" t="s">
        <v>885</v>
      </c>
      <c r="J157" s="53"/>
      <c r="K157" s="53"/>
    </row>
    <row r="158" customFormat="false" ht="25.5" hidden="false" customHeight="true" outlineLevel="0" collapsed="false">
      <c r="A158" s="48" t="s">
        <v>1114</v>
      </c>
      <c r="B158" s="49" t="s">
        <v>879</v>
      </c>
      <c r="C158" s="49" t="s">
        <v>889</v>
      </c>
      <c r="D158" s="49" t="s">
        <v>890</v>
      </c>
      <c r="E158" s="49" t="s">
        <v>882</v>
      </c>
      <c r="F158" s="49"/>
      <c r="G158" s="49" t="s">
        <v>776</v>
      </c>
      <c r="H158" s="49" t="s">
        <v>884</v>
      </c>
      <c r="I158" s="49" t="s">
        <v>885</v>
      </c>
      <c r="J158" s="53"/>
      <c r="K158" s="53"/>
    </row>
    <row r="159" customFormat="false" ht="25.5" hidden="false" customHeight="true" outlineLevel="0" collapsed="false">
      <c r="A159" s="50" t="s">
        <v>1114</v>
      </c>
      <c r="B159" s="51" t="s">
        <v>891</v>
      </c>
      <c r="C159" s="51" t="s">
        <v>1002</v>
      </c>
      <c r="D159" s="51" t="s">
        <v>898</v>
      </c>
      <c r="E159" s="51" t="s">
        <v>146</v>
      </c>
      <c r="F159" s="51"/>
      <c r="G159" s="52" t="s">
        <v>910</v>
      </c>
      <c r="H159" s="51" t="s">
        <v>1066</v>
      </c>
      <c r="I159" s="51" t="s">
        <v>912</v>
      </c>
      <c r="J159" s="53"/>
      <c r="K159" s="53"/>
    </row>
    <row r="160" customFormat="false" ht="25.5" hidden="false" customHeight="true" outlineLevel="0" collapsed="false">
      <c r="A160" s="50" t="s">
        <v>1114</v>
      </c>
      <c r="B160" s="51" t="s">
        <v>891</v>
      </c>
      <c r="C160" s="51" t="s">
        <v>1003</v>
      </c>
      <c r="D160" s="51" t="s">
        <v>1004</v>
      </c>
      <c r="E160" s="51" t="s">
        <v>146</v>
      </c>
      <c r="F160" s="51"/>
      <c r="G160" s="52" t="s">
        <v>910</v>
      </c>
      <c r="H160" s="51" t="s">
        <v>1066</v>
      </c>
      <c r="I160" s="51" t="s">
        <v>912</v>
      </c>
      <c r="J160" s="53"/>
      <c r="K160" s="53"/>
    </row>
    <row r="161" customFormat="false" ht="25.5" hidden="false" customHeight="true" outlineLevel="0" collapsed="false">
      <c r="A161" s="50" t="s">
        <v>1114</v>
      </c>
      <c r="B161" s="51" t="s">
        <v>891</v>
      </c>
      <c r="C161" s="51" t="s">
        <v>892</v>
      </c>
      <c r="D161" s="51"/>
      <c r="E161" s="51" t="s">
        <v>893</v>
      </c>
      <c r="F161" s="51" t="s">
        <v>894</v>
      </c>
      <c r="G161" s="52" t="s">
        <v>910</v>
      </c>
      <c r="H161" s="51" t="s">
        <v>1005</v>
      </c>
      <c r="I161" s="51" t="s">
        <v>912</v>
      </c>
      <c r="J161" s="53"/>
      <c r="K161" s="53"/>
    </row>
    <row r="162" customFormat="false" ht="25.5" hidden="false" customHeight="true" outlineLevel="0" collapsed="false">
      <c r="A162" s="50" t="s">
        <v>1114</v>
      </c>
      <c r="B162" s="51" t="s">
        <v>891</v>
      </c>
      <c r="C162" s="51" t="s">
        <v>1006</v>
      </c>
      <c r="D162" s="51" t="s">
        <v>1007</v>
      </c>
      <c r="E162" s="51" t="s">
        <v>146</v>
      </c>
      <c r="F162" s="51" t="s">
        <v>1008</v>
      </c>
      <c r="G162" s="52" t="s">
        <v>910</v>
      </c>
      <c r="H162" s="51" t="s">
        <v>1066</v>
      </c>
      <c r="I162" s="51" t="s">
        <v>912</v>
      </c>
      <c r="J162" s="53"/>
      <c r="K162" s="53"/>
    </row>
    <row r="163" customFormat="false" ht="25.5" hidden="false" customHeight="true" outlineLevel="0" collapsed="false">
      <c r="A163" s="50" t="s">
        <v>1114</v>
      </c>
      <c r="B163" s="51" t="s">
        <v>1009</v>
      </c>
      <c r="C163" s="51" t="s">
        <v>1010</v>
      </c>
      <c r="D163" s="51" t="s">
        <v>1011</v>
      </c>
      <c r="E163" s="51" t="s">
        <v>146</v>
      </c>
      <c r="F163" s="51"/>
      <c r="G163" s="52" t="s">
        <v>910</v>
      </c>
      <c r="H163" s="51" t="s">
        <v>1066</v>
      </c>
      <c r="I163" s="51" t="s">
        <v>912</v>
      </c>
      <c r="J163" s="53"/>
      <c r="K163" s="53"/>
    </row>
    <row r="164" customFormat="false" ht="25.5" hidden="false" customHeight="true" outlineLevel="0" collapsed="false">
      <c r="A164" s="50" t="s">
        <v>1114</v>
      </c>
      <c r="B164" s="51" t="s">
        <v>1009</v>
      </c>
      <c r="C164" s="51" t="s">
        <v>1012</v>
      </c>
      <c r="D164" s="51" t="s">
        <v>1011</v>
      </c>
      <c r="E164" s="51" t="s">
        <v>1013</v>
      </c>
      <c r="F164" s="51"/>
      <c r="G164" s="52" t="s">
        <v>910</v>
      </c>
      <c r="H164" s="51" t="s">
        <v>1066</v>
      </c>
      <c r="I164" s="51" t="s">
        <v>912</v>
      </c>
      <c r="J164" s="53"/>
      <c r="K164" s="53"/>
    </row>
    <row r="165" customFormat="false" ht="25.5" hidden="false" customHeight="true" outlineLevel="0" collapsed="false">
      <c r="A165" s="50" t="s">
        <v>1114</v>
      </c>
      <c r="B165" s="51" t="s">
        <v>1009</v>
      </c>
      <c r="C165" s="51" t="s">
        <v>1014</v>
      </c>
      <c r="D165" s="51" t="s">
        <v>1011</v>
      </c>
      <c r="E165" s="51" t="s">
        <v>1015</v>
      </c>
      <c r="F165" s="51" t="s">
        <v>1016</v>
      </c>
      <c r="G165" s="52" t="s">
        <v>910</v>
      </c>
      <c r="H165" s="51" t="s">
        <v>1066</v>
      </c>
      <c r="I165" s="51" t="s">
        <v>912</v>
      </c>
      <c r="J165" s="53"/>
      <c r="K165" s="53"/>
    </row>
    <row r="166" customFormat="false" ht="25.5" hidden="false" customHeight="true" outlineLevel="0" collapsed="false">
      <c r="A166" s="50" t="s">
        <v>1114</v>
      </c>
      <c r="B166" s="51" t="s">
        <v>1009</v>
      </c>
      <c r="C166" s="51" t="s">
        <v>1017</v>
      </c>
      <c r="D166" s="51" t="s">
        <v>1011</v>
      </c>
      <c r="E166" s="51" t="s">
        <v>146</v>
      </c>
      <c r="F166" s="51"/>
      <c r="G166" s="52" t="s">
        <v>910</v>
      </c>
      <c r="H166" s="51" t="s">
        <v>1066</v>
      </c>
      <c r="I166" s="51" t="s">
        <v>912</v>
      </c>
      <c r="J166" s="53"/>
      <c r="K166" s="53"/>
    </row>
    <row r="167" customFormat="false" ht="25.5" hidden="false" customHeight="true" outlineLevel="0" collapsed="false">
      <c r="A167" s="50" t="s">
        <v>1114</v>
      </c>
      <c r="B167" s="51" t="s">
        <v>950</v>
      </c>
      <c r="C167" s="51" t="s">
        <v>1018</v>
      </c>
      <c r="D167" s="51" t="s">
        <v>1019</v>
      </c>
      <c r="E167" s="51" t="s">
        <v>1020</v>
      </c>
      <c r="F167" s="51"/>
      <c r="G167" s="52" t="s">
        <v>910</v>
      </c>
      <c r="H167" s="51" t="s">
        <v>1066</v>
      </c>
      <c r="I167" s="51" t="s">
        <v>912</v>
      </c>
      <c r="J167" s="53"/>
      <c r="K167" s="53"/>
    </row>
    <row r="168" customFormat="false" ht="25.5" hidden="false" customHeight="true" outlineLevel="0" collapsed="false">
      <c r="A168" s="50" t="s">
        <v>1114</v>
      </c>
      <c r="B168" s="51" t="s">
        <v>950</v>
      </c>
      <c r="C168" s="51" t="s">
        <v>1021</v>
      </c>
      <c r="D168" s="51" t="s">
        <v>954</v>
      </c>
      <c r="E168" s="51" t="s">
        <v>146</v>
      </c>
      <c r="F168" s="51"/>
      <c r="G168" s="52" t="s">
        <v>910</v>
      </c>
      <c r="H168" s="51" t="s">
        <v>1066</v>
      </c>
      <c r="I168" s="51" t="s">
        <v>912</v>
      </c>
      <c r="J168" s="53"/>
      <c r="K168" s="53"/>
    </row>
    <row r="169" customFormat="false" ht="25.5" hidden="false" customHeight="true" outlineLevel="0" collapsed="false">
      <c r="A169" s="50" t="s">
        <v>1114</v>
      </c>
      <c r="B169" s="51" t="s">
        <v>950</v>
      </c>
      <c r="C169" s="51" t="s">
        <v>1022</v>
      </c>
      <c r="D169" s="51" t="s">
        <v>1019</v>
      </c>
      <c r="E169" s="51" t="s">
        <v>1023</v>
      </c>
      <c r="F169" s="51"/>
      <c r="G169" s="52" t="s">
        <v>910</v>
      </c>
      <c r="H169" s="51" t="s">
        <v>1066</v>
      </c>
      <c r="I169" s="51" t="s">
        <v>912</v>
      </c>
      <c r="J169" s="53"/>
      <c r="K169" s="53"/>
    </row>
    <row r="170" customFormat="false" ht="25.5" hidden="false" customHeight="true" outlineLevel="0" collapsed="false">
      <c r="A170" s="50" t="s">
        <v>1114</v>
      </c>
      <c r="B170" s="51" t="s">
        <v>950</v>
      </c>
      <c r="C170" s="51" t="s">
        <v>956</v>
      </c>
      <c r="D170" s="51" t="s">
        <v>954</v>
      </c>
      <c r="E170" s="51" t="s">
        <v>957</v>
      </c>
      <c r="F170" s="51" t="s">
        <v>958</v>
      </c>
      <c r="G170" s="52" t="s">
        <v>910</v>
      </c>
      <c r="H170" s="51" t="s">
        <v>1066</v>
      </c>
      <c r="I170" s="51" t="s">
        <v>912</v>
      </c>
      <c r="J170" s="53"/>
      <c r="K170" s="53"/>
    </row>
    <row r="171" customFormat="false" ht="25.5" hidden="false" customHeight="true" outlineLevel="0" collapsed="false">
      <c r="A171" s="50" t="s">
        <v>1114</v>
      </c>
      <c r="B171" s="51" t="s">
        <v>950</v>
      </c>
      <c r="C171" s="51" t="s">
        <v>1024</v>
      </c>
      <c r="D171" s="51" t="s">
        <v>1025</v>
      </c>
      <c r="E171" s="51" t="s">
        <v>146</v>
      </c>
      <c r="F171" s="51" t="s">
        <v>1026</v>
      </c>
      <c r="G171" s="52" t="s">
        <v>910</v>
      </c>
      <c r="H171" s="51" t="s">
        <v>1066</v>
      </c>
      <c r="I171" s="51" t="s">
        <v>912</v>
      </c>
      <c r="J171" s="53"/>
      <c r="K171" s="53"/>
    </row>
    <row r="172" customFormat="false" ht="25.5" hidden="false" customHeight="true" outlineLevel="0" collapsed="false">
      <c r="A172" s="50" t="s">
        <v>1114</v>
      </c>
      <c r="B172" s="51" t="s">
        <v>950</v>
      </c>
      <c r="C172" s="51" t="s">
        <v>1027</v>
      </c>
      <c r="D172" s="51" t="s">
        <v>1025</v>
      </c>
      <c r="E172" s="51" t="s">
        <v>146</v>
      </c>
      <c r="F172" s="51"/>
      <c r="G172" s="52" t="s">
        <v>910</v>
      </c>
      <c r="H172" s="51" t="s">
        <v>1066</v>
      </c>
      <c r="I172" s="51" t="s">
        <v>912</v>
      </c>
      <c r="J172" s="53"/>
      <c r="K172" s="53"/>
    </row>
    <row r="173" customFormat="false" ht="25.5" hidden="false" customHeight="true" outlineLevel="0" collapsed="false">
      <c r="A173" s="50" t="s">
        <v>1114</v>
      </c>
      <c r="B173" s="51" t="s">
        <v>896</v>
      </c>
      <c r="C173" s="51" t="s">
        <v>1028</v>
      </c>
      <c r="D173" s="51" t="s">
        <v>1029</v>
      </c>
      <c r="E173" s="51" t="s">
        <v>146</v>
      </c>
      <c r="F173" s="51" t="s">
        <v>1030</v>
      </c>
      <c r="G173" s="52" t="s">
        <v>910</v>
      </c>
      <c r="H173" s="51" t="s">
        <v>1066</v>
      </c>
      <c r="I173" s="51" t="s">
        <v>912</v>
      </c>
      <c r="J173" s="53"/>
      <c r="K173" s="53"/>
    </row>
    <row r="174" customFormat="false" ht="25.5" hidden="false" customHeight="true" outlineLevel="0" collapsed="false">
      <c r="A174" s="50" t="s">
        <v>1114</v>
      </c>
      <c r="B174" s="51" t="s">
        <v>896</v>
      </c>
      <c r="C174" s="51" t="s">
        <v>897</v>
      </c>
      <c r="D174" s="51" t="s">
        <v>898</v>
      </c>
      <c r="E174" s="51" t="s">
        <v>899</v>
      </c>
      <c r="F174" s="51"/>
      <c r="G174" s="52" t="s">
        <v>910</v>
      </c>
      <c r="H174" s="51" t="s">
        <v>1005</v>
      </c>
      <c r="I174" s="51" t="s">
        <v>912</v>
      </c>
      <c r="J174" s="53"/>
      <c r="K174" s="53"/>
    </row>
    <row r="175" customFormat="false" ht="25.5" hidden="false" customHeight="true" outlineLevel="0" collapsed="false">
      <c r="A175" s="50" t="s">
        <v>1114</v>
      </c>
      <c r="B175" s="51" t="s">
        <v>896</v>
      </c>
      <c r="C175" s="51" t="s">
        <v>900</v>
      </c>
      <c r="D175" s="51" t="s">
        <v>898</v>
      </c>
      <c r="E175" s="51" t="s">
        <v>893</v>
      </c>
      <c r="F175" s="51"/>
      <c r="G175" s="52" t="s">
        <v>910</v>
      </c>
      <c r="H175" s="51" t="s">
        <v>1005</v>
      </c>
      <c r="I175" s="51" t="s">
        <v>912</v>
      </c>
      <c r="J175" s="53"/>
      <c r="K175" s="53"/>
    </row>
    <row r="176" customFormat="false" ht="25.5" hidden="false" customHeight="true" outlineLevel="0" collapsed="false">
      <c r="A176" s="50" t="s">
        <v>1114</v>
      </c>
      <c r="B176" s="51" t="s">
        <v>896</v>
      </c>
      <c r="C176" s="51" t="s">
        <v>901</v>
      </c>
      <c r="D176" s="51" t="s">
        <v>898</v>
      </c>
      <c r="E176" s="51" t="s">
        <v>893</v>
      </c>
      <c r="F176" s="51"/>
      <c r="G176" s="52" t="s">
        <v>910</v>
      </c>
      <c r="H176" s="51" t="s">
        <v>1005</v>
      </c>
      <c r="I176" s="51" t="s">
        <v>912</v>
      </c>
      <c r="J176" s="53"/>
      <c r="K176" s="53"/>
    </row>
    <row r="177" customFormat="false" ht="25.5" hidden="false" customHeight="true" outlineLevel="0" collapsed="false">
      <c r="A177" s="50" t="s">
        <v>1114</v>
      </c>
      <c r="B177" s="51" t="s">
        <v>896</v>
      </c>
      <c r="C177" s="51" t="s">
        <v>902</v>
      </c>
      <c r="D177" s="51" t="s">
        <v>903</v>
      </c>
      <c r="E177" s="51" t="s">
        <v>893</v>
      </c>
      <c r="F177" s="51"/>
      <c r="G177" s="52" t="s">
        <v>910</v>
      </c>
      <c r="H177" s="51" t="s">
        <v>1005</v>
      </c>
      <c r="I177" s="51" t="s">
        <v>912</v>
      </c>
      <c r="J177" s="53"/>
      <c r="K177" s="53"/>
    </row>
    <row r="178" customFormat="false" ht="25.5" hidden="false" customHeight="true" outlineLevel="0" collapsed="false">
      <c r="A178" s="50" t="s">
        <v>1114</v>
      </c>
      <c r="B178" s="51" t="s">
        <v>896</v>
      </c>
      <c r="C178" s="51" t="s">
        <v>904</v>
      </c>
      <c r="D178" s="51"/>
      <c r="E178" s="51" t="s">
        <v>893</v>
      </c>
      <c r="F178" s="51"/>
      <c r="G178" s="52" t="s">
        <v>910</v>
      </c>
      <c r="H178" s="51" t="s">
        <v>1005</v>
      </c>
      <c r="I178" s="51" t="s">
        <v>912</v>
      </c>
      <c r="J178" s="53"/>
      <c r="K178" s="53"/>
    </row>
    <row r="179" customFormat="false" ht="25.5" hidden="false" customHeight="true" outlineLevel="0" collapsed="false">
      <c r="A179" s="50" t="s">
        <v>1114</v>
      </c>
      <c r="B179" s="51" t="s">
        <v>896</v>
      </c>
      <c r="C179" s="51" t="s">
        <v>905</v>
      </c>
      <c r="D179" s="51"/>
      <c r="E179" s="51" t="s">
        <v>893</v>
      </c>
      <c r="F179" s="51"/>
      <c r="G179" s="52" t="s">
        <v>910</v>
      </c>
      <c r="H179" s="51" t="s">
        <v>1005</v>
      </c>
      <c r="I179" s="51" t="s">
        <v>912</v>
      </c>
      <c r="J179" s="53"/>
      <c r="K179" s="53"/>
    </row>
    <row r="180" customFormat="false" ht="25.5" hidden="false" customHeight="true" outlineLevel="0" collapsed="false">
      <c r="A180" s="50" t="s">
        <v>1114</v>
      </c>
      <c r="B180" s="51" t="s">
        <v>896</v>
      </c>
      <c r="C180" s="51" t="s">
        <v>906</v>
      </c>
      <c r="D180" s="51"/>
      <c r="E180" s="51" t="s">
        <v>893</v>
      </c>
      <c r="F180" s="51"/>
      <c r="G180" s="52" t="s">
        <v>910</v>
      </c>
      <c r="H180" s="51" t="s">
        <v>1005</v>
      </c>
      <c r="I180" s="51" t="s">
        <v>912</v>
      </c>
      <c r="J180" s="53"/>
      <c r="K180" s="53"/>
    </row>
    <row r="181" customFormat="false" ht="25.5" hidden="false" customHeight="true" outlineLevel="0" collapsed="false">
      <c r="A181" s="50" t="s">
        <v>1114</v>
      </c>
      <c r="B181" s="51" t="s">
        <v>907</v>
      </c>
      <c r="C181" s="51" t="s">
        <v>1031</v>
      </c>
      <c r="D181" s="51" t="s">
        <v>1032</v>
      </c>
      <c r="E181" s="51" t="s">
        <v>146</v>
      </c>
      <c r="F181" s="51"/>
      <c r="G181" s="52" t="s">
        <v>910</v>
      </c>
      <c r="H181" s="51" t="s">
        <v>1066</v>
      </c>
      <c r="I181" s="51" t="s">
        <v>912</v>
      </c>
      <c r="J181" s="53"/>
      <c r="K181" s="53"/>
    </row>
    <row r="182" customFormat="false" ht="25.5" hidden="false" customHeight="true" outlineLevel="0" collapsed="false">
      <c r="A182" s="50" t="s">
        <v>1114</v>
      </c>
      <c r="B182" s="51" t="s">
        <v>907</v>
      </c>
      <c r="C182" s="51" t="s">
        <v>1033</v>
      </c>
      <c r="D182" s="51" t="s">
        <v>1034</v>
      </c>
      <c r="E182" s="51" t="s">
        <v>146</v>
      </c>
      <c r="F182" s="51"/>
      <c r="G182" s="52" t="s">
        <v>910</v>
      </c>
      <c r="H182" s="51" t="s">
        <v>1066</v>
      </c>
      <c r="I182" s="51" t="s">
        <v>912</v>
      </c>
      <c r="J182" s="53"/>
      <c r="K182" s="53"/>
    </row>
    <row r="183" customFormat="false" ht="25.5" hidden="false" customHeight="true" outlineLevel="0" collapsed="false">
      <c r="A183" s="50" t="s">
        <v>1114</v>
      </c>
      <c r="B183" s="51" t="s">
        <v>907</v>
      </c>
      <c r="C183" s="51" t="s">
        <v>1035</v>
      </c>
      <c r="D183" s="51" t="s">
        <v>1034</v>
      </c>
      <c r="E183" s="51" t="s">
        <v>1036</v>
      </c>
      <c r="F183" s="51" t="s">
        <v>1037</v>
      </c>
      <c r="G183" s="52" t="s">
        <v>910</v>
      </c>
      <c r="H183" s="51" t="s">
        <v>1066</v>
      </c>
      <c r="I183" s="51" t="s">
        <v>912</v>
      </c>
      <c r="J183" s="53"/>
      <c r="K183" s="53"/>
    </row>
    <row r="184" customFormat="false" ht="25.5" hidden="false" customHeight="true" outlineLevel="0" collapsed="false">
      <c r="A184" s="50" t="s">
        <v>1114</v>
      </c>
      <c r="B184" s="51" t="s">
        <v>907</v>
      </c>
      <c r="C184" s="51" t="s">
        <v>1038</v>
      </c>
      <c r="D184" s="51" t="s">
        <v>1039</v>
      </c>
      <c r="E184" s="51" t="s">
        <v>146</v>
      </c>
      <c r="F184" s="51"/>
      <c r="G184" s="52" t="s">
        <v>910</v>
      </c>
      <c r="H184" s="51" t="s">
        <v>1066</v>
      </c>
      <c r="I184" s="51" t="s">
        <v>912</v>
      </c>
      <c r="J184" s="53"/>
      <c r="K184" s="53"/>
    </row>
    <row r="185" customFormat="false" ht="25.5" hidden="false" customHeight="true" outlineLevel="0" collapsed="false">
      <c r="A185" s="50" t="s">
        <v>1114</v>
      </c>
      <c r="B185" s="51" t="s">
        <v>907</v>
      </c>
      <c r="C185" s="51" t="s">
        <v>908</v>
      </c>
      <c r="D185" s="51"/>
      <c r="E185" s="51" t="s">
        <v>909</v>
      </c>
      <c r="F185" s="51"/>
      <c r="G185" s="52" t="s">
        <v>910</v>
      </c>
      <c r="H185" s="51" t="s">
        <v>1066</v>
      </c>
      <c r="I185" s="51" t="s">
        <v>912</v>
      </c>
      <c r="J185" s="53"/>
      <c r="K185" s="53"/>
    </row>
    <row r="186" customFormat="false" ht="25.5" hidden="false" customHeight="true" outlineLevel="0" collapsed="false">
      <c r="A186" s="50" t="s">
        <v>1114</v>
      </c>
      <c r="B186" s="51" t="s">
        <v>907</v>
      </c>
      <c r="C186" s="51" t="s">
        <v>913</v>
      </c>
      <c r="D186" s="51"/>
      <c r="E186" s="51" t="s">
        <v>893</v>
      </c>
      <c r="F186" s="51"/>
      <c r="G186" s="52" t="s">
        <v>910</v>
      </c>
      <c r="H186" s="51" t="s">
        <v>1005</v>
      </c>
      <c r="I186" s="51" t="s">
        <v>912</v>
      </c>
      <c r="J186" s="53"/>
      <c r="K186" s="53"/>
    </row>
    <row r="187" customFormat="false" ht="25.5" hidden="false" customHeight="true" outlineLevel="0" collapsed="false">
      <c r="A187" s="50" t="s">
        <v>1114</v>
      </c>
      <c r="B187" s="51" t="s">
        <v>907</v>
      </c>
      <c r="C187" s="51" t="s">
        <v>914</v>
      </c>
      <c r="D187" s="51"/>
      <c r="E187" s="51" t="s">
        <v>893</v>
      </c>
      <c r="F187" s="51"/>
      <c r="G187" s="52" t="s">
        <v>910</v>
      </c>
      <c r="H187" s="51" t="s">
        <v>1005</v>
      </c>
      <c r="I187" s="51" t="s">
        <v>912</v>
      </c>
      <c r="J187" s="53"/>
      <c r="K187" s="53"/>
    </row>
    <row r="188" customFormat="false" ht="25.5" hidden="false" customHeight="true" outlineLevel="0" collapsed="false">
      <c r="A188" s="50" t="s">
        <v>1114</v>
      </c>
      <c r="B188" s="51" t="s">
        <v>907</v>
      </c>
      <c r="C188" s="51" t="s">
        <v>1040</v>
      </c>
      <c r="D188" s="51" t="s">
        <v>1039</v>
      </c>
      <c r="E188" s="51" t="s">
        <v>146</v>
      </c>
      <c r="F188" s="51"/>
      <c r="G188" s="52" t="s">
        <v>910</v>
      </c>
      <c r="H188" s="51" t="s">
        <v>1066</v>
      </c>
      <c r="I188" s="51" t="s">
        <v>912</v>
      </c>
      <c r="J188" s="53"/>
      <c r="K188" s="53"/>
    </row>
    <row r="189" customFormat="false" ht="25.5" hidden="false" customHeight="true" outlineLevel="0" collapsed="false">
      <c r="A189" s="50" t="s">
        <v>1114</v>
      </c>
      <c r="B189" s="51" t="s">
        <v>915</v>
      </c>
      <c r="C189" s="51" t="s">
        <v>1041</v>
      </c>
      <c r="D189" s="51" t="s">
        <v>1034</v>
      </c>
      <c r="E189" s="51" t="s">
        <v>146</v>
      </c>
      <c r="F189" s="51"/>
      <c r="G189" s="52" t="s">
        <v>910</v>
      </c>
      <c r="H189" s="51" t="s">
        <v>1066</v>
      </c>
      <c r="I189" s="51" t="s">
        <v>912</v>
      </c>
      <c r="J189" s="53"/>
      <c r="K189" s="53"/>
    </row>
    <row r="190" customFormat="false" ht="25.5" hidden="false" customHeight="true" outlineLevel="0" collapsed="false">
      <c r="A190" s="50" t="s">
        <v>1114</v>
      </c>
      <c r="B190" s="51" t="s">
        <v>915</v>
      </c>
      <c r="C190" s="51" t="s">
        <v>1042</v>
      </c>
      <c r="D190" s="51" t="s">
        <v>1034</v>
      </c>
      <c r="E190" s="51" t="s">
        <v>146</v>
      </c>
      <c r="F190" s="51"/>
      <c r="G190" s="52" t="s">
        <v>910</v>
      </c>
      <c r="H190" s="51" t="s">
        <v>1066</v>
      </c>
      <c r="I190" s="51" t="s">
        <v>912</v>
      </c>
      <c r="J190" s="53"/>
      <c r="K190" s="53"/>
    </row>
    <row r="191" customFormat="false" ht="25.5" hidden="false" customHeight="true" outlineLevel="0" collapsed="false">
      <c r="A191" s="50" t="s">
        <v>1114</v>
      </c>
      <c r="B191" s="51" t="s">
        <v>915</v>
      </c>
      <c r="C191" s="51" t="s">
        <v>1043</v>
      </c>
      <c r="D191" s="51" t="s">
        <v>903</v>
      </c>
      <c r="E191" s="51" t="s">
        <v>146</v>
      </c>
      <c r="F191" s="51"/>
      <c r="G191" s="52" t="s">
        <v>910</v>
      </c>
      <c r="H191" s="51" t="s">
        <v>1066</v>
      </c>
      <c r="I191" s="51" t="s">
        <v>912</v>
      </c>
      <c r="J191" s="53"/>
      <c r="K191" s="53"/>
    </row>
    <row r="192" customFormat="false" ht="25.5" hidden="false" customHeight="true" outlineLevel="0" collapsed="false">
      <c r="A192" s="50" t="s">
        <v>1114</v>
      </c>
      <c r="B192" s="51" t="s">
        <v>915</v>
      </c>
      <c r="C192" s="51" t="s">
        <v>916</v>
      </c>
      <c r="D192" s="51"/>
      <c r="E192" s="51" t="s">
        <v>893</v>
      </c>
      <c r="F192" s="51"/>
      <c r="G192" s="52" t="s">
        <v>910</v>
      </c>
      <c r="H192" s="51" t="s">
        <v>1005</v>
      </c>
      <c r="I192" s="51" t="s">
        <v>912</v>
      </c>
      <c r="J192" s="53"/>
      <c r="K192" s="53"/>
    </row>
    <row r="193" customFormat="false" ht="25.5" hidden="false" customHeight="true" outlineLevel="0" collapsed="false">
      <c r="A193" s="50" t="s">
        <v>1114</v>
      </c>
      <c r="B193" s="51" t="s">
        <v>915</v>
      </c>
      <c r="C193" s="51" t="s">
        <v>1044</v>
      </c>
      <c r="D193" s="51" t="s">
        <v>1045</v>
      </c>
      <c r="E193" s="51" t="s">
        <v>146</v>
      </c>
      <c r="F193" s="51" t="s">
        <v>1046</v>
      </c>
      <c r="G193" s="52" t="s">
        <v>910</v>
      </c>
      <c r="H193" s="51" t="s">
        <v>1066</v>
      </c>
      <c r="I193" s="51" t="s">
        <v>912</v>
      </c>
      <c r="J193" s="53"/>
      <c r="K193" s="53"/>
    </row>
    <row r="194" customFormat="false" ht="25.5" hidden="false" customHeight="true" outlineLevel="0" collapsed="false">
      <c r="A194" s="50" t="s">
        <v>1114</v>
      </c>
      <c r="B194" s="51" t="s">
        <v>1047</v>
      </c>
      <c r="C194" s="51" t="s">
        <v>1048</v>
      </c>
      <c r="D194" s="51" t="s">
        <v>1049</v>
      </c>
      <c r="E194" s="51" t="s">
        <v>146</v>
      </c>
      <c r="F194" s="51"/>
      <c r="G194" s="52" t="s">
        <v>910</v>
      </c>
      <c r="H194" s="51" t="s">
        <v>1066</v>
      </c>
      <c r="I194" s="51" t="s">
        <v>912</v>
      </c>
      <c r="J194" s="53"/>
      <c r="K194" s="53"/>
    </row>
    <row r="195" customFormat="false" ht="25.5" hidden="false" customHeight="true" outlineLevel="0" collapsed="false">
      <c r="A195" s="50" t="s">
        <v>1114</v>
      </c>
      <c r="B195" s="51" t="s">
        <v>1047</v>
      </c>
      <c r="C195" s="51" t="s">
        <v>1050</v>
      </c>
      <c r="D195" s="51" t="s">
        <v>991</v>
      </c>
      <c r="E195" s="51" t="s">
        <v>146</v>
      </c>
      <c r="F195" s="51"/>
      <c r="G195" s="52" t="s">
        <v>910</v>
      </c>
      <c r="H195" s="51" t="s">
        <v>1066</v>
      </c>
      <c r="I195" s="51" t="s">
        <v>912</v>
      </c>
      <c r="J195" s="53"/>
      <c r="K195" s="53"/>
    </row>
    <row r="196" customFormat="false" ht="25.5" hidden="false" customHeight="true" outlineLevel="0" collapsed="false">
      <c r="A196" s="50" t="s">
        <v>1114</v>
      </c>
      <c r="B196" s="51" t="s">
        <v>1047</v>
      </c>
      <c r="C196" s="51" t="s">
        <v>1051</v>
      </c>
      <c r="D196" s="51" t="s">
        <v>991</v>
      </c>
      <c r="E196" s="51" t="s">
        <v>146</v>
      </c>
      <c r="F196" s="51"/>
      <c r="G196" s="52" t="s">
        <v>910</v>
      </c>
      <c r="H196" s="51" t="s">
        <v>1066</v>
      </c>
      <c r="I196" s="51" t="s">
        <v>912</v>
      </c>
      <c r="J196" s="53"/>
      <c r="K196" s="53"/>
    </row>
    <row r="197" customFormat="false" ht="25.5" hidden="false" customHeight="true" outlineLevel="0" collapsed="false">
      <c r="A197" s="48" t="s">
        <v>1114</v>
      </c>
      <c r="B197" s="49" t="s">
        <v>917</v>
      </c>
      <c r="C197" s="49" t="s">
        <v>918</v>
      </c>
      <c r="D197" s="49" t="s">
        <v>919</v>
      </c>
      <c r="E197" s="49" t="s">
        <v>882</v>
      </c>
      <c r="F197" s="49" t="s">
        <v>920</v>
      </c>
      <c r="G197" s="49" t="s">
        <v>776</v>
      </c>
      <c r="H197" s="49" t="s">
        <v>884</v>
      </c>
      <c r="I197" s="49" t="s">
        <v>885</v>
      </c>
      <c r="J197" s="53"/>
      <c r="K197" s="53"/>
    </row>
    <row r="198" customFormat="false" ht="25.5" hidden="false" customHeight="true" outlineLevel="0" collapsed="false">
      <c r="A198" s="48" t="s">
        <v>1114</v>
      </c>
      <c r="B198" s="49" t="s">
        <v>917</v>
      </c>
      <c r="C198" s="49" t="s">
        <v>921</v>
      </c>
      <c r="D198" s="49" t="s">
        <v>922</v>
      </c>
      <c r="E198" s="49" t="s">
        <v>882</v>
      </c>
      <c r="F198" s="49" t="s">
        <v>923</v>
      </c>
      <c r="G198" s="49" t="s">
        <v>776</v>
      </c>
      <c r="H198" s="49" t="s">
        <v>884</v>
      </c>
      <c r="I198" s="49" t="s">
        <v>885</v>
      </c>
      <c r="J198" s="53"/>
      <c r="K198" s="53"/>
    </row>
    <row r="199" customFormat="false" ht="25.5" hidden="false" customHeight="true" outlineLevel="0" collapsed="false">
      <c r="A199" s="50" t="s">
        <v>1114</v>
      </c>
      <c r="B199" s="51" t="s">
        <v>917</v>
      </c>
      <c r="C199" s="51" t="s">
        <v>1052</v>
      </c>
      <c r="D199" s="51" t="s">
        <v>968</v>
      </c>
      <c r="E199" s="51" t="s">
        <v>146</v>
      </c>
      <c r="F199" s="51" t="s">
        <v>1053</v>
      </c>
      <c r="G199" s="52" t="s">
        <v>910</v>
      </c>
      <c r="H199" s="51" t="s">
        <v>1066</v>
      </c>
      <c r="I199" s="51" t="s">
        <v>912</v>
      </c>
      <c r="J199" s="53"/>
      <c r="K199" s="53"/>
    </row>
    <row r="200" customFormat="false" ht="25.5" hidden="false" customHeight="true" outlineLevel="0" collapsed="false">
      <c r="A200" s="50" t="s">
        <v>1114</v>
      </c>
      <c r="B200" s="51" t="s">
        <v>917</v>
      </c>
      <c r="C200" s="51" t="s">
        <v>1054</v>
      </c>
      <c r="D200" s="51" t="s">
        <v>965</v>
      </c>
      <c r="E200" s="51" t="s">
        <v>1055</v>
      </c>
      <c r="F200" s="51" t="s">
        <v>1056</v>
      </c>
      <c r="G200" s="52" t="s">
        <v>910</v>
      </c>
      <c r="H200" s="51" t="s">
        <v>1066</v>
      </c>
      <c r="I200" s="51" t="s">
        <v>912</v>
      </c>
    </row>
    <row r="201" customFormat="false" ht="25.5" hidden="false" customHeight="true" outlineLevel="0" collapsed="false">
      <c r="A201" s="50" t="s">
        <v>1114</v>
      </c>
      <c r="B201" s="51" t="s">
        <v>917</v>
      </c>
      <c r="C201" s="51" t="s">
        <v>924</v>
      </c>
      <c r="D201" s="51"/>
      <c r="E201" s="51" t="s">
        <v>893</v>
      </c>
      <c r="F201" s="51"/>
      <c r="G201" s="52" t="s">
        <v>910</v>
      </c>
      <c r="H201" s="51" t="s">
        <v>1005</v>
      </c>
      <c r="I201" s="51" t="s">
        <v>912</v>
      </c>
    </row>
    <row r="202" customFormat="false" ht="25.5" hidden="false" customHeight="true" outlineLevel="0" collapsed="false">
      <c r="A202" s="50" t="s">
        <v>1114</v>
      </c>
      <c r="B202" s="51" t="s">
        <v>925</v>
      </c>
      <c r="C202" s="51" t="s">
        <v>1057</v>
      </c>
      <c r="D202" s="51" t="s">
        <v>968</v>
      </c>
      <c r="E202" s="51" t="s">
        <v>146</v>
      </c>
      <c r="F202" s="51" t="s">
        <v>1058</v>
      </c>
      <c r="G202" s="52" t="s">
        <v>910</v>
      </c>
      <c r="H202" s="51" t="s">
        <v>1066</v>
      </c>
      <c r="I202" s="51" t="s">
        <v>912</v>
      </c>
    </row>
    <row r="203" customFormat="false" ht="25.5" hidden="false" customHeight="true" outlineLevel="0" collapsed="false">
      <c r="A203" s="50" t="s">
        <v>1114</v>
      </c>
      <c r="B203" s="51" t="s">
        <v>925</v>
      </c>
      <c r="C203" s="51" t="s">
        <v>1059</v>
      </c>
      <c r="D203" s="51" t="s">
        <v>968</v>
      </c>
      <c r="E203" s="51" t="s">
        <v>146</v>
      </c>
      <c r="F203" s="51"/>
      <c r="G203" s="52" t="s">
        <v>910</v>
      </c>
      <c r="H203" s="51" t="s">
        <v>1066</v>
      </c>
      <c r="I203" s="51" t="s">
        <v>912</v>
      </c>
    </row>
    <row r="204" customFormat="false" ht="25.5" hidden="false" customHeight="true" outlineLevel="0" collapsed="false">
      <c r="A204" s="50" t="s">
        <v>1114</v>
      </c>
      <c r="B204" s="51" t="s">
        <v>925</v>
      </c>
      <c r="C204" s="51" t="s">
        <v>1060</v>
      </c>
      <c r="D204" s="51" t="s">
        <v>1061</v>
      </c>
      <c r="E204" s="51" t="s">
        <v>146</v>
      </c>
      <c r="F204" s="51" t="s">
        <v>1062</v>
      </c>
      <c r="G204" s="52" t="s">
        <v>910</v>
      </c>
      <c r="H204" s="51" t="s">
        <v>1066</v>
      </c>
      <c r="I204" s="51" t="s">
        <v>912</v>
      </c>
    </row>
    <row r="205" customFormat="false" ht="25.5" hidden="false" customHeight="true" outlineLevel="0" collapsed="false">
      <c r="A205" s="50" t="s">
        <v>1114</v>
      </c>
      <c r="B205" s="51" t="s">
        <v>925</v>
      </c>
      <c r="C205" s="51" t="s">
        <v>1063</v>
      </c>
      <c r="D205" s="51" t="s">
        <v>972</v>
      </c>
      <c r="E205" s="51" t="s">
        <v>146</v>
      </c>
      <c r="F205" s="51" t="s">
        <v>1058</v>
      </c>
      <c r="G205" s="52" t="s">
        <v>910</v>
      </c>
      <c r="H205" s="51" t="s">
        <v>1066</v>
      </c>
      <c r="I205" s="51" t="s">
        <v>912</v>
      </c>
    </row>
    <row r="206" customFormat="false" ht="25.5" hidden="false" customHeight="true" outlineLevel="0" collapsed="false">
      <c r="A206" s="50" t="s">
        <v>1114</v>
      </c>
      <c r="B206" s="51" t="s">
        <v>925</v>
      </c>
      <c r="C206" s="51" t="s">
        <v>1064</v>
      </c>
      <c r="D206" s="51" t="s">
        <v>972</v>
      </c>
      <c r="E206" s="51" t="s">
        <v>146</v>
      </c>
      <c r="F206" s="51" t="s">
        <v>1065</v>
      </c>
      <c r="G206" s="52" t="s">
        <v>910</v>
      </c>
      <c r="H206" s="51" t="s">
        <v>1066</v>
      </c>
      <c r="I206" s="51" t="s">
        <v>912</v>
      </c>
    </row>
    <row r="207" customFormat="false" ht="25.5" hidden="false" customHeight="true" outlineLevel="0" collapsed="false">
      <c r="A207" s="50" t="s">
        <v>1114</v>
      </c>
      <c r="B207" s="51" t="s">
        <v>925</v>
      </c>
      <c r="C207" s="51" t="s">
        <v>973</v>
      </c>
      <c r="D207" s="51" t="s">
        <v>968</v>
      </c>
      <c r="E207" s="51" t="s">
        <v>974</v>
      </c>
      <c r="F207" s="51" t="s">
        <v>975</v>
      </c>
      <c r="G207" s="52" t="s">
        <v>910</v>
      </c>
      <c r="H207" s="51" t="s">
        <v>1066</v>
      </c>
      <c r="I207" s="51" t="s">
        <v>912</v>
      </c>
    </row>
    <row r="208" customFormat="false" ht="25.5" hidden="false" customHeight="true" outlineLevel="0" collapsed="false">
      <c r="A208" s="50" t="s">
        <v>1114</v>
      </c>
      <c r="B208" s="51" t="s">
        <v>925</v>
      </c>
      <c r="C208" s="51" t="s">
        <v>1067</v>
      </c>
      <c r="D208" s="51" t="s">
        <v>1068</v>
      </c>
      <c r="E208" s="51" t="s">
        <v>1069</v>
      </c>
      <c r="F208" s="51"/>
      <c r="G208" s="52" t="s">
        <v>910</v>
      </c>
      <c r="H208" s="51" t="s">
        <v>1066</v>
      </c>
      <c r="I208" s="51" t="s">
        <v>912</v>
      </c>
    </row>
    <row r="209" customFormat="false" ht="25.5" hidden="false" customHeight="true" outlineLevel="0" collapsed="false">
      <c r="A209" s="48" t="s">
        <v>1114</v>
      </c>
      <c r="B209" s="49" t="s">
        <v>925</v>
      </c>
      <c r="C209" s="49" t="s">
        <v>926</v>
      </c>
      <c r="D209" s="49"/>
      <c r="E209" s="49" t="s">
        <v>882</v>
      </c>
      <c r="F209" s="49" t="s">
        <v>927</v>
      </c>
      <c r="G209" s="49" t="s">
        <v>776</v>
      </c>
      <c r="H209" s="49" t="s">
        <v>884</v>
      </c>
      <c r="I209" s="49" t="s">
        <v>885</v>
      </c>
    </row>
    <row r="210" customFormat="false" ht="25.5" hidden="false" customHeight="true" outlineLevel="0" collapsed="false">
      <c r="A210" s="50" t="s">
        <v>1114</v>
      </c>
      <c r="B210" s="51" t="s">
        <v>925</v>
      </c>
      <c r="C210" s="51" t="s">
        <v>1070</v>
      </c>
      <c r="D210" s="51" t="s">
        <v>929</v>
      </c>
      <c r="E210" s="51" t="s">
        <v>146</v>
      </c>
      <c r="F210" s="51" t="s">
        <v>1071</v>
      </c>
      <c r="G210" s="52" t="s">
        <v>910</v>
      </c>
      <c r="H210" s="51" t="s">
        <v>1066</v>
      </c>
      <c r="I210" s="51" t="s">
        <v>912</v>
      </c>
    </row>
    <row r="211" customFormat="false" ht="25.5" hidden="false" customHeight="true" outlineLevel="0" collapsed="false">
      <c r="A211" s="48" t="s">
        <v>1114</v>
      </c>
      <c r="B211" s="49" t="s">
        <v>925</v>
      </c>
      <c r="C211" s="49" t="s">
        <v>928</v>
      </c>
      <c r="D211" s="49" t="s">
        <v>929</v>
      </c>
      <c r="E211" s="49" t="s">
        <v>930</v>
      </c>
      <c r="F211" s="49"/>
      <c r="G211" s="49" t="s">
        <v>776</v>
      </c>
      <c r="H211" s="49" t="s">
        <v>931</v>
      </c>
      <c r="I211" s="49" t="s">
        <v>885</v>
      </c>
    </row>
    <row r="212" customFormat="false" ht="25.5" hidden="false" customHeight="true" outlineLevel="0" collapsed="false">
      <c r="A212" s="50" t="s">
        <v>1114</v>
      </c>
      <c r="B212" s="51" t="s">
        <v>977</v>
      </c>
      <c r="C212" s="51" t="s">
        <v>1072</v>
      </c>
      <c r="D212" s="51" t="s">
        <v>1073</v>
      </c>
      <c r="E212" s="51" t="s">
        <v>146</v>
      </c>
      <c r="F212" s="51"/>
      <c r="G212" s="52" t="s">
        <v>910</v>
      </c>
      <c r="H212" s="51" t="s">
        <v>1066</v>
      </c>
      <c r="I212" s="51" t="s">
        <v>912</v>
      </c>
    </row>
    <row r="213" customFormat="false" ht="25.5" hidden="false" customHeight="true" outlineLevel="0" collapsed="false">
      <c r="A213" s="50" t="s">
        <v>1114</v>
      </c>
      <c r="B213" s="51" t="s">
        <v>977</v>
      </c>
      <c r="C213" s="51" t="s">
        <v>1074</v>
      </c>
      <c r="D213" s="51" t="s">
        <v>1075</v>
      </c>
      <c r="E213" s="51" t="s">
        <v>1076</v>
      </c>
      <c r="F213" s="51"/>
      <c r="G213" s="52" t="s">
        <v>910</v>
      </c>
      <c r="H213" s="51" t="s">
        <v>1066</v>
      </c>
      <c r="I213" s="51" t="s">
        <v>912</v>
      </c>
    </row>
    <row r="214" customFormat="false" ht="25.5" hidden="false" customHeight="true" outlineLevel="0" collapsed="false">
      <c r="A214" s="50" t="s">
        <v>1114</v>
      </c>
      <c r="B214" s="51" t="s">
        <v>977</v>
      </c>
      <c r="C214" s="51" t="s">
        <v>979</v>
      </c>
      <c r="D214" s="51" t="s">
        <v>980</v>
      </c>
      <c r="E214" s="51" t="s">
        <v>981</v>
      </c>
      <c r="F214" s="51" t="s">
        <v>982</v>
      </c>
      <c r="G214" s="52" t="s">
        <v>910</v>
      </c>
      <c r="H214" s="51" t="s">
        <v>1066</v>
      </c>
      <c r="I214" s="51" t="s">
        <v>912</v>
      </c>
    </row>
    <row r="215" customFormat="false" ht="25.5" hidden="false" customHeight="true" outlineLevel="0" collapsed="false">
      <c r="A215" s="50" t="s">
        <v>1114</v>
      </c>
      <c r="B215" s="51" t="s">
        <v>977</v>
      </c>
      <c r="C215" s="51" t="s">
        <v>1077</v>
      </c>
      <c r="D215" s="51" t="s">
        <v>980</v>
      </c>
      <c r="E215" s="51" t="s">
        <v>1078</v>
      </c>
      <c r="F215" s="51"/>
      <c r="G215" s="52" t="s">
        <v>910</v>
      </c>
      <c r="H215" s="51" t="s">
        <v>1066</v>
      </c>
      <c r="I215" s="51" t="s">
        <v>912</v>
      </c>
    </row>
    <row r="216" customFormat="false" ht="25.5" hidden="false" customHeight="true" outlineLevel="0" collapsed="false">
      <c r="A216" s="50" t="s">
        <v>1114</v>
      </c>
      <c r="B216" s="51" t="s">
        <v>977</v>
      </c>
      <c r="C216" s="51" t="s">
        <v>1079</v>
      </c>
      <c r="D216" s="51" t="s">
        <v>1073</v>
      </c>
      <c r="E216" s="51" t="s">
        <v>1080</v>
      </c>
      <c r="F216" s="51"/>
      <c r="G216" s="52" t="s">
        <v>910</v>
      </c>
      <c r="H216" s="51" t="s">
        <v>1066</v>
      </c>
      <c r="I216" s="51" t="s">
        <v>912</v>
      </c>
    </row>
    <row r="217" customFormat="false" ht="25.5" hidden="false" customHeight="true" outlineLevel="0" collapsed="false">
      <c r="A217" s="50" t="s">
        <v>1114</v>
      </c>
      <c r="B217" s="51" t="s">
        <v>977</v>
      </c>
      <c r="C217" s="51" t="s">
        <v>1081</v>
      </c>
      <c r="D217" s="51" t="s">
        <v>1073</v>
      </c>
      <c r="E217" s="51" t="s">
        <v>1082</v>
      </c>
      <c r="F217" s="51" t="s">
        <v>1083</v>
      </c>
      <c r="G217" s="52" t="s">
        <v>910</v>
      </c>
      <c r="H217" s="51" t="s">
        <v>1066</v>
      </c>
      <c r="I217" s="51" t="s">
        <v>912</v>
      </c>
    </row>
    <row r="218" customFormat="false" ht="25.5" hidden="false" customHeight="true" outlineLevel="0" collapsed="false">
      <c r="A218" s="50" t="s">
        <v>1114</v>
      </c>
      <c r="B218" s="51" t="s">
        <v>977</v>
      </c>
      <c r="C218" s="51" t="s">
        <v>1084</v>
      </c>
      <c r="D218" s="51" t="s">
        <v>1073</v>
      </c>
      <c r="E218" s="51" t="s">
        <v>1085</v>
      </c>
      <c r="F218" s="51"/>
      <c r="G218" s="52" t="s">
        <v>910</v>
      </c>
      <c r="H218" s="51" t="s">
        <v>1066</v>
      </c>
      <c r="I218" s="51" t="s">
        <v>912</v>
      </c>
    </row>
    <row r="219" customFormat="false" ht="25.5" hidden="false" customHeight="true" outlineLevel="0" collapsed="false">
      <c r="A219" s="48" t="s">
        <v>1114</v>
      </c>
      <c r="B219" s="49" t="s">
        <v>932</v>
      </c>
      <c r="C219" s="49" t="s">
        <v>933</v>
      </c>
      <c r="D219" s="49"/>
      <c r="E219" s="49" t="s">
        <v>882</v>
      </c>
      <c r="F219" s="49" t="s">
        <v>934</v>
      </c>
      <c r="G219" s="49" t="s">
        <v>776</v>
      </c>
      <c r="H219" s="49" t="s">
        <v>884</v>
      </c>
      <c r="I219" s="49" t="s">
        <v>885</v>
      </c>
    </row>
    <row r="220" customFormat="false" ht="25.5" hidden="false" customHeight="true" outlineLevel="0" collapsed="false">
      <c r="A220" s="50" t="s">
        <v>1114</v>
      </c>
      <c r="B220" s="51" t="s">
        <v>932</v>
      </c>
      <c r="C220" s="51" t="s">
        <v>984</v>
      </c>
      <c r="D220" s="51" t="s">
        <v>936</v>
      </c>
      <c r="E220" s="51" t="s">
        <v>985</v>
      </c>
      <c r="F220" s="51" t="s">
        <v>986</v>
      </c>
      <c r="G220" s="52" t="s">
        <v>910</v>
      </c>
      <c r="H220" s="51" t="s">
        <v>1066</v>
      </c>
      <c r="I220" s="51" t="s">
        <v>912</v>
      </c>
    </row>
    <row r="221" customFormat="false" ht="25.5" hidden="false" customHeight="true" outlineLevel="0" collapsed="false">
      <c r="A221" s="50" t="s">
        <v>1114</v>
      </c>
      <c r="B221" s="51" t="s">
        <v>932</v>
      </c>
      <c r="C221" s="51" t="s">
        <v>1086</v>
      </c>
      <c r="D221" s="51" t="s">
        <v>929</v>
      </c>
      <c r="E221" s="51" t="s">
        <v>1087</v>
      </c>
      <c r="F221" s="51" t="s">
        <v>1088</v>
      </c>
      <c r="G221" s="52" t="s">
        <v>910</v>
      </c>
      <c r="H221" s="51" t="s">
        <v>1066</v>
      </c>
      <c r="I221" s="51" t="s">
        <v>912</v>
      </c>
    </row>
    <row r="222" customFormat="false" ht="25.5" hidden="false" customHeight="true" outlineLevel="0" collapsed="false">
      <c r="A222" s="50" t="s">
        <v>1114</v>
      </c>
      <c r="B222" s="51" t="s">
        <v>932</v>
      </c>
      <c r="C222" s="51" t="s">
        <v>1089</v>
      </c>
      <c r="D222" s="51" t="s">
        <v>1090</v>
      </c>
      <c r="E222" s="51" t="s">
        <v>1091</v>
      </c>
      <c r="F222" s="51" t="s">
        <v>1092</v>
      </c>
      <c r="G222" s="52" t="s">
        <v>910</v>
      </c>
      <c r="H222" s="51" t="s">
        <v>1066</v>
      </c>
      <c r="I222" s="51" t="s">
        <v>912</v>
      </c>
    </row>
    <row r="223" customFormat="false" ht="25.5" hidden="false" customHeight="true" outlineLevel="0" collapsed="false">
      <c r="A223" s="50" t="s">
        <v>1114</v>
      </c>
      <c r="B223" s="51" t="s">
        <v>932</v>
      </c>
      <c r="C223" s="51" t="s">
        <v>1093</v>
      </c>
      <c r="D223" s="51" t="s">
        <v>936</v>
      </c>
      <c r="E223" s="51" t="s">
        <v>146</v>
      </c>
      <c r="F223" s="51" t="s">
        <v>1094</v>
      </c>
      <c r="G223" s="52" t="s">
        <v>910</v>
      </c>
      <c r="H223" s="51" t="s">
        <v>1066</v>
      </c>
      <c r="I223" s="51" t="s">
        <v>912</v>
      </c>
    </row>
    <row r="224" customFormat="false" ht="25.5" hidden="false" customHeight="true" outlineLevel="0" collapsed="false">
      <c r="A224" s="48" t="s">
        <v>1114</v>
      </c>
      <c r="B224" s="49" t="s">
        <v>932</v>
      </c>
      <c r="C224" s="49" t="s">
        <v>935</v>
      </c>
      <c r="D224" s="49" t="s">
        <v>936</v>
      </c>
      <c r="E224" s="49" t="s">
        <v>882</v>
      </c>
      <c r="F224" s="49" t="s">
        <v>937</v>
      </c>
      <c r="G224" s="49" t="s">
        <v>776</v>
      </c>
      <c r="H224" s="49" t="s">
        <v>884</v>
      </c>
      <c r="I224" s="49" t="s">
        <v>885</v>
      </c>
    </row>
    <row r="225" customFormat="false" ht="25.5" hidden="false" customHeight="true" outlineLevel="0" collapsed="false">
      <c r="A225" s="50" t="s">
        <v>1114</v>
      </c>
      <c r="B225" s="51" t="s">
        <v>932</v>
      </c>
      <c r="C225" s="51" t="s">
        <v>938</v>
      </c>
      <c r="D225" s="51"/>
      <c r="E225" s="51" t="s">
        <v>893</v>
      </c>
      <c r="F225" s="51"/>
      <c r="G225" s="52" t="s">
        <v>910</v>
      </c>
      <c r="H225" s="51" t="s">
        <v>1005</v>
      </c>
      <c r="I225" s="51" t="s">
        <v>912</v>
      </c>
    </row>
    <row r="226" customFormat="false" ht="25.5" hidden="false" customHeight="true" outlineLevel="0" collapsed="false">
      <c r="A226" s="50" t="s">
        <v>1114</v>
      </c>
      <c r="B226" s="51" t="s">
        <v>932</v>
      </c>
      <c r="C226" s="51" t="s">
        <v>1095</v>
      </c>
      <c r="D226" s="51"/>
      <c r="E226" s="51" t="s">
        <v>146</v>
      </c>
      <c r="F226" s="51"/>
      <c r="G226" s="52" t="s">
        <v>910</v>
      </c>
      <c r="H226" s="51" t="s">
        <v>1066</v>
      </c>
      <c r="I226" s="51" t="s">
        <v>912</v>
      </c>
    </row>
    <row r="227" customFormat="false" ht="25.5" hidden="false" customHeight="true" outlineLevel="0" collapsed="false">
      <c r="A227" s="50" t="s">
        <v>1114</v>
      </c>
      <c r="B227" s="51" t="s">
        <v>932</v>
      </c>
      <c r="C227" s="51" t="s">
        <v>1096</v>
      </c>
      <c r="D227" s="51" t="s">
        <v>936</v>
      </c>
      <c r="E227" s="51" t="s">
        <v>1097</v>
      </c>
      <c r="F227" s="51" t="s">
        <v>1098</v>
      </c>
      <c r="G227" s="52" t="s">
        <v>910</v>
      </c>
      <c r="H227" s="51" t="s">
        <v>1066</v>
      </c>
      <c r="I227" s="51" t="s">
        <v>912</v>
      </c>
    </row>
    <row r="228" customFormat="false" ht="25.5" hidden="false" customHeight="true" outlineLevel="0" collapsed="false">
      <c r="A228" s="50" t="s">
        <v>1114</v>
      </c>
      <c r="B228" s="51" t="s">
        <v>939</v>
      </c>
      <c r="C228" s="51" t="s">
        <v>940</v>
      </c>
      <c r="D228" s="51"/>
      <c r="E228" s="51" t="s">
        <v>893</v>
      </c>
      <c r="F228" s="51" t="s">
        <v>941</v>
      </c>
      <c r="G228" s="52" t="s">
        <v>910</v>
      </c>
      <c r="H228" s="51" t="s">
        <v>1005</v>
      </c>
      <c r="I228" s="51" t="s">
        <v>912</v>
      </c>
    </row>
    <row r="229" customFormat="false" ht="25.5" hidden="false" customHeight="true" outlineLevel="0" collapsed="false">
      <c r="A229" s="50" t="s">
        <v>1114</v>
      </c>
      <c r="B229" s="51" t="s">
        <v>939</v>
      </c>
      <c r="C229" s="51" t="s">
        <v>1099</v>
      </c>
      <c r="D229" s="51" t="s">
        <v>1100</v>
      </c>
      <c r="E229" s="51" t="s">
        <v>1101</v>
      </c>
      <c r="F229" s="51" t="s">
        <v>993</v>
      </c>
      <c r="G229" s="52" t="s">
        <v>910</v>
      </c>
      <c r="H229" s="51" t="s">
        <v>1066</v>
      </c>
      <c r="I229" s="51" t="s">
        <v>912</v>
      </c>
    </row>
    <row r="230" customFormat="false" ht="25.5" hidden="false" customHeight="true" outlineLevel="0" collapsed="false">
      <c r="A230" s="50" t="s">
        <v>1114</v>
      </c>
      <c r="B230" s="51" t="s">
        <v>939</v>
      </c>
      <c r="C230" s="51" t="s">
        <v>1102</v>
      </c>
      <c r="D230" s="51" t="s">
        <v>988</v>
      </c>
      <c r="E230" s="51" t="s">
        <v>146</v>
      </c>
      <c r="F230" s="51" t="s">
        <v>993</v>
      </c>
      <c r="G230" s="52" t="s">
        <v>910</v>
      </c>
      <c r="H230" s="51" t="s">
        <v>1066</v>
      </c>
      <c r="I230" s="51" t="s">
        <v>912</v>
      </c>
    </row>
    <row r="231" customFormat="false" ht="25.5" hidden="false" customHeight="true" outlineLevel="0" collapsed="false">
      <c r="A231" s="50" t="s">
        <v>1114</v>
      </c>
      <c r="B231" s="51" t="s">
        <v>939</v>
      </c>
      <c r="C231" s="51" t="s">
        <v>1103</v>
      </c>
      <c r="D231" s="51" t="s">
        <v>1100</v>
      </c>
      <c r="E231" s="51" t="s">
        <v>146</v>
      </c>
      <c r="F231" s="51" t="s">
        <v>993</v>
      </c>
      <c r="G231" s="52" t="s">
        <v>910</v>
      </c>
      <c r="H231" s="51" t="s">
        <v>1066</v>
      </c>
      <c r="I231" s="51" t="s">
        <v>912</v>
      </c>
    </row>
    <row r="232" customFormat="false" ht="25.5" hidden="false" customHeight="true" outlineLevel="0" collapsed="false">
      <c r="A232" s="50" t="s">
        <v>1115</v>
      </c>
      <c r="B232" s="51" t="s">
        <v>977</v>
      </c>
      <c r="C232" s="51" t="s">
        <v>1084</v>
      </c>
      <c r="D232" s="51" t="s">
        <v>1073</v>
      </c>
      <c r="E232" s="51" t="s">
        <v>1085</v>
      </c>
      <c r="F232" s="51"/>
      <c r="G232" s="52" t="s">
        <v>910</v>
      </c>
      <c r="H232" s="51" t="s">
        <v>1116</v>
      </c>
      <c r="I232" s="51" t="s">
        <v>912</v>
      </c>
    </row>
    <row r="233" customFormat="false" ht="25.5" hidden="false" customHeight="true" outlineLevel="0" collapsed="false">
      <c r="A233" s="50" t="s">
        <v>1115</v>
      </c>
      <c r="B233" s="51" t="s">
        <v>939</v>
      </c>
      <c r="C233" s="51" t="s">
        <v>990</v>
      </c>
      <c r="D233" s="51" t="s">
        <v>991</v>
      </c>
      <c r="E233" s="51" t="s">
        <v>992</v>
      </c>
      <c r="F233" s="51" t="s">
        <v>993</v>
      </c>
      <c r="G233" s="52" t="s">
        <v>910</v>
      </c>
      <c r="H233" s="51" t="s">
        <v>1117</v>
      </c>
      <c r="I233" s="51" t="s">
        <v>912</v>
      </c>
    </row>
    <row r="234" customFormat="false" ht="25.5" hidden="false" customHeight="true" outlineLevel="0" collapsed="false">
      <c r="A234" s="48" t="s">
        <v>1118</v>
      </c>
      <c r="B234" s="49" t="s">
        <v>879</v>
      </c>
      <c r="C234" s="49" t="s">
        <v>943</v>
      </c>
      <c r="D234" s="49" t="s">
        <v>944</v>
      </c>
      <c r="E234" s="49" t="s">
        <v>843</v>
      </c>
      <c r="F234" s="49" t="s">
        <v>945</v>
      </c>
      <c r="G234" s="49" t="s">
        <v>776</v>
      </c>
      <c r="H234" s="49" t="s">
        <v>946</v>
      </c>
      <c r="I234" s="49" t="s">
        <v>885</v>
      </c>
    </row>
    <row r="235" customFormat="false" ht="25.5" hidden="false" customHeight="true" outlineLevel="0" collapsed="false">
      <c r="A235" s="48" t="s">
        <v>1118</v>
      </c>
      <c r="B235" s="49" t="s">
        <v>950</v>
      </c>
      <c r="C235" s="49" t="s">
        <v>951</v>
      </c>
      <c r="D235" s="49"/>
      <c r="E235" s="49" t="s">
        <v>217</v>
      </c>
      <c r="F235" s="49" t="s">
        <v>952</v>
      </c>
      <c r="G235" s="49" t="s">
        <v>776</v>
      </c>
      <c r="H235" s="49" t="s">
        <v>946</v>
      </c>
      <c r="I235" s="49" t="s">
        <v>885</v>
      </c>
    </row>
    <row r="236" customFormat="false" ht="25.5" hidden="false" customHeight="true" outlineLevel="0" collapsed="false">
      <c r="A236" s="48" t="s">
        <v>1118</v>
      </c>
      <c r="B236" s="49" t="s">
        <v>950</v>
      </c>
      <c r="C236" s="49" t="s">
        <v>953</v>
      </c>
      <c r="D236" s="49" t="s">
        <v>954</v>
      </c>
      <c r="E236" s="49" t="s">
        <v>217</v>
      </c>
      <c r="F236" s="49" t="s">
        <v>955</v>
      </c>
      <c r="G236" s="49" t="s">
        <v>776</v>
      </c>
      <c r="H236" s="49" t="s">
        <v>946</v>
      </c>
      <c r="I236" s="49" t="s">
        <v>885</v>
      </c>
    </row>
    <row r="237" customFormat="false" ht="25.5" hidden="false" customHeight="true" outlineLevel="0" collapsed="false">
      <c r="A237" s="50" t="s">
        <v>1118</v>
      </c>
      <c r="B237" s="51" t="s">
        <v>950</v>
      </c>
      <c r="C237" s="51" t="s">
        <v>956</v>
      </c>
      <c r="D237" s="51" t="s">
        <v>954</v>
      </c>
      <c r="E237" s="51" t="s">
        <v>957</v>
      </c>
      <c r="F237" s="51" t="s">
        <v>958</v>
      </c>
      <c r="G237" s="52" t="s">
        <v>910</v>
      </c>
      <c r="H237" s="51" t="s">
        <v>959</v>
      </c>
      <c r="I237" s="51" t="s">
        <v>912</v>
      </c>
    </row>
    <row r="238" customFormat="false" ht="25.5" hidden="false" customHeight="true" outlineLevel="0" collapsed="false">
      <c r="A238" s="48" t="s">
        <v>1118</v>
      </c>
      <c r="B238" s="49" t="s">
        <v>907</v>
      </c>
      <c r="C238" s="49" t="s">
        <v>960</v>
      </c>
      <c r="D238" s="49"/>
      <c r="E238" s="49" t="s">
        <v>217</v>
      </c>
      <c r="F238" s="49" t="s">
        <v>961</v>
      </c>
      <c r="G238" s="49" t="s">
        <v>776</v>
      </c>
      <c r="H238" s="49" t="s">
        <v>946</v>
      </c>
      <c r="I238" s="49" t="s">
        <v>885</v>
      </c>
    </row>
    <row r="239" customFormat="false" ht="25.5" hidden="false" customHeight="true" outlineLevel="0" collapsed="false">
      <c r="A239" s="48" t="s">
        <v>1118</v>
      </c>
      <c r="B239" s="49" t="s">
        <v>915</v>
      </c>
      <c r="C239" s="49" t="s">
        <v>962</v>
      </c>
      <c r="D239" s="49"/>
      <c r="E239" s="49" t="s">
        <v>963</v>
      </c>
      <c r="F239" s="49"/>
      <c r="G239" s="49" t="s">
        <v>776</v>
      </c>
      <c r="H239" s="49" t="s">
        <v>946</v>
      </c>
      <c r="I239" s="49" t="s">
        <v>885</v>
      </c>
    </row>
    <row r="240" customFormat="false" ht="25.5" hidden="false" customHeight="true" outlineLevel="0" collapsed="false">
      <c r="A240" s="48" t="s">
        <v>1118</v>
      </c>
      <c r="B240" s="49" t="s">
        <v>917</v>
      </c>
      <c r="C240" s="49" t="s">
        <v>964</v>
      </c>
      <c r="D240" s="49" t="s">
        <v>965</v>
      </c>
      <c r="E240" s="49" t="s">
        <v>217</v>
      </c>
      <c r="F240" s="49" t="s">
        <v>966</v>
      </c>
      <c r="G240" s="49" t="s">
        <v>776</v>
      </c>
      <c r="H240" s="49" t="s">
        <v>946</v>
      </c>
      <c r="I240" s="49" t="s">
        <v>885</v>
      </c>
    </row>
    <row r="241" customFormat="false" ht="25.5" hidden="false" customHeight="true" outlineLevel="0" collapsed="false">
      <c r="A241" s="48" t="s">
        <v>1118</v>
      </c>
      <c r="B241" s="49" t="s">
        <v>917</v>
      </c>
      <c r="C241" s="49" t="s">
        <v>967</v>
      </c>
      <c r="D241" s="49" t="s">
        <v>968</v>
      </c>
      <c r="E241" s="49" t="s">
        <v>969</v>
      </c>
      <c r="F241" s="49" t="s">
        <v>970</v>
      </c>
      <c r="G241" s="49" t="s">
        <v>776</v>
      </c>
      <c r="H241" s="49" t="s">
        <v>946</v>
      </c>
      <c r="I241" s="49" t="s">
        <v>885</v>
      </c>
    </row>
    <row r="242" customFormat="false" ht="25.5" hidden="false" customHeight="true" outlineLevel="0" collapsed="false">
      <c r="A242" s="48" t="s">
        <v>1118</v>
      </c>
      <c r="B242" s="49" t="s">
        <v>925</v>
      </c>
      <c r="C242" s="49" t="s">
        <v>971</v>
      </c>
      <c r="D242" s="49" t="s">
        <v>972</v>
      </c>
      <c r="E242" s="49" t="s">
        <v>217</v>
      </c>
      <c r="F242" s="49"/>
      <c r="G242" s="49" t="s">
        <v>776</v>
      </c>
      <c r="H242" s="49" t="s">
        <v>946</v>
      </c>
      <c r="I242" s="49" t="s">
        <v>885</v>
      </c>
    </row>
    <row r="243" customFormat="false" ht="25.5" hidden="false" customHeight="true" outlineLevel="0" collapsed="false">
      <c r="A243" s="48" t="s">
        <v>1118</v>
      </c>
      <c r="B243" s="49" t="s">
        <v>925</v>
      </c>
      <c r="C243" s="49" t="s">
        <v>976</v>
      </c>
      <c r="D243" s="49"/>
      <c r="E243" s="49" t="s">
        <v>217</v>
      </c>
      <c r="F243" s="49" t="s">
        <v>927</v>
      </c>
      <c r="G243" s="49" t="s">
        <v>776</v>
      </c>
      <c r="H243" s="49" t="s">
        <v>946</v>
      </c>
      <c r="I243" s="49" t="s">
        <v>885</v>
      </c>
    </row>
    <row r="244" customFormat="false" ht="25.5" hidden="false" customHeight="true" outlineLevel="0" collapsed="false">
      <c r="A244" s="48" t="s">
        <v>1118</v>
      </c>
      <c r="B244" s="49" t="s">
        <v>977</v>
      </c>
      <c r="C244" s="49" t="s">
        <v>978</v>
      </c>
      <c r="D244" s="49"/>
      <c r="E244" s="49" t="s">
        <v>217</v>
      </c>
      <c r="F244" s="49"/>
      <c r="G244" s="49" t="s">
        <v>776</v>
      </c>
      <c r="H244" s="49" t="s">
        <v>946</v>
      </c>
      <c r="I244" s="49" t="s">
        <v>885</v>
      </c>
    </row>
    <row r="245" customFormat="false" ht="25.5" hidden="false" customHeight="true" outlineLevel="0" collapsed="false">
      <c r="A245" s="48" t="s">
        <v>1118</v>
      </c>
      <c r="B245" s="49" t="s">
        <v>932</v>
      </c>
      <c r="C245" s="49" t="s">
        <v>984</v>
      </c>
      <c r="D245" s="49" t="s">
        <v>936</v>
      </c>
      <c r="E245" s="49" t="s">
        <v>985</v>
      </c>
      <c r="F245" s="49" t="s">
        <v>986</v>
      </c>
      <c r="G245" s="49" t="s">
        <v>776</v>
      </c>
      <c r="H245" s="49" t="s">
        <v>946</v>
      </c>
      <c r="I245" s="49" t="s">
        <v>885</v>
      </c>
    </row>
    <row r="246" customFormat="false" ht="25.5" hidden="false" customHeight="true" outlineLevel="0" collapsed="false">
      <c r="A246" s="48" t="s">
        <v>1118</v>
      </c>
      <c r="B246" s="49" t="s">
        <v>939</v>
      </c>
      <c r="C246" s="49" t="s">
        <v>987</v>
      </c>
      <c r="D246" s="49" t="s">
        <v>988</v>
      </c>
      <c r="E246" s="49" t="s">
        <v>217</v>
      </c>
      <c r="F246" s="49" t="s">
        <v>989</v>
      </c>
      <c r="G246" s="49" t="s">
        <v>776</v>
      </c>
      <c r="H246" s="49" t="s">
        <v>946</v>
      </c>
      <c r="I246" s="49" t="s">
        <v>885</v>
      </c>
    </row>
    <row r="247" customFormat="false" ht="25.5" hidden="false" customHeight="true" outlineLevel="0" collapsed="false">
      <c r="A247" s="50" t="s">
        <v>1118</v>
      </c>
      <c r="B247" s="51" t="s">
        <v>939</v>
      </c>
      <c r="C247" s="51" t="s">
        <v>990</v>
      </c>
      <c r="D247" s="51" t="s">
        <v>991</v>
      </c>
      <c r="E247" s="51" t="s">
        <v>992</v>
      </c>
      <c r="F247" s="51" t="s">
        <v>993</v>
      </c>
      <c r="G247" s="52" t="s">
        <v>910</v>
      </c>
      <c r="H247" s="51" t="s">
        <v>1119</v>
      </c>
      <c r="I247" s="51" t="s">
        <v>912</v>
      </c>
    </row>
    <row r="248" customFormat="false" ht="25.5" hidden="false" customHeight="true" outlineLevel="0" collapsed="false">
      <c r="A248" s="48" t="s">
        <v>1120</v>
      </c>
      <c r="B248" s="49" t="s">
        <v>879</v>
      </c>
      <c r="C248" s="49" t="s">
        <v>943</v>
      </c>
      <c r="D248" s="49" t="s">
        <v>944</v>
      </c>
      <c r="E248" s="49" t="s">
        <v>843</v>
      </c>
      <c r="F248" s="49" t="s">
        <v>945</v>
      </c>
      <c r="G248" s="49" t="s">
        <v>776</v>
      </c>
      <c r="H248" s="49" t="s">
        <v>996</v>
      </c>
      <c r="I248" s="49" t="s">
        <v>885</v>
      </c>
    </row>
    <row r="249" customFormat="false" ht="25.5" hidden="false" customHeight="true" outlineLevel="0" collapsed="false">
      <c r="A249" s="48" t="s">
        <v>1120</v>
      </c>
      <c r="B249" s="49" t="s">
        <v>879</v>
      </c>
      <c r="C249" s="49" t="s">
        <v>949</v>
      </c>
      <c r="D249" s="49"/>
      <c r="E249" s="49" t="s">
        <v>811</v>
      </c>
      <c r="F249" s="49"/>
      <c r="G249" s="49" t="s">
        <v>776</v>
      </c>
      <c r="H249" s="49" t="s">
        <v>996</v>
      </c>
      <c r="I249" s="49" t="s">
        <v>885</v>
      </c>
    </row>
    <row r="250" customFormat="false" ht="25.5" hidden="false" customHeight="true" outlineLevel="0" collapsed="false">
      <c r="A250" s="48" t="s">
        <v>1120</v>
      </c>
      <c r="B250" s="49" t="s">
        <v>879</v>
      </c>
      <c r="C250" s="49" t="s">
        <v>998</v>
      </c>
      <c r="D250" s="49" t="s">
        <v>881</v>
      </c>
      <c r="E250" s="49" t="s">
        <v>146</v>
      </c>
      <c r="F250" s="49"/>
      <c r="G250" s="49" t="s">
        <v>776</v>
      </c>
      <c r="H250" s="49" t="s">
        <v>996</v>
      </c>
      <c r="I250" s="49" t="s">
        <v>885</v>
      </c>
    </row>
    <row r="251" customFormat="false" ht="25.5" hidden="false" customHeight="true" outlineLevel="0" collapsed="false">
      <c r="A251" s="48" t="s">
        <v>1120</v>
      </c>
      <c r="B251" s="49" t="s">
        <v>879</v>
      </c>
      <c r="C251" s="49" t="s">
        <v>999</v>
      </c>
      <c r="D251" s="49" t="s">
        <v>890</v>
      </c>
      <c r="E251" s="49" t="s">
        <v>146</v>
      </c>
      <c r="F251" s="49" t="s">
        <v>1000</v>
      </c>
      <c r="G251" s="49" t="s">
        <v>776</v>
      </c>
      <c r="H251" s="49" t="s">
        <v>996</v>
      </c>
      <c r="I251" s="49" t="s">
        <v>885</v>
      </c>
    </row>
    <row r="252" customFormat="false" ht="25.5" hidden="false" customHeight="true" outlineLevel="0" collapsed="false">
      <c r="A252" s="48" t="s">
        <v>1120</v>
      </c>
      <c r="B252" s="49" t="s">
        <v>879</v>
      </c>
      <c r="C252" s="49" t="s">
        <v>1001</v>
      </c>
      <c r="D252" s="49"/>
      <c r="E252" s="49" t="s">
        <v>146</v>
      </c>
      <c r="F252" s="49"/>
      <c r="G252" s="49" t="s">
        <v>776</v>
      </c>
      <c r="H252" s="49" t="s">
        <v>996</v>
      </c>
      <c r="I252" s="49" t="s">
        <v>885</v>
      </c>
    </row>
    <row r="253" customFormat="false" ht="25.5" hidden="false" customHeight="true" outlineLevel="0" collapsed="false">
      <c r="A253" s="48" t="s">
        <v>1120</v>
      </c>
      <c r="B253" s="49" t="s">
        <v>891</v>
      </c>
      <c r="C253" s="49" t="s">
        <v>1002</v>
      </c>
      <c r="D253" s="49" t="s">
        <v>898</v>
      </c>
      <c r="E253" s="49" t="s">
        <v>146</v>
      </c>
      <c r="F253" s="49"/>
      <c r="G253" s="49" t="s">
        <v>776</v>
      </c>
      <c r="H253" s="49" t="s">
        <v>996</v>
      </c>
      <c r="I253" s="49" t="s">
        <v>885</v>
      </c>
    </row>
    <row r="254" customFormat="false" ht="25.5" hidden="false" customHeight="true" outlineLevel="0" collapsed="false">
      <c r="A254" s="48" t="s">
        <v>1120</v>
      </c>
      <c r="B254" s="49" t="s">
        <v>891</v>
      </c>
      <c r="C254" s="49" t="s">
        <v>1003</v>
      </c>
      <c r="D254" s="49" t="s">
        <v>1004</v>
      </c>
      <c r="E254" s="49" t="s">
        <v>146</v>
      </c>
      <c r="F254" s="49"/>
      <c r="G254" s="49" t="s">
        <v>776</v>
      </c>
      <c r="H254" s="49" t="s">
        <v>996</v>
      </c>
      <c r="I254" s="49" t="s">
        <v>885</v>
      </c>
    </row>
    <row r="255" customFormat="false" ht="25.5" hidden="false" customHeight="true" outlineLevel="0" collapsed="false">
      <c r="A255" s="48" t="s">
        <v>1120</v>
      </c>
      <c r="B255" s="49" t="s">
        <v>891</v>
      </c>
      <c r="C255" s="49" t="s">
        <v>892</v>
      </c>
      <c r="D255" s="49"/>
      <c r="E255" s="49" t="s">
        <v>893</v>
      </c>
      <c r="F255" s="49" t="s">
        <v>894</v>
      </c>
      <c r="G255" s="49" t="s">
        <v>776</v>
      </c>
      <c r="H255" s="49" t="s">
        <v>1121</v>
      </c>
      <c r="I255" s="49" t="s">
        <v>885</v>
      </c>
    </row>
    <row r="256" customFormat="false" ht="25.5" hidden="false" customHeight="true" outlineLevel="0" collapsed="false">
      <c r="A256" s="48" t="s">
        <v>1120</v>
      </c>
      <c r="B256" s="49" t="s">
        <v>891</v>
      </c>
      <c r="C256" s="49" t="s">
        <v>1006</v>
      </c>
      <c r="D256" s="49" t="s">
        <v>1007</v>
      </c>
      <c r="E256" s="49" t="s">
        <v>146</v>
      </c>
      <c r="F256" s="49" t="s">
        <v>1008</v>
      </c>
      <c r="G256" s="49" t="s">
        <v>776</v>
      </c>
      <c r="H256" s="49" t="s">
        <v>996</v>
      </c>
      <c r="I256" s="49" t="s">
        <v>885</v>
      </c>
    </row>
    <row r="257" customFormat="false" ht="25.5" hidden="false" customHeight="true" outlineLevel="0" collapsed="false">
      <c r="A257" s="48" t="s">
        <v>1120</v>
      </c>
      <c r="B257" s="49" t="s">
        <v>1009</v>
      </c>
      <c r="C257" s="49" t="s">
        <v>1010</v>
      </c>
      <c r="D257" s="49" t="s">
        <v>1011</v>
      </c>
      <c r="E257" s="49" t="s">
        <v>146</v>
      </c>
      <c r="F257" s="49"/>
      <c r="G257" s="49" t="s">
        <v>776</v>
      </c>
      <c r="H257" s="49" t="s">
        <v>996</v>
      </c>
      <c r="I257" s="49" t="s">
        <v>885</v>
      </c>
    </row>
    <row r="258" customFormat="false" ht="25.5" hidden="false" customHeight="true" outlineLevel="0" collapsed="false">
      <c r="A258" s="50" t="s">
        <v>1120</v>
      </c>
      <c r="B258" s="51" t="s">
        <v>1009</v>
      </c>
      <c r="C258" s="51" t="s">
        <v>1012</v>
      </c>
      <c r="D258" s="51" t="s">
        <v>1011</v>
      </c>
      <c r="E258" s="51" t="s">
        <v>1013</v>
      </c>
      <c r="F258" s="51"/>
      <c r="G258" s="52" t="s">
        <v>910</v>
      </c>
      <c r="H258" s="51" t="s">
        <v>1066</v>
      </c>
      <c r="I258" s="51" t="s">
        <v>912</v>
      </c>
    </row>
    <row r="259" customFormat="false" ht="25.5" hidden="false" customHeight="true" outlineLevel="0" collapsed="false">
      <c r="A259" s="48" t="s">
        <v>1120</v>
      </c>
      <c r="B259" s="49" t="s">
        <v>1009</v>
      </c>
      <c r="C259" s="49" t="s">
        <v>1014</v>
      </c>
      <c r="D259" s="49" t="s">
        <v>1011</v>
      </c>
      <c r="E259" s="49" t="s">
        <v>1015</v>
      </c>
      <c r="F259" s="49" t="s">
        <v>1016</v>
      </c>
      <c r="G259" s="49" t="s">
        <v>776</v>
      </c>
      <c r="H259" s="49" t="s">
        <v>996</v>
      </c>
      <c r="I259" s="49" t="s">
        <v>885</v>
      </c>
    </row>
    <row r="260" customFormat="false" ht="25.5" hidden="false" customHeight="true" outlineLevel="0" collapsed="false">
      <c r="A260" s="48" t="s">
        <v>1120</v>
      </c>
      <c r="B260" s="49" t="s">
        <v>1009</v>
      </c>
      <c r="C260" s="49" t="s">
        <v>1017</v>
      </c>
      <c r="D260" s="49" t="s">
        <v>1011</v>
      </c>
      <c r="E260" s="49" t="s">
        <v>146</v>
      </c>
      <c r="F260" s="49"/>
      <c r="G260" s="49" t="s">
        <v>776</v>
      </c>
      <c r="H260" s="49" t="s">
        <v>996</v>
      </c>
      <c r="I260" s="49" t="s">
        <v>885</v>
      </c>
    </row>
    <row r="261" customFormat="false" ht="25.5" hidden="false" customHeight="true" outlineLevel="0" collapsed="false">
      <c r="A261" s="48" t="s">
        <v>1120</v>
      </c>
      <c r="B261" s="49" t="s">
        <v>950</v>
      </c>
      <c r="C261" s="49" t="s">
        <v>1018</v>
      </c>
      <c r="D261" s="49" t="s">
        <v>1019</v>
      </c>
      <c r="E261" s="49" t="s">
        <v>1020</v>
      </c>
      <c r="F261" s="49"/>
      <c r="G261" s="49" t="s">
        <v>776</v>
      </c>
      <c r="H261" s="49" t="s">
        <v>996</v>
      </c>
      <c r="I261" s="49" t="s">
        <v>885</v>
      </c>
    </row>
    <row r="262" customFormat="false" ht="25.5" hidden="false" customHeight="true" outlineLevel="0" collapsed="false">
      <c r="A262" s="48" t="s">
        <v>1120</v>
      </c>
      <c r="B262" s="49" t="s">
        <v>950</v>
      </c>
      <c r="C262" s="49" t="s">
        <v>1021</v>
      </c>
      <c r="D262" s="49" t="s">
        <v>954</v>
      </c>
      <c r="E262" s="49" t="s">
        <v>146</v>
      </c>
      <c r="F262" s="49"/>
      <c r="G262" s="49" t="s">
        <v>776</v>
      </c>
      <c r="H262" s="49" t="s">
        <v>996</v>
      </c>
      <c r="I262" s="49" t="s">
        <v>885</v>
      </c>
    </row>
    <row r="263" customFormat="false" ht="25.5" hidden="false" customHeight="true" outlineLevel="0" collapsed="false">
      <c r="A263" s="48" t="s">
        <v>1120</v>
      </c>
      <c r="B263" s="49" t="s">
        <v>950</v>
      </c>
      <c r="C263" s="49" t="s">
        <v>1022</v>
      </c>
      <c r="D263" s="49" t="s">
        <v>1019</v>
      </c>
      <c r="E263" s="49" t="s">
        <v>1023</v>
      </c>
      <c r="F263" s="49"/>
      <c r="G263" s="49" t="s">
        <v>776</v>
      </c>
      <c r="H263" s="49" t="s">
        <v>996</v>
      </c>
      <c r="I263" s="49" t="s">
        <v>885</v>
      </c>
    </row>
    <row r="264" customFormat="false" ht="25.5" hidden="false" customHeight="true" outlineLevel="0" collapsed="false">
      <c r="A264" s="50" t="s">
        <v>1120</v>
      </c>
      <c r="B264" s="51" t="s">
        <v>950</v>
      </c>
      <c r="C264" s="51" t="s">
        <v>956</v>
      </c>
      <c r="D264" s="51" t="s">
        <v>954</v>
      </c>
      <c r="E264" s="51" t="s">
        <v>957</v>
      </c>
      <c r="F264" s="51" t="s">
        <v>958</v>
      </c>
      <c r="G264" s="52" t="s">
        <v>910</v>
      </c>
      <c r="H264" s="51" t="s">
        <v>1066</v>
      </c>
      <c r="I264" s="51" t="s">
        <v>912</v>
      </c>
    </row>
    <row r="265" customFormat="false" ht="25.5" hidden="false" customHeight="true" outlineLevel="0" collapsed="false">
      <c r="A265" s="48" t="s">
        <v>1120</v>
      </c>
      <c r="B265" s="49" t="s">
        <v>950</v>
      </c>
      <c r="C265" s="49" t="s">
        <v>1024</v>
      </c>
      <c r="D265" s="49" t="s">
        <v>1025</v>
      </c>
      <c r="E265" s="49" t="s">
        <v>146</v>
      </c>
      <c r="F265" s="49" t="s">
        <v>1026</v>
      </c>
      <c r="G265" s="49" t="s">
        <v>776</v>
      </c>
      <c r="H265" s="49" t="s">
        <v>996</v>
      </c>
      <c r="I265" s="49" t="s">
        <v>885</v>
      </c>
    </row>
    <row r="266" customFormat="false" ht="25.5" hidden="false" customHeight="true" outlineLevel="0" collapsed="false">
      <c r="A266" s="48" t="s">
        <v>1120</v>
      </c>
      <c r="B266" s="49" t="s">
        <v>950</v>
      </c>
      <c r="C266" s="49" t="s">
        <v>1027</v>
      </c>
      <c r="D266" s="49" t="s">
        <v>1025</v>
      </c>
      <c r="E266" s="49" t="s">
        <v>146</v>
      </c>
      <c r="F266" s="49"/>
      <c r="G266" s="49" t="s">
        <v>776</v>
      </c>
      <c r="H266" s="49" t="s">
        <v>996</v>
      </c>
      <c r="I266" s="49" t="s">
        <v>885</v>
      </c>
    </row>
    <row r="267" customFormat="false" ht="25.5" hidden="false" customHeight="true" outlineLevel="0" collapsed="false">
      <c r="A267" s="48" t="s">
        <v>1120</v>
      </c>
      <c r="B267" s="49" t="s">
        <v>896</v>
      </c>
      <c r="C267" s="49" t="s">
        <v>1028</v>
      </c>
      <c r="D267" s="49" t="s">
        <v>1029</v>
      </c>
      <c r="E267" s="49" t="s">
        <v>146</v>
      </c>
      <c r="F267" s="49" t="s">
        <v>1030</v>
      </c>
      <c r="G267" s="49" t="s">
        <v>776</v>
      </c>
      <c r="H267" s="49" t="s">
        <v>996</v>
      </c>
      <c r="I267" s="49" t="s">
        <v>885</v>
      </c>
    </row>
    <row r="268" customFormat="false" ht="25.5" hidden="false" customHeight="true" outlineLevel="0" collapsed="false">
      <c r="A268" s="48" t="s">
        <v>1120</v>
      </c>
      <c r="B268" s="49" t="s">
        <v>896</v>
      </c>
      <c r="C268" s="49" t="s">
        <v>897</v>
      </c>
      <c r="D268" s="49" t="s">
        <v>898</v>
      </c>
      <c r="E268" s="49" t="s">
        <v>899</v>
      </c>
      <c r="F268" s="49"/>
      <c r="G268" s="49" t="s">
        <v>776</v>
      </c>
      <c r="H268" s="49" t="s">
        <v>1121</v>
      </c>
      <c r="I268" s="49" t="s">
        <v>885</v>
      </c>
    </row>
    <row r="269" customFormat="false" ht="25.5" hidden="false" customHeight="true" outlineLevel="0" collapsed="false">
      <c r="A269" s="48" t="s">
        <v>1120</v>
      </c>
      <c r="B269" s="49" t="s">
        <v>896</v>
      </c>
      <c r="C269" s="49" t="s">
        <v>900</v>
      </c>
      <c r="D269" s="49" t="s">
        <v>898</v>
      </c>
      <c r="E269" s="49" t="s">
        <v>893</v>
      </c>
      <c r="F269" s="49"/>
      <c r="G269" s="49" t="s">
        <v>776</v>
      </c>
      <c r="H269" s="49" t="s">
        <v>1121</v>
      </c>
      <c r="I269" s="49" t="s">
        <v>885</v>
      </c>
    </row>
    <row r="270" customFormat="false" ht="25.5" hidden="false" customHeight="true" outlineLevel="0" collapsed="false">
      <c r="A270" s="48" t="s">
        <v>1120</v>
      </c>
      <c r="B270" s="49" t="s">
        <v>896</v>
      </c>
      <c r="C270" s="49" t="s">
        <v>901</v>
      </c>
      <c r="D270" s="49" t="s">
        <v>898</v>
      </c>
      <c r="E270" s="49" t="s">
        <v>893</v>
      </c>
      <c r="F270" s="49"/>
      <c r="G270" s="49" t="s">
        <v>776</v>
      </c>
      <c r="H270" s="49" t="s">
        <v>1121</v>
      </c>
      <c r="I270" s="49" t="s">
        <v>885</v>
      </c>
    </row>
    <row r="271" customFormat="false" ht="25.5" hidden="false" customHeight="true" outlineLevel="0" collapsed="false">
      <c r="A271" s="48" t="s">
        <v>1120</v>
      </c>
      <c r="B271" s="49" t="s">
        <v>896</v>
      </c>
      <c r="C271" s="49" t="s">
        <v>902</v>
      </c>
      <c r="D271" s="49" t="s">
        <v>903</v>
      </c>
      <c r="E271" s="49" t="s">
        <v>893</v>
      </c>
      <c r="F271" s="49"/>
      <c r="G271" s="49" t="s">
        <v>776</v>
      </c>
      <c r="H271" s="49" t="s">
        <v>1121</v>
      </c>
      <c r="I271" s="49" t="s">
        <v>885</v>
      </c>
    </row>
    <row r="272" customFormat="false" ht="25.5" hidden="false" customHeight="true" outlineLevel="0" collapsed="false">
      <c r="A272" s="48" t="s">
        <v>1120</v>
      </c>
      <c r="B272" s="49" t="s">
        <v>896</v>
      </c>
      <c r="C272" s="49" t="s">
        <v>904</v>
      </c>
      <c r="D272" s="49"/>
      <c r="E272" s="49" t="s">
        <v>893</v>
      </c>
      <c r="F272" s="49"/>
      <c r="G272" s="49" t="s">
        <v>776</v>
      </c>
      <c r="H272" s="49" t="s">
        <v>1121</v>
      </c>
      <c r="I272" s="49" t="s">
        <v>885</v>
      </c>
    </row>
    <row r="273" customFormat="false" ht="25.5" hidden="false" customHeight="true" outlineLevel="0" collapsed="false">
      <c r="A273" s="48" t="s">
        <v>1120</v>
      </c>
      <c r="B273" s="49" t="s">
        <v>896</v>
      </c>
      <c r="C273" s="49" t="s">
        <v>905</v>
      </c>
      <c r="D273" s="49"/>
      <c r="E273" s="49" t="s">
        <v>893</v>
      </c>
      <c r="F273" s="49"/>
      <c r="G273" s="49" t="s">
        <v>776</v>
      </c>
      <c r="H273" s="49" t="s">
        <v>1121</v>
      </c>
      <c r="I273" s="49" t="s">
        <v>885</v>
      </c>
    </row>
    <row r="274" customFormat="false" ht="25.5" hidden="false" customHeight="true" outlineLevel="0" collapsed="false">
      <c r="A274" s="48" t="s">
        <v>1120</v>
      </c>
      <c r="B274" s="49" t="s">
        <v>896</v>
      </c>
      <c r="C274" s="49" t="s">
        <v>906</v>
      </c>
      <c r="D274" s="49"/>
      <c r="E274" s="49" t="s">
        <v>893</v>
      </c>
      <c r="F274" s="49"/>
      <c r="G274" s="49" t="s">
        <v>776</v>
      </c>
      <c r="H274" s="49" t="s">
        <v>1121</v>
      </c>
      <c r="I274" s="49" t="s">
        <v>885</v>
      </c>
    </row>
    <row r="275" customFormat="false" ht="25.5" hidden="false" customHeight="true" outlineLevel="0" collapsed="false">
      <c r="A275" s="48" t="s">
        <v>1120</v>
      </c>
      <c r="B275" s="49" t="s">
        <v>907</v>
      </c>
      <c r="C275" s="49" t="s">
        <v>1031</v>
      </c>
      <c r="D275" s="49" t="s">
        <v>1032</v>
      </c>
      <c r="E275" s="49" t="s">
        <v>146</v>
      </c>
      <c r="F275" s="49"/>
      <c r="G275" s="49" t="s">
        <v>776</v>
      </c>
      <c r="H275" s="49" t="s">
        <v>996</v>
      </c>
      <c r="I275" s="49" t="s">
        <v>885</v>
      </c>
    </row>
    <row r="276" customFormat="false" ht="25.5" hidden="false" customHeight="true" outlineLevel="0" collapsed="false">
      <c r="A276" s="48" t="s">
        <v>1120</v>
      </c>
      <c r="B276" s="49" t="s">
        <v>907</v>
      </c>
      <c r="C276" s="49" t="s">
        <v>1033</v>
      </c>
      <c r="D276" s="49" t="s">
        <v>1034</v>
      </c>
      <c r="E276" s="49" t="s">
        <v>146</v>
      </c>
      <c r="F276" s="49"/>
      <c r="G276" s="49" t="s">
        <v>776</v>
      </c>
      <c r="H276" s="49" t="s">
        <v>996</v>
      </c>
      <c r="I276" s="49" t="s">
        <v>885</v>
      </c>
    </row>
    <row r="277" customFormat="false" ht="25.5" hidden="false" customHeight="true" outlineLevel="0" collapsed="false">
      <c r="A277" s="48" t="s">
        <v>1120</v>
      </c>
      <c r="B277" s="49" t="s">
        <v>907</v>
      </c>
      <c r="C277" s="49" t="s">
        <v>1035</v>
      </c>
      <c r="D277" s="49" t="s">
        <v>1034</v>
      </c>
      <c r="E277" s="49" t="s">
        <v>1036</v>
      </c>
      <c r="F277" s="49" t="s">
        <v>1037</v>
      </c>
      <c r="G277" s="49" t="s">
        <v>776</v>
      </c>
      <c r="H277" s="49" t="s">
        <v>996</v>
      </c>
      <c r="I277" s="49" t="s">
        <v>885</v>
      </c>
    </row>
    <row r="278" customFormat="false" ht="25.5" hidden="false" customHeight="true" outlineLevel="0" collapsed="false">
      <c r="A278" s="48" t="s">
        <v>1120</v>
      </c>
      <c r="B278" s="49" t="s">
        <v>907</v>
      </c>
      <c r="C278" s="49" t="s">
        <v>1038</v>
      </c>
      <c r="D278" s="49" t="s">
        <v>1039</v>
      </c>
      <c r="E278" s="49" t="s">
        <v>146</v>
      </c>
      <c r="F278" s="49"/>
      <c r="G278" s="49" t="s">
        <v>776</v>
      </c>
      <c r="H278" s="49" t="s">
        <v>996</v>
      </c>
      <c r="I278" s="49" t="s">
        <v>885</v>
      </c>
    </row>
    <row r="279" customFormat="false" ht="25.5" hidden="false" customHeight="true" outlineLevel="0" collapsed="false">
      <c r="A279" s="48" t="s">
        <v>1120</v>
      </c>
      <c r="B279" s="49" t="s">
        <v>907</v>
      </c>
      <c r="C279" s="49" t="s">
        <v>908</v>
      </c>
      <c r="D279" s="49"/>
      <c r="E279" s="49" t="s">
        <v>909</v>
      </c>
      <c r="F279" s="49"/>
      <c r="G279" s="49" t="s">
        <v>776</v>
      </c>
      <c r="H279" s="49" t="s">
        <v>996</v>
      </c>
      <c r="I279" s="49" t="s">
        <v>885</v>
      </c>
    </row>
    <row r="280" customFormat="false" ht="25.5" hidden="false" customHeight="true" outlineLevel="0" collapsed="false">
      <c r="A280" s="48" t="s">
        <v>1120</v>
      </c>
      <c r="B280" s="49" t="s">
        <v>907</v>
      </c>
      <c r="C280" s="49" t="s">
        <v>913</v>
      </c>
      <c r="D280" s="49"/>
      <c r="E280" s="49" t="s">
        <v>893</v>
      </c>
      <c r="F280" s="49"/>
      <c r="G280" s="49" t="s">
        <v>776</v>
      </c>
      <c r="H280" s="49" t="s">
        <v>1121</v>
      </c>
      <c r="I280" s="49" t="s">
        <v>885</v>
      </c>
    </row>
    <row r="281" customFormat="false" ht="25.5" hidden="false" customHeight="true" outlineLevel="0" collapsed="false">
      <c r="A281" s="48" t="s">
        <v>1120</v>
      </c>
      <c r="B281" s="49" t="s">
        <v>907</v>
      </c>
      <c r="C281" s="49" t="s">
        <v>914</v>
      </c>
      <c r="D281" s="49"/>
      <c r="E281" s="49" t="s">
        <v>893</v>
      </c>
      <c r="F281" s="49"/>
      <c r="G281" s="49" t="s">
        <v>776</v>
      </c>
      <c r="H281" s="49" t="s">
        <v>1121</v>
      </c>
      <c r="I281" s="49" t="s">
        <v>885</v>
      </c>
    </row>
    <row r="282" customFormat="false" ht="25.5" hidden="false" customHeight="true" outlineLevel="0" collapsed="false">
      <c r="A282" s="48" t="s">
        <v>1120</v>
      </c>
      <c r="B282" s="49" t="s">
        <v>907</v>
      </c>
      <c r="C282" s="49" t="s">
        <v>1040</v>
      </c>
      <c r="D282" s="49" t="s">
        <v>1039</v>
      </c>
      <c r="E282" s="49" t="s">
        <v>146</v>
      </c>
      <c r="F282" s="49"/>
      <c r="G282" s="49" t="s">
        <v>776</v>
      </c>
      <c r="H282" s="49" t="s">
        <v>996</v>
      </c>
      <c r="I282" s="49" t="s">
        <v>885</v>
      </c>
    </row>
    <row r="283" customFormat="false" ht="25.5" hidden="false" customHeight="true" outlineLevel="0" collapsed="false">
      <c r="A283" s="48" t="s">
        <v>1120</v>
      </c>
      <c r="B283" s="49" t="s">
        <v>915</v>
      </c>
      <c r="C283" s="49" t="s">
        <v>1041</v>
      </c>
      <c r="D283" s="49" t="s">
        <v>1034</v>
      </c>
      <c r="E283" s="49" t="s">
        <v>146</v>
      </c>
      <c r="F283" s="49"/>
      <c r="G283" s="49" t="s">
        <v>776</v>
      </c>
      <c r="H283" s="49" t="s">
        <v>996</v>
      </c>
      <c r="I283" s="49" t="s">
        <v>885</v>
      </c>
    </row>
    <row r="284" customFormat="false" ht="25.5" hidden="false" customHeight="true" outlineLevel="0" collapsed="false">
      <c r="A284" s="48" t="s">
        <v>1120</v>
      </c>
      <c r="B284" s="49" t="s">
        <v>915</v>
      </c>
      <c r="C284" s="49" t="s">
        <v>1042</v>
      </c>
      <c r="D284" s="49" t="s">
        <v>1034</v>
      </c>
      <c r="E284" s="49" t="s">
        <v>146</v>
      </c>
      <c r="F284" s="49"/>
      <c r="G284" s="49" t="s">
        <v>776</v>
      </c>
      <c r="H284" s="49" t="s">
        <v>996</v>
      </c>
      <c r="I284" s="49" t="s">
        <v>885</v>
      </c>
    </row>
    <row r="285" customFormat="false" ht="25.5" hidden="false" customHeight="true" outlineLevel="0" collapsed="false">
      <c r="A285" s="48" t="s">
        <v>1120</v>
      </c>
      <c r="B285" s="49" t="s">
        <v>915</v>
      </c>
      <c r="C285" s="49" t="s">
        <v>1043</v>
      </c>
      <c r="D285" s="49" t="s">
        <v>903</v>
      </c>
      <c r="E285" s="49" t="s">
        <v>146</v>
      </c>
      <c r="F285" s="49"/>
      <c r="G285" s="49" t="s">
        <v>776</v>
      </c>
      <c r="H285" s="49" t="s">
        <v>996</v>
      </c>
      <c r="I285" s="49" t="s">
        <v>885</v>
      </c>
    </row>
    <row r="286" customFormat="false" ht="25.5" hidden="false" customHeight="true" outlineLevel="0" collapsed="false">
      <c r="A286" s="48" t="s">
        <v>1120</v>
      </c>
      <c r="B286" s="49" t="s">
        <v>915</v>
      </c>
      <c r="C286" s="49" t="s">
        <v>916</v>
      </c>
      <c r="D286" s="49"/>
      <c r="E286" s="49" t="s">
        <v>893</v>
      </c>
      <c r="F286" s="49"/>
      <c r="G286" s="49" t="s">
        <v>776</v>
      </c>
      <c r="H286" s="49" t="s">
        <v>1121</v>
      </c>
      <c r="I286" s="49" t="s">
        <v>885</v>
      </c>
    </row>
    <row r="287" customFormat="false" ht="25.5" hidden="false" customHeight="true" outlineLevel="0" collapsed="false">
      <c r="A287" s="48" t="s">
        <v>1120</v>
      </c>
      <c r="B287" s="49" t="s">
        <v>915</v>
      </c>
      <c r="C287" s="49" t="s">
        <v>1044</v>
      </c>
      <c r="D287" s="49" t="s">
        <v>1045</v>
      </c>
      <c r="E287" s="49" t="s">
        <v>146</v>
      </c>
      <c r="F287" s="49" t="s">
        <v>1046</v>
      </c>
      <c r="G287" s="49" t="s">
        <v>776</v>
      </c>
      <c r="H287" s="49" t="s">
        <v>996</v>
      </c>
      <c r="I287" s="49" t="s">
        <v>885</v>
      </c>
    </row>
    <row r="288" customFormat="false" ht="25.5" hidden="false" customHeight="true" outlineLevel="0" collapsed="false">
      <c r="A288" s="48" t="s">
        <v>1120</v>
      </c>
      <c r="B288" s="49" t="s">
        <v>1047</v>
      </c>
      <c r="C288" s="49" t="s">
        <v>1048</v>
      </c>
      <c r="D288" s="49" t="s">
        <v>1049</v>
      </c>
      <c r="E288" s="49" t="s">
        <v>146</v>
      </c>
      <c r="F288" s="49"/>
      <c r="G288" s="49" t="s">
        <v>776</v>
      </c>
      <c r="H288" s="49" t="s">
        <v>996</v>
      </c>
      <c r="I288" s="49" t="s">
        <v>885</v>
      </c>
    </row>
    <row r="289" customFormat="false" ht="25.5" hidden="false" customHeight="true" outlineLevel="0" collapsed="false">
      <c r="A289" s="48" t="s">
        <v>1120</v>
      </c>
      <c r="B289" s="49" t="s">
        <v>1047</v>
      </c>
      <c r="C289" s="49" t="s">
        <v>1050</v>
      </c>
      <c r="D289" s="49" t="s">
        <v>991</v>
      </c>
      <c r="E289" s="49" t="s">
        <v>146</v>
      </c>
      <c r="F289" s="49"/>
      <c r="G289" s="49" t="s">
        <v>776</v>
      </c>
      <c r="H289" s="49" t="s">
        <v>996</v>
      </c>
      <c r="I289" s="49" t="s">
        <v>885</v>
      </c>
    </row>
    <row r="290" customFormat="false" ht="25.5" hidden="false" customHeight="true" outlineLevel="0" collapsed="false">
      <c r="A290" s="48" t="s">
        <v>1120</v>
      </c>
      <c r="B290" s="49" t="s">
        <v>1047</v>
      </c>
      <c r="C290" s="49" t="s">
        <v>1051</v>
      </c>
      <c r="D290" s="49" t="s">
        <v>991</v>
      </c>
      <c r="E290" s="49" t="s">
        <v>146</v>
      </c>
      <c r="F290" s="49"/>
      <c r="G290" s="49" t="s">
        <v>776</v>
      </c>
      <c r="H290" s="49" t="s">
        <v>996</v>
      </c>
      <c r="I290" s="49" t="s">
        <v>885</v>
      </c>
    </row>
    <row r="291" customFormat="false" ht="25.5" hidden="false" customHeight="true" outlineLevel="0" collapsed="false">
      <c r="A291" s="48" t="s">
        <v>1120</v>
      </c>
      <c r="B291" s="49" t="s">
        <v>917</v>
      </c>
      <c r="C291" s="49" t="s">
        <v>1052</v>
      </c>
      <c r="D291" s="49" t="s">
        <v>968</v>
      </c>
      <c r="E291" s="49" t="s">
        <v>146</v>
      </c>
      <c r="F291" s="49" t="s">
        <v>1053</v>
      </c>
      <c r="G291" s="49" t="s">
        <v>776</v>
      </c>
      <c r="H291" s="49" t="s">
        <v>996</v>
      </c>
      <c r="I291" s="49" t="s">
        <v>885</v>
      </c>
    </row>
    <row r="292" customFormat="false" ht="25.5" hidden="false" customHeight="true" outlineLevel="0" collapsed="false">
      <c r="A292" s="48" t="s">
        <v>1120</v>
      </c>
      <c r="B292" s="49" t="s">
        <v>917</v>
      </c>
      <c r="C292" s="49" t="s">
        <v>1054</v>
      </c>
      <c r="D292" s="49" t="s">
        <v>965</v>
      </c>
      <c r="E292" s="49" t="s">
        <v>1055</v>
      </c>
      <c r="F292" s="49" t="s">
        <v>1056</v>
      </c>
      <c r="G292" s="49" t="s">
        <v>776</v>
      </c>
      <c r="H292" s="49" t="s">
        <v>996</v>
      </c>
      <c r="I292" s="49" t="s">
        <v>885</v>
      </c>
    </row>
    <row r="293" customFormat="false" ht="25.5" hidden="false" customHeight="true" outlineLevel="0" collapsed="false">
      <c r="A293" s="48" t="s">
        <v>1120</v>
      </c>
      <c r="B293" s="49" t="s">
        <v>917</v>
      </c>
      <c r="C293" s="49" t="s">
        <v>924</v>
      </c>
      <c r="D293" s="49"/>
      <c r="E293" s="49" t="s">
        <v>893</v>
      </c>
      <c r="F293" s="49"/>
      <c r="G293" s="49" t="s">
        <v>776</v>
      </c>
      <c r="H293" s="49" t="s">
        <v>1121</v>
      </c>
      <c r="I293" s="49" t="s">
        <v>885</v>
      </c>
    </row>
    <row r="294" customFormat="false" ht="25.5" hidden="false" customHeight="true" outlineLevel="0" collapsed="false">
      <c r="A294" s="48" t="s">
        <v>1120</v>
      </c>
      <c r="B294" s="49" t="s">
        <v>925</v>
      </c>
      <c r="C294" s="49" t="s">
        <v>1057</v>
      </c>
      <c r="D294" s="49" t="s">
        <v>968</v>
      </c>
      <c r="E294" s="49" t="s">
        <v>146</v>
      </c>
      <c r="F294" s="49" t="s">
        <v>1058</v>
      </c>
      <c r="G294" s="49" t="s">
        <v>776</v>
      </c>
      <c r="H294" s="49" t="s">
        <v>996</v>
      </c>
      <c r="I294" s="49" t="s">
        <v>885</v>
      </c>
    </row>
    <row r="295" customFormat="false" ht="25.5" hidden="false" customHeight="true" outlineLevel="0" collapsed="false">
      <c r="A295" s="48" t="s">
        <v>1120</v>
      </c>
      <c r="B295" s="49" t="s">
        <v>925</v>
      </c>
      <c r="C295" s="49" t="s">
        <v>1059</v>
      </c>
      <c r="D295" s="49" t="s">
        <v>968</v>
      </c>
      <c r="E295" s="49" t="s">
        <v>146</v>
      </c>
      <c r="F295" s="49"/>
      <c r="G295" s="49" t="s">
        <v>776</v>
      </c>
      <c r="H295" s="49" t="s">
        <v>996</v>
      </c>
      <c r="I295" s="49" t="s">
        <v>885</v>
      </c>
    </row>
    <row r="296" customFormat="false" ht="25.5" hidden="false" customHeight="true" outlineLevel="0" collapsed="false">
      <c r="A296" s="48" t="s">
        <v>1120</v>
      </c>
      <c r="B296" s="49" t="s">
        <v>925</v>
      </c>
      <c r="C296" s="49" t="s">
        <v>1060</v>
      </c>
      <c r="D296" s="49" t="s">
        <v>1061</v>
      </c>
      <c r="E296" s="49" t="s">
        <v>146</v>
      </c>
      <c r="F296" s="49" t="s">
        <v>1062</v>
      </c>
      <c r="G296" s="49" t="s">
        <v>776</v>
      </c>
      <c r="H296" s="49" t="s">
        <v>996</v>
      </c>
      <c r="I296" s="49" t="s">
        <v>885</v>
      </c>
    </row>
    <row r="297" customFormat="false" ht="25.5" hidden="false" customHeight="true" outlineLevel="0" collapsed="false">
      <c r="A297" s="48" t="s">
        <v>1120</v>
      </c>
      <c r="B297" s="49" t="s">
        <v>925</v>
      </c>
      <c r="C297" s="49" t="s">
        <v>1063</v>
      </c>
      <c r="D297" s="49" t="s">
        <v>972</v>
      </c>
      <c r="E297" s="49" t="s">
        <v>146</v>
      </c>
      <c r="F297" s="49" t="s">
        <v>1058</v>
      </c>
      <c r="G297" s="49" t="s">
        <v>776</v>
      </c>
      <c r="H297" s="49" t="s">
        <v>996</v>
      </c>
      <c r="I297" s="49" t="s">
        <v>885</v>
      </c>
    </row>
    <row r="298" customFormat="false" ht="25.5" hidden="false" customHeight="true" outlineLevel="0" collapsed="false">
      <c r="A298" s="48" t="s">
        <v>1120</v>
      </c>
      <c r="B298" s="49" t="s">
        <v>925</v>
      </c>
      <c r="C298" s="49" t="s">
        <v>1064</v>
      </c>
      <c r="D298" s="49" t="s">
        <v>972</v>
      </c>
      <c r="E298" s="49" t="s">
        <v>146</v>
      </c>
      <c r="F298" s="49" t="s">
        <v>1065</v>
      </c>
      <c r="G298" s="49" t="s">
        <v>776</v>
      </c>
      <c r="H298" s="49" t="s">
        <v>996</v>
      </c>
      <c r="I298" s="49" t="s">
        <v>885</v>
      </c>
    </row>
    <row r="299" customFormat="false" ht="25.5" hidden="false" customHeight="true" outlineLevel="0" collapsed="false">
      <c r="A299" s="50" t="s">
        <v>1120</v>
      </c>
      <c r="B299" s="51" t="s">
        <v>925</v>
      </c>
      <c r="C299" s="51" t="s">
        <v>973</v>
      </c>
      <c r="D299" s="51" t="s">
        <v>968</v>
      </c>
      <c r="E299" s="51" t="s">
        <v>974</v>
      </c>
      <c r="F299" s="51" t="s">
        <v>975</v>
      </c>
      <c r="G299" s="52" t="s">
        <v>910</v>
      </c>
      <c r="H299" s="51" t="s">
        <v>1066</v>
      </c>
      <c r="I299" s="51" t="s">
        <v>912</v>
      </c>
    </row>
    <row r="300" customFormat="false" ht="25.5" hidden="false" customHeight="true" outlineLevel="0" collapsed="false">
      <c r="A300" s="48" t="s">
        <v>1120</v>
      </c>
      <c r="B300" s="49" t="s">
        <v>925</v>
      </c>
      <c r="C300" s="49" t="s">
        <v>1067</v>
      </c>
      <c r="D300" s="49" t="s">
        <v>1068</v>
      </c>
      <c r="E300" s="49" t="s">
        <v>1069</v>
      </c>
      <c r="F300" s="49"/>
      <c r="G300" s="49" t="s">
        <v>776</v>
      </c>
      <c r="H300" s="49" t="s">
        <v>996</v>
      </c>
      <c r="I300" s="49" t="s">
        <v>885</v>
      </c>
    </row>
    <row r="301" customFormat="false" ht="25.5" hidden="false" customHeight="true" outlineLevel="0" collapsed="false">
      <c r="A301" s="48" t="s">
        <v>1120</v>
      </c>
      <c r="B301" s="49" t="s">
        <v>925</v>
      </c>
      <c r="C301" s="49" t="s">
        <v>1070</v>
      </c>
      <c r="D301" s="49" t="s">
        <v>929</v>
      </c>
      <c r="E301" s="49" t="s">
        <v>146</v>
      </c>
      <c r="F301" s="49" t="s">
        <v>1071</v>
      </c>
      <c r="G301" s="49" t="s">
        <v>776</v>
      </c>
      <c r="H301" s="49" t="s">
        <v>996</v>
      </c>
      <c r="I301" s="49" t="s">
        <v>885</v>
      </c>
    </row>
    <row r="302" customFormat="false" ht="25.5" hidden="false" customHeight="true" outlineLevel="0" collapsed="false">
      <c r="A302" s="48" t="s">
        <v>1120</v>
      </c>
      <c r="B302" s="49" t="s">
        <v>977</v>
      </c>
      <c r="C302" s="49" t="s">
        <v>1072</v>
      </c>
      <c r="D302" s="49" t="s">
        <v>1073</v>
      </c>
      <c r="E302" s="49" t="s">
        <v>146</v>
      </c>
      <c r="F302" s="49"/>
      <c r="G302" s="49" t="s">
        <v>776</v>
      </c>
      <c r="H302" s="49" t="s">
        <v>996</v>
      </c>
      <c r="I302" s="49" t="s">
        <v>885</v>
      </c>
    </row>
    <row r="303" customFormat="false" ht="25.5" hidden="false" customHeight="true" outlineLevel="0" collapsed="false">
      <c r="A303" s="50" t="s">
        <v>1120</v>
      </c>
      <c r="B303" s="51" t="s">
        <v>977</v>
      </c>
      <c r="C303" s="51" t="s">
        <v>1074</v>
      </c>
      <c r="D303" s="51" t="s">
        <v>1075</v>
      </c>
      <c r="E303" s="51" t="s">
        <v>1076</v>
      </c>
      <c r="F303" s="51"/>
      <c r="G303" s="52" t="s">
        <v>910</v>
      </c>
      <c r="H303" s="51" t="s">
        <v>1066</v>
      </c>
      <c r="I303" s="51" t="s">
        <v>912</v>
      </c>
    </row>
    <row r="304" customFormat="false" ht="25.5" hidden="false" customHeight="true" outlineLevel="0" collapsed="false">
      <c r="A304" s="48" t="s">
        <v>1120</v>
      </c>
      <c r="B304" s="49" t="s">
        <v>977</v>
      </c>
      <c r="C304" s="49" t="s">
        <v>979</v>
      </c>
      <c r="D304" s="49" t="s">
        <v>980</v>
      </c>
      <c r="E304" s="49" t="s">
        <v>981</v>
      </c>
      <c r="F304" s="49" t="s">
        <v>982</v>
      </c>
      <c r="G304" s="49" t="s">
        <v>776</v>
      </c>
      <c r="H304" s="49" t="s">
        <v>996</v>
      </c>
      <c r="I304" s="49" t="s">
        <v>885</v>
      </c>
    </row>
    <row r="305" customFormat="false" ht="25.5" hidden="false" customHeight="true" outlineLevel="0" collapsed="false">
      <c r="A305" s="48" t="s">
        <v>1120</v>
      </c>
      <c r="B305" s="49" t="s">
        <v>977</v>
      </c>
      <c r="C305" s="49" t="s">
        <v>1077</v>
      </c>
      <c r="D305" s="49" t="s">
        <v>980</v>
      </c>
      <c r="E305" s="49" t="s">
        <v>1078</v>
      </c>
      <c r="F305" s="49"/>
      <c r="G305" s="49" t="s">
        <v>776</v>
      </c>
      <c r="H305" s="49" t="s">
        <v>996</v>
      </c>
      <c r="I305" s="49" t="s">
        <v>885</v>
      </c>
    </row>
    <row r="306" customFormat="false" ht="25.5" hidden="false" customHeight="true" outlineLevel="0" collapsed="false">
      <c r="A306" s="48" t="s">
        <v>1120</v>
      </c>
      <c r="B306" s="49" t="s">
        <v>977</v>
      </c>
      <c r="C306" s="49" t="s">
        <v>1079</v>
      </c>
      <c r="D306" s="49" t="s">
        <v>1073</v>
      </c>
      <c r="E306" s="49" t="s">
        <v>1080</v>
      </c>
      <c r="F306" s="49"/>
      <c r="G306" s="49" t="s">
        <v>776</v>
      </c>
      <c r="H306" s="49" t="s">
        <v>996</v>
      </c>
      <c r="I306" s="49" t="s">
        <v>885</v>
      </c>
    </row>
    <row r="307" customFormat="false" ht="25.5" hidden="false" customHeight="true" outlineLevel="0" collapsed="false">
      <c r="A307" s="48" t="s">
        <v>1120</v>
      </c>
      <c r="B307" s="49" t="s">
        <v>977</v>
      </c>
      <c r="C307" s="49" t="s">
        <v>1081</v>
      </c>
      <c r="D307" s="49" t="s">
        <v>1073</v>
      </c>
      <c r="E307" s="49" t="s">
        <v>1082</v>
      </c>
      <c r="F307" s="49" t="s">
        <v>1083</v>
      </c>
      <c r="G307" s="49" t="s">
        <v>776</v>
      </c>
      <c r="H307" s="49" t="s">
        <v>996</v>
      </c>
      <c r="I307" s="49" t="s">
        <v>885</v>
      </c>
    </row>
    <row r="308" customFormat="false" ht="25.5" hidden="false" customHeight="true" outlineLevel="0" collapsed="false">
      <c r="A308" s="48" t="s">
        <v>1120</v>
      </c>
      <c r="B308" s="49" t="s">
        <v>977</v>
      </c>
      <c r="C308" s="49" t="s">
        <v>1084</v>
      </c>
      <c r="D308" s="49" t="s">
        <v>1073</v>
      </c>
      <c r="E308" s="49" t="s">
        <v>1085</v>
      </c>
      <c r="F308" s="49"/>
      <c r="G308" s="49" t="s">
        <v>776</v>
      </c>
      <c r="H308" s="49" t="s">
        <v>996</v>
      </c>
      <c r="I308" s="49" t="s">
        <v>885</v>
      </c>
    </row>
    <row r="309" customFormat="false" ht="25.5" hidden="false" customHeight="true" outlineLevel="0" collapsed="false">
      <c r="A309" s="48" t="s">
        <v>1120</v>
      </c>
      <c r="B309" s="49" t="s">
        <v>932</v>
      </c>
      <c r="C309" s="49" t="s">
        <v>984</v>
      </c>
      <c r="D309" s="49" t="s">
        <v>936</v>
      </c>
      <c r="E309" s="49" t="s">
        <v>985</v>
      </c>
      <c r="F309" s="49" t="s">
        <v>986</v>
      </c>
      <c r="G309" s="49" t="s">
        <v>776</v>
      </c>
      <c r="H309" s="49" t="s">
        <v>996</v>
      </c>
      <c r="I309" s="49" t="s">
        <v>885</v>
      </c>
    </row>
    <row r="310" customFormat="false" ht="25.5" hidden="false" customHeight="true" outlineLevel="0" collapsed="false">
      <c r="A310" s="48" t="s">
        <v>1120</v>
      </c>
      <c r="B310" s="49" t="s">
        <v>932</v>
      </c>
      <c r="C310" s="49" t="s">
        <v>1086</v>
      </c>
      <c r="D310" s="49" t="s">
        <v>929</v>
      </c>
      <c r="E310" s="49" t="s">
        <v>1087</v>
      </c>
      <c r="F310" s="49" t="s">
        <v>1088</v>
      </c>
      <c r="G310" s="49" t="s">
        <v>776</v>
      </c>
      <c r="H310" s="49" t="s">
        <v>996</v>
      </c>
      <c r="I310" s="49" t="s">
        <v>885</v>
      </c>
    </row>
    <row r="311" customFormat="false" ht="25.5" hidden="false" customHeight="true" outlineLevel="0" collapsed="false">
      <c r="A311" s="48" t="s">
        <v>1120</v>
      </c>
      <c r="B311" s="49" t="s">
        <v>932</v>
      </c>
      <c r="C311" s="49" t="s">
        <v>1089</v>
      </c>
      <c r="D311" s="49" t="s">
        <v>1090</v>
      </c>
      <c r="E311" s="49" t="s">
        <v>1091</v>
      </c>
      <c r="F311" s="49" t="s">
        <v>1092</v>
      </c>
      <c r="G311" s="49" t="s">
        <v>776</v>
      </c>
      <c r="H311" s="49" t="s">
        <v>996</v>
      </c>
      <c r="I311" s="49" t="s">
        <v>885</v>
      </c>
    </row>
    <row r="312" customFormat="false" ht="25.5" hidden="false" customHeight="true" outlineLevel="0" collapsed="false">
      <c r="A312" s="48" t="s">
        <v>1120</v>
      </c>
      <c r="B312" s="49" t="s">
        <v>932</v>
      </c>
      <c r="C312" s="49" t="s">
        <v>1093</v>
      </c>
      <c r="D312" s="49" t="s">
        <v>936</v>
      </c>
      <c r="E312" s="49" t="s">
        <v>146</v>
      </c>
      <c r="F312" s="49" t="s">
        <v>1094</v>
      </c>
      <c r="G312" s="49" t="s">
        <v>776</v>
      </c>
      <c r="H312" s="49" t="s">
        <v>996</v>
      </c>
      <c r="I312" s="49" t="s">
        <v>885</v>
      </c>
    </row>
    <row r="313" customFormat="false" ht="25.5" hidden="false" customHeight="true" outlineLevel="0" collapsed="false">
      <c r="A313" s="48" t="s">
        <v>1120</v>
      </c>
      <c r="B313" s="49" t="s">
        <v>932</v>
      </c>
      <c r="C313" s="49" t="s">
        <v>938</v>
      </c>
      <c r="D313" s="49"/>
      <c r="E313" s="49" t="s">
        <v>893</v>
      </c>
      <c r="F313" s="49"/>
      <c r="G313" s="49" t="s">
        <v>776</v>
      </c>
      <c r="H313" s="49" t="s">
        <v>1121</v>
      </c>
      <c r="I313" s="49" t="s">
        <v>885</v>
      </c>
    </row>
    <row r="314" customFormat="false" ht="25.5" hidden="false" customHeight="true" outlineLevel="0" collapsed="false">
      <c r="A314" s="48" t="s">
        <v>1120</v>
      </c>
      <c r="B314" s="49" t="s">
        <v>932</v>
      </c>
      <c r="C314" s="49" t="s">
        <v>1095</v>
      </c>
      <c r="D314" s="49"/>
      <c r="E314" s="49" t="s">
        <v>146</v>
      </c>
      <c r="F314" s="49"/>
      <c r="G314" s="49" t="s">
        <v>776</v>
      </c>
      <c r="H314" s="49" t="s">
        <v>996</v>
      </c>
      <c r="I314" s="49" t="s">
        <v>885</v>
      </c>
    </row>
    <row r="315" customFormat="false" ht="25.5" hidden="false" customHeight="true" outlineLevel="0" collapsed="false">
      <c r="A315" s="48" t="s">
        <v>1120</v>
      </c>
      <c r="B315" s="49" t="s">
        <v>932</v>
      </c>
      <c r="C315" s="49" t="s">
        <v>1096</v>
      </c>
      <c r="D315" s="49" t="s">
        <v>936</v>
      </c>
      <c r="E315" s="49" t="s">
        <v>1097</v>
      </c>
      <c r="F315" s="49" t="s">
        <v>1098</v>
      </c>
      <c r="G315" s="49" t="s">
        <v>776</v>
      </c>
      <c r="H315" s="49" t="s">
        <v>996</v>
      </c>
      <c r="I315" s="49" t="s">
        <v>885</v>
      </c>
    </row>
    <row r="316" customFormat="false" ht="25.5" hidden="false" customHeight="true" outlineLevel="0" collapsed="false">
      <c r="A316" s="48" t="s">
        <v>1120</v>
      </c>
      <c r="B316" s="49" t="s">
        <v>939</v>
      </c>
      <c r="C316" s="49" t="s">
        <v>940</v>
      </c>
      <c r="D316" s="49"/>
      <c r="E316" s="49" t="s">
        <v>893</v>
      </c>
      <c r="F316" s="49" t="s">
        <v>941</v>
      </c>
      <c r="G316" s="49" t="s">
        <v>776</v>
      </c>
      <c r="H316" s="49" t="s">
        <v>1121</v>
      </c>
      <c r="I316" s="49" t="s">
        <v>885</v>
      </c>
    </row>
    <row r="317" customFormat="false" ht="25.5" hidden="false" customHeight="true" outlineLevel="0" collapsed="false">
      <c r="A317" s="48" t="s">
        <v>1120</v>
      </c>
      <c r="B317" s="49" t="s">
        <v>939</v>
      </c>
      <c r="C317" s="49" t="s">
        <v>1099</v>
      </c>
      <c r="D317" s="49" t="s">
        <v>1100</v>
      </c>
      <c r="E317" s="49" t="s">
        <v>1101</v>
      </c>
      <c r="F317" s="49" t="s">
        <v>993</v>
      </c>
      <c r="G317" s="49" t="s">
        <v>776</v>
      </c>
      <c r="H317" s="49" t="s">
        <v>996</v>
      </c>
      <c r="I317" s="49" t="s">
        <v>885</v>
      </c>
    </row>
    <row r="318" customFormat="false" ht="25.5" hidden="false" customHeight="true" outlineLevel="0" collapsed="false">
      <c r="A318" s="48" t="s">
        <v>1120</v>
      </c>
      <c r="B318" s="49" t="s">
        <v>939</v>
      </c>
      <c r="C318" s="49" t="s">
        <v>1102</v>
      </c>
      <c r="D318" s="49" t="s">
        <v>988</v>
      </c>
      <c r="E318" s="49" t="s">
        <v>146</v>
      </c>
      <c r="F318" s="49" t="s">
        <v>993</v>
      </c>
      <c r="G318" s="49" t="s">
        <v>776</v>
      </c>
      <c r="H318" s="49" t="s">
        <v>996</v>
      </c>
      <c r="I318" s="49" t="s">
        <v>885</v>
      </c>
    </row>
    <row r="319" customFormat="false" ht="25.5" hidden="false" customHeight="true" outlineLevel="0" collapsed="false">
      <c r="A319" s="48" t="s">
        <v>1120</v>
      </c>
      <c r="B319" s="49" t="s">
        <v>939</v>
      </c>
      <c r="C319" s="49" t="s">
        <v>1103</v>
      </c>
      <c r="D319" s="49" t="s">
        <v>1100</v>
      </c>
      <c r="E319" s="49" t="s">
        <v>146</v>
      </c>
      <c r="F319" s="49" t="s">
        <v>993</v>
      </c>
      <c r="G319" s="49" t="s">
        <v>776</v>
      </c>
      <c r="H319" s="49" t="s">
        <v>996</v>
      </c>
      <c r="I319" s="49" t="s">
        <v>885</v>
      </c>
    </row>
    <row r="320" customFormat="false" ht="25.5" hidden="false" customHeight="true" outlineLevel="0" collapsed="false">
      <c r="A320" s="48" t="s">
        <v>1122</v>
      </c>
      <c r="B320" s="49" t="s">
        <v>879</v>
      </c>
      <c r="C320" s="49" t="s">
        <v>943</v>
      </c>
      <c r="D320" s="49" t="s">
        <v>944</v>
      </c>
      <c r="E320" s="49" t="s">
        <v>843</v>
      </c>
      <c r="F320" s="49" t="s">
        <v>945</v>
      </c>
      <c r="G320" s="49" t="s">
        <v>776</v>
      </c>
      <c r="H320" s="49" t="s">
        <v>1123</v>
      </c>
      <c r="I320" s="49" t="s">
        <v>885</v>
      </c>
    </row>
    <row r="321" customFormat="false" ht="25.5" hidden="false" customHeight="true" outlineLevel="0" collapsed="false">
      <c r="A321" s="48" t="s">
        <v>1122</v>
      </c>
      <c r="B321" s="49" t="s">
        <v>950</v>
      </c>
      <c r="C321" s="49" t="s">
        <v>951</v>
      </c>
      <c r="D321" s="49"/>
      <c r="E321" s="49" t="s">
        <v>217</v>
      </c>
      <c r="F321" s="49" t="s">
        <v>952</v>
      </c>
      <c r="G321" s="49" t="s">
        <v>776</v>
      </c>
      <c r="H321" s="49" t="s">
        <v>1123</v>
      </c>
      <c r="I321" s="49" t="s">
        <v>885</v>
      </c>
    </row>
    <row r="322" customFormat="false" ht="25.5" hidden="false" customHeight="true" outlineLevel="0" collapsed="false">
      <c r="A322" s="48" t="s">
        <v>1122</v>
      </c>
      <c r="B322" s="49" t="s">
        <v>950</v>
      </c>
      <c r="C322" s="49" t="s">
        <v>953</v>
      </c>
      <c r="D322" s="49" t="s">
        <v>954</v>
      </c>
      <c r="E322" s="49" t="s">
        <v>217</v>
      </c>
      <c r="F322" s="49" t="s">
        <v>955</v>
      </c>
      <c r="G322" s="49" t="s">
        <v>776</v>
      </c>
      <c r="H322" s="49" t="s">
        <v>1123</v>
      </c>
      <c r="I322" s="49" t="s">
        <v>885</v>
      </c>
    </row>
    <row r="323" customFormat="false" ht="25.5" hidden="false" customHeight="true" outlineLevel="0" collapsed="false">
      <c r="A323" s="48" t="s">
        <v>1122</v>
      </c>
      <c r="B323" s="49" t="s">
        <v>950</v>
      </c>
      <c r="C323" s="49" t="s">
        <v>956</v>
      </c>
      <c r="D323" s="49" t="s">
        <v>954</v>
      </c>
      <c r="E323" s="49" t="s">
        <v>957</v>
      </c>
      <c r="F323" s="49" t="s">
        <v>958</v>
      </c>
      <c r="G323" s="49" t="s">
        <v>776</v>
      </c>
      <c r="H323" s="49" t="s">
        <v>1123</v>
      </c>
      <c r="I323" s="49" t="s">
        <v>885</v>
      </c>
    </row>
    <row r="324" customFormat="false" ht="25.5" hidden="false" customHeight="true" outlineLevel="0" collapsed="false">
      <c r="A324" s="48" t="s">
        <v>1122</v>
      </c>
      <c r="B324" s="49" t="s">
        <v>907</v>
      </c>
      <c r="C324" s="49" t="s">
        <v>960</v>
      </c>
      <c r="D324" s="49"/>
      <c r="E324" s="49" t="s">
        <v>217</v>
      </c>
      <c r="F324" s="49" t="s">
        <v>961</v>
      </c>
      <c r="G324" s="49" t="s">
        <v>776</v>
      </c>
      <c r="H324" s="49" t="s">
        <v>1123</v>
      </c>
      <c r="I324" s="49" t="s">
        <v>885</v>
      </c>
    </row>
    <row r="325" customFormat="false" ht="25.5" hidden="false" customHeight="true" outlineLevel="0" collapsed="false">
      <c r="A325" s="48" t="s">
        <v>1122</v>
      </c>
      <c r="B325" s="49" t="s">
        <v>915</v>
      </c>
      <c r="C325" s="49" t="s">
        <v>962</v>
      </c>
      <c r="D325" s="49"/>
      <c r="E325" s="49" t="s">
        <v>963</v>
      </c>
      <c r="F325" s="49"/>
      <c r="G325" s="49" t="s">
        <v>776</v>
      </c>
      <c r="H325" s="49" t="s">
        <v>1123</v>
      </c>
      <c r="I325" s="49" t="s">
        <v>885</v>
      </c>
    </row>
    <row r="326" customFormat="false" ht="25.5" hidden="false" customHeight="true" outlineLevel="0" collapsed="false">
      <c r="A326" s="48" t="s">
        <v>1122</v>
      </c>
      <c r="B326" s="49" t="s">
        <v>917</v>
      </c>
      <c r="C326" s="49" t="s">
        <v>964</v>
      </c>
      <c r="D326" s="49" t="s">
        <v>965</v>
      </c>
      <c r="E326" s="49" t="s">
        <v>217</v>
      </c>
      <c r="F326" s="49" t="s">
        <v>966</v>
      </c>
      <c r="G326" s="49" t="s">
        <v>776</v>
      </c>
      <c r="H326" s="49" t="s">
        <v>1123</v>
      </c>
      <c r="I326" s="49" t="s">
        <v>885</v>
      </c>
    </row>
    <row r="327" customFormat="false" ht="25.5" hidden="false" customHeight="true" outlineLevel="0" collapsed="false">
      <c r="A327" s="50" t="s">
        <v>1122</v>
      </c>
      <c r="B327" s="51" t="s">
        <v>917</v>
      </c>
      <c r="C327" s="51" t="s">
        <v>967</v>
      </c>
      <c r="D327" s="51" t="s">
        <v>968</v>
      </c>
      <c r="E327" s="51" t="s">
        <v>969</v>
      </c>
      <c r="F327" s="51" t="s">
        <v>970</v>
      </c>
      <c r="G327" s="52" t="s">
        <v>910</v>
      </c>
      <c r="H327" s="51" t="s">
        <v>1124</v>
      </c>
      <c r="I327" s="51" t="s">
        <v>912</v>
      </c>
    </row>
    <row r="328" customFormat="false" ht="25.5" hidden="false" customHeight="true" outlineLevel="0" collapsed="false">
      <c r="A328" s="48" t="s">
        <v>1122</v>
      </c>
      <c r="B328" s="49" t="s">
        <v>925</v>
      </c>
      <c r="C328" s="49" t="s">
        <v>971</v>
      </c>
      <c r="D328" s="49" t="s">
        <v>972</v>
      </c>
      <c r="E328" s="49" t="s">
        <v>217</v>
      </c>
      <c r="F328" s="49"/>
      <c r="G328" s="49" t="s">
        <v>776</v>
      </c>
      <c r="H328" s="49" t="s">
        <v>1123</v>
      </c>
      <c r="I328" s="49" t="s">
        <v>885</v>
      </c>
    </row>
    <row r="329" customFormat="false" ht="25.5" hidden="false" customHeight="true" outlineLevel="0" collapsed="false">
      <c r="A329" s="48" t="s">
        <v>1122</v>
      </c>
      <c r="B329" s="49" t="s">
        <v>925</v>
      </c>
      <c r="C329" s="49" t="s">
        <v>976</v>
      </c>
      <c r="D329" s="49"/>
      <c r="E329" s="49" t="s">
        <v>217</v>
      </c>
      <c r="F329" s="49" t="s">
        <v>927</v>
      </c>
      <c r="G329" s="49" t="s">
        <v>776</v>
      </c>
      <c r="H329" s="49" t="s">
        <v>1123</v>
      </c>
      <c r="I329" s="49" t="s">
        <v>885</v>
      </c>
    </row>
    <row r="330" customFormat="false" ht="25.5" hidden="false" customHeight="true" outlineLevel="0" collapsed="false">
      <c r="A330" s="48" t="s">
        <v>1122</v>
      </c>
      <c r="B330" s="49" t="s">
        <v>977</v>
      </c>
      <c r="C330" s="49" t="s">
        <v>978</v>
      </c>
      <c r="D330" s="49"/>
      <c r="E330" s="49" t="s">
        <v>217</v>
      </c>
      <c r="F330" s="49"/>
      <c r="G330" s="49" t="s">
        <v>776</v>
      </c>
      <c r="H330" s="49" t="s">
        <v>1123</v>
      </c>
      <c r="I330" s="49" t="s">
        <v>885</v>
      </c>
    </row>
    <row r="331" customFormat="false" ht="25.5" hidden="false" customHeight="true" outlineLevel="0" collapsed="false">
      <c r="A331" s="48" t="s">
        <v>1122</v>
      </c>
      <c r="B331" s="49" t="s">
        <v>932</v>
      </c>
      <c r="C331" s="49" t="s">
        <v>984</v>
      </c>
      <c r="D331" s="49" t="s">
        <v>936</v>
      </c>
      <c r="E331" s="49" t="s">
        <v>985</v>
      </c>
      <c r="F331" s="49" t="s">
        <v>986</v>
      </c>
      <c r="G331" s="49" t="s">
        <v>776</v>
      </c>
      <c r="H331" s="49" t="s">
        <v>1123</v>
      </c>
      <c r="I331" s="49" t="s">
        <v>885</v>
      </c>
    </row>
    <row r="332" customFormat="false" ht="25.5" hidden="false" customHeight="true" outlineLevel="0" collapsed="false">
      <c r="A332" s="48" t="s">
        <v>1122</v>
      </c>
      <c r="B332" s="49" t="s">
        <v>939</v>
      </c>
      <c r="C332" s="49" t="s">
        <v>987</v>
      </c>
      <c r="D332" s="49" t="s">
        <v>988</v>
      </c>
      <c r="E332" s="49" t="s">
        <v>217</v>
      </c>
      <c r="F332" s="49" t="s">
        <v>989</v>
      </c>
      <c r="G332" s="49" t="s">
        <v>776</v>
      </c>
      <c r="H332" s="49" t="s">
        <v>1123</v>
      </c>
      <c r="I332" s="49" t="s">
        <v>885</v>
      </c>
    </row>
    <row r="333" customFormat="false" ht="25.5" hidden="false" customHeight="true" outlineLevel="0" collapsed="false">
      <c r="A333" s="50" t="s">
        <v>1125</v>
      </c>
      <c r="B333" s="51" t="s">
        <v>879</v>
      </c>
      <c r="C333" s="51" t="s">
        <v>943</v>
      </c>
      <c r="D333" s="51" t="s">
        <v>944</v>
      </c>
      <c r="E333" s="51" t="s">
        <v>843</v>
      </c>
      <c r="F333" s="51" t="s">
        <v>945</v>
      </c>
      <c r="G333" s="52" t="s">
        <v>910</v>
      </c>
      <c r="H333" s="51" t="s">
        <v>1066</v>
      </c>
      <c r="I333" s="51" t="s">
        <v>912</v>
      </c>
    </row>
    <row r="334" customFormat="false" ht="25.5" hidden="false" customHeight="true" outlineLevel="0" collapsed="false">
      <c r="A334" s="50" t="s">
        <v>1125</v>
      </c>
      <c r="B334" s="51" t="s">
        <v>879</v>
      </c>
      <c r="C334" s="51" t="s">
        <v>949</v>
      </c>
      <c r="D334" s="51"/>
      <c r="E334" s="51" t="s">
        <v>811</v>
      </c>
      <c r="F334" s="51"/>
      <c r="G334" s="52" t="s">
        <v>910</v>
      </c>
      <c r="H334" s="51" t="s">
        <v>1066</v>
      </c>
      <c r="I334" s="51" t="s">
        <v>912</v>
      </c>
    </row>
    <row r="335" customFormat="false" ht="25.5" hidden="false" customHeight="true" outlineLevel="0" collapsed="false">
      <c r="A335" s="50" t="s">
        <v>1125</v>
      </c>
      <c r="B335" s="51" t="s">
        <v>879</v>
      </c>
      <c r="C335" s="51" t="s">
        <v>998</v>
      </c>
      <c r="D335" s="51" t="s">
        <v>881</v>
      </c>
      <c r="E335" s="51" t="s">
        <v>146</v>
      </c>
      <c r="F335" s="51"/>
      <c r="G335" s="52" t="s">
        <v>910</v>
      </c>
      <c r="H335" s="51" t="s">
        <v>1066</v>
      </c>
      <c r="I335" s="51" t="s">
        <v>912</v>
      </c>
    </row>
    <row r="336" customFormat="false" ht="25.5" hidden="false" customHeight="true" outlineLevel="0" collapsed="false">
      <c r="A336" s="50" t="s">
        <v>1125</v>
      </c>
      <c r="B336" s="51" t="s">
        <v>879</v>
      </c>
      <c r="C336" s="51" t="s">
        <v>999</v>
      </c>
      <c r="D336" s="51" t="s">
        <v>890</v>
      </c>
      <c r="E336" s="51" t="s">
        <v>146</v>
      </c>
      <c r="F336" s="51" t="s">
        <v>1000</v>
      </c>
      <c r="G336" s="52" t="s">
        <v>910</v>
      </c>
      <c r="H336" s="51" t="s">
        <v>1066</v>
      </c>
      <c r="I336" s="51" t="s">
        <v>912</v>
      </c>
    </row>
    <row r="337" customFormat="false" ht="25.5" hidden="false" customHeight="true" outlineLevel="0" collapsed="false">
      <c r="A337" s="50" t="s">
        <v>1125</v>
      </c>
      <c r="B337" s="51" t="s">
        <v>879</v>
      </c>
      <c r="C337" s="51" t="s">
        <v>1001</v>
      </c>
      <c r="D337" s="51"/>
      <c r="E337" s="51" t="s">
        <v>146</v>
      </c>
      <c r="F337" s="51"/>
      <c r="G337" s="52" t="s">
        <v>910</v>
      </c>
      <c r="H337" s="51" t="s">
        <v>1066</v>
      </c>
      <c r="I337" s="51" t="s">
        <v>912</v>
      </c>
    </row>
    <row r="338" customFormat="false" ht="25.5" hidden="false" customHeight="true" outlineLevel="0" collapsed="false">
      <c r="A338" s="50" t="s">
        <v>1125</v>
      </c>
      <c r="B338" s="51" t="s">
        <v>891</v>
      </c>
      <c r="C338" s="51" t="s">
        <v>1002</v>
      </c>
      <c r="D338" s="51" t="s">
        <v>898</v>
      </c>
      <c r="E338" s="51" t="s">
        <v>146</v>
      </c>
      <c r="F338" s="51"/>
      <c r="G338" s="52" t="s">
        <v>910</v>
      </c>
      <c r="H338" s="51" t="s">
        <v>1066</v>
      </c>
      <c r="I338" s="51" t="s">
        <v>912</v>
      </c>
    </row>
    <row r="339" customFormat="false" ht="25.5" hidden="false" customHeight="true" outlineLevel="0" collapsed="false">
      <c r="A339" s="50" t="s">
        <v>1125</v>
      </c>
      <c r="B339" s="51" t="s">
        <v>891</v>
      </c>
      <c r="C339" s="51" t="s">
        <v>1003</v>
      </c>
      <c r="D339" s="51" t="s">
        <v>1004</v>
      </c>
      <c r="E339" s="51" t="s">
        <v>146</v>
      </c>
      <c r="F339" s="51"/>
      <c r="G339" s="52" t="s">
        <v>910</v>
      </c>
      <c r="H339" s="51" t="s">
        <v>1066</v>
      </c>
      <c r="I339" s="51" t="s">
        <v>912</v>
      </c>
    </row>
    <row r="340" customFormat="false" ht="25.5" hidden="false" customHeight="true" outlineLevel="0" collapsed="false">
      <c r="A340" s="50" t="s">
        <v>1125</v>
      </c>
      <c r="B340" s="51" t="s">
        <v>891</v>
      </c>
      <c r="C340" s="51" t="s">
        <v>892</v>
      </c>
      <c r="D340" s="51"/>
      <c r="E340" s="51" t="s">
        <v>893</v>
      </c>
      <c r="F340" s="51" t="s">
        <v>894</v>
      </c>
      <c r="G340" s="52" t="s">
        <v>910</v>
      </c>
      <c r="H340" s="51" t="s">
        <v>1126</v>
      </c>
      <c r="I340" s="51" t="s">
        <v>912</v>
      </c>
    </row>
    <row r="341" customFormat="false" ht="25.5" hidden="false" customHeight="true" outlineLevel="0" collapsed="false">
      <c r="A341" s="50" t="s">
        <v>1125</v>
      </c>
      <c r="B341" s="51" t="s">
        <v>891</v>
      </c>
      <c r="C341" s="51" t="s">
        <v>1006</v>
      </c>
      <c r="D341" s="51" t="s">
        <v>1007</v>
      </c>
      <c r="E341" s="51" t="s">
        <v>146</v>
      </c>
      <c r="F341" s="51" t="s">
        <v>1008</v>
      </c>
      <c r="G341" s="52" t="s">
        <v>910</v>
      </c>
      <c r="H341" s="51" t="s">
        <v>1066</v>
      </c>
      <c r="I341" s="51" t="s">
        <v>912</v>
      </c>
    </row>
    <row r="342" customFormat="false" ht="25.5" hidden="false" customHeight="true" outlineLevel="0" collapsed="false">
      <c r="A342" s="50" t="s">
        <v>1125</v>
      </c>
      <c r="B342" s="51" t="s">
        <v>1009</v>
      </c>
      <c r="C342" s="51" t="s">
        <v>1010</v>
      </c>
      <c r="D342" s="51" t="s">
        <v>1011</v>
      </c>
      <c r="E342" s="51" t="s">
        <v>146</v>
      </c>
      <c r="F342" s="51"/>
      <c r="G342" s="52" t="s">
        <v>910</v>
      </c>
      <c r="H342" s="51" t="s">
        <v>1066</v>
      </c>
      <c r="I342" s="51" t="s">
        <v>912</v>
      </c>
    </row>
    <row r="343" customFormat="false" ht="25.5" hidden="false" customHeight="true" outlineLevel="0" collapsed="false">
      <c r="A343" s="50" t="s">
        <v>1125</v>
      </c>
      <c r="B343" s="51" t="s">
        <v>1009</v>
      </c>
      <c r="C343" s="51" t="s">
        <v>1012</v>
      </c>
      <c r="D343" s="51" t="s">
        <v>1011</v>
      </c>
      <c r="E343" s="51" t="s">
        <v>1013</v>
      </c>
      <c r="F343" s="51"/>
      <c r="G343" s="52" t="s">
        <v>910</v>
      </c>
      <c r="H343" s="51" t="s">
        <v>1066</v>
      </c>
      <c r="I343" s="51" t="s">
        <v>912</v>
      </c>
    </row>
    <row r="344" customFormat="false" ht="25.5" hidden="false" customHeight="true" outlineLevel="0" collapsed="false">
      <c r="A344" s="50" t="s">
        <v>1125</v>
      </c>
      <c r="B344" s="51" t="s">
        <v>1009</v>
      </c>
      <c r="C344" s="51" t="s">
        <v>1014</v>
      </c>
      <c r="D344" s="51" t="s">
        <v>1011</v>
      </c>
      <c r="E344" s="51" t="s">
        <v>1015</v>
      </c>
      <c r="F344" s="51" t="s">
        <v>1016</v>
      </c>
      <c r="G344" s="52" t="s">
        <v>910</v>
      </c>
      <c r="H344" s="51" t="s">
        <v>1066</v>
      </c>
      <c r="I344" s="51" t="s">
        <v>912</v>
      </c>
    </row>
    <row r="345" customFormat="false" ht="25.5" hidden="false" customHeight="true" outlineLevel="0" collapsed="false">
      <c r="A345" s="50" t="s">
        <v>1125</v>
      </c>
      <c r="B345" s="51" t="s">
        <v>1009</v>
      </c>
      <c r="C345" s="51" t="s">
        <v>1017</v>
      </c>
      <c r="D345" s="51" t="s">
        <v>1011</v>
      </c>
      <c r="E345" s="51" t="s">
        <v>146</v>
      </c>
      <c r="F345" s="51"/>
      <c r="G345" s="52" t="s">
        <v>910</v>
      </c>
      <c r="H345" s="51" t="s">
        <v>1066</v>
      </c>
      <c r="I345" s="51" t="s">
        <v>912</v>
      </c>
    </row>
    <row r="346" customFormat="false" ht="25.5" hidden="false" customHeight="true" outlineLevel="0" collapsed="false">
      <c r="A346" s="50" t="s">
        <v>1125</v>
      </c>
      <c r="B346" s="51" t="s">
        <v>950</v>
      </c>
      <c r="C346" s="51" t="s">
        <v>1018</v>
      </c>
      <c r="D346" s="51" t="s">
        <v>1019</v>
      </c>
      <c r="E346" s="51" t="s">
        <v>1020</v>
      </c>
      <c r="F346" s="51"/>
      <c r="G346" s="52" t="s">
        <v>910</v>
      </c>
      <c r="H346" s="51" t="s">
        <v>1066</v>
      </c>
      <c r="I346" s="51" t="s">
        <v>912</v>
      </c>
    </row>
    <row r="347" customFormat="false" ht="25.5" hidden="false" customHeight="true" outlineLevel="0" collapsed="false">
      <c r="A347" s="50" t="s">
        <v>1125</v>
      </c>
      <c r="B347" s="51" t="s">
        <v>950</v>
      </c>
      <c r="C347" s="51" t="s">
        <v>1021</v>
      </c>
      <c r="D347" s="51" t="s">
        <v>954</v>
      </c>
      <c r="E347" s="51" t="s">
        <v>146</v>
      </c>
      <c r="F347" s="51"/>
      <c r="G347" s="52" t="s">
        <v>910</v>
      </c>
      <c r="H347" s="51" t="s">
        <v>1066</v>
      </c>
      <c r="I347" s="51" t="s">
        <v>912</v>
      </c>
    </row>
    <row r="348" customFormat="false" ht="25.5" hidden="false" customHeight="true" outlineLevel="0" collapsed="false">
      <c r="A348" s="50" t="s">
        <v>1125</v>
      </c>
      <c r="B348" s="51" t="s">
        <v>950</v>
      </c>
      <c r="C348" s="51" t="s">
        <v>1022</v>
      </c>
      <c r="D348" s="51" t="s">
        <v>1019</v>
      </c>
      <c r="E348" s="51" t="s">
        <v>1023</v>
      </c>
      <c r="F348" s="51"/>
      <c r="G348" s="52" t="s">
        <v>910</v>
      </c>
      <c r="H348" s="51" t="s">
        <v>1066</v>
      </c>
      <c r="I348" s="51" t="s">
        <v>912</v>
      </c>
    </row>
    <row r="349" customFormat="false" ht="25.5" hidden="false" customHeight="true" outlineLevel="0" collapsed="false">
      <c r="A349" s="50" t="s">
        <v>1125</v>
      </c>
      <c r="B349" s="51" t="s">
        <v>950</v>
      </c>
      <c r="C349" s="51" t="s">
        <v>956</v>
      </c>
      <c r="D349" s="51" t="s">
        <v>954</v>
      </c>
      <c r="E349" s="51" t="s">
        <v>957</v>
      </c>
      <c r="F349" s="51" t="s">
        <v>958</v>
      </c>
      <c r="G349" s="52" t="s">
        <v>910</v>
      </c>
      <c r="H349" s="51" t="s">
        <v>1066</v>
      </c>
      <c r="I349" s="51" t="s">
        <v>912</v>
      </c>
    </row>
    <row r="350" customFormat="false" ht="25.5" hidden="false" customHeight="true" outlineLevel="0" collapsed="false">
      <c r="A350" s="50" t="s">
        <v>1125</v>
      </c>
      <c r="B350" s="51" t="s">
        <v>950</v>
      </c>
      <c r="C350" s="51" t="s">
        <v>1024</v>
      </c>
      <c r="D350" s="51" t="s">
        <v>1025</v>
      </c>
      <c r="E350" s="51" t="s">
        <v>146</v>
      </c>
      <c r="F350" s="51" t="s">
        <v>1026</v>
      </c>
      <c r="G350" s="52" t="s">
        <v>910</v>
      </c>
      <c r="H350" s="51" t="s">
        <v>1066</v>
      </c>
      <c r="I350" s="51" t="s">
        <v>912</v>
      </c>
    </row>
    <row r="351" customFormat="false" ht="25.5" hidden="false" customHeight="true" outlineLevel="0" collapsed="false">
      <c r="A351" s="50" t="s">
        <v>1125</v>
      </c>
      <c r="B351" s="51" t="s">
        <v>950</v>
      </c>
      <c r="C351" s="51" t="s">
        <v>1027</v>
      </c>
      <c r="D351" s="51" t="s">
        <v>1025</v>
      </c>
      <c r="E351" s="51" t="s">
        <v>146</v>
      </c>
      <c r="F351" s="51"/>
      <c r="G351" s="52" t="s">
        <v>910</v>
      </c>
      <c r="H351" s="51" t="s">
        <v>1066</v>
      </c>
      <c r="I351" s="51" t="s">
        <v>912</v>
      </c>
    </row>
    <row r="352" customFormat="false" ht="25.5" hidden="false" customHeight="true" outlineLevel="0" collapsed="false">
      <c r="A352" s="50" t="s">
        <v>1125</v>
      </c>
      <c r="B352" s="51" t="s">
        <v>896</v>
      </c>
      <c r="C352" s="51" t="s">
        <v>1028</v>
      </c>
      <c r="D352" s="51" t="s">
        <v>1029</v>
      </c>
      <c r="E352" s="51" t="s">
        <v>146</v>
      </c>
      <c r="F352" s="51" t="s">
        <v>1030</v>
      </c>
      <c r="G352" s="52" t="s">
        <v>910</v>
      </c>
      <c r="H352" s="51" t="s">
        <v>1066</v>
      </c>
      <c r="I352" s="51" t="s">
        <v>912</v>
      </c>
    </row>
    <row r="353" customFormat="false" ht="25.5" hidden="false" customHeight="true" outlineLevel="0" collapsed="false">
      <c r="A353" s="50" t="s">
        <v>1125</v>
      </c>
      <c r="B353" s="51" t="s">
        <v>896</v>
      </c>
      <c r="C353" s="51" t="s">
        <v>897</v>
      </c>
      <c r="D353" s="51" t="s">
        <v>898</v>
      </c>
      <c r="E353" s="51" t="s">
        <v>899</v>
      </c>
      <c r="F353" s="51"/>
      <c r="G353" s="52" t="s">
        <v>910</v>
      </c>
      <c r="H353" s="51" t="s">
        <v>1126</v>
      </c>
      <c r="I353" s="51" t="s">
        <v>912</v>
      </c>
    </row>
    <row r="354" customFormat="false" ht="25.5" hidden="false" customHeight="true" outlineLevel="0" collapsed="false">
      <c r="A354" s="50" t="s">
        <v>1125</v>
      </c>
      <c r="B354" s="51" t="s">
        <v>896</v>
      </c>
      <c r="C354" s="51" t="s">
        <v>900</v>
      </c>
      <c r="D354" s="51" t="s">
        <v>898</v>
      </c>
      <c r="E354" s="51" t="s">
        <v>893</v>
      </c>
      <c r="F354" s="51"/>
      <c r="G354" s="52" t="s">
        <v>910</v>
      </c>
      <c r="H354" s="51" t="s">
        <v>1126</v>
      </c>
      <c r="I354" s="51" t="s">
        <v>912</v>
      </c>
    </row>
    <row r="355" customFormat="false" ht="25.5" hidden="false" customHeight="true" outlineLevel="0" collapsed="false">
      <c r="A355" s="50" t="s">
        <v>1125</v>
      </c>
      <c r="B355" s="51" t="s">
        <v>896</v>
      </c>
      <c r="C355" s="51" t="s">
        <v>901</v>
      </c>
      <c r="D355" s="51" t="s">
        <v>898</v>
      </c>
      <c r="E355" s="51" t="s">
        <v>893</v>
      </c>
      <c r="F355" s="51"/>
      <c r="G355" s="52" t="s">
        <v>910</v>
      </c>
      <c r="H355" s="51" t="s">
        <v>1126</v>
      </c>
      <c r="I355" s="51" t="s">
        <v>912</v>
      </c>
    </row>
    <row r="356" customFormat="false" ht="25.5" hidden="false" customHeight="true" outlineLevel="0" collapsed="false">
      <c r="A356" s="50" t="s">
        <v>1125</v>
      </c>
      <c r="B356" s="51" t="s">
        <v>896</v>
      </c>
      <c r="C356" s="51" t="s">
        <v>902</v>
      </c>
      <c r="D356" s="51" t="s">
        <v>903</v>
      </c>
      <c r="E356" s="51" t="s">
        <v>893</v>
      </c>
      <c r="F356" s="51"/>
      <c r="G356" s="52" t="s">
        <v>910</v>
      </c>
      <c r="H356" s="51" t="s">
        <v>1126</v>
      </c>
      <c r="I356" s="51" t="s">
        <v>912</v>
      </c>
    </row>
    <row r="357" customFormat="false" ht="25.5" hidden="false" customHeight="true" outlineLevel="0" collapsed="false">
      <c r="A357" s="50" t="s">
        <v>1125</v>
      </c>
      <c r="B357" s="51" t="s">
        <v>896</v>
      </c>
      <c r="C357" s="51" t="s">
        <v>904</v>
      </c>
      <c r="D357" s="51"/>
      <c r="E357" s="51" t="s">
        <v>893</v>
      </c>
      <c r="F357" s="51"/>
      <c r="G357" s="52" t="s">
        <v>910</v>
      </c>
      <c r="H357" s="51" t="s">
        <v>1126</v>
      </c>
      <c r="I357" s="51" t="s">
        <v>912</v>
      </c>
    </row>
    <row r="358" customFormat="false" ht="25.5" hidden="false" customHeight="true" outlineLevel="0" collapsed="false">
      <c r="A358" s="50" t="s">
        <v>1125</v>
      </c>
      <c r="B358" s="51" t="s">
        <v>896</v>
      </c>
      <c r="C358" s="51" t="s">
        <v>905</v>
      </c>
      <c r="D358" s="51"/>
      <c r="E358" s="51" t="s">
        <v>893</v>
      </c>
      <c r="F358" s="51"/>
      <c r="G358" s="52" t="s">
        <v>910</v>
      </c>
      <c r="H358" s="51" t="s">
        <v>1126</v>
      </c>
      <c r="I358" s="51" t="s">
        <v>912</v>
      </c>
    </row>
    <row r="359" customFormat="false" ht="25.5" hidden="false" customHeight="true" outlineLevel="0" collapsed="false">
      <c r="A359" s="50" t="s">
        <v>1125</v>
      </c>
      <c r="B359" s="51" t="s">
        <v>896</v>
      </c>
      <c r="C359" s="51" t="s">
        <v>906</v>
      </c>
      <c r="D359" s="51"/>
      <c r="E359" s="51" t="s">
        <v>893</v>
      </c>
      <c r="F359" s="51"/>
      <c r="G359" s="52" t="s">
        <v>910</v>
      </c>
      <c r="H359" s="51" t="s">
        <v>1126</v>
      </c>
      <c r="I359" s="51" t="s">
        <v>912</v>
      </c>
    </row>
    <row r="360" customFormat="false" ht="25.5" hidden="false" customHeight="true" outlineLevel="0" collapsed="false">
      <c r="A360" s="50" t="s">
        <v>1125</v>
      </c>
      <c r="B360" s="51" t="s">
        <v>907</v>
      </c>
      <c r="C360" s="51" t="s">
        <v>1031</v>
      </c>
      <c r="D360" s="51" t="s">
        <v>1032</v>
      </c>
      <c r="E360" s="51" t="s">
        <v>146</v>
      </c>
      <c r="F360" s="51"/>
      <c r="G360" s="52" t="s">
        <v>910</v>
      </c>
      <c r="H360" s="51" t="s">
        <v>1066</v>
      </c>
      <c r="I360" s="51" t="s">
        <v>912</v>
      </c>
    </row>
    <row r="361" customFormat="false" ht="25.5" hidden="false" customHeight="true" outlineLevel="0" collapsed="false">
      <c r="A361" s="50" t="s">
        <v>1125</v>
      </c>
      <c r="B361" s="51" t="s">
        <v>907</v>
      </c>
      <c r="C361" s="51" t="s">
        <v>1033</v>
      </c>
      <c r="D361" s="51" t="s">
        <v>1034</v>
      </c>
      <c r="E361" s="51" t="s">
        <v>146</v>
      </c>
      <c r="F361" s="51"/>
      <c r="G361" s="52" t="s">
        <v>910</v>
      </c>
      <c r="H361" s="51" t="s">
        <v>1066</v>
      </c>
      <c r="I361" s="51" t="s">
        <v>912</v>
      </c>
    </row>
    <row r="362" customFormat="false" ht="25.5" hidden="false" customHeight="true" outlineLevel="0" collapsed="false">
      <c r="A362" s="50" t="s">
        <v>1125</v>
      </c>
      <c r="B362" s="51" t="s">
        <v>907</v>
      </c>
      <c r="C362" s="51" t="s">
        <v>1035</v>
      </c>
      <c r="D362" s="51" t="s">
        <v>1034</v>
      </c>
      <c r="E362" s="51" t="s">
        <v>1036</v>
      </c>
      <c r="F362" s="51" t="s">
        <v>1037</v>
      </c>
      <c r="G362" s="52" t="s">
        <v>910</v>
      </c>
      <c r="H362" s="51" t="s">
        <v>1066</v>
      </c>
      <c r="I362" s="51" t="s">
        <v>912</v>
      </c>
    </row>
    <row r="363" customFormat="false" ht="25.5" hidden="false" customHeight="true" outlineLevel="0" collapsed="false">
      <c r="A363" s="50" t="s">
        <v>1125</v>
      </c>
      <c r="B363" s="51" t="s">
        <v>907</v>
      </c>
      <c r="C363" s="51" t="s">
        <v>1038</v>
      </c>
      <c r="D363" s="51" t="s">
        <v>1039</v>
      </c>
      <c r="E363" s="51" t="s">
        <v>146</v>
      </c>
      <c r="F363" s="51"/>
      <c r="G363" s="52" t="s">
        <v>910</v>
      </c>
      <c r="H363" s="51" t="s">
        <v>1066</v>
      </c>
      <c r="I363" s="51" t="s">
        <v>912</v>
      </c>
    </row>
    <row r="364" customFormat="false" ht="25.5" hidden="false" customHeight="true" outlineLevel="0" collapsed="false">
      <c r="A364" s="50" t="s">
        <v>1125</v>
      </c>
      <c r="B364" s="51" t="s">
        <v>907</v>
      </c>
      <c r="C364" s="51" t="s">
        <v>908</v>
      </c>
      <c r="D364" s="51"/>
      <c r="E364" s="51" t="s">
        <v>909</v>
      </c>
      <c r="F364" s="51"/>
      <c r="G364" s="52" t="s">
        <v>910</v>
      </c>
      <c r="H364" s="51" t="s">
        <v>1066</v>
      </c>
      <c r="I364" s="51" t="s">
        <v>912</v>
      </c>
    </row>
    <row r="365" customFormat="false" ht="25.5" hidden="false" customHeight="true" outlineLevel="0" collapsed="false">
      <c r="A365" s="50" t="s">
        <v>1125</v>
      </c>
      <c r="B365" s="51" t="s">
        <v>907</v>
      </c>
      <c r="C365" s="51" t="s">
        <v>913</v>
      </c>
      <c r="D365" s="51"/>
      <c r="E365" s="51" t="s">
        <v>893</v>
      </c>
      <c r="F365" s="51"/>
      <c r="G365" s="52" t="s">
        <v>910</v>
      </c>
      <c r="H365" s="51" t="s">
        <v>1126</v>
      </c>
      <c r="I365" s="51" t="s">
        <v>912</v>
      </c>
    </row>
    <row r="366" customFormat="false" ht="25.5" hidden="false" customHeight="true" outlineLevel="0" collapsed="false">
      <c r="A366" s="50" t="s">
        <v>1125</v>
      </c>
      <c r="B366" s="51" t="s">
        <v>907</v>
      </c>
      <c r="C366" s="51" t="s">
        <v>914</v>
      </c>
      <c r="D366" s="51"/>
      <c r="E366" s="51" t="s">
        <v>893</v>
      </c>
      <c r="F366" s="51"/>
      <c r="G366" s="52" t="s">
        <v>910</v>
      </c>
      <c r="H366" s="51" t="s">
        <v>1126</v>
      </c>
      <c r="I366" s="51" t="s">
        <v>912</v>
      </c>
    </row>
    <row r="367" customFormat="false" ht="25.5" hidden="false" customHeight="true" outlineLevel="0" collapsed="false">
      <c r="A367" s="50" t="s">
        <v>1125</v>
      </c>
      <c r="B367" s="51" t="s">
        <v>907</v>
      </c>
      <c r="C367" s="51" t="s">
        <v>1040</v>
      </c>
      <c r="D367" s="51" t="s">
        <v>1039</v>
      </c>
      <c r="E367" s="51" t="s">
        <v>146</v>
      </c>
      <c r="F367" s="51"/>
      <c r="G367" s="52" t="s">
        <v>910</v>
      </c>
      <c r="H367" s="51" t="s">
        <v>1066</v>
      </c>
      <c r="I367" s="51" t="s">
        <v>912</v>
      </c>
    </row>
    <row r="368" customFormat="false" ht="25.5" hidden="false" customHeight="true" outlineLevel="0" collapsed="false">
      <c r="A368" s="50" t="s">
        <v>1125</v>
      </c>
      <c r="B368" s="51" t="s">
        <v>915</v>
      </c>
      <c r="C368" s="51" t="s">
        <v>1041</v>
      </c>
      <c r="D368" s="51" t="s">
        <v>1034</v>
      </c>
      <c r="E368" s="51" t="s">
        <v>146</v>
      </c>
      <c r="F368" s="51"/>
      <c r="G368" s="52" t="s">
        <v>910</v>
      </c>
      <c r="H368" s="51" t="s">
        <v>1066</v>
      </c>
      <c r="I368" s="51" t="s">
        <v>912</v>
      </c>
    </row>
    <row r="369" customFormat="false" ht="25.5" hidden="false" customHeight="true" outlineLevel="0" collapsed="false">
      <c r="A369" s="50" t="s">
        <v>1125</v>
      </c>
      <c r="B369" s="51" t="s">
        <v>915</v>
      </c>
      <c r="C369" s="51" t="s">
        <v>1042</v>
      </c>
      <c r="D369" s="51" t="s">
        <v>1034</v>
      </c>
      <c r="E369" s="51" t="s">
        <v>146</v>
      </c>
      <c r="F369" s="51"/>
      <c r="G369" s="52" t="s">
        <v>910</v>
      </c>
      <c r="H369" s="51" t="s">
        <v>1066</v>
      </c>
      <c r="I369" s="51" t="s">
        <v>912</v>
      </c>
    </row>
    <row r="370" customFormat="false" ht="25.5" hidden="false" customHeight="true" outlineLevel="0" collapsed="false">
      <c r="A370" s="50" t="s">
        <v>1125</v>
      </c>
      <c r="B370" s="51" t="s">
        <v>915</v>
      </c>
      <c r="C370" s="51" t="s">
        <v>1043</v>
      </c>
      <c r="D370" s="51" t="s">
        <v>903</v>
      </c>
      <c r="E370" s="51" t="s">
        <v>146</v>
      </c>
      <c r="F370" s="51"/>
      <c r="G370" s="52" t="s">
        <v>910</v>
      </c>
      <c r="H370" s="51" t="s">
        <v>1066</v>
      </c>
      <c r="I370" s="51" t="s">
        <v>912</v>
      </c>
    </row>
    <row r="371" customFormat="false" ht="25.5" hidden="false" customHeight="true" outlineLevel="0" collapsed="false">
      <c r="A371" s="50" t="s">
        <v>1125</v>
      </c>
      <c r="B371" s="51" t="s">
        <v>915</v>
      </c>
      <c r="C371" s="51" t="s">
        <v>916</v>
      </c>
      <c r="D371" s="51"/>
      <c r="E371" s="51" t="s">
        <v>893</v>
      </c>
      <c r="F371" s="51"/>
      <c r="G371" s="52" t="s">
        <v>910</v>
      </c>
      <c r="H371" s="51" t="s">
        <v>1126</v>
      </c>
      <c r="I371" s="51" t="s">
        <v>912</v>
      </c>
    </row>
    <row r="372" customFormat="false" ht="25.5" hidden="false" customHeight="true" outlineLevel="0" collapsed="false">
      <c r="A372" s="50" t="s">
        <v>1125</v>
      </c>
      <c r="B372" s="51" t="s">
        <v>915</v>
      </c>
      <c r="C372" s="51" t="s">
        <v>1044</v>
      </c>
      <c r="D372" s="51" t="s">
        <v>1045</v>
      </c>
      <c r="E372" s="51" t="s">
        <v>146</v>
      </c>
      <c r="F372" s="51" t="s">
        <v>1046</v>
      </c>
      <c r="G372" s="52" t="s">
        <v>910</v>
      </c>
      <c r="H372" s="51" t="s">
        <v>1066</v>
      </c>
      <c r="I372" s="51" t="s">
        <v>912</v>
      </c>
    </row>
    <row r="373" customFormat="false" ht="25.5" hidden="false" customHeight="true" outlineLevel="0" collapsed="false">
      <c r="A373" s="50" t="s">
        <v>1125</v>
      </c>
      <c r="B373" s="51" t="s">
        <v>1047</v>
      </c>
      <c r="C373" s="51" t="s">
        <v>1048</v>
      </c>
      <c r="D373" s="51" t="s">
        <v>1049</v>
      </c>
      <c r="E373" s="51" t="s">
        <v>146</v>
      </c>
      <c r="F373" s="51"/>
      <c r="G373" s="52" t="s">
        <v>910</v>
      </c>
      <c r="H373" s="51" t="s">
        <v>1066</v>
      </c>
      <c r="I373" s="51" t="s">
        <v>912</v>
      </c>
    </row>
    <row r="374" customFormat="false" ht="25.5" hidden="false" customHeight="true" outlineLevel="0" collapsed="false">
      <c r="A374" s="50" t="s">
        <v>1125</v>
      </c>
      <c r="B374" s="51" t="s">
        <v>1047</v>
      </c>
      <c r="C374" s="51" t="s">
        <v>1050</v>
      </c>
      <c r="D374" s="51" t="s">
        <v>991</v>
      </c>
      <c r="E374" s="51" t="s">
        <v>146</v>
      </c>
      <c r="F374" s="51"/>
      <c r="G374" s="52" t="s">
        <v>910</v>
      </c>
      <c r="H374" s="51" t="s">
        <v>1066</v>
      </c>
      <c r="I374" s="51" t="s">
        <v>912</v>
      </c>
    </row>
    <row r="375" customFormat="false" ht="25.5" hidden="false" customHeight="true" outlineLevel="0" collapsed="false">
      <c r="A375" s="50" t="s">
        <v>1125</v>
      </c>
      <c r="B375" s="51" t="s">
        <v>1047</v>
      </c>
      <c r="C375" s="51" t="s">
        <v>1051</v>
      </c>
      <c r="D375" s="51" t="s">
        <v>991</v>
      </c>
      <c r="E375" s="51" t="s">
        <v>146</v>
      </c>
      <c r="F375" s="51"/>
      <c r="G375" s="52" t="s">
        <v>910</v>
      </c>
      <c r="H375" s="51" t="s">
        <v>1066</v>
      </c>
      <c r="I375" s="51" t="s">
        <v>912</v>
      </c>
    </row>
    <row r="376" customFormat="false" ht="25.5" hidden="false" customHeight="true" outlineLevel="0" collapsed="false">
      <c r="A376" s="50" t="s">
        <v>1125</v>
      </c>
      <c r="B376" s="51" t="s">
        <v>917</v>
      </c>
      <c r="C376" s="51" t="s">
        <v>1052</v>
      </c>
      <c r="D376" s="51" t="s">
        <v>968</v>
      </c>
      <c r="E376" s="51" t="s">
        <v>146</v>
      </c>
      <c r="F376" s="51" t="s">
        <v>1053</v>
      </c>
      <c r="G376" s="52" t="s">
        <v>910</v>
      </c>
      <c r="H376" s="51" t="s">
        <v>1066</v>
      </c>
      <c r="I376" s="51" t="s">
        <v>912</v>
      </c>
    </row>
    <row r="377" customFormat="false" ht="25.5" hidden="false" customHeight="true" outlineLevel="0" collapsed="false">
      <c r="A377" s="50" t="s">
        <v>1125</v>
      </c>
      <c r="B377" s="51" t="s">
        <v>917</v>
      </c>
      <c r="C377" s="51" t="s">
        <v>1054</v>
      </c>
      <c r="D377" s="51" t="s">
        <v>965</v>
      </c>
      <c r="E377" s="51" t="s">
        <v>1055</v>
      </c>
      <c r="F377" s="51" t="s">
        <v>1056</v>
      </c>
      <c r="G377" s="52" t="s">
        <v>910</v>
      </c>
      <c r="H377" s="51" t="s">
        <v>1066</v>
      </c>
      <c r="I377" s="51" t="s">
        <v>912</v>
      </c>
    </row>
    <row r="378" customFormat="false" ht="25.5" hidden="false" customHeight="true" outlineLevel="0" collapsed="false">
      <c r="A378" s="50" t="s">
        <v>1125</v>
      </c>
      <c r="B378" s="51" t="s">
        <v>917</v>
      </c>
      <c r="C378" s="51" t="s">
        <v>924</v>
      </c>
      <c r="D378" s="51"/>
      <c r="E378" s="51" t="s">
        <v>893</v>
      </c>
      <c r="F378" s="51"/>
      <c r="G378" s="52" t="s">
        <v>910</v>
      </c>
      <c r="H378" s="51" t="s">
        <v>1126</v>
      </c>
      <c r="I378" s="51" t="s">
        <v>912</v>
      </c>
    </row>
    <row r="379" customFormat="false" ht="25.5" hidden="false" customHeight="true" outlineLevel="0" collapsed="false">
      <c r="A379" s="50" t="s">
        <v>1125</v>
      </c>
      <c r="B379" s="51" t="s">
        <v>925</v>
      </c>
      <c r="C379" s="51" t="s">
        <v>1057</v>
      </c>
      <c r="D379" s="51" t="s">
        <v>968</v>
      </c>
      <c r="E379" s="51" t="s">
        <v>146</v>
      </c>
      <c r="F379" s="51" t="s">
        <v>1058</v>
      </c>
      <c r="G379" s="52" t="s">
        <v>910</v>
      </c>
      <c r="H379" s="51" t="s">
        <v>1066</v>
      </c>
      <c r="I379" s="51" t="s">
        <v>912</v>
      </c>
    </row>
    <row r="380" customFormat="false" ht="25.5" hidden="false" customHeight="true" outlineLevel="0" collapsed="false">
      <c r="A380" s="50" t="s">
        <v>1125</v>
      </c>
      <c r="B380" s="51" t="s">
        <v>925</v>
      </c>
      <c r="C380" s="51" t="s">
        <v>1059</v>
      </c>
      <c r="D380" s="51" t="s">
        <v>968</v>
      </c>
      <c r="E380" s="51" t="s">
        <v>146</v>
      </c>
      <c r="F380" s="51"/>
      <c r="G380" s="52" t="s">
        <v>910</v>
      </c>
      <c r="H380" s="51" t="s">
        <v>1066</v>
      </c>
      <c r="I380" s="51" t="s">
        <v>912</v>
      </c>
    </row>
    <row r="381" customFormat="false" ht="25.5" hidden="false" customHeight="true" outlineLevel="0" collapsed="false">
      <c r="A381" s="50" t="s">
        <v>1125</v>
      </c>
      <c r="B381" s="51" t="s">
        <v>925</v>
      </c>
      <c r="C381" s="51" t="s">
        <v>1060</v>
      </c>
      <c r="D381" s="51" t="s">
        <v>1061</v>
      </c>
      <c r="E381" s="51" t="s">
        <v>146</v>
      </c>
      <c r="F381" s="51" t="s">
        <v>1062</v>
      </c>
      <c r="G381" s="52" t="s">
        <v>910</v>
      </c>
      <c r="H381" s="51" t="s">
        <v>1066</v>
      </c>
      <c r="I381" s="51" t="s">
        <v>912</v>
      </c>
    </row>
    <row r="382" customFormat="false" ht="25.5" hidden="false" customHeight="true" outlineLevel="0" collapsed="false">
      <c r="A382" s="50" t="s">
        <v>1125</v>
      </c>
      <c r="B382" s="51" t="s">
        <v>925</v>
      </c>
      <c r="C382" s="51" t="s">
        <v>1063</v>
      </c>
      <c r="D382" s="51" t="s">
        <v>972</v>
      </c>
      <c r="E382" s="51" t="s">
        <v>146</v>
      </c>
      <c r="F382" s="51" t="s">
        <v>1058</v>
      </c>
      <c r="G382" s="52" t="s">
        <v>910</v>
      </c>
      <c r="H382" s="51" t="s">
        <v>1066</v>
      </c>
      <c r="I382" s="51" t="s">
        <v>912</v>
      </c>
    </row>
    <row r="383" customFormat="false" ht="25.5" hidden="false" customHeight="true" outlineLevel="0" collapsed="false">
      <c r="A383" s="50" t="s">
        <v>1125</v>
      </c>
      <c r="B383" s="51" t="s">
        <v>925</v>
      </c>
      <c r="C383" s="51" t="s">
        <v>1064</v>
      </c>
      <c r="D383" s="51" t="s">
        <v>972</v>
      </c>
      <c r="E383" s="51" t="s">
        <v>146</v>
      </c>
      <c r="F383" s="51" t="s">
        <v>1065</v>
      </c>
      <c r="G383" s="52" t="s">
        <v>910</v>
      </c>
      <c r="H383" s="51" t="s">
        <v>1066</v>
      </c>
      <c r="I383" s="51" t="s">
        <v>912</v>
      </c>
    </row>
    <row r="384" customFormat="false" ht="25.5" hidden="false" customHeight="true" outlineLevel="0" collapsed="false">
      <c r="A384" s="50" t="s">
        <v>1125</v>
      </c>
      <c r="B384" s="51" t="s">
        <v>925</v>
      </c>
      <c r="C384" s="51" t="s">
        <v>973</v>
      </c>
      <c r="D384" s="51" t="s">
        <v>968</v>
      </c>
      <c r="E384" s="51" t="s">
        <v>974</v>
      </c>
      <c r="F384" s="51" t="s">
        <v>975</v>
      </c>
      <c r="G384" s="52" t="s">
        <v>910</v>
      </c>
      <c r="H384" s="51" t="s">
        <v>1066</v>
      </c>
      <c r="I384" s="51" t="s">
        <v>912</v>
      </c>
    </row>
    <row r="385" customFormat="false" ht="25.5" hidden="false" customHeight="true" outlineLevel="0" collapsed="false">
      <c r="A385" s="50" t="s">
        <v>1125</v>
      </c>
      <c r="B385" s="51" t="s">
        <v>925</v>
      </c>
      <c r="C385" s="51" t="s">
        <v>1067</v>
      </c>
      <c r="D385" s="51" t="s">
        <v>1068</v>
      </c>
      <c r="E385" s="51" t="s">
        <v>1069</v>
      </c>
      <c r="F385" s="51"/>
      <c r="G385" s="52" t="s">
        <v>910</v>
      </c>
      <c r="H385" s="51" t="s">
        <v>1066</v>
      </c>
      <c r="I385" s="51" t="s">
        <v>912</v>
      </c>
    </row>
    <row r="386" customFormat="false" ht="25.5" hidden="false" customHeight="true" outlineLevel="0" collapsed="false">
      <c r="A386" s="50" t="s">
        <v>1125</v>
      </c>
      <c r="B386" s="51" t="s">
        <v>925</v>
      </c>
      <c r="C386" s="51" t="s">
        <v>1070</v>
      </c>
      <c r="D386" s="51" t="s">
        <v>929</v>
      </c>
      <c r="E386" s="51" t="s">
        <v>146</v>
      </c>
      <c r="F386" s="51" t="s">
        <v>1071</v>
      </c>
      <c r="G386" s="52" t="s">
        <v>910</v>
      </c>
      <c r="H386" s="51" t="s">
        <v>1066</v>
      </c>
      <c r="I386" s="51" t="s">
        <v>912</v>
      </c>
    </row>
    <row r="387" customFormat="false" ht="25.5" hidden="false" customHeight="true" outlineLevel="0" collapsed="false">
      <c r="A387" s="50" t="s">
        <v>1125</v>
      </c>
      <c r="B387" s="51" t="s">
        <v>977</v>
      </c>
      <c r="C387" s="51" t="s">
        <v>1072</v>
      </c>
      <c r="D387" s="51" t="s">
        <v>1073</v>
      </c>
      <c r="E387" s="51" t="s">
        <v>146</v>
      </c>
      <c r="F387" s="51"/>
      <c r="G387" s="52" t="s">
        <v>910</v>
      </c>
      <c r="H387" s="51" t="s">
        <v>1066</v>
      </c>
      <c r="I387" s="51" t="s">
        <v>912</v>
      </c>
    </row>
    <row r="388" customFormat="false" ht="25.5" hidden="false" customHeight="true" outlineLevel="0" collapsed="false">
      <c r="A388" s="50" t="s">
        <v>1125</v>
      </c>
      <c r="B388" s="51" t="s">
        <v>977</v>
      </c>
      <c r="C388" s="51" t="s">
        <v>1074</v>
      </c>
      <c r="D388" s="51" t="s">
        <v>1075</v>
      </c>
      <c r="E388" s="51" t="s">
        <v>1076</v>
      </c>
      <c r="F388" s="51"/>
      <c r="G388" s="52" t="s">
        <v>910</v>
      </c>
      <c r="H388" s="51" t="s">
        <v>1066</v>
      </c>
      <c r="I388" s="51" t="s">
        <v>912</v>
      </c>
    </row>
    <row r="389" customFormat="false" ht="25.5" hidden="false" customHeight="true" outlineLevel="0" collapsed="false">
      <c r="A389" s="50" t="s">
        <v>1125</v>
      </c>
      <c r="B389" s="51" t="s">
        <v>977</v>
      </c>
      <c r="C389" s="51" t="s">
        <v>979</v>
      </c>
      <c r="D389" s="51" t="s">
        <v>980</v>
      </c>
      <c r="E389" s="51" t="s">
        <v>981</v>
      </c>
      <c r="F389" s="51" t="s">
        <v>982</v>
      </c>
      <c r="G389" s="52" t="s">
        <v>910</v>
      </c>
      <c r="H389" s="51" t="s">
        <v>1066</v>
      </c>
      <c r="I389" s="51" t="s">
        <v>912</v>
      </c>
    </row>
    <row r="390" customFormat="false" ht="25.5" hidden="false" customHeight="true" outlineLevel="0" collapsed="false">
      <c r="A390" s="50" t="s">
        <v>1125</v>
      </c>
      <c r="B390" s="51" t="s">
        <v>977</v>
      </c>
      <c r="C390" s="51" t="s">
        <v>1077</v>
      </c>
      <c r="D390" s="51" t="s">
        <v>980</v>
      </c>
      <c r="E390" s="51" t="s">
        <v>1078</v>
      </c>
      <c r="F390" s="51"/>
      <c r="G390" s="52" t="s">
        <v>910</v>
      </c>
      <c r="H390" s="51" t="s">
        <v>1066</v>
      </c>
      <c r="I390" s="51" t="s">
        <v>912</v>
      </c>
    </row>
    <row r="391" customFormat="false" ht="25.5" hidden="false" customHeight="true" outlineLevel="0" collapsed="false">
      <c r="A391" s="50" t="s">
        <v>1125</v>
      </c>
      <c r="B391" s="51" t="s">
        <v>977</v>
      </c>
      <c r="C391" s="51" t="s">
        <v>1079</v>
      </c>
      <c r="D391" s="51" t="s">
        <v>1073</v>
      </c>
      <c r="E391" s="51" t="s">
        <v>1080</v>
      </c>
      <c r="F391" s="51"/>
      <c r="G391" s="52" t="s">
        <v>910</v>
      </c>
      <c r="H391" s="51" t="s">
        <v>1066</v>
      </c>
      <c r="I391" s="51" t="s">
        <v>912</v>
      </c>
    </row>
    <row r="392" customFormat="false" ht="25.5" hidden="false" customHeight="true" outlineLevel="0" collapsed="false">
      <c r="A392" s="50" t="s">
        <v>1125</v>
      </c>
      <c r="B392" s="51" t="s">
        <v>977</v>
      </c>
      <c r="C392" s="51" t="s">
        <v>1081</v>
      </c>
      <c r="D392" s="51" t="s">
        <v>1073</v>
      </c>
      <c r="E392" s="51" t="s">
        <v>1082</v>
      </c>
      <c r="F392" s="51" t="s">
        <v>1083</v>
      </c>
      <c r="G392" s="52" t="s">
        <v>910</v>
      </c>
      <c r="H392" s="51" t="s">
        <v>1066</v>
      </c>
      <c r="I392" s="51" t="s">
        <v>912</v>
      </c>
    </row>
    <row r="393" customFormat="false" ht="25.5" hidden="false" customHeight="true" outlineLevel="0" collapsed="false">
      <c r="A393" s="50" t="s">
        <v>1125</v>
      </c>
      <c r="B393" s="51" t="s">
        <v>977</v>
      </c>
      <c r="C393" s="51" t="s">
        <v>1084</v>
      </c>
      <c r="D393" s="51" t="s">
        <v>1073</v>
      </c>
      <c r="E393" s="51" t="s">
        <v>1085</v>
      </c>
      <c r="F393" s="51"/>
      <c r="G393" s="52" t="s">
        <v>910</v>
      </c>
      <c r="H393" s="51" t="s">
        <v>1066</v>
      </c>
      <c r="I393" s="51" t="s">
        <v>912</v>
      </c>
    </row>
    <row r="394" customFormat="false" ht="25.5" hidden="false" customHeight="true" outlineLevel="0" collapsed="false">
      <c r="A394" s="50" t="s">
        <v>1125</v>
      </c>
      <c r="B394" s="51" t="s">
        <v>932</v>
      </c>
      <c r="C394" s="51" t="s">
        <v>984</v>
      </c>
      <c r="D394" s="51" t="s">
        <v>936</v>
      </c>
      <c r="E394" s="51" t="s">
        <v>985</v>
      </c>
      <c r="F394" s="51" t="s">
        <v>986</v>
      </c>
      <c r="G394" s="52" t="s">
        <v>910</v>
      </c>
      <c r="H394" s="51" t="s">
        <v>1066</v>
      </c>
      <c r="I394" s="51" t="s">
        <v>912</v>
      </c>
    </row>
    <row r="395" customFormat="false" ht="25.5" hidden="false" customHeight="true" outlineLevel="0" collapsed="false">
      <c r="A395" s="50" t="s">
        <v>1125</v>
      </c>
      <c r="B395" s="51" t="s">
        <v>932</v>
      </c>
      <c r="C395" s="51" t="s">
        <v>1086</v>
      </c>
      <c r="D395" s="51" t="s">
        <v>929</v>
      </c>
      <c r="E395" s="51" t="s">
        <v>1087</v>
      </c>
      <c r="F395" s="51" t="s">
        <v>1088</v>
      </c>
      <c r="G395" s="52" t="s">
        <v>910</v>
      </c>
      <c r="H395" s="51" t="s">
        <v>1066</v>
      </c>
      <c r="I395" s="51" t="s">
        <v>912</v>
      </c>
    </row>
    <row r="396" customFormat="false" ht="25.5" hidden="false" customHeight="true" outlineLevel="0" collapsed="false">
      <c r="A396" s="50" t="s">
        <v>1125</v>
      </c>
      <c r="B396" s="51" t="s">
        <v>932</v>
      </c>
      <c r="C396" s="51" t="s">
        <v>1089</v>
      </c>
      <c r="D396" s="51" t="s">
        <v>1090</v>
      </c>
      <c r="E396" s="51" t="s">
        <v>1091</v>
      </c>
      <c r="F396" s="51" t="s">
        <v>1092</v>
      </c>
      <c r="G396" s="52" t="s">
        <v>910</v>
      </c>
      <c r="H396" s="51" t="s">
        <v>1066</v>
      </c>
      <c r="I396" s="51" t="s">
        <v>912</v>
      </c>
    </row>
    <row r="397" customFormat="false" ht="25.5" hidden="false" customHeight="true" outlineLevel="0" collapsed="false">
      <c r="A397" s="50" t="s">
        <v>1125</v>
      </c>
      <c r="B397" s="51" t="s">
        <v>932</v>
      </c>
      <c r="C397" s="51" t="s">
        <v>1093</v>
      </c>
      <c r="D397" s="51" t="s">
        <v>936</v>
      </c>
      <c r="E397" s="51" t="s">
        <v>146</v>
      </c>
      <c r="F397" s="51" t="s">
        <v>1094</v>
      </c>
      <c r="G397" s="52" t="s">
        <v>910</v>
      </c>
      <c r="H397" s="51" t="s">
        <v>1066</v>
      </c>
      <c r="I397" s="51" t="s">
        <v>912</v>
      </c>
    </row>
    <row r="398" customFormat="false" ht="25.5" hidden="false" customHeight="true" outlineLevel="0" collapsed="false">
      <c r="A398" s="50" t="s">
        <v>1125</v>
      </c>
      <c r="B398" s="51" t="s">
        <v>932</v>
      </c>
      <c r="C398" s="51" t="s">
        <v>938</v>
      </c>
      <c r="D398" s="51"/>
      <c r="E398" s="51" t="s">
        <v>893</v>
      </c>
      <c r="F398" s="51"/>
      <c r="G398" s="52" t="s">
        <v>910</v>
      </c>
      <c r="H398" s="51" t="s">
        <v>1126</v>
      </c>
      <c r="I398" s="51" t="s">
        <v>912</v>
      </c>
    </row>
    <row r="399" customFormat="false" ht="25.5" hidden="false" customHeight="true" outlineLevel="0" collapsed="false">
      <c r="A399" s="50" t="s">
        <v>1125</v>
      </c>
      <c r="B399" s="51" t="s">
        <v>932</v>
      </c>
      <c r="C399" s="51" t="s">
        <v>1095</v>
      </c>
      <c r="D399" s="51"/>
      <c r="E399" s="51" t="s">
        <v>146</v>
      </c>
      <c r="F399" s="51"/>
      <c r="G399" s="52" t="s">
        <v>910</v>
      </c>
      <c r="H399" s="51" t="s">
        <v>1066</v>
      </c>
      <c r="I399" s="51" t="s">
        <v>912</v>
      </c>
    </row>
    <row r="400" customFormat="false" ht="25.5" hidden="false" customHeight="true" outlineLevel="0" collapsed="false">
      <c r="A400" s="50" t="s">
        <v>1125</v>
      </c>
      <c r="B400" s="51" t="s">
        <v>932</v>
      </c>
      <c r="C400" s="51" t="s">
        <v>1096</v>
      </c>
      <c r="D400" s="51" t="s">
        <v>936</v>
      </c>
      <c r="E400" s="51" t="s">
        <v>1097</v>
      </c>
      <c r="F400" s="51" t="s">
        <v>1098</v>
      </c>
      <c r="G400" s="52" t="s">
        <v>910</v>
      </c>
      <c r="H400" s="51" t="s">
        <v>1066</v>
      </c>
      <c r="I400" s="51" t="s">
        <v>912</v>
      </c>
    </row>
    <row r="401" customFormat="false" ht="25.5" hidden="false" customHeight="true" outlineLevel="0" collapsed="false">
      <c r="A401" s="50" t="s">
        <v>1125</v>
      </c>
      <c r="B401" s="51" t="s">
        <v>939</v>
      </c>
      <c r="C401" s="51" t="s">
        <v>940</v>
      </c>
      <c r="D401" s="51"/>
      <c r="E401" s="51" t="s">
        <v>893</v>
      </c>
      <c r="F401" s="51" t="s">
        <v>941</v>
      </c>
      <c r="G401" s="52" t="s">
        <v>910</v>
      </c>
      <c r="H401" s="51" t="s">
        <v>1126</v>
      </c>
      <c r="I401" s="51" t="s">
        <v>912</v>
      </c>
    </row>
    <row r="402" customFormat="false" ht="25.5" hidden="false" customHeight="true" outlineLevel="0" collapsed="false">
      <c r="A402" s="50" t="s">
        <v>1125</v>
      </c>
      <c r="B402" s="51" t="s">
        <v>939</v>
      </c>
      <c r="C402" s="51" t="s">
        <v>1099</v>
      </c>
      <c r="D402" s="51" t="s">
        <v>1100</v>
      </c>
      <c r="E402" s="51" t="s">
        <v>1101</v>
      </c>
      <c r="F402" s="51" t="s">
        <v>993</v>
      </c>
      <c r="G402" s="52" t="s">
        <v>910</v>
      </c>
      <c r="H402" s="51" t="s">
        <v>1066</v>
      </c>
      <c r="I402" s="51" t="s">
        <v>912</v>
      </c>
    </row>
    <row r="403" customFormat="false" ht="25.5" hidden="false" customHeight="true" outlineLevel="0" collapsed="false">
      <c r="A403" s="51" t="s">
        <v>1125</v>
      </c>
      <c r="B403" s="51" t="s">
        <v>939</v>
      </c>
      <c r="C403" s="51" t="s">
        <v>1102</v>
      </c>
      <c r="D403" s="51" t="s">
        <v>988</v>
      </c>
      <c r="E403" s="51" t="s">
        <v>146</v>
      </c>
      <c r="F403" s="51" t="s">
        <v>993</v>
      </c>
      <c r="G403" s="52" t="s">
        <v>910</v>
      </c>
      <c r="H403" s="51" t="s">
        <v>1066</v>
      </c>
      <c r="I403" s="51" t="s">
        <v>912</v>
      </c>
    </row>
    <row r="404" customFormat="false" ht="25.5" hidden="false" customHeight="true" outlineLevel="0" collapsed="false">
      <c r="A404" s="51" t="s">
        <v>1125</v>
      </c>
      <c r="B404" s="51" t="s">
        <v>939</v>
      </c>
      <c r="C404" s="51" t="s">
        <v>1103</v>
      </c>
      <c r="D404" s="51" t="s">
        <v>1100</v>
      </c>
      <c r="E404" s="51" t="s">
        <v>146</v>
      </c>
      <c r="F404" s="51" t="s">
        <v>993</v>
      </c>
      <c r="G404" s="52" t="s">
        <v>910</v>
      </c>
      <c r="H404" s="51" t="s">
        <v>1066</v>
      </c>
      <c r="I404" s="51" t="s">
        <v>912</v>
      </c>
    </row>
    <row r="405" customFormat="false" ht="25.5" hidden="false" customHeight="true" outlineLevel="0" collapsed="false">
      <c r="A405" s="9"/>
      <c r="B405" s="9"/>
      <c r="C405" s="9"/>
      <c r="D405" s="9"/>
      <c r="E405" s="9"/>
      <c r="F405" s="9"/>
      <c r="G405" s="9"/>
      <c r="H405" s="9"/>
      <c r="I405" s="9"/>
    </row>
    <row r="406" customFormat="false" ht="25.5" hidden="false" customHeight="true" outlineLevel="0" collapsed="false">
      <c r="A406" s="9"/>
      <c r="B406" s="9"/>
      <c r="C406" s="9"/>
      <c r="D406" s="9"/>
      <c r="E406" s="9"/>
      <c r="F406" s="9"/>
      <c r="G406" s="9"/>
      <c r="H406" s="9"/>
      <c r="I406" s="9"/>
    </row>
    <row r="407" customFormat="false" ht="25.5" hidden="false" customHeight="true" outlineLevel="0" collapsed="false">
      <c r="A407" s="9"/>
      <c r="B407" s="9"/>
      <c r="C407" s="9"/>
      <c r="D407" s="9"/>
      <c r="E407" s="9"/>
      <c r="F407" s="9"/>
      <c r="G407" s="9"/>
      <c r="H407" s="9"/>
      <c r="I407" s="9"/>
    </row>
    <row r="408" customFormat="false" ht="25.5" hidden="false" customHeight="true" outlineLevel="0" collapsed="false">
      <c r="A408" s="9"/>
      <c r="B408" s="9"/>
      <c r="C408" s="9"/>
      <c r="D408" s="9"/>
      <c r="E408" s="9"/>
      <c r="F408" s="9"/>
      <c r="G408" s="9"/>
      <c r="H408" s="9"/>
      <c r="I408" s="9"/>
    </row>
    <row r="409" customFormat="false" ht="25.5" hidden="false" customHeight="true" outlineLevel="0" collapsed="false">
      <c r="A409" s="9"/>
      <c r="B409" s="9"/>
      <c r="C409" s="9"/>
      <c r="D409" s="9"/>
      <c r="E409" s="9"/>
      <c r="F409" s="9"/>
      <c r="G409" s="9"/>
      <c r="H409" s="9"/>
      <c r="I409" s="9"/>
    </row>
    <row r="410" customFormat="false" ht="25.5" hidden="false" customHeight="true" outlineLevel="0" collapsed="false">
      <c r="A410" s="9"/>
      <c r="B410" s="9"/>
      <c r="C410" s="9"/>
      <c r="D410" s="9"/>
      <c r="E410" s="9"/>
      <c r="F410" s="9"/>
      <c r="G410" s="9"/>
      <c r="H410" s="9"/>
      <c r="I410" s="9"/>
    </row>
    <row r="411" customFormat="false" ht="25.5" hidden="false" customHeight="true" outlineLevel="0" collapsed="false">
      <c r="A411" s="9"/>
      <c r="B411" s="9"/>
      <c r="C411" s="9"/>
      <c r="D411" s="9"/>
      <c r="E411" s="9"/>
      <c r="F411" s="9"/>
      <c r="G411" s="9"/>
      <c r="H411" s="9"/>
      <c r="I411" s="9"/>
    </row>
    <row r="412" customFormat="false" ht="25.5" hidden="false" customHeight="true" outlineLevel="0" collapsed="false">
      <c r="A412" s="9"/>
      <c r="B412" s="9"/>
      <c r="C412" s="9"/>
      <c r="D412" s="9"/>
      <c r="E412" s="9"/>
      <c r="F412" s="9"/>
      <c r="G412" s="9"/>
      <c r="H412" s="9"/>
      <c r="I412" s="9"/>
    </row>
    <row r="413" customFormat="false" ht="25.5" hidden="false" customHeight="true" outlineLevel="0" collapsed="false">
      <c r="A413" s="9"/>
      <c r="B413" s="9"/>
      <c r="C413" s="9"/>
      <c r="D413" s="9"/>
      <c r="E413" s="9"/>
      <c r="F413" s="9"/>
      <c r="G413" s="9"/>
      <c r="H413" s="9"/>
      <c r="I413" s="9"/>
    </row>
    <row r="414" customFormat="false" ht="25.5" hidden="false" customHeight="true" outlineLevel="0" collapsed="false">
      <c r="A414" s="9"/>
      <c r="B414" s="9"/>
      <c r="C414" s="9"/>
      <c r="D414" s="9"/>
      <c r="E414" s="9"/>
      <c r="F414" s="9"/>
      <c r="G414" s="9"/>
      <c r="H414" s="9"/>
      <c r="I414" s="9"/>
    </row>
    <row r="415" customFormat="false" ht="25.5" hidden="false" customHeight="true" outlineLevel="0" collapsed="false">
      <c r="A415" s="9"/>
      <c r="B415" s="9"/>
      <c r="C415" s="9"/>
      <c r="D415" s="9"/>
      <c r="E415" s="9"/>
      <c r="F415" s="9"/>
      <c r="G415" s="9"/>
      <c r="H415" s="9"/>
      <c r="I415" s="9"/>
    </row>
    <row r="416" customFormat="false" ht="25.5" hidden="false" customHeight="true" outlineLevel="0" collapsed="false">
      <c r="A416" s="9"/>
      <c r="B416" s="9"/>
      <c r="C416" s="9"/>
      <c r="D416" s="9"/>
      <c r="E416" s="9"/>
      <c r="F416" s="9"/>
      <c r="G416" s="9"/>
      <c r="H416" s="9"/>
      <c r="I416" s="9"/>
    </row>
    <row r="417" customFormat="false" ht="25.5" hidden="false" customHeight="true" outlineLevel="0" collapsed="false">
      <c r="A417" s="9"/>
      <c r="B417" s="9"/>
      <c r="C417" s="9"/>
      <c r="D417" s="9"/>
      <c r="E417" s="9"/>
      <c r="F417" s="9"/>
      <c r="G417" s="9"/>
      <c r="H417" s="9"/>
      <c r="I417" s="9"/>
    </row>
    <row r="418" customFormat="false" ht="25.5" hidden="false" customHeight="true" outlineLevel="0" collapsed="false">
      <c r="A418" s="9"/>
      <c r="B418" s="9"/>
      <c r="C418" s="9"/>
      <c r="D418" s="9"/>
      <c r="E418" s="9"/>
      <c r="F418" s="9"/>
      <c r="G418" s="9"/>
      <c r="H418" s="9"/>
      <c r="I418" s="9"/>
    </row>
    <row r="419" customFormat="false" ht="25.5" hidden="false" customHeight="true" outlineLevel="0" collapsed="false">
      <c r="A419" s="9"/>
      <c r="B419" s="9"/>
      <c r="C419" s="9"/>
      <c r="D419" s="9"/>
      <c r="E419" s="9"/>
      <c r="F419" s="9"/>
      <c r="G419" s="9"/>
      <c r="H419" s="9"/>
      <c r="I419" s="9"/>
    </row>
    <row r="420" customFormat="false" ht="25.5" hidden="false" customHeight="true" outlineLevel="0" collapsed="false">
      <c r="A420" s="9"/>
      <c r="B420" s="9"/>
      <c r="C420" s="9"/>
      <c r="D420" s="9"/>
      <c r="E420" s="9"/>
      <c r="F420" s="9"/>
      <c r="G420" s="9"/>
      <c r="H420" s="9"/>
      <c r="I420" s="9"/>
    </row>
    <row r="421" customFormat="false" ht="25.5" hidden="false" customHeight="true" outlineLevel="0" collapsed="false">
      <c r="A421" s="9"/>
      <c r="B421" s="9"/>
      <c r="C421" s="9"/>
      <c r="D421" s="9"/>
      <c r="E421" s="9"/>
      <c r="F421" s="9"/>
      <c r="G421" s="9"/>
      <c r="H421" s="9"/>
      <c r="I421" s="9"/>
    </row>
    <row r="422" customFormat="false" ht="25.5" hidden="false" customHeight="true" outlineLevel="0" collapsed="false">
      <c r="A422" s="9"/>
      <c r="B422" s="9"/>
      <c r="C422" s="9"/>
      <c r="D422" s="9"/>
      <c r="E422" s="9"/>
      <c r="F422" s="9"/>
      <c r="G422" s="9"/>
      <c r="H422" s="9"/>
      <c r="I422" s="9"/>
    </row>
    <row r="423" customFormat="false" ht="25.5" hidden="false" customHeight="true" outlineLevel="0" collapsed="false">
      <c r="A423" s="9"/>
      <c r="B423" s="9"/>
      <c r="C423" s="9"/>
      <c r="D423" s="9"/>
      <c r="E423" s="9"/>
      <c r="F423" s="9"/>
      <c r="G423" s="9"/>
      <c r="H423" s="9"/>
      <c r="I423" s="9"/>
    </row>
    <row r="424" customFormat="false" ht="25.5" hidden="false" customHeight="true" outlineLevel="0" collapsed="false">
      <c r="A424" s="9"/>
      <c r="B424" s="9"/>
      <c r="C424" s="9"/>
      <c r="D424" s="9"/>
      <c r="E424" s="9"/>
      <c r="F424" s="9"/>
      <c r="G424" s="9"/>
      <c r="H424" s="9"/>
      <c r="I424" s="9"/>
    </row>
    <row r="425" customFormat="false" ht="25.5" hidden="false" customHeight="true" outlineLevel="0" collapsed="false">
      <c r="A425" s="9"/>
      <c r="B425" s="9"/>
      <c r="C425" s="9"/>
      <c r="D425" s="9"/>
      <c r="E425" s="9"/>
      <c r="F425" s="9"/>
      <c r="G425" s="9"/>
      <c r="H425" s="9"/>
      <c r="I425" s="9"/>
    </row>
    <row r="426" customFormat="false" ht="25.5" hidden="false" customHeight="true" outlineLevel="0" collapsed="false">
      <c r="A426" s="9"/>
      <c r="B426" s="9"/>
      <c r="C426" s="9"/>
      <c r="D426" s="9"/>
      <c r="E426" s="9"/>
      <c r="F426" s="9"/>
      <c r="G426" s="9"/>
      <c r="H426" s="9"/>
      <c r="I426" s="9"/>
    </row>
    <row r="427" customFormat="false" ht="25.5" hidden="false" customHeight="true" outlineLevel="0" collapsed="false">
      <c r="A427" s="9"/>
      <c r="B427" s="9"/>
      <c r="C427" s="9"/>
      <c r="D427" s="9"/>
      <c r="E427" s="9"/>
      <c r="F427" s="9"/>
      <c r="G427" s="9"/>
      <c r="H427" s="9"/>
      <c r="I427" s="9"/>
    </row>
    <row r="428" customFormat="false" ht="25.5" hidden="false" customHeight="true" outlineLevel="0" collapsed="false">
      <c r="A428" s="9"/>
      <c r="B428" s="9"/>
      <c r="C428" s="9"/>
      <c r="D428" s="9"/>
      <c r="E428" s="9"/>
      <c r="F428" s="9"/>
      <c r="G428" s="9"/>
      <c r="H428" s="9"/>
      <c r="I428" s="9"/>
    </row>
    <row r="429" customFormat="false" ht="25.5" hidden="false" customHeight="true" outlineLevel="0" collapsed="false">
      <c r="A429" s="9"/>
      <c r="B429" s="9"/>
      <c r="C429" s="9"/>
      <c r="D429" s="9"/>
      <c r="E429" s="9"/>
      <c r="F429" s="9"/>
      <c r="G429" s="9"/>
      <c r="H429" s="9"/>
      <c r="I429" s="9"/>
    </row>
    <row r="430" customFormat="false" ht="25.5" hidden="false" customHeight="true" outlineLevel="0" collapsed="false">
      <c r="A430" s="9"/>
      <c r="B430" s="9"/>
      <c r="C430" s="9"/>
      <c r="D430" s="9"/>
      <c r="E430" s="9"/>
      <c r="F430" s="9"/>
      <c r="G430" s="9"/>
      <c r="H430" s="9"/>
      <c r="I430" s="9"/>
    </row>
    <row r="431" customFormat="false" ht="25.5" hidden="false" customHeight="true" outlineLevel="0" collapsed="false">
      <c r="A431" s="9"/>
      <c r="B431" s="9"/>
      <c r="C431" s="9"/>
      <c r="D431" s="9"/>
      <c r="E431" s="9"/>
      <c r="F431" s="9"/>
      <c r="G431" s="9"/>
      <c r="H431" s="9"/>
      <c r="I431" s="9"/>
    </row>
    <row r="432" customFormat="false" ht="25.5" hidden="false" customHeight="true" outlineLevel="0" collapsed="false">
      <c r="A432" s="9"/>
      <c r="B432" s="9"/>
      <c r="C432" s="9"/>
      <c r="D432" s="9"/>
      <c r="E432" s="9"/>
      <c r="F432" s="9"/>
      <c r="G432" s="9"/>
      <c r="H432" s="9"/>
      <c r="I432" s="9"/>
    </row>
    <row r="433" customFormat="false" ht="25.5" hidden="false" customHeight="true" outlineLevel="0" collapsed="false">
      <c r="A433" s="9"/>
      <c r="B433" s="9"/>
      <c r="C433" s="9"/>
      <c r="D433" s="9"/>
      <c r="E433" s="9"/>
      <c r="F433" s="9"/>
      <c r="G433" s="9"/>
      <c r="H433" s="9"/>
      <c r="I433" s="9"/>
    </row>
    <row r="434" customFormat="false" ht="25.5" hidden="false" customHeight="true" outlineLevel="0" collapsed="false">
      <c r="A434" s="9"/>
      <c r="B434" s="9"/>
      <c r="C434" s="9"/>
      <c r="D434" s="9"/>
      <c r="E434" s="9"/>
      <c r="F434" s="9"/>
      <c r="G434" s="9"/>
      <c r="H434" s="9"/>
      <c r="I434" s="9"/>
    </row>
    <row r="435" customFormat="false" ht="25.5" hidden="false" customHeight="true" outlineLevel="0" collapsed="false">
      <c r="A435" s="9"/>
      <c r="B435" s="9"/>
      <c r="C435" s="9"/>
      <c r="D435" s="9"/>
      <c r="E435" s="9"/>
      <c r="F435" s="9"/>
      <c r="G435" s="9"/>
      <c r="H435" s="9"/>
      <c r="I435" s="9"/>
    </row>
    <row r="436" customFormat="false" ht="25.5" hidden="false" customHeight="true" outlineLevel="0" collapsed="false">
      <c r="A436" s="9"/>
      <c r="B436" s="9"/>
      <c r="C436" s="9"/>
      <c r="D436" s="9"/>
      <c r="E436" s="9"/>
      <c r="F436" s="9"/>
      <c r="G436" s="9"/>
      <c r="H436" s="9"/>
      <c r="I436" s="9"/>
    </row>
    <row r="437" customFormat="false" ht="25.5" hidden="false" customHeight="true" outlineLevel="0" collapsed="false">
      <c r="A437" s="9"/>
      <c r="B437" s="9"/>
      <c r="C437" s="9"/>
      <c r="D437" s="9"/>
      <c r="E437" s="9"/>
      <c r="F437" s="9"/>
      <c r="G437" s="9"/>
      <c r="H437" s="9"/>
      <c r="I437" s="9"/>
    </row>
    <row r="438" customFormat="false" ht="25.5" hidden="false" customHeight="true" outlineLevel="0" collapsed="false">
      <c r="A438" s="9"/>
      <c r="B438" s="9"/>
      <c r="C438" s="9"/>
      <c r="D438" s="9"/>
      <c r="E438" s="9"/>
      <c r="F438" s="9"/>
      <c r="G438" s="9"/>
      <c r="H438" s="9"/>
      <c r="I438" s="9"/>
    </row>
    <row r="439" customFormat="false" ht="25.5" hidden="false" customHeight="true" outlineLevel="0" collapsed="false">
      <c r="A439" s="9"/>
      <c r="B439" s="9"/>
      <c r="C439" s="9"/>
      <c r="D439" s="9"/>
      <c r="E439" s="9"/>
      <c r="F439" s="9"/>
      <c r="G439" s="9"/>
      <c r="H439" s="9"/>
      <c r="I439" s="9"/>
    </row>
    <row r="440" customFormat="false" ht="25.5" hidden="false" customHeight="true" outlineLevel="0" collapsed="false">
      <c r="A440" s="9"/>
      <c r="B440" s="9"/>
      <c r="C440" s="9"/>
      <c r="D440" s="9"/>
      <c r="E440" s="9"/>
      <c r="F440" s="9"/>
      <c r="G440" s="9"/>
      <c r="H440" s="9"/>
      <c r="I440" s="9"/>
    </row>
    <row r="441" customFormat="false" ht="25.5" hidden="false" customHeight="true" outlineLevel="0" collapsed="false">
      <c r="A441" s="9"/>
      <c r="B441" s="9"/>
      <c r="C441" s="9"/>
      <c r="D441" s="9"/>
      <c r="E441" s="9"/>
      <c r="F441" s="9"/>
      <c r="G441" s="9"/>
      <c r="H441" s="9"/>
      <c r="I441" s="9"/>
    </row>
    <row r="442" customFormat="false" ht="25.5" hidden="false" customHeight="true" outlineLevel="0" collapsed="false">
      <c r="A442" s="9"/>
      <c r="B442" s="9"/>
      <c r="C442" s="9"/>
      <c r="D442" s="9"/>
      <c r="E442" s="9"/>
      <c r="F442" s="9"/>
      <c r="G442" s="9"/>
      <c r="H442" s="9"/>
      <c r="I442" s="9"/>
    </row>
    <row r="443" customFormat="false" ht="25.5" hidden="false" customHeight="true" outlineLevel="0" collapsed="false">
      <c r="A443" s="9"/>
      <c r="B443" s="9"/>
      <c r="C443" s="9"/>
      <c r="D443" s="9"/>
      <c r="E443" s="9"/>
      <c r="F443" s="9"/>
      <c r="G443" s="9"/>
      <c r="H443" s="9"/>
      <c r="I443" s="9"/>
    </row>
    <row r="444" customFormat="false" ht="25.5" hidden="false" customHeight="true" outlineLevel="0" collapsed="false">
      <c r="A444" s="9"/>
      <c r="B444" s="9"/>
      <c r="C444" s="9"/>
      <c r="D444" s="9"/>
      <c r="E444" s="9"/>
      <c r="F444" s="9"/>
      <c r="G444" s="9"/>
      <c r="H444" s="9"/>
      <c r="I444" s="9"/>
    </row>
    <row r="445" customFormat="false" ht="25.5" hidden="false" customHeight="true" outlineLevel="0" collapsed="false">
      <c r="A445" s="9"/>
      <c r="B445" s="9"/>
      <c r="C445" s="9"/>
      <c r="D445" s="9"/>
      <c r="E445" s="9"/>
      <c r="F445" s="9"/>
      <c r="G445" s="9"/>
      <c r="H445" s="9"/>
      <c r="I445" s="9"/>
    </row>
    <row r="446" customFormat="false" ht="25.5" hidden="false" customHeight="true" outlineLevel="0" collapsed="false">
      <c r="A446" s="9"/>
      <c r="B446" s="9"/>
      <c r="C446" s="9"/>
      <c r="D446" s="9"/>
      <c r="E446" s="9"/>
      <c r="F446" s="9"/>
      <c r="G446" s="9"/>
      <c r="H446" s="9"/>
      <c r="I446" s="9"/>
    </row>
    <row r="447" customFormat="false" ht="25.5" hidden="false" customHeight="true" outlineLevel="0" collapsed="false">
      <c r="A447" s="9"/>
      <c r="B447" s="9"/>
      <c r="C447" s="9"/>
      <c r="D447" s="9"/>
      <c r="E447" s="9"/>
      <c r="F447" s="9"/>
      <c r="G447" s="9"/>
      <c r="H447" s="9"/>
      <c r="I447" s="9"/>
    </row>
    <row r="448" customFormat="false" ht="25.5" hidden="false" customHeight="true" outlineLevel="0" collapsed="false">
      <c r="A448" s="9"/>
      <c r="B448" s="9"/>
      <c r="C448" s="9"/>
      <c r="D448" s="9"/>
      <c r="E448" s="9"/>
      <c r="F448" s="9"/>
      <c r="G448" s="9"/>
      <c r="H448" s="9"/>
      <c r="I448" s="9"/>
    </row>
    <row r="449" customFormat="false" ht="25.5" hidden="false" customHeight="true" outlineLevel="0" collapsed="false">
      <c r="A449" s="9"/>
      <c r="B449" s="9"/>
      <c r="C449" s="9"/>
      <c r="D449" s="9"/>
      <c r="E449" s="9"/>
      <c r="F449" s="9"/>
      <c r="G449" s="9"/>
      <c r="H449" s="9"/>
      <c r="I449" s="9"/>
    </row>
    <row r="450" customFormat="false" ht="25.5" hidden="false" customHeight="true" outlineLevel="0" collapsed="false">
      <c r="A450" s="9"/>
      <c r="B450" s="9"/>
      <c r="C450" s="9"/>
      <c r="D450" s="9"/>
      <c r="E450" s="9"/>
      <c r="F450" s="9"/>
      <c r="G450" s="9"/>
      <c r="H450" s="9"/>
      <c r="I450" s="9"/>
    </row>
    <row r="451" customFormat="false" ht="25.5" hidden="false" customHeight="true" outlineLevel="0" collapsed="false">
      <c r="A451" s="9"/>
      <c r="B451" s="9"/>
      <c r="C451" s="9"/>
      <c r="D451" s="9"/>
      <c r="E451" s="9"/>
      <c r="F451" s="9"/>
      <c r="G451" s="9"/>
      <c r="H451" s="9"/>
      <c r="I451" s="9"/>
    </row>
    <row r="452" customFormat="false" ht="25.5" hidden="false" customHeight="true" outlineLevel="0" collapsed="false">
      <c r="A452" s="9"/>
      <c r="B452" s="9"/>
      <c r="C452" s="9"/>
      <c r="D452" s="9"/>
      <c r="E452" s="9"/>
      <c r="F452" s="9"/>
      <c r="G452" s="9"/>
      <c r="H452" s="9"/>
      <c r="I452" s="9"/>
    </row>
    <row r="453" customFormat="false" ht="25.5" hidden="false" customHeight="true" outlineLevel="0" collapsed="false">
      <c r="A453" s="9"/>
      <c r="B453" s="9"/>
      <c r="C453" s="9"/>
      <c r="D453" s="9"/>
      <c r="E453" s="9"/>
      <c r="F453" s="9"/>
      <c r="G453" s="9"/>
      <c r="H453" s="9"/>
      <c r="I453" s="9"/>
    </row>
    <row r="454" customFormat="false" ht="25.5" hidden="false" customHeight="true" outlineLevel="0" collapsed="false">
      <c r="A454" s="9"/>
      <c r="B454" s="9"/>
      <c r="C454" s="9"/>
      <c r="D454" s="9"/>
      <c r="E454" s="9"/>
      <c r="F454" s="9"/>
      <c r="G454" s="9"/>
      <c r="H454" s="9"/>
      <c r="I454" s="9"/>
    </row>
    <row r="455" customFormat="false" ht="25.5" hidden="false" customHeight="true" outlineLevel="0" collapsed="false">
      <c r="A455" s="9"/>
      <c r="B455" s="9"/>
      <c r="C455" s="9"/>
      <c r="D455" s="9"/>
      <c r="E455" s="9"/>
      <c r="F455" s="9"/>
      <c r="G455" s="9"/>
      <c r="H455" s="9"/>
      <c r="I455" s="9"/>
    </row>
    <row r="456" customFormat="false" ht="25.5" hidden="false" customHeight="true" outlineLevel="0" collapsed="false">
      <c r="A456" s="9"/>
      <c r="B456" s="9"/>
      <c r="C456" s="9"/>
      <c r="D456" s="9"/>
      <c r="E456" s="9"/>
      <c r="F456" s="9"/>
      <c r="G456" s="9"/>
      <c r="H456" s="9"/>
      <c r="I456" s="9"/>
    </row>
    <row r="457" customFormat="false" ht="25.5" hidden="false" customHeight="true" outlineLevel="0" collapsed="false">
      <c r="A457" s="9"/>
      <c r="B457" s="9"/>
      <c r="C457" s="9"/>
      <c r="D457" s="9"/>
      <c r="E457" s="9"/>
      <c r="F457" s="9"/>
      <c r="G457" s="9"/>
      <c r="H457" s="9"/>
      <c r="I457" s="9"/>
    </row>
    <row r="458" customFormat="false" ht="25.5" hidden="false" customHeight="true" outlineLevel="0" collapsed="false">
      <c r="A458" s="9"/>
      <c r="B458" s="9"/>
      <c r="C458" s="9"/>
      <c r="D458" s="9"/>
      <c r="E458" s="9"/>
      <c r="F458" s="9"/>
      <c r="G458" s="9"/>
      <c r="H458" s="9"/>
      <c r="I458" s="9"/>
    </row>
    <row r="459" customFormat="false" ht="25.5" hidden="false" customHeight="true" outlineLevel="0" collapsed="false">
      <c r="A459" s="9"/>
      <c r="B459" s="9"/>
      <c r="C459" s="9"/>
      <c r="D459" s="9"/>
      <c r="E459" s="9"/>
      <c r="F459" s="9"/>
      <c r="G459" s="9"/>
      <c r="H459" s="9"/>
      <c r="I459" s="9"/>
    </row>
    <row r="460" customFormat="false" ht="25.5" hidden="false" customHeight="true" outlineLevel="0" collapsed="false">
      <c r="A460" s="9"/>
      <c r="B460" s="9"/>
      <c r="C460" s="9"/>
      <c r="D460" s="9"/>
      <c r="E460" s="9"/>
      <c r="F460" s="9"/>
      <c r="G460" s="9"/>
      <c r="H460" s="9"/>
      <c r="I460" s="9"/>
    </row>
    <row r="461" customFormat="false" ht="25.5" hidden="false" customHeight="true" outlineLevel="0" collapsed="false">
      <c r="A461" s="9"/>
      <c r="B461" s="9"/>
      <c r="C461" s="9"/>
      <c r="D461" s="9"/>
      <c r="E461" s="9"/>
      <c r="F461" s="9"/>
      <c r="G461" s="9"/>
      <c r="H461" s="9"/>
      <c r="I461" s="9"/>
    </row>
    <row r="462" customFormat="false" ht="25.5" hidden="false" customHeight="true" outlineLevel="0" collapsed="false">
      <c r="A462" s="9"/>
      <c r="B462" s="9"/>
      <c r="C462" s="9"/>
      <c r="D462" s="9"/>
      <c r="E462" s="9"/>
      <c r="F462" s="9"/>
      <c r="G462" s="9"/>
      <c r="H462" s="9"/>
      <c r="I462" s="9"/>
    </row>
    <row r="463" customFormat="false" ht="25.5" hidden="false" customHeight="true" outlineLevel="0" collapsed="false">
      <c r="A463" s="9"/>
      <c r="B463" s="9"/>
      <c r="C463" s="9"/>
      <c r="D463" s="9"/>
      <c r="E463" s="9"/>
      <c r="F463" s="9"/>
      <c r="G463" s="9"/>
      <c r="H463" s="9"/>
      <c r="I463" s="9"/>
    </row>
    <row r="464" customFormat="false" ht="25.5" hidden="false" customHeight="true" outlineLevel="0" collapsed="false">
      <c r="A464" s="9"/>
      <c r="B464" s="9"/>
      <c r="C464" s="9"/>
      <c r="D464" s="9"/>
      <c r="E464" s="9"/>
      <c r="F464" s="9"/>
      <c r="G464" s="9"/>
      <c r="H464" s="9"/>
      <c r="I464" s="9"/>
    </row>
    <row r="465" customFormat="false" ht="25.5" hidden="false" customHeight="true" outlineLevel="0" collapsed="false">
      <c r="A465" s="9"/>
      <c r="B465" s="9"/>
      <c r="C465" s="9"/>
      <c r="D465" s="9"/>
      <c r="E465" s="9"/>
      <c r="F465" s="9"/>
      <c r="G465" s="9"/>
      <c r="H465" s="9"/>
      <c r="I465" s="9"/>
    </row>
    <row r="466" customFormat="false" ht="25.5" hidden="false" customHeight="true" outlineLevel="0" collapsed="false">
      <c r="A466" s="9"/>
      <c r="B466" s="9"/>
      <c r="C466" s="9"/>
      <c r="D466" s="9"/>
      <c r="E466" s="9"/>
      <c r="F466" s="9"/>
      <c r="G466" s="9"/>
      <c r="H466" s="9"/>
      <c r="I466" s="9"/>
    </row>
    <row r="467" customFormat="false" ht="25.5" hidden="false" customHeight="true" outlineLevel="0" collapsed="false">
      <c r="A467" s="9"/>
      <c r="B467" s="9"/>
      <c r="C467" s="9"/>
      <c r="D467" s="9"/>
      <c r="E467" s="9"/>
      <c r="F467" s="9"/>
      <c r="G467" s="9"/>
      <c r="H467" s="9"/>
      <c r="I467" s="9"/>
    </row>
    <row r="468" customFormat="false" ht="25.5" hidden="false" customHeight="true" outlineLevel="0" collapsed="false">
      <c r="A468" s="9"/>
      <c r="B468" s="9"/>
      <c r="C468" s="9"/>
      <c r="D468" s="9"/>
      <c r="E468" s="9"/>
      <c r="F468" s="9"/>
      <c r="G468" s="9"/>
      <c r="H468" s="9"/>
      <c r="I468" s="9"/>
    </row>
    <row r="469" customFormat="false" ht="25.5" hidden="false" customHeight="true" outlineLevel="0" collapsed="false">
      <c r="A469" s="9"/>
      <c r="B469" s="9"/>
      <c r="C469" s="9"/>
      <c r="D469" s="9"/>
      <c r="E469" s="9"/>
      <c r="F469" s="9"/>
      <c r="G469" s="9"/>
      <c r="H469" s="9"/>
      <c r="I469" s="9"/>
    </row>
    <row r="470" customFormat="false" ht="25.5" hidden="false" customHeight="true" outlineLevel="0" collapsed="false">
      <c r="A470" s="9"/>
      <c r="B470" s="9"/>
      <c r="C470" s="9"/>
      <c r="D470" s="9"/>
      <c r="E470" s="9"/>
      <c r="F470" s="9"/>
      <c r="G470" s="9"/>
      <c r="H470" s="9"/>
      <c r="I470" s="9"/>
    </row>
    <row r="471" customFormat="false" ht="25.5" hidden="false" customHeight="true" outlineLevel="0" collapsed="false">
      <c r="A471" s="9"/>
      <c r="B471" s="9"/>
      <c r="C471" s="9"/>
      <c r="D471" s="9"/>
      <c r="E471" s="9"/>
      <c r="F471" s="9"/>
      <c r="G471" s="9"/>
      <c r="H471" s="9"/>
      <c r="I471" s="9"/>
    </row>
    <row r="472" customFormat="false" ht="25.5" hidden="false" customHeight="true" outlineLevel="0" collapsed="false">
      <c r="A472" s="9"/>
      <c r="B472" s="9"/>
      <c r="C472" s="9"/>
      <c r="D472" s="9"/>
      <c r="E472" s="9"/>
      <c r="F472" s="9"/>
      <c r="G472" s="9"/>
      <c r="H472" s="9"/>
      <c r="I472" s="9"/>
    </row>
    <row r="473" customFormat="false" ht="25.5" hidden="false" customHeight="true" outlineLevel="0" collapsed="false">
      <c r="A473" s="9"/>
      <c r="B473" s="9"/>
      <c r="C473" s="9"/>
      <c r="D473" s="9"/>
      <c r="E473" s="9"/>
      <c r="F473" s="9"/>
      <c r="G473" s="9"/>
      <c r="H473" s="9"/>
      <c r="I473" s="9"/>
    </row>
    <row r="474" customFormat="false" ht="25.5" hidden="false" customHeight="true" outlineLevel="0" collapsed="false">
      <c r="A474" s="9"/>
      <c r="B474" s="9"/>
      <c r="C474" s="9"/>
      <c r="D474" s="9"/>
      <c r="E474" s="9"/>
      <c r="F474" s="9"/>
      <c r="G474" s="9"/>
      <c r="H474" s="9"/>
      <c r="I474" s="9"/>
    </row>
    <row r="475" customFormat="false" ht="25.5" hidden="false" customHeight="true" outlineLevel="0" collapsed="false">
      <c r="A475" s="9"/>
      <c r="B475" s="9"/>
      <c r="C475" s="9"/>
      <c r="D475" s="9"/>
      <c r="E475" s="9"/>
      <c r="F475" s="9"/>
      <c r="G475" s="9"/>
      <c r="H475" s="9"/>
      <c r="I475" s="9"/>
    </row>
    <row r="476" customFormat="false" ht="25.5" hidden="false" customHeight="true" outlineLevel="0" collapsed="false">
      <c r="A476" s="9"/>
      <c r="B476" s="9"/>
      <c r="C476" s="9"/>
      <c r="D476" s="9"/>
      <c r="E476" s="9"/>
      <c r="F476" s="9"/>
      <c r="G476" s="9"/>
      <c r="H476" s="9"/>
      <c r="I476" s="9"/>
    </row>
    <row r="477" customFormat="false" ht="25.5" hidden="false" customHeight="true" outlineLevel="0" collapsed="false">
      <c r="A477" s="9"/>
      <c r="B477" s="9"/>
      <c r="C477" s="9"/>
      <c r="D477" s="9"/>
      <c r="E477" s="9"/>
      <c r="F477" s="9"/>
      <c r="G477" s="9"/>
      <c r="H477" s="9"/>
      <c r="I477" s="9"/>
    </row>
    <row r="478" customFormat="false" ht="25.5" hidden="false" customHeight="true" outlineLevel="0" collapsed="false">
      <c r="A478" s="9"/>
      <c r="B478" s="9"/>
      <c r="C478" s="9"/>
      <c r="D478" s="9"/>
      <c r="E478" s="9"/>
      <c r="F478" s="9"/>
      <c r="G478" s="9"/>
      <c r="H478" s="9"/>
      <c r="I478" s="9"/>
    </row>
    <row r="479" customFormat="false" ht="25.5" hidden="false" customHeight="true" outlineLevel="0" collapsed="false">
      <c r="A479" s="9"/>
      <c r="B479" s="9"/>
      <c r="C479" s="9"/>
      <c r="D479" s="9"/>
      <c r="E479" s="9"/>
      <c r="F479" s="9"/>
      <c r="G479" s="9"/>
      <c r="H479" s="9"/>
      <c r="I479" s="9"/>
    </row>
    <row r="480" customFormat="false" ht="25.5" hidden="false" customHeight="true" outlineLevel="0" collapsed="false">
      <c r="A480" s="9"/>
      <c r="B480" s="9"/>
      <c r="C480" s="9"/>
      <c r="D480" s="9"/>
      <c r="E480" s="9"/>
      <c r="F480" s="9"/>
      <c r="G480" s="9"/>
      <c r="H480" s="9"/>
      <c r="I480" s="9"/>
    </row>
    <row r="481" customFormat="false" ht="25.5" hidden="false" customHeight="true" outlineLevel="0" collapsed="false">
      <c r="A481" s="9"/>
      <c r="B481" s="9"/>
      <c r="C481" s="9"/>
      <c r="D481" s="9"/>
      <c r="E481" s="9"/>
      <c r="F481" s="9"/>
      <c r="G481" s="9"/>
      <c r="H481" s="9"/>
      <c r="I481" s="9"/>
    </row>
    <row r="482" customFormat="false" ht="25.5" hidden="false" customHeight="true" outlineLevel="0" collapsed="false">
      <c r="A482" s="9"/>
      <c r="B482" s="9"/>
      <c r="C482" s="9"/>
      <c r="D482" s="9"/>
      <c r="E482" s="9"/>
      <c r="F482" s="9"/>
      <c r="G482" s="9"/>
      <c r="H482" s="9"/>
      <c r="I482" s="9"/>
    </row>
    <row r="483" customFormat="false" ht="25.5" hidden="false" customHeight="true" outlineLevel="0" collapsed="false">
      <c r="A483" s="9"/>
      <c r="B483" s="9"/>
      <c r="C483" s="9"/>
      <c r="D483" s="9"/>
      <c r="E483" s="9"/>
      <c r="F483" s="9"/>
      <c r="G483" s="9"/>
      <c r="H483" s="9"/>
      <c r="I483" s="9"/>
    </row>
    <row r="484" customFormat="false" ht="25.5" hidden="false" customHeight="true" outlineLevel="0" collapsed="false">
      <c r="A484" s="9"/>
      <c r="B484" s="9"/>
      <c r="C484" s="9"/>
      <c r="D484" s="9"/>
      <c r="E484" s="9"/>
      <c r="F484" s="9"/>
      <c r="G484" s="9"/>
      <c r="H484" s="9"/>
      <c r="I484" s="9"/>
    </row>
    <row r="485" customFormat="false" ht="25.5" hidden="false" customHeight="true" outlineLevel="0" collapsed="false">
      <c r="A485" s="9"/>
      <c r="B485" s="9"/>
      <c r="C485" s="9"/>
      <c r="D485" s="9"/>
      <c r="E485" s="9"/>
      <c r="F485" s="9"/>
      <c r="G485" s="9"/>
      <c r="H485" s="9"/>
      <c r="I485" s="9"/>
    </row>
    <row r="486" customFormat="false" ht="25.5" hidden="false" customHeight="true" outlineLevel="0" collapsed="false">
      <c r="A486" s="9"/>
      <c r="B486" s="9"/>
      <c r="C486" s="9"/>
      <c r="D486" s="9"/>
      <c r="E486" s="9"/>
      <c r="F486" s="9"/>
      <c r="G486" s="9"/>
      <c r="H486" s="9"/>
      <c r="I486" s="9"/>
    </row>
    <row r="487" customFormat="false" ht="25.5" hidden="false" customHeight="true" outlineLevel="0" collapsed="false">
      <c r="A487" s="9"/>
      <c r="B487" s="9"/>
      <c r="C487" s="9"/>
      <c r="D487" s="9"/>
      <c r="E487" s="9"/>
      <c r="F487" s="9"/>
      <c r="G487" s="9"/>
      <c r="H487" s="9"/>
      <c r="I487" s="9"/>
    </row>
    <row r="488" customFormat="false" ht="25.5" hidden="false" customHeight="true" outlineLevel="0" collapsed="false">
      <c r="A488" s="9"/>
      <c r="B488" s="9"/>
      <c r="C488" s="9"/>
      <c r="D488" s="9"/>
      <c r="E488" s="9"/>
      <c r="F488" s="9"/>
      <c r="G488" s="9"/>
      <c r="H488" s="9"/>
      <c r="I488" s="9"/>
    </row>
    <row r="489" customFormat="false" ht="25.5" hidden="false" customHeight="true" outlineLevel="0" collapsed="false">
      <c r="A489" s="9"/>
      <c r="B489" s="9"/>
      <c r="C489" s="9"/>
      <c r="D489" s="9"/>
      <c r="E489" s="9"/>
      <c r="F489" s="9"/>
      <c r="G489" s="9"/>
      <c r="H489" s="9"/>
      <c r="I489" s="9"/>
    </row>
    <row r="490" customFormat="false" ht="25.5" hidden="false" customHeight="true" outlineLevel="0" collapsed="false">
      <c r="A490" s="9"/>
      <c r="B490" s="9"/>
      <c r="C490" s="9"/>
      <c r="D490" s="9"/>
      <c r="E490" s="9"/>
      <c r="F490" s="9"/>
      <c r="G490" s="9"/>
      <c r="H490" s="9"/>
      <c r="I490" s="9"/>
    </row>
    <row r="491" customFormat="false" ht="25.5" hidden="false" customHeight="true" outlineLevel="0" collapsed="false">
      <c r="A491" s="9"/>
      <c r="B491" s="9"/>
      <c r="C491" s="9"/>
      <c r="D491" s="9"/>
      <c r="E491" s="9"/>
      <c r="F491" s="9"/>
      <c r="G491" s="9"/>
      <c r="H491" s="9"/>
      <c r="I491" s="9"/>
    </row>
    <row r="492" customFormat="false" ht="25.5" hidden="false" customHeight="true" outlineLevel="0" collapsed="false">
      <c r="A492" s="9"/>
      <c r="B492" s="9"/>
      <c r="C492" s="9"/>
      <c r="D492" s="9"/>
      <c r="E492" s="9"/>
      <c r="F492" s="9"/>
      <c r="G492" s="9"/>
      <c r="H492" s="9"/>
      <c r="I492" s="9"/>
    </row>
    <row r="493" customFormat="false" ht="25.5" hidden="false" customHeight="true" outlineLevel="0" collapsed="false">
      <c r="A493" s="54"/>
      <c r="B493" s="54"/>
      <c r="C493" s="54"/>
      <c r="D493" s="54"/>
      <c r="E493" s="54"/>
      <c r="F493" s="54"/>
      <c r="G493" s="55"/>
      <c r="H493" s="54"/>
      <c r="I493" s="54"/>
    </row>
    <row r="494" customFormat="false" ht="25.5" hidden="false" customHeight="true" outlineLevel="0" collapsed="false">
      <c r="A494" s="54"/>
      <c r="B494" s="54"/>
      <c r="C494" s="54"/>
      <c r="D494" s="54"/>
      <c r="E494" s="54"/>
      <c r="F494" s="54"/>
      <c r="G494" s="55"/>
      <c r="H494" s="54"/>
      <c r="I494" s="54"/>
    </row>
    <row r="495" customFormat="false" ht="25.5" hidden="false" customHeight="true" outlineLevel="0" collapsed="false">
      <c r="A495" s="9"/>
      <c r="B495" s="9"/>
      <c r="C495" s="9"/>
      <c r="D495" s="9"/>
      <c r="E495" s="9"/>
      <c r="F495" s="9"/>
      <c r="G495" s="9"/>
      <c r="H495" s="9"/>
      <c r="I495" s="9"/>
    </row>
    <row r="496" customFormat="false" ht="25.5" hidden="false" customHeight="true" outlineLevel="0" collapsed="false">
      <c r="A496" s="9"/>
      <c r="B496" s="9"/>
      <c r="C496" s="9"/>
      <c r="D496" s="9"/>
      <c r="E496" s="9"/>
      <c r="F496" s="9"/>
      <c r="G496" s="9"/>
      <c r="H496" s="9"/>
      <c r="I496" s="9"/>
    </row>
    <row r="497" customFormat="false" ht="25.5" hidden="false" customHeight="true" outlineLevel="0" collapsed="false">
      <c r="A497" s="9"/>
      <c r="B497" s="9"/>
      <c r="C497" s="9"/>
      <c r="D497" s="9"/>
      <c r="E497" s="9"/>
      <c r="F497" s="9"/>
      <c r="G497" s="9"/>
      <c r="H497" s="9"/>
      <c r="I497" s="9"/>
    </row>
    <row r="498" customFormat="false" ht="25.5" hidden="false" customHeight="true" outlineLevel="0" collapsed="false">
      <c r="A498" s="9"/>
      <c r="B498" s="9"/>
      <c r="C498" s="9"/>
      <c r="D498" s="9"/>
      <c r="E498" s="9"/>
      <c r="F498" s="9"/>
      <c r="G498" s="9"/>
      <c r="H498" s="9"/>
      <c r="I498" s="9"/>
    </row>
    <row r="499" customFormat="false" ht="25.5" hidden="false" customHeight="true" outlineLevel="0" collapsed="false">
      <c r="A499" s="9"/>
      <c r="B499" s="9"/>
      <c r="C499" s="9"/>
      <c r="D499" s="9"/>
      <c r="E499" s="9"/>
      <c r="F499" s="9"/>
      <c r="G499" s="9"/>
      <c r="H499" s="9"/>
      <c r="I499" s="9"/>
    </row>
    <row r="500" customFormat="false" ht="25.5" hidden="false" customHeight="true" outlineLevel="0" collapsed="false">
      <c r="A500" s="9"/>
      <c r="B500" s="9"/>
      <c r="C500" s="9"/>
      <c r="D500" s="9"/>
      <c r="E500" s="9"/>
      <c r="F500" s="9"/>
      <c r="G500" s="9"/>
      <c r="H500" s="9"/>
      <c r="I500" s="9"/>
    </row>
    <row r="501" customFormat="false" ht="25.5" hidden="false" customHeight="true" outlineLevel="0" collapsed="false">
      <c r="A501" s="9"/>
      <c r="B501" s="9"/>
      <c r="C501" s="9"/>
      <c r="D501" s="9"/>
      <c r="E501" s="9"/>
      <c r="F501" s="9"/>
      <c r="G501" s="9"/>
      <c r="H501" s="9"/>
      <c r="I501" s="9"/>
    </row>
    <row r="502" customFormat="false" ht="25.5" hidden="false" customHeight="true" outlineLevel="0" collapsed="false">
      <c r="A502" s="9"/>
      <c r="B502" s="9"/>
      <c r="C502" s="9"/>
      <c r="D502" s="9"/>
      <c r="E502" s="9"/>
      <c r="F502" s="9"/>
      <c r="G502" s="9"/>
      <c r="H502" s="9"/>
      <c r="I502" s="9"/>
    </row>
    <row r="503" customFormat="false" ht="25.5" hidden="false" customHeight="true" outlineLevel="0" collapsed="false">
      <c r="A503" s="9"/>
      <c r="B503" s="9"/>
      <c r="C503" s="9"/>
      <c r="D503" s="9"/>
      <c r="E503" s="9"/>
      <c r="F503" s="9"/>
      <c r="G503" s="9"/>
      <c r="H503" s="9"/>
      <c r="I503" s="9"/>
    </row>
    <row r="504" customFormat="false" ht="25.5" hidden="false" customHeight="true" outlineLevel="0" collapsed="false">
      <c r="A504" s="9"/>
      <c r="B504" s="9"/>
      <c r="C504" s="9"/>
      <c r="D504" s="9"/>
      <c r="E504" s="9"/>
      <c r="F504" s="9"/>
      <c r="G504" s="9"/>
      <c r="H504" s="9"/>
      <c r="I504" s="9"/>
    </row>
    <row r="505" customFormat="false" ht="25.5" hidden="false" customHeight="true" outlineLevel="0" collapsed="false">
      <c r="A505" s="9"/>
      <c r="B505" s="9"/>
      <c r="C505" s="9"/>
      <c r="D505" s="9"/>
      <c r="E505" s="9"/>
      <c r="F505" s="9"/>
      <c r="G505" s="9"/>
      <c r="H505" s="9"/>
      <c r="I505" s="9"/>
    </row>
    <row r="506" customFormat="false" ht="25.5" hidden="false" customHeight="true" outlineLevel="0" collapsed="false">
      <c r="A506" s="54"/>
      <c r="B506" s="54"/>
      <c r="C506" s="54"/>
      <c r="D506" s="54"/>
      <c r="E506" s="54"/>
      <c r="F506" s="54"/>
      <c r="G506" s="55"/>
      <c r="H506" s="54"/>
      <c r="I506" s="54"/>
    </row>
    <row r="507" customFormat="false" ht="25.5" hidden="false" customHeight="true" outlineLevel="0" collapsed="false">
      <c r="A507" s="9"/>
      <c r="B507" s="9"/>
      <c r="C507" s="9"/>
      <c r="D507" s="9"/>
      <c r="E507" s="9"/>
      <c r="F507" s="9"/>
      <c r="G507" s="9"/>
      <c r="H507" s="9"/>
      <c r="I507" s="9"/>
    </row>
    <row r="508" customFormat="false" ht="25.5" hidden="false" customHeight="true" outlineLevel="0" collapsed="false">
      <c r="A508" s="9"/>
      <c r="B508" s="9"/>
      <c r="C508" s="9"/>
      <c r="D508" s="9"/>
      <c r="E508" s="9"/>
      <c r="F508" s="9"/>
      <c r="G508" s="9"/>
      <c r="H508" s="9"/>
      <c r="I508" s="9"/>
    </row>
    <row r="509" customFormat="false" ht="25.5" hidden="false" customHeight="true" outlineLevel="0" collapsed="false">
      <c r="A509" s="9"/>
      <c r="B509" s="9"/>
      <c r="C509" s="9"/>
      <c r="D509" s="9"/>
      <c r="E509" s="9"/>
      <c r="F509" s="9"/>
      <c r="G509" s="9"/>
      <c r="H509" s="9"/>
      <c r="I509" s="9"/>
    </row>
    <row r="510" customFormat="false" ht="25.5" hidden="false" customHeight="true" outlineLevel="0" collapsed="false">
      <c r="A510" s="9"/>
      <c r="B510" s="9"/>
      <c r="C510" s="9"/>
      <c r="D510" s="9"/>
      <c r="E510" s="9"/>
      <c r="F510" s="9"/>
      <c r="G510" s="9"/>
      <c r="H510" s="9"/>
      <c r="I510" s="9"/>
    </row>
    <row r="511" customFormat="false" ht="25.5" hidden="false" customHeight="true" outlineLevel="0" collapsed="false">
      <c r="A511" s="9"/>
      <c r="B511" s="9"/>
      <c r="C511" s="9"/>
      <c r="D511" s="9"/>
      <c r="E511" s="9"/>
      <c r="F511" s="9"/>
      <c r="G511" s="9"/>
      <c r="H511" s="9"/>
      <c r="I511" s="9"/>
    </row>
    <row r="512" customFormat="false" ht="25.5" hidden="false" customHeight="true" outlineLevel="0" collapsed="false">
      <c r="A512" s="9"/>
      <c r="B512" s="9"/>
      <c r="C512" s="9"/>
      <c r="D512" s="9"/>
      <c r="E512" s="9"/>
      <c r="F512" s="9"/>
      <c r="G512" s="9"/>
      <c r="H512" s="9"/>
      <c r="I512" s="9"/>
    </row>
    <row r="513" customFormat="false" ht="25.5" hidden="false" customHeight="true" outlineLevel="0" collapsed="false">
      <c r="A513" s="9"/>
      <c r="B513" s="9"/>
      <c r="C513" s="9"/>
      <c r="D513" s="9"/>
      <c r="E513" s="9"/>
      <c r="F513" s="9"/>
      <c r="G513" s="9"/>
      <c r="H513" s="9"/>
      <c r="I513" s="9"/>
    </row>
    <row r="514" customFormat="false" ht="25.5" hidden="false" customHeight="true" outlineLevel="0" collapsed="false">
      <c r="A514" s="9"/>
      <c r="B514" s="9"/>
      <c r="C514" s="9"/>
      <c r="D514" s="9"/>
      <c r="E514" s="9"/>
      <c r="F514" s="9"/>
      <c r="G514" s="9"/>
      <c r="H514" s="9"/>
      <c r="I514" s="9"/>
    </row>
    <row r="515" customFormat="false" ht="25.5" hidden="false" customHeight="true" outlineLevel="0" collapsed="false">
      <c r="A515" s="9"/>
      <c r="B515" s="9"/>
      <c r="C515" s="9"/>
      <c r="D515" s="9"/>
      <c r="E515" s="9"/>
      <c r="F515" s="9"/>
      <c r="G515" s="9"/>
      <c r="H515" s="9"/>
      <c r="I515" s="9"/>
    </row>
    <row r="516" customFormat="false" ht="25.5" hidden="false" customHeight="true" outlineLevel="0" collapsed="false">
      <c r="A516" s="9"/>
      <c r="B516" s="9"/>
      <c r="C516" s="9"/>
      <c r="D516" s="9"/>
      <c r="E516" s="9"/>
      <c r="F516" s="9"/>
      <c r="G516" s="9"/>
      <c r="H516" s="9"/>
      <c r="I516" s="9"/>
    </row>
    <row r="517" customFormat="false" ht="25.5" hidden="false" customHeight="true" outlineLevel="0" collapsed="false">
      <c r="A517" s="9"/>
      <c r="B517" s="9"/>
      <c r="C517" s="9"/>
      <c r="D517" s="9"/>
      <c r="E517" s="9"/>
      <c r="F517" s="9"/>
      <c r="G517" s="9"/>
      <c r="H517" s="9"/>
      <c r="I517" s="9"/>
    </row>
    <row r="518" customFormat="false" ht="25.5" hidden="false" customHeight="true" outlineLevel="0" collapsed="false">
      <c r="A518" s="9"/>
      <c r="B518" s="9"/>
      <c r="C518" s="9"/>
      <c r="D518" s="9"/>
      <c r="E518" s="9"/>
      <c r="F518" s="9"/>
      <c r="G518" s="9"/>
      <c r="H518" s="9"/>
      <c r="I518" s="9"/>
    </row>
    <row r="519" customFormat="false" ht="25.5" hidden="false" customHeight="true" outlineLevel="0" collapsed="false">
      <c r="A519" s="9"/>
      <c r="B519" s="9"/>
      <c r="C519" s="9"/>
      <c r="D519" s="9"/>
      <c r="E519" s="9"/>
      <c r="F519" s="9"/>
      <c r="G519" s="9"/>
      <c r="H519" s="9"/>
      <c r="I519" s="9"/>
    </row>
    <row r="520" customFormat="false" ht="25.5" hidden="false" customHeight="true" outlineLevel="0" collapsed="false">
      <c r="A520" s="9"/>
      <c r="B520" s="9"/>
      <c r="C520" s="9"/>
      <c r="D520" s="9"/>
      <c r="E520" s="9"/>
      <c r="F520" s="9"/>
      <c r="G520" s="9"/>
      <c r="H520" s="9"/>
      <c r="I520" s="9"/>
    </row>
    <row r="521" customFormat="false" ht="25.5" hidden="false" customHeight="true" outlineLevel="0" collapsed="false">
      <c r="A521" s="9"/>
      <c r="B521" s="9"/>
      <c r="C521" s="9"/>
      <c r="D521" s="9"/>
      <c r="E521" s="9"/>
      <c r="F521" s="9"/>
      <c r="G521" s="9"/>
      <c r="H521" s="9"/>
      <c r="I521" s="9"/>
    </row>
    <row r="522" customFormat="false" ht="25.5" hidden="false" customHeight="true" outlineLevel="0" collapsed="false">
      <c r="A522" s="9"/>
      <c r="B522" s="9"/>
      <c r="C522" s="9"/>
      <c r="D522" s="9"/>
      <c r="E522" s="9"/>
      <c r="F522" s="9"/>
      <c r="G522" s="9"/>
      <c r="H522" s="9"/>
      <c r="I522" s="9"/>
    </row>
    <row r="523" customFormat="false" ht="25.5" hidden="false" customHeight="true" outlineLevel="0" collapsed="false">
      <c r="A523" s="9"/>
      <c r="B523" s="9"/>
      <c r="C523" s="9"/>
      <c r="D523" s="9"/>
      <c r="E523" s="9"/>
      <c r="F523" s="9"/>
      <c r="G523" s="9"/>
      <c r="H523" s="9"/>
      <c r="I523" s="9"/>
    </row>
    <row r="524" customFormat="false" ht="25.5" hidden="false" customHeight="true" outlineLevel="0" collapsed="false">
      <c r="A524" s="9"/>
      <c r="B524" s="9"/>
      <c r="C524" s="9"/>
      <c r="D524" s="9"/>
      <c r="E524" s="9"/>
      <c r="F524" s="9"/>
      <c r="G524" s="9"/>
      <c r="H524" s="9"/>
      <c r="I524" s="9"/>
    </row>
    <row r="525" customFormat="false" ht="25.5" hidden="false" customHeight="true" outlineLevel="0" collapsed="false">
      <c r="A525" s="9"/>
      <c r="B525" s="9"/>
      <c r="C525" s="9"/>
      <c r="D525" s="9"/>
      <c r="E525" s="9"/>
      <c r="F525" s="9"/>
      <c r="G525" s="9"/>
      <c r="H525" s="9"/>
      <c r="I525" s="9"/>
    </row>
    <row r="526" customFormat="false" ht="25.5" hidden="false" customHeight="true" outlineLevel="0" collapsed="false">
      <c r="A526" s="9"/>
      <c r="B526" s="9"/>
      <c r="C526" s="9"/>
      <c r="D526" s="9"/>
      <c r="E526" s="9"/>
      <c r="F526" s="9"/>
      <c r="G526" s="9"/>
      <c r="H526" s="9"/>
      <c r="I526" s="9"/>
    </row>
    <row r="527" customFormat="false" ht="25.5" hidden="false" customHeight="true" outlineLevel="0" collapsed="false">
      <c r="A527" s="9"/>
      <c r="B527" s="9"/>
      <c r="C527" s="9"/>
      <c r="D527" s="9"/>
      <c r="E527" s="9"/>
      <c r="F527" s="9"/>
      <c r="G527" s="9"/>
      <c r="H527" s="9"/>
      <c r="I527" s="9"/>
    </row>
    <row r="528" customFormat="false" ht="25.5" hidden="false" customHeight="true" outlineLevel="0" collapsed="false">
      <c r="A528" s="9"/>
      <c r="B528" s="9"/>
      <c r="C528" s="9"/>
      <c r="D528" s="9"/>
      <c r="E528" s="9"/>
      <c r="F528" s="9"/>
      <c r="G528" s="9"/>
      <c r="H528" s="9"/>
      <c r="I528" s="9"/>
    </row>
    <row r="529" customFormat="false" ht="25.5" hidden="false" customHeight="true" outlineLevel="0" collapsed="false">
      <c r="A529" s="9"/>
      <c r="B529" s="9"/>
      <c r="C529" s="9"/>
      <c r="D529" s="9"/>
      <c r="E529" s="9"/>
      <c r="F529" s="9"/>
      <c r="G529" s="9"/>
      <c r="H529" s="9"/>
      <c r="I529" s="9"/>
    </row>
    <row r="530" customFormat="false" ht="25.5" hidden="false" customHeight="true" outlineLevel="0" collapsed="false">
      <c r="A530" s="9"/>
      <c r="B530" s="9"/>
      <c r="C530" s="9"/>
      <c r="D530" s="9"/>
      <c r="E530" s="9"/>
      <c r="F530" s="9"/>
      <c r="G530" s="9"/>
      <c r="H530" s="9"/>
      <c r="I530" s="9"/>
    </row>
    <row r="531" customFormat="false" ht="25.5" hidden="false" customHeight="true" outlineLevel="0" collapsed="false">
      <c r="A531" s="9"/>
      <c r="B531" s="9"/>
      <c r="C531" s="9"/>
      <c r="D531" s="9"/>
      <c r="E531" s="9"/>
      <c r="F531" s="9"/>
      <c r="G531" s="9"/>
      <c r="H531" s="9"/>
      <c r="I531" s="9"/>
    </row>
    <row r="532" customFormat="false" ht="25.5" hidden="false" customHeight="true" outlineLevel="0" collapsed="false">
      <c r="A532" s="9"/>
      <c r="B532" s="9"/>
      <c r="C532" s="9"/>
      <c r="D532" s="9"/>
      <c r="E532" s="9"/>
      <c r="F532" s="9"/>
      <c r="G532" s="9"/>
      <c r="H532" s="9"/>
      <c r="I532" s="9"/>
    </row>
    <row r="533" customFormat="false" ht="25.5" hidden="false" customHeight="true" outlineLevel="0" collapsed="false">
      <c r="A533" s="9"/>
      <c r="B533" s="9"/>
      <c r="C533" s="9"/>
      <c r="D533" s="9"/>
      <c r="E533" s="9"/>
      <c r="F533" s="9"/>
      <c r="G533" s="9"/>
      <c r="H533" s="9"/>
      <c r="I533" s="9"/>
    </row>
    <row r="534" customFormat="false" ht="25.5" hidden="false" customHeight="true" outlineLevel="0" collapsed="false">
      <c r="A534" s="9"/>
      <c r="B534" s="9"/>
      <c r="C534" s="9"/>
      <c r="D534" s="9"/>
      <c r="E534" s="9"/>
      <c r="F534" s="9"/>
      <c r="G534" s="9"/>
      <c r="H534" s="9"/>
      <c r="I534" s="9"/>
    </row>
    <row r="535" customFormat="false" ht="25.5" hidden="false" customHeight="true" outlineLevel="0" collapsed="false">
      <c r="A535" s="9"/>
      <c r="B535" s="9"/>
      <c r="C535" s="9"/>
      <c r="D535" s="9"/>
      <c r="E535" s="9"/>
      <c r="F535" s="9"/>
      <c r="G535" s="9"/>
      <c r="H535" s="9"/>
      <c r="I535" s="9"/>
    </row>
    <row r="536" customFormat="false" ht="25.5" hidden="false" customHeight="true" outlineLevel="0" collapsed="false">
      <c r="A536" s="9"/>
      <c r="B536" s="9"/>
      <c r="C536" s="9"/>
      <c r="D536" s="9"/>
      <c r="E536" s="9"/>
      <c r="F536" s="9"/>
      <c r="G536" s="9"/>
      <c r="H536" s="9"/>
      <c r="I536" s="9"/>
    </row>
    <row r="537" customFormat="false" ht="25.5" hidden="false" customHeight="true" outlineLevel="0" collapsed="false">
      <c r="A537" s="9"/>
      <c r="B537" s="9"/>
      <c r="C537" s="9"/>
      <c r="D537" s="9"/>
      <c r="E537" s="9"/>
      <c r="F537" s="9"/>
      <c r="G537" s="9"/>
      <c r="H537" s="9"/>
      <c r="I537" s="9"/>
    </row>
    <row r="538" customFormat="false" ht="25.5" hidden="false" customHeight="true" outlineLevel="0" collapsed="false">
      <c r="A538" s="9"/>
      <c r="B538" s="9"/>
      <c r="C538" s="9"/>
      <c r="D538" s="9"/>
      <c r="E538" s="9"/>
      <c r="F538" s="9"/>
      <c r="G538" s="9"/>
      <c r="H538" s="9"/>
      <c r="I538" s="9"/>
    </row>
    <row r="539" customFormat="false" ht="25.5" hidden="false" customHeight="true" outlineLevel="0" collapsed="false">
      <c r="A539" s="9"/>
      <c r="B539" s="9"/>
      <c r="C539" s="9"/>
      <c r="D539" s="9"/>
      <c r="E539" s="9"/>
      <c r="F539" s="9"/>
      <c r="G539" s="9"/>
      <c r="H539" s="9"/>
      <c r="I539" s="9"/>
    </row>
    <row r="540" customFormat="false" ht="25.5" hidden="false" customHeight="true" outlineLevel="0" collapsed="false">
      <c r="A540" s="9"/>
      <c r="B540" s="9"/>
      <c r="C540" s="9"/>
      <c r="D540" s="9"/>
      <c r="E540" s="9"/>
      <c r="F540" s="9"/>
      <c r="G540" s="9"/>
      <c r="H540" s="9"/>
      <c r="I540" s="9"/>
    </row>
    <row r="541" customFormat="false" ht="25.5" hidden="false" customHeight="true" outlineLevel="0" collapsed="false">
      <c r="A541" s="54"/>
      <c r="B541" s="54"/>
      <c r="C541" s="54"/>
      <c r="D541" s="54"/>
      <c r="E541" s="54"/>
      <c r="F541" s="54"/>
      <c r="G541" s="55"/>
      <c r="H541" s="54"/>
      <c r="I541" s="54"/>
    </row>
    <row r="542" customFormat="false" ht="25.5" hidden="false" customHeight="true" outlineLevel="0" collapsed="false">
      <c r="A542" s="9"/>
      <c r="B542" s="9"/>
      <c r="C542" s="9"/>
      <c r="D542" s="9"/>
      <c r="E542" s="9"/>
      <c r="F542" s="9"/>
      <c r="G542" s="9"/>
      <c r="H542" s="9"/>
      <c r="I542" s="9"/>
    </row>
    <row r="543" customFormat="false" ht="25.5" hidden="false" customHeight="true" outlineLevel="0" collapsed="false">
      <c r="A543" s="9"/>
      <c r="B543" s="9"/>
      <c r="C543" s="9"/>
      <c r="D543" s="9"/>
      <c r="E543" s="9"/>
      <c r="F543" s="9"/>
      <c r="G543" s="9"/>
      <c r="H543" s="9"/>
      <c r="I543" s="9"/>
    </row>
    <row r="544" customFormat="false" ht="25.5" hidden="false" customHeight="true" outlineLevel="0" collapsed="false">
      <c r="A544" s="9"/>
      <c r="B544" s="9"/>
      <c r="C544" s="9"/>
      <c r="D544" s="9"/>
      <c r="E544" s="9"/>
      <c r="F544" s="9"/>
      <c r="G544" s="9"/>
      <c r="H544" s="9"/>
      <c r="I544" s="9"/>
    </row>
    <row r="545" customFormat="false" ht="25.5" hidden="false" customHeight="true" outlineLevel="0" collapsed="false">
      <c r="A545" s="9"/>
      <c r="B545" s="9"/>
      <c r="C545" s="9"/>
      <c r="D545" s="9"/>
      <c r="E545" s="9"/>
      <c r="F545" s="9"/>
      <c r="G545" s="9"/>
      <c r="H545" s="9"/>
      <c r="I545" s="9"/>
    </row>
    <row r="546" customFormat="false" ht="25.5" hidden="false" customHeight="true" outlineLevel="0" collapsed="false">
      <c r="A546" s="9"/>
      <c r="B546" s="9"/>
      <c r="C546" s="9"/>
      <c r="D546" s="9"/>
      <c r="E546" s="9"/>
      <c r="F546" s="9"/>
      <c r="G546" s="9"/>
      <c r="H546" s="9"/>
      <c r="I546" s="9"/>
    </row>
    <row r="547" customFormat="false" ht="25.5" hidden="false" customHeight="true" outlineLevel="0" collapsed="false">
      <c r="A547" s="9"/>
      <c r="B547" s="9"/>
      <c r="C547" s="9"/>
      <c r="D547" s="9"/>
      <c r="E547" s="9"/>
      <c r="F547" s="9"/>
      <c r="G547" s="9"/>
      <c r="H547" s="9"/>
      <c r="I547" s="9"/>
    </row>
    <row r="548" customFormat="false" ht="25.5" hidden="false" customHeight="true" outlineLevel="0" collapsed="false">
      <c r="A548" s="9"/>
      <c r="B548" s="9"/>
      <c r="C548" s="9"/>
      <c r="D548" s="9"/>
      <c r="E548" s="9"/>
      <c r="F548" s="9"/>
      <c r="G548" s="9"/>
      <c r="H548" s="9"/>
      <c r="I548" s="9"/>
    </row>
    <row r="549" customFormat="false" ht="25.5" hidden="false" customHeight="true" outlineLevel="0" collapsed="false">
      <c r="A549" s="54"/>
      <c r="B549" s="54"/>
      <c r="C549" s="54"/>
      <c r="D549" s="54"/>
      <c r="E549" s="54"/>
      <c r="F549" s="54"/>
      <c r="G549" s="55"/>
      <c r="H549" s="54"/>
      <c r="I549" s="54"/>
    </row>
    <row r="550" customFormat="false" ht="25.5" hidden="false" customHeight="true" outlineLevel="0" collapsed="false">
      <c r="A550" s="9"/>
      <c r="B550" s="9"/>
      <c r="C550" s="9"/>
      <c r="D550" s="9"/>
      <c r="E550" s="9"/>
      <c r="F550" s="9"/>
      <c r="G550" s="9"/>
      <c r="H550" s="9"/>
      <c r="I550" s="9"/>
    </row>
    <row r="551" customFormat="false" ht="25.5" hidden="false" customHeight="true" outlineLevel="0" collapsed="false">
      <c r="A551" s="9"/>
      <c r="B551" s="9"/>
      <c r="C551" s="9"/>
      <c r="D551" s="9"/>
      <c r="E551" s="9"/>
      <c r="F551" s="9"/>
      <c r="G551" s="9"/>
      <c r="H551" s="9"/>
      <c r="I551" s="9"/>
    </row>
    <row r="552" customFormat="false" ht="25.5" hidden="false" customHeight="true" outlineLevel="0" collapsed="false">
      <c r="A552" s="9"/>
      <c r="B552" s="9"/>
      <c r="C552" s="9"/>
      <c r="D552" s="9"/>
      <c r="E552" s="9"/>
      <c r="F552" s="9"/>
      <c r="G552" s="9"/>
      <c r="H552" s="9"/>
      <c r="I552" s="9"/>
    </row>
    <row r="553" customFormat="false" ht="25.5" hidden="false" customHeight="true" outlineLevel="0" collapsed="false">
      <c r="A553" s="9"/>
      <c r="B553" s="9"/>
      <c r="C553" s="9"/>
      <c r="D553" s="9"/>
      <c r="E553" s="9"/>
      <c r="F553" s="9"/>
      <c r="G553" s="9"/>
      <c r="H553" s="9"/>
      <c r="I553" s="9"/>
    </row>
    <row r="554" customFormat="false" ht="25.5" hidden="false" customHeight="true" outlineLevel="0" collapsed="false">
      <c r="A554" s="9"/>
      <c r="B554" s="9"/>
      <c r="C554" s="9"/>
      <c r="D554" s="9"/>
      <c r="E554" s="9"/>
      <c r="F554" s="9"/>
      <c r="G554" s="9"/>
      <c r="H554" s="9"/>
      <c r="I554" s="9"/>
    </row>
    <row r="555" customFormat="false" ht="25.5" hidden="false" customHeight="true" outlineLevel="0" collapsed="false">
      <c r="A555" s="9"/>
      <c r="B555" s="9"/>
      <c r="C555" s="9"/>
      <c r="D555" s="9"/>
      <c r="E555" s="9"/>
      <c r="F555" s="9"/>
      <c r="G555" s="9"/>
      <c r="H555" s="9"/>
      <c r="I555" s="9"/>
    </row>
    <row r="556" customFormat="false" ht="25.5" hidden="false" customHeight="true" outlineLevel="0" collapsed="false">
      <c r="A556" s="9"/>
      <c r="B556" s="9"/>
      <c r="C556" s="9"/>
      <c r="D556" s="9"/>
      <c r="E556" s="9"/>
      <c r="F556" s="9"/>
      <c r="G556" s="9"/>
      <c r="H556" s="9"/>
      <c r="I556" s="9"/>
    </row>
    <row r="557" customFormat="false" ht="25.5" hidden="false" customHeight="true" outlineLevel="0" collapsed="false">
      <c r="A557" s="9"/>
      <c r="B557" s="9"/>
      <c r="C557" s="9"/>
      <c r="D557" s="9"/>
      <c r="E557" s="9"/>
      <c r="F557" s="9"/>
      <c r="G557" s="9"/>
      <c r="H557" s="9"/>
      <c r="I557" s="9"/>
    </row>
    <row r="558" customFormat="false" ht="25.5" hidden="false" customHeight="true" outlineLevel="0" collapsed="false">
      <c r="A558" s="9"/>
      <c r="B558" s="9"/>
      <c r="C558" s="9"/>
      <c r="D558" s="9"/>
      <c r="E558" s="9"/>
      <c r="F558" s="9"/>
      <c r="G558" s="9"/>
      <c r="H558" s="9"/>
      <c r="I558" s="9"/>
    </row>
    <row r="559" customFormat="false" ht="25.5" hidden="false" customHeight="true" outlineLevel="0" collapsed="false">
      <c r="A559" s="9"/>
      <c r="B559" s="9"/>
      <c r="C559" s="9"/>
      <c r="D559" s="9"/>
      <c r="E559" s="9"/>
      <c r="F559" s="9"/>
      <c r="G559" s="9"/>
      <c r="H559" s="9"/>
      <c r="I559" s="9"/>
    </row>
    <row r="560" customFormat="false" ht="25.5" hidden="false" customHeight="true" outlineLevel="0" collapsed="false">
      <c r="A560" s="9"/>
      <c r="B560" s="9"/>
      <c r="C560" s="9"/>
      <c r="D560" s="9"/>
      <c r="E560" s="9"/>
      <c r="F560" s="9"/>
      <c r="G560" s="9"/>
      <c r="H560" s="9"/>
      <c r="I560" s="9"/>
    </row>
    <row r="561" customFormat="false" ht="25.5" hidden="false" customHeight="true" outlineLevel="0" collapsed="false">
      <c r="A561" s="9"/>
      <c r="B561" s="9"/>
      <c r="C561" s="9"/>
      <c r="D561" s="9"/>
      <c r="E561" s="9"/>
      <c r="F561" s="9"/>
      <c r="G561" s="9"/>
      <c r="H561" s="9"/>
      <c r="I561" s="9"/>
    </row>
    <row r="562" customFormat="false" ht="25.5" hidden="false" customHeight="true" outlineLevel="0" collapsed="false">
      <c r="A562" s="9"/>
      <c r="B562" s="9"/>
      <c r="C562" s="9"/>
      <c r="D562" s="9"/>
      <c r="E562" s="9"/>
      <c r="F562" s="9"/>
      <c r="G562" s="9"/>
      <c r="H562" s="9"/>
      <c r="I562" s="9"/>
    </row>
    <row r="563" customFormat="false" ht="25.5" hidden="false" customHeight="true" outlineLevel="0" collapsed="false">
      <c r="A563" s="9"/>
      <c r="B563" s="9"/>
      <c r="C563" s="9"/>
      <c r="D563" s="9"/>
      <c r="E563" s="9"/>
      <c r="F563" s="9"/>
      <c r="G563" s="9"/>
      <c r="H563" s="9"/>
      <c r="I563" s="9"/>
    </row>
    <row r="564" customFormat="false" ht="25.5" hidden="false" customHeight="true" outlineLevel="0" collapsed="false">
      <c r="A564" s="9"/>
      <c r="B564" s="9"/>
      <c r="C564" s="9"/>
      <c r="D564" s="9"/>
      <c r="E564" s="9"/>
      <c r="F564" s="9"/>
      <c r="G564" s="9"/>
      <c r="H564" s="9"/>
      <c r="I564" s="9"/>
    </row>
    <row r="565" customFormat="false" ht="25.5" hidden="false" customHeight="true" outlineLevel="0" collapsed="false">
      <c r="A565" s="9"/>
      <c r="B565" s="9"/>
      <c r="C565" s="9"/>
      <c r="D565" s="9"/>
      <c r="E565" s="9"/>
      <c r="F565" s="9"/>
      <c r="G565" s="9"/>
      <c r="H565" s="9"/>
      <c r="I565" s="9"/>
    </row>
    <row r="566" customFormat="false" ht="25.5" hidden="false" customHeight="true" outlineLevel="0" collapsed="false">
      <c r="A566" s="9"/>
      <c r="B566" s="9"/>
      <c r="C566" s="9"/>
      <c r="D566" s="9"/>
      <c r="E566" s="9"/>
      <c r="F566" s="9"/>
      <c r="G566" s="9"/>
      <c r="H566" s="9"/>
      <c r="I566" s="9"/>
    </row>
    <row r="567" customFormat="false" ht="25.5" hidden="false" customHeight="true" outlineLevel="0" collapsed="false">
      <c r="A567" s="9"/>
      <c r="B567" s="9"/>
      <c r="C567" s="9"/>
      <c r="D567" s="9"/>
      <c r="E567" s="9"/>
      <c r="F567" s="9"/>
      <c r="G567" s="9"/>
      <c r="H567" s="9"/>
      <c r="I567" s="9"/>
    </row>
    <row r="568" customFormat="false" ht="25.5" hidden="false" customHeight="true" outlineLevel="0" collapsed="false">
      <c r="A568" s="9"/>
      <c r="B568" s="9"/>
      <c r="C568" s="9"/>
      <c r="D568" s="9"/>
      <c r="E568" s="9"/>
      <c r="F568" s="9"/>
      <c r="G568" s="9"/>
      <c r="H568" s="9"/>
      <c r="I568" s="9"/>
    </row>
    <row r="569" customFormat="false" ht="25.5" hidden="false" customHeight="true" outlineLevel="0" collapsed="false">
      <c r="A569" s="54"/>
      <c r="B569" s="54"/>
      <c r="C569" s="54"/>
      <c r="D569" s="54"/>
      <c r="E569" s="54"/>
      <c r="F569" s="54"/>
      <c r="G569" s="55"/>
      <c r="H569" s="54"/>
      <c r="I569" s="54"/>
    </row>
    <row r="570" customFormat="false" ht="25.5" hidden="false" customHeight="true" outlineLevel="0" collapsed="false">
      <c r="A570" s="9"/>
      <c r="B570" s="9"/>
      <c r="C570" s="9"/>
      <c r="D570" s="9"/>
      <c r="E570" s="9"/>
      <c r="F570" s="9"/>
      <c r="G570" s="9"/>
      <c r="H570" s="9"/>
      <c r="I570" s="9"/>
    </row>
    <row r="571" customFormat="false" ht="25.5" hidden="false" customHeight="true" outlineLevel="0" collapsed="false">
      <c r="A571" s="9"/>
      <c r="B571" s="9"/>
      <c r="C571" s="9"/>
      <c r="D571" s="9"/>
      <c r="E571" s="9"/>
      <c r="F571" s="9"/>
      <c r="G571" s="9"/>
      <c r="H571" s="9"/>
      <c r="I571" s="9"/>
    </row>
    <row r="572" customFormat="false" ht="25.5" hidden="false" customHeight="true" outlineLevel="0" collapsed="false">
      <c r="A572" s="9"/>
      <c r="B572" s="9"/>
      <c r="C572" s="9"/>
      <c r="D572" s="9"/>
      <c r="E572" s="9"/>
      <c r="F572" s="9"/>
      <c r="G572" s="9"/>
      <c r="H572" s="9"/>
      <c r="I572" s="9"/>
    </row>
    <row r="573" customFormat="false" ht="25.5" hidden="false" customHeight="true" outlineLevel="0" collapsed="false">
      <c r="A573" s="9"/>
      <c r="B573" s="9"/>
      <c r="C573" s="9"/>
      <c r="D573" s="9"/>
      <c r="E573" s="9"/>
      <c r="F573" s="9"/>
      <c r="G573" s="9"/>
      <c r="H573" s="9"/>
      <c r="I573" s="9"/>
    </row>
    <row r="574" customFormat="false" ht="25.5" hidden="false" customHeight="true" outlineLevel="0" collapsed="false">
      <c r="A574" s="9"/>
      <c r="B574" s="9"/>
      <c r="C574" s="9"/>
      <c r="D574" s="9"/>
      <c r="E574" s="9"/>
      <c r="F574" s="9"/>
      <c r="G574" s="9"/>
      <c r="H574" s="9"/>
      <c r="I574" s="9"/>
    </row>
    <row r="575" customFormat="false" ht="25.5" hidden="false" customHeight="true" outlineLevel="0" collapsed="false">
      <c r="A575" s="9"/>
      <c r="B575" s="9"/>
      <c r="C575" s="9"/>
      <c r="D575" s="9"/>
      <c r="E575" s="9"/>
      <c r="F575" s="9"/>
      <c r="G575" s="9"/>
      <c r="H575" s="9"/>
      <c r="I575" s="9"/>
    </row>
    <row r="576" customFormat="false" ht="25.5" hidden="false" customHeight="true" outlineLevel="0" collapsed="false">
      <c r="A576" s="9"/>
      <c r="B576" s="9"/>
      <c r="C576" s="9"/>
      <c r="D576" s="9"/>
      <c r="E576" s="9"/>
      <c r="F576" s="9"/>
      <c r="G576" s="9"/>
      <c r="H576" s="9"/>
      <c r="I576" s="9"/>
    </row>
    <row r="577" customFormat="false" ht="25.5" hidden="false" customHeight="true" outlineLevel="0" collapsed="false">
      <c r="A577" s="9"/>
      <c r="B577" s="9"/>
      <c r="C577" s="9"/>
      <c r="D577" s="9"/>
      <c r="E577" s="9"/>
      <c r="F577" s="9"/>
      <c r="G577" s="9"/>
      <c r="H577" s="9"/>
      <c r="I577" s="9"/>
    </row>
    <row r="578" customFormat="false" ht="25.5" hidden="false" customHeight="true" outlineLevel="0" collapsed="false">
      <c r="A578" s="9"/>
      <c r="B578" s="9"/>
      <c r="C578" s="9"/>
      <c r="D578" s="9"/>
      <c r="E578" s="9"/>
      <c r="F578" s="9"/>
      <c r="G578" s="9"/>
      <c r="H578" s="9"/>
      <c r="I578" s="9"/>
    </row>
    <row r="579" customFormat="false" ht="25.5" hidden="false" customHeight="true" outlineLevel="0" collapsed="false">
      <c r="A579" s="9"/>
      <c r="B579" s="9"/>
      <c r="C579" s="9"/>
      <c r="D579" s="9"/>
      <c r="E579" s="9"/>
      <c r="F579" s="9"/>
      <c r="G579" s="9"/>
      <c r="H579" s="9"/>
      <c r="I579" s="9"/>
    </row>
    <row r="580" customFormat="false" ht="25.5" hidden="false" customHeight="true" outlineLevel="0" collapsed="false">
      <c r="A580" s="9"/>
      <c r="B580" s="9"/>
      <c r="C580" s="9"/>
      <c r="D580" s="9"/>
      <c r="E580" s="9"/>
      <c r="F580" s="9"/>
      <c r="G580" s="9"/>
      <c r="H580" s="9"/>
      <c r="I580" s="9"/>
    </row>
    <row r="581" customFormat="false" ht="25.5" hidden="false" customHeight="true" outlineLevel="0" collapsed="false">
      <c r="A581" s="9"/>
      <c r="B581" s="9"/>
      <c r="C581" s="9"/>
      <c r="D581" s="9"/>
      <c r="E581" s="9"/>
      <c r="F581" s="9"/>
      <c r="G581" s="9"/>
      <c r="H581" s="9"/>
      <c r="I581" s="9"/>
    </row>
    <row r="582" customFormat="false" ht="25.5" hidden="false" customHeight="true" outlineLevel="0" collapsed="false">
      <c r="A582" s="9"/>
      <c r="B582" s="9"/>
      <c r="C582" s="9"/>
      <c r="D582" s="9"/>
      <c r="E582" s="9"/>
      <c r="F582" s="9"/>
      <c r="G582" s="9"/>
      <c r="H582" s="9"/>
      <c r="I582" s="9"/>
    </row>
    <row r="583" customFormat="false" ht="25.5" hidden="false" customHeight="true" outlineLevel="0" collapsed="false">
      <c r="A583" s="9"/>
      <c r="B583" s="9"/>
      <c r="C583" s="9"/>
      <c r="D583" s="9"/>
      <c r="E583" s="9"/>
      <c r="F583" s="9"/>
      <c r="G583" s="9"/>
      <c r="H583" s="9"/>
      <c r="I583" s="9"/>
    </row>
    <row r="584" customFormat="false" ht="25.5" hidden="false" customHeight="true" outlineLevel="0" collapsed="false">
      <c r="A584" s="9"/>
      <c r="B584" s="9"/>
      <c r="C584" s="9"/>
      <c r="D584" s="9"/>
      <c r="E584" s="9"/>
      <c r="F584" s="9"/>
      <c r="G584" s="9"/>
      <c r="H584" s="9"/>
      <c r="I584" s="9"/>
    </row>
    <row r="585" customFormat="false" ht="25.5" hidden="false" customHeight="true" outlineLevel="0" collapsed="false">
      <c r="A585" s="9"/>
      <c r="B585" s="9"/>
      <c r="C585" s="9"/>
      <c r="D585" s="9"/>
      <c r="E585" s="9"/>
      <c r="F585" s="9"/>
      <c r="G585" s="9"/>
      <c r="H585" s="9"/>
      <c r="I585" s="9"/>
    </row>
    <row r="586" customFormat="false" ht="25.5" hidden="false" customHeight="true" outlineLevel="0" collapsed="false">
      <c r="A586" s="9"/>
      <c r="B586" s="9"/>
      <c r="C586" s="9"/>
      <c r="D586" s="9"/>
      <c r="E586" s="9"/>
      <c r="F586" s="9"/>
      <c r="G586" s="9"/>
      <c r="H586" s="9"/>
      <c r="I586" s="9"/>
    </row>
    <row r="587" customFormat="false" ht="25.5" hidden="false" customHeight="true" outlineLevel="0" collapsed="false">
      <c r="A587" s="9"/>
      <c r="B587" s="9"/>
      <c r="C587" s="9"/>
      <c r="D587" s="9"/>
      <c r="E587" s="9"/>
      <c r="F587" s="9"/>
      <c r="G587" s="9"/>
      <c r="H587" s="9"/>
      <c r="I587" s="9"/>
    </row>
    <row r="588" customFormat="false" ht="25.5" hidden="false" customHeight="true" outlineLevel="0" collapsed="false">
      <c r="A588" s="9"/>
      <c r="B588" s="9"/>
      <c r="C588" s="9"/>
      <c r="D588" s="9"/>
      <c r="E588" s="9"/>
      <c r="F588" s="9"/>
      <c r="G588" s="9"/>
      <c r="H588" s="9"/>
      <c r="I588" s="9"/>
    </row>
    <row r="589" customFormat="false" ht="25.5" hidden="false" customHeight="true" outlineLevel="0" collapsed="false">
      <c r="A589" s="9"/>
      <c r="B589" s="9"/>
      <c r="C589" s="9"/>
      <c r="D589" s="9"/>
      <c r="E589" s="9"/>
      <c r="F589" s="9"/>
      <c r="G589" s="9"/>
      <c r="H589" s="9"/>
      <c r="I589" s="9"/>
    </row>
    <row r="590" customFormat="false" ht="25.5" hidden="false" customHeight="true" outlineLevel="0" collapsed="false">
      <c r="A590" s="9"/>
      <c r="B590" s="9"/>
      <c r="C590" s="9"/>
      <c r="D590" s="9"/>
      <c r="E590" s="9"/>
      <c r="F590" s="9"/>
      <c r="G590" s="9"/>
      <c r="H590" s="9"/>
      <c r="I590" s="9"/>
    </row>
    <row r="591" customFormat="false" ht="25.5" hidden="false" customHeight="true" outlineLevel="0" collapsed="false">
      <c r="A591" s="9"/>
      <c r="B591" s="9"/>
      <c r="C591" s="9"/>
      <c r="D591" s="9"/>
      <c r="E591" s="9"/>
      <c r="F591" s="9"/>
      <c r="G591" s="9"/>
      <c r="H591" s="9"/>
      <c r="I591" s="9"/>
    </row>
    <row r="592" customFormat="false" ht="25.5" hidden="false" customHeight="true" outlineLevel="0" collapsed="false">
      <c r="A592" s="9"/>
      <c r="B592" s="9"/>
      <c r="C592" s="9"/>
      <c r="D592" s="9"/>
      <c r="E592" s="9"/>
      <c r="F592" s="9"/>
      <c r="G592" s="9"/>
      <c r="H592" s="9"/>
      <c r="I592" s="9"/>
    </row>
    <row r="593" customFormat="false" ht="25.5" hidden="false" customHeight="true" outlineLevel="0" collapsed="false">
      <c r="A593" s="9"/>
      <c r="B593" s="9"/>
      <c r="C593" s="9"/>
      <c r="D593" s="9"/>
      <c r="E593" s="9"/>
      <c r="F593" s="9"/>
      <c r="G593" s="9"/>
      <c r="H593" s="9"/>
      <c r="I593" s="9"/>
    </row>
    <row r="594" customFormat="false" ht="25.5" hidden="false" customHeight="true" outlineLevel="0" collapsed="false">
      <c r="A594" s="9"/>
      <c r="B594" s="9"/>
      <c r="C594" s="9"/>
      <c r="D594" s="9"/>
      <c r="E594" s="9"/>
      <c r="F594" s="9"/>
      <c r="G594" s="9"/>
      <c r="H594" s="9"/>
      <c r="I594" s="9"/>
    </row>
    <row r="595" customFormat="false" ht="25.5" hidden="false" customHeight="true" outlineLevel="0" collapsed="false">
      <c r="A595" s="9"/>
      <c r="B595" s="9"/>
      <c r="C595" s="9"/>
      <c r="D595" s="9"/>
      <c r="E595" s="9"/>
      <c r="F595" s="9"/>
      <c r="G595" s="9"/>
      <c r="H595" s="9"/>
      <c r="I595" s="9"/>
    </row>
    <row r="596" customFormat="false" ht="25.5" hidden="false" customHeight="true" outlineLevel="0" collapsed="false">
      <c r="A596" s="9"/>
      <c r="B596" s="9"/>
      <c r="C596" s="9"/>
      <c r="D596" s="9"/>
      <c r="E596" s="9"/>
      <c r="F596" s="9"/>
      <c r="G596" s="9"/>
      <c r="H596" s="9"/>
      <c r="I596" s="9"/>
    </row>
    <row r="597" customFormat="false" ht="25.5" hidden="false" customHeight="true" outlineLevel="0" collapsed="false">
      <c r="A597" s="9"/>
      <c r="B597" s="9"/>
      <c r="C597" s="9"/>
      <c r="D597" s="9"/>
      <c r="E597" s="9"/>
      <c r="F597" s="9"/>
      <c r="G597" s="9"/>
      <c r="H597" s="9"/>
      <c r="I597" s="9"/>
    </row>
    <row r="598" customFormat="false" ht="25.5" hidden="false" customHeight="true" outlineLevel="0" collapsed="false">
      <c r="A598" s="9"/>
      <c r="B598" s="9"/>
      <c r="C598" s="9"/>
      <c r="D598" s="9"/>
      <c r="E598" s="9"/>
      <c r="F598" s="9"/>
      <c r="G598" s="9"/>
      <c r="H598" s="9"/>
      <c r="I598" s="9"/>
    </row>
    <row r="599" customFormat="false" ht="25.5" hidden="false" customHeight="true" outlineLevel="0" collapsed="false">
      <c r="A599" s="9"/>
      <c r="B599" s="9"/>
      <c r="C599" s="9"/>
      <c r="D599" s="9"/>
      <c r="E599" s="9"/>
      <c r="F599" s="9"/>
      <c r="G599" s="9"/>
      <c r="H599" s="9"/>
      <c r="I599" s="9"/>
    </row>
    <row r="600" customFormat="false" ht="25.5" hidden="false" customHeight="true" outlineLevel="0" collapsed="false">
      <c r="A600" s="49" t="s">
        <v>995</v>
      </c>
      <c r="B600" s="49" t="s">
        <v>1127</v>
      </c>
      <c r="C600" s="49" t="s">
        <v>1128</v>
      </c>
      <c r="D600" s="49" t="s">
        <v>1129</v>
      </c>
      <c r="E600" s="49" t="s">
        <v>1130</v>
      </c>
      <c r="F600" s="49" t="s">
        <v>1131</v>
      </c>
      <c r="G600" s="49" t="s">
        <v>772</v>
      </c>
      <c r="H600" s="49" t="s">
        <v>1132</v>
      </c>
      <c r="I600" s="49" t="s">
        <v>885</v>
      </c>
    </row>
    <row r="601" customFormat="false" ht="25.5" hidden="false" customHeight="true" outlineLevel="0" collapsed="false">
      <c r="A601" s="49" t="s">
        <v>995</v>
      </c>
      <c r="B601" s="49" t="s">
        <v>1127</v>
      </c>
      <c r="C601" s="49" t="s">
        <v>1133</v>
      </c>
      <c r="D601" s="49" t="s">
        <v>1134</v>
      </c>
      <c r="E601" s="49" t="s">
        <v>1135</v>
      </c>
      <c r="F601" s="49" t="s">
        <v>1136</v>
      </c>
      <c r="G601" s="49" t="s">
        <v>772</v>
      </c>
      <c r="H601" s="49" t="s">
        <v>1132</v>
      </c>
      <c r="I601" s="49" t="s">
        <v>885</v>
      </c>
    </row>
    <row r="602" customFormat="false" ht="25.5" hidden="false" customHeight="true" outlineLevel="0" collapsed="false">
      <c r="A602" s="49" t="s">
        <v>995</v>
      </c>
      <c r="B602" s="49" t="s">
        <v>1127</v>
      </c>
      <c r="C602" s="49" t="s">
        <v>1137</v>
      </c>
      <c r="D602" s="49" t="s">
        <v>1129</v>
      </c>
      <c r="E602" s="49" t="s">
        <v>1135</v>
      </c>
      <c r="F602" s="49" t="s">
        <v>1138</v>
      </c>
      <c r="G602" s="49" t="s">
        <v>772</v>
      </c>
      <c r="H602" s="49" t="s">
        <v>1132</v>
      </c>
      <c r="I602" s="49" t="s">
        <v>885</v>
      </c>
    </row>
    <row r="603" customFormat="false" ht="25.5" hidden="false" customHeight="true" outlineLevel="0" collapsed="false">
      <c r="A603" s="49" t="s">
        <v>995</v>
      </c>
      <c r="B603" s="49" t="s">
        <v>1127</v>
      </c>
      <c r="C603" s="49" t="s">
        <v>1139</v>
      </c>
      <c r="D603" s="49" t="s">
        <v>1134</v>
      </c>
      <c r="E603" s="49" t="s">
        <v>1135</v>
      </c>
      <c r="F603" s="49" t="s">
        <v>1136</v>
      </c>
      <c r="G603" s="49" t="s">
        <v>772</v>
      </c>
      <c r="H603" s="49" t="s">
        <v>1132</v>
      </c>
      <c r="I603" s="49" t="s">
        <v>885</v>
      </c>
    </row>
    <row r="604" customFormat="false" ht="25.5" hidden="false" customHeight="true" outlineLevel="0" collapsed="false">
      <c r="A604" s="49" t="s">
        <v>995</v>
      </c>
      <c r="B604" s="49" t="s">
        <v>1127</v>
      </c>
      <c r="C604" s="49" t="s">
        <v>1140</v>
      </c>
      <c r="D604" s="49" t="s">
        <v>1141</v>
      </c>
      <c r="E604" s="49" t="s">
        <v>1142</v>
      </c>
      <c r="F604" s="49" t="s">
        <v>1143</v>
      </c>
      <c r="G604" s="49" t="s">
        <v>772</v>
      </c>
      <c r="H604" s="49" t="s">
        <v>1132</v>
      </c>
      <c r="I604" s="49" t="s">
        <v>885</v>
      </c>
    </row>
    <row r="605" customFormat="false" ht="25.5" hidden="false" customHeight="true" outlineLevel="0" collapsed="false">
      <c r="A605" s="49" t="s">
        <v>995</v>
      </c>
      <c r="B605" s="49" t="s">
        <v>1127</v>
      </c>
      <c r="C605" s="49" t="s">
        <v>1144</v>
      </c>
      <c r="D605" s="49" t="s">
        <v>1134</v>
      </c>
      <c r="E605" s="49" t="s">
        <v>1145</v>
      </c>
      <c r="F605" s="49" t="s">
        <v>1146</v>
      </c>
      <c r="G605" s="49" t="s">
        <v>772</v>
      </c>
      <c r="H605" s="49" t="s">
        <v>1132</v>
      </c>
      <c r="I605" s="49" t="s">
        <v>885</v>
      </c>
    </row>
    <row r="606" customFormat="false" ht="25.5" hidden="false" customHeight="true" outlineLevel="0" collapsed="false">
      <c r="A606" s="49" t="s">
        <v>995</v>
      </c>
      <c r="B606" s="49" t="s">
        <v>1127</v>
      </c>
      <c r="C606" s="49" t="s">
        <v>1147</v>
      </c>
      <c r="D606" s="49" t="s">
        <v>1148</v>
      </c>
      <c r="E606" s="49" t="s">
        <v>1135</v>
      </c>
      <c r="F606" s="49" t="s">
        <v>1136</v>
      </c>
      <c r="G606" s="49" t="s">
        <v>772</v>
      </c>
      <c r="H606" s="49" t="s">
        <v>1132</v>
      </c>
      <c r="I606" s="49" t="s">
        <v>885</v>
      </c>
    </row>
    <row r="607" customFormat="false" ht="25.5" hidden="false" customHeight="true" outlineLevel="0" collapsed="false">
      <c r="A607" s="49" t="s">
        <v>995</v>
      </c>
      <c r="B607" s="49" t="s">
        <v>1127</v>
      </c>
      <c r="C607" s="49" t="s">
        <v>1149</v>
      </c>
      <c r="D607" s="49" t="s">
        <v>1134</v>
      </c>
      <c r="E607" s="49" t="s">
        <v>1135</v>
      </c>
      <c r="F607" s="49" t="s">
        <v>1136</v>
      </c>
      <c r="G607" s="49" t="s">
        <v>772</v>
      </c>
      <c r="H607" s="49" t="s">
        <v>1132</v>
      </c>
      <c r="I607" s="49" t="s">
        <v>885</v>
      </c>
    </row>
    <row r="608" customFormat="false" ht="25.5" hidden="false" customHeight="true" outlineLevel="0" collapsed="false">
      <c r="A608" s="49" t="s">
        <v>995</v>
      </c>
      <c r="B608" s="49" t="s">
        <v>1127</v>
      </c>
      <c r="C608" s="49" t="s">
        <v>1150</v>
      </c>
      <c r="D608" s="49" t="s">
        <v>1151</v>
      </c>
      <c r="E608" s="49" t="s">
        <v>1152</v>
      </c>
      <c r="F608" s="49" t="s">
        <v>1153</v>
      </c>
      <c r="G608" s="49" t="s">
        <v>772</v>
      </c>
      <c r="H608" s="49" t="s">
        <v>1132</v>
      </c>
      <c r="I608" s="49" t="s">
        <v>885</v>
      </c>
    </row>
    <row r="609" customFormat="false" ht="25.5" hidden="false" customHeight="true" outlineLevel="0" collapsed="false">
      <c r="A609" s="49" t="s">
        <v>995</v>
      </c>
      <c r="B609" s="49" t="s">
        <v>1127</v>
      </c>
      <c r="C609" s="49" t="s">
        <v>1154</v>
      </c>
      <c r="D609" s="49" t="s">
        <v>1134</v>
      </c>
      <c r="E609" s="49" t="s">
        <v>1135</v>
      </c>
      <c r="F609" s="49" t="s">
        <v>1136</v>
      </c>
      <c r="G609" s="49" t="s">
        <v>772</v>
      </c>
      <c r="H609" s="49" t="s">
        <v>1132</v>
      </c>
      <c r="I609" s="49" t="s">
        <v>885</v>
      </c>
    </row>
    <row r="610" customFormat="false" ht="25.5" hidden="false" customHeight="true" outlineLevel="0" collapsed="false">
      <c r="A610" s="49" t="s">
        <v>995</v>
      </c>
      <c r="B610" s="49" t="s">
        <v>1127</v>
      </c>
      <c r="C610" s="49" t="s">
        <v>1155</v>
      </c>
      <c r="D610" s="49" t="s">
        <v>1156</v>
      </c>
      <c r="E610" s="49" t="s">
        <v>1157</v>
      </c>
      <c r="F610" s="49" t="s">
        <v>1158</v>
      </c>
      <c r="G610" s="49" t="s">
        <v>772</v>
      </c>
      <c r="H610" s="49" t="s">
        <v>1132</v>
      </c>
      <c r="I610" s="49" t="s">
        <v>885</v>
      </c>
    </row>
    <row r="611" customFormat="false" ht="25.5" hidden="false" customHeight="true" outlineLevel="0" collapsed="false">
      <c r="A611" s="49" t="s">
        <v>995</v>
      </c>
      <c r="B611" s="49" t="s">
        <v>1127</v>
      </c>
      <c r="C611" s="49" t="s">
        <v>1159</v>
      </c>
      <c r="D611" s="49" t="s">
        <v>1148</v>
      </c>
      <c r="E611" s="49" t="s">
        <v>1135</v>
      </c>
      <c r="F611" s="49" t="s">
        <v>1136</v>
      </c>
      <c r="G611" s="49" t="s">
        <v>772</v>
      </c>
      <c r="H611" s="49" t="s">
        <v>1132</v>
      </c>
      <c r="I611" s="49" t="s">
        <v>885</v>
      </c>
    </row>
    <row r="612" customFormat="false" ht="25.5" hidden="false" customHeight="true" outlineLevel="0" collapsed="false">
      <c r="A612" s="49" t="s">
        <v>995</v>
      </c>
      <c r="B612" s="49" t="s">
        <v>1127</v>
      </c>
      <c r="C612" s="49" t="s">
        <v>1160</v>
      </c>
      <c r="D612" s="49" t="s">
        <v>1134</v>
      </c>
      <c r="E612" s="49" t="s">
        <v>1157</v>
      </c>
      <c r="F612" s="49" t="s">
        <v>1158</v>
      </c>
      <c r="G612" s="49" t="s">
        <v>772</v>
      </c>
      <c r="H612" s="49" t="s">
        <v>1132</v>
      </c>
      <c r="I612" s="49" t="s">
        <v>885</v>
      </c>
    </row>
    <row r="613" customFormat="false" ht="25.5" hidden="false" customHeight="true" outlineLevel="0" collapsed="false">
      <c r="A613" s="49" t="s">
        <v>995</v>
      </c>
      <c r="B613" s="49" t="s">
        <v>1127</v>
      </c>
      <c r="C613" s="49" t="s">
        <v>1161</v>
      </c>
      <c r="D613" s="49" t="s">
        <v>1162</v>
      </c>
      <c r="E613" s="49" t="s">
        <v>1163</v>
      </c>
      <c r="F613" s="49" t="s">
        <v>1164</v>
      </c>
      <c r="G613" s="49" t="s">
        <v>772</v>
      </c>
      <c r="H613" s="49" t="s">
        <v>1132</v>
      </c>
      <c r="I613" s="49" t="s">
        <v>885</v>
      </c>
    </row>
    <row r="614" customFormat="false" ht="25.5" hidden="false" customHeight="true" outlineLevel="0" collapsed="false">
      <c r="A614" s="49" t="s">
        <v>995</v>
      </c>
      <c r="B614" s="49" t="s">
        <v>1127</v>
      </c>
      <c r="C614" s="49" t="s">
        <v>1165</v>
      </c>
      <c r="D614" s="49" t="s">
        <v>1156</v>
      </c>
      <c r="E614" s="49" t="s">
        <v>146</v>
      </c>
      <c r="F614" s="49" t="s">
        <v>1166</v>
      </c>
      <c r="G614" s="49" t="s">
        <v>772</v>
      </c>
      <c r="H614" s="49" t="s">
        <v>1132</v>
      </c>
      <c r="I614" s="49" t="s">
        <v>885</v>
      </c>
    </row>
    <row r="615" customFormat="false" ht="25.5" hidden="false" customHeight="true" outlineLevel="0" collapsed="false">
      <c r="A615" s="49" t="s">
        <v>995</v>
      </c>
      <c r="B615" s="49" t="s">
        <v>1127</v>
      </c>
      <c r="C615" s="49" t="s">
        <v>1167</v>
      </c>
      <c r="D615" s="49" t="s">
        <v>1141</v>
      </c>
      <c r="E615" s="49" t="s">
        <v>1135</v>
      </c>
      <c r="F615" s="49" t="s">
        <v>1136</v>
      </c>
      <c r="G615" s="49" t="s">
        <v>772</v>
      </c>
      <c r="H615" s="49" t="s">
        <v>1132</v>
      </c>
      <c r="I615" s="49" t="s">
        <v>885</v>
      </c>
    </row>
    <row r="616" customFormat="false" ht="25.5" hidden="false" customHeight="true" outlineLevel="0" collapsed="false">
      <c r="A616" s="49" t="s">
        <v>995</v>
      </c>
      <c r="B616" s="49" t="s">
        <v>1127</v>
      </c>
      <c r="C616" s="49" t="s">
        <v>1168</v>
      </c>
      <c r="D616" s="49" t="s">
        <v>1141</v>
      </c>
      <c r="E616" s="49" t="s">
        <v>1145</v>
      </c>
      <c r="F616" s="49" t="s">
        <v>1146</v>
      </c>
      <c r="G616" s="49" t="s">
        <v>772</v>
      </c>
      <c r="H616" s="49" t="s">
        <v>1132</v>
      </c>
      <c r="I616" s="49" t="s">
        <v>885</v>
      </c>
    </row>
    <row r="617" customFormat="false" ht="25.5" hidden="false" customHeight="true" outlineLevel="0" collapsed="false">
      <c r="A617" s="49" t="s">
        <v>995</v>
      </c>
      <c r="B617" s="49" t="s">
        <v>1127</v>
      </c>
      <c r="C617" s="49" t="s">
        <v>1169</v>
      </c>
      <c r="D617" s="49" t="s">
        <v>1148</v>
      </c>
      <c r="E617" s="49" t="s">
        <v>1135</v>
      </c>
      <c r="F617" s="49" t="s">
        <v>1170</v>
      </c>
      <c r="G617" s="49" t="s">
        <v>772</v>
      </c>
      <c r="H617" s="49" t="s">
        <v>1132</v>
      </c>
      <c r="I617" s="49" t="s">
        <v>885</v>
      </c>
    </row>
    <row r="618" customFormat="false" ht="25.5" hidden="false" customHeight="true" outlineLevel="0" collapsed="false">
      <c r="A618" s="49" t="s">
        <v>995</v>
      </c>
      <c r="B618" s="49" t="s">
        <v>1127</v>
      </c>
      <c r="C618" s="49" t="s">
        <v>1171</v>
      </c>
      <c r="D618" s="49" t="s">
        <v>1172</v>
      </c>
      <c r="E618" s="49" t="s">
        <v>1173</v>
      </c>
      <c r="F618" s="49" t="s">
        <v>1174</v>
      </c>
      <c r="G618" s="49" t="s">
        <v>772</v>
      </c>
      <c r="H618" s="49" t="s">
        <v>1132</v>
      </c>
      <c r="I618" s="49" t="s">
        <v>885</v>
      </c>
    </row>
    <row r="619" customFormat="false" ht="25.5" hidden="false" customHeight="true" outlineLevel="0" collapsed="false">
      <c r="A619" s="49" t="s">
        <v>995</v>
      </c>
      <c r="B619" s="49" t="s">
        <v>1127</v>
      </c>
      <c r="C619" s="49" t="s">
        <v>1175</v>
      </c>
      <c r="D619" s="49" t="s">
        <v>1162</v>
      </c>
      <c r="E619" s="49" t="s">
        <v>893</v>
      </c>
      <c r="F619" s="49" t="s">
        <v>1176</v>
      </c>
      <c r="G619" s="49" t="s">
        <v>772</v>
      </c>
      <c r="H619" s="49" t="s">
        <v>1132</v>
      </c>
      <c r="I619" s="49" t="s">
        <v>885</v>
      </c>
    </row>
    <row r="620" customFormat="false" ht="25.5" hidden="false" customHeight="true" outlineLevel="0" collapsed="false">
      <c r="A620" s="49" t="s">
        <v>995</v>
      </c>
      <c r="B620" s="49" t="s">
        <v>1127</v>
      </c>
      <c r="C620" s="49" t="s">
        <v>1177</v>
      </c>
      <c r="D620" s="49" t="s">
        <v>1148</v>
      </c>
      <c r="E620" s="49" t="s">
        <v>217</v>
      </c>
      <c r="F620" s="49" t="s">
        <v>1178</v>
      </c>
      <c r="G620" s="49" t="s">
        <v>772</v>
      </c>
      <c r="H620" s="49" t="s">
        <v>1132</v>
      </c>
      <c r="I620" s="49" t="s">
        <v>885</v>
      </c>
    </row>
    <row r="621" customFormat="false" ht="25.5" hidden="false" customHeight="true" outlineLevel="0" collapsed="false">
      <c r="A621" s="49" t="s">
        <v>995</v>
      </c>
      <c r="B621" s="49" t="s">
        <v>1127</v>
      </c>
      <c r="C621" s="49" t="s">
        <v>1179</v>
      </c>
      <c r="D621" s="49" t="s">
        <v>1151</v>
      </c>
      <c r="E621" s="49" t="s">
        <v>1180</v>
      </c>
      <c r="F621" s="49" t="s">
        <v>1181</v>
      </c>
      <c r="G621" s="49" t="s">
        <v>772</v>
      </c>
      <c r="H621" s="49" t="s">
        <v>1132</v>
      </c>
      <c r="I621" s="49" t="s">
        <v>885</v>
      </c>
    </row>
    <row r="622" customFormat="false" ht="25.5" hidden="false" customHeight="true" outlineLevel="0" collapsed="false">
      <c r="A622" s="49" t="s">
        <v>995</v>
      </c>
      <c r="B622" s="49" t="s">
        <v>1127</v>
      </c>
      <c r="C622" s="49" t="s">
        <v>1182</v>
      </c>
      <c r="D622" s="49" t="s">
        <v>1148</v>
      </c>
      <c r="E622" s="49" t="s">
        <v>1183</v>
      </c>
      <c r="F622" s="49" t="s">
        <v>1184</v>
      </c>
      <c r="G622" s="49" t="s">
        <v>772</v>
      </c>
      <c r="H622" s="49" t="s">
        <v>1132</v>
      </c>
      <c r="I622" s="49" t="s">
        <v>885</v>
      </c>
    </row>
    <row r="623" customFormat="false" ht="25.5" hidden="false" customHeight="true" outlineLevel="0" collapsed="false">
      <c r="A623" s="49" t="s">
        <v>995</v>
      </c>
      <c r="B623" s="49" t="s">
        <v>1127</v>
      </c>
      <c r="C623" s="49" t="s">
        <v>1185</v>
      </c>
      <c r="D623" s="49" t="s">
        <v>1134</v>
      </c>
      <c r="E623" s="49" t="s">
        <v>1186</v>
      </c>
      <c r="F623" s="49" t="s">
        <v>1187</v>
      </c>
      <c r="G623" s="49" t="s">
        <v>772</v>
      </c>
      <c r="H623" s="49" t="s">
        <v>1132</v>
      </c>
      <c r="I623" s="49" t="s">
        <v>885</v>
      </c>
    </row>
    <row r="624" customFormat="false" ht="25.5" hidden="false" customHeight="true" outlineLevel="0" collapsed="false">
      <c r="A624" s="49" t="s">
        <v>995</v>
      </c>
      <c r="B624" s="49" t="s">
        <v>1127</v>
      </c>
      <c r="C624" s="49" t="s">
        <v>1188</v>
      </c>
      <c r="D624" s="49" t="s">
        <v>1134</v>
      </c>
      <c r="E624" s="49" t="s">
        <v>1189</v>
      </c>
      <c r="F624" s="49" t="s">
        <v>1190</v>
      </c>
      <c r="G624" s="49" t="s">
        <v>772</v>
      </c>
      <c r="H624" s="49" t="s">
        <v>1132</v>
      </c>
      <c r="I624" s="49" t="s">
        <v>885</v>
      </c>
    </row>
    <row r="625" customFormat="false" ht="25.5" hidden="false" customHeight="true" outlineLevel="0" collapsed="false">
      <c r="A625" s="49" t="s">
        <v>995</v>
      </c>
      <c r="B625" s="49" t="s">
        <v>1127</v>
      </c>
      <c r="C625" s="49" t="s">
        <v>1191</v>
      </c>
      <c r="D625" s="49" t="s">
        <v>1151</v>
      </c>
      <c r="E625" s="49" t="s">
        <v>1142</v>
      </c>
      <c r="F625" s="49" t="s">
        <v>1192</v>
      </c>
      <c r="G625" s="49" t="s">
        <v>772</v>
      </c>
      <c r="H625" s="49" t="s">
        <v>1132</v>
      </c>
      <c r="I625" s="49" t="s">
        <v>885</v>
      </c>
    </row>
    <row r="626" customFormat="false" ht="25.5" hidden="false" customHeight="true" outlineLevel="0" collapsed="false">
      <c r="A626" s="49" t="s">
        <v>995</v>
      </c>
      <c r="B626" s="49" t="s">
        <v>1127</v>
      </c>
      <c r="C626" s="49" t="s">
        <v>1193</v>
      </c>
      <c r="D626" s="49" t="s">
        <v>1148</v>
      </c>
      <c r="E626" s="49" t="s">
        <v>1194</v>
      </c>
      <c r="F626" s="49" t="s">
        <v>1195</v>
      </c>
      <c r="G626" s="49" t="s">
        <v>772</v>
      </c>
      <c r="H626" s="49" t="s">
        <v>1132</v>
      </c>
      <c r="I626" s="49" t="s">
        <v>885</v>
      </c>
    </row>
    <row r="627" customFormat="false" ht="25.5" hidden="false" customHeight="true" outlineLevel="0" collapsed="false">
      <c r="A627" s="49" t="s">
        <v>995</v>
      </c>
      <c r="B627" s="49" t="s">
        <v>1196</v>
      </c>
      <c r="C627" s="49" t="s">
        <v>1171</v>
      </c>
      <c r="D627" s="49" t="s">
        <v>1172</v>
      </c>
      <c r="E627" s="49" t="s">
        <v>1173</v>
      </c>
      <c r="F627" s="49" t="s">
        <v>1197</v>
      </c>
      <c r="G627" s="49" t="s">
        <v>772</v>
      </c>
      <c r="H627" s="49" t="s">
        <v>1132</v>
      </c>
      <c r="I627" s="49" t="s">
        <v>885</v>
      </c>
    </row>
    <row r="628" customFormat="false" ht="25.5" hidden="false" customHeight="true" outlineLevel="0" collapsed="false">
      <c r="A628" s="49" t="s">
        <v>995</v>
      </c>
      <c r="B628" s="49" t="s">
        <v>1196</v>
      </c>
      <c r="C628" s="49" t="s">
        <v>1198</v>
      </c>
      <c r="D628" s="49" t="s">
        <v>1199</v>
      </c>
      <c r="E628" s="49" t="s">
        <v>1200</v>
      </c>
      <c r="F628" s="49" t="s">
        <v>1201</v>
      </c>
      <c r="G628" s="49" t="s">
        <v>772</v>
      </c>
      <c r="H628" s="49" t="s">
        <v>1132</v>
      </c>
      <c r="I628" s="49" t="s">
        <v>885</v>
      </c>
    </row>
    <row r="629" customFormat="false" ht="25.5" hidden="false" customHeight="true" outlineLevel="0" collapsed="false">
      <c r="A629" s="49" t="s">
        <v>995</v>
      </c>
      <c r="B629" s="49" t="s">
        <v>1196</v>
      </c>
      <c r="C629" s="49" t="s">
        <v>1202</v>
      </c>
      <c r="D629" s="49" t="s">
        <v>1151</v>
      </c>
      <c r="E629" s="49" t="s">
        <v>217</v>
      </c>
      <c r="F629" s="49" t="s">
        <v>1203</v>
      </c>
      <c r="G629" s="49" t="s">
        <v>772</v>
      </c>
      <c r="H629" s="49" t="s">
        <v>1132</v>
      </c>
      <c r="I629" s="49" t="s">
        <v>885</v>
      </c>
    </row>
    <row r="630" customFormat="false" ht="25.5" hidden="false" customHeight="true" outlineLevel="0" collapsed="false">
      <c r="A630" s="49" t="s">
        <v>995</v>
      </c>
      <c r="B630" s="49" t="s">
        <v>1196</v>
      </c>
      <c r="C630" s="49" t="s">
        <v>1204</v>
      </c>
      <c r="D630" s="49" t="s">
        <v>1151</v>
      </c>
      <c r="E630" s="49" t="s">
        <v>1205</v>
      </c>
      <c r="F630" s="49" t="s">
        <v>1206</v>
      </c>
      <c r="G630" s="49" t="s">
        <v>772</v>
      </c>
      <c r="H630" s="49" t="s">
        <v>1132</v>
      </c>
      <c r="I630" s="49" t="s">
        <v>885</v>
      </c>
    </row>
    <row r="631" customFormat="false" ht="25.5" hidden="false" customHeight="true" outlineLevel="0" collapsed="false">
      <c r="A631" s="49" t="s">
        <v>995</v>
      </c>
      <c r="B631" s="49" t="s">
        <v>1196</v>
      </c>
      <c r="C631" s="49" t="s">
        <v>1207</v>
      </c>
      <c r="D631" s="49" t="s">
        <v>1208</v>
      </c>
      <c r="E631" s="49" t="s">
        <v>1183</v>
      </c>
      <c r="F631" s="49" t="s">
        <v>1209</v>
      </c>
      <c r="G631" s="49" t="s">
        <v>772</v>
      </c>
      <c r="H631" s="49" t="s">
        <v>1132</v>
      </c>
      <c r="I631" s="49" t="s">
        <v>885</v>
      </c>
    </row>
    <row r="632" customFormat="false" ht="25.5" hidden="false" customHeight="true" outlineLevel="0" collapsed="false">
      <c r="A632" s="49" t="s">
        <v>995</v>
      </c>
      <c r="B632" s="49" t="s">
        <v>1196</v>
      </c>
      <c r="C632" s="49" t="s">
        <v>1210</v>
      </c>
      <c r="D632" s="49" t="s">
        <v>1141</v>
      </c>
      <c r="E632" s="49" t="s">
        <v>1135</v>
      </c>
      <c r="F632" s="49" t="s">
        <v>1211</v>
      </c>
      <c r="G632" s="49" t="s">
        <v>772</v>
      </c>
      <c r="H632" s="49" t="s">
        <v>1132</v>
      </c>
      <c r="I632" s="49" t="s">
        <v>885</v>
      </c>
    </row>
    <row r="633" customFormat="false" ht="25.5" hidden="false" customHeight="true" outlineLevel="0" collapsed="false">
      <c r="A633" s="49" t="s">
        <v>995</v>
      </c>
      <c r="B633" s="49" t="s">
        <v>1196</v>
      </c>
      <c r="C633" s="49" t="s">
        <v>1212</v>
      </c>
      <c r="D633" s="49" t="s">
        <v>1156</v>
      </c>
      <c r="E633" s="49" t="s">
        <v>1213</v>
      </c>
      <c r="F633" s="49" t="s">
        <v>1214</v>
      </c>
      <c r="G633" s="49" t="s">
        <v>772</v>
      </c>
      <c r="H633" s="49" t="s">
        <v>1132</v>
      </c>
      <c r="I633" s="49" t="s">
        <v>885</v>
      </c>
    </row>
    <row r="634" customFormat="false" ht="25.5" hidden="false" customHeight="true" outlineLevel="0" collapsed="false">
      <c r="A634" s="49" t="s">
        <v>995</v>
      </c>
      <c r="B634" s="49" t="s">
        <v>1196</v>
      </c>
      <c r="C634" s="49" t="s">
        <v>1215</v>
      </c>
      <c r="D634" s="49" t="s">
        <v>1151</v>
      </c>
      <c r="E634" s="49" t="s">
        <v>1135</v>
      </c>
      <c r="F634" s="49" t="s">
        <v>1216</v>
      </c>
      <c r="G634" s="49" t="s">
        <v>772</v>
      </c>
      <c r="H634" s="49" t="s">
        <v>1132</v>
      </c>
      <c r="I634" s="49" t="s">
        <v>885</v>
      </c>
    </row>
    <row r="635" customFormat="false" ht="25.5" hidden="false" customHeight="true" outlineLevel="0" collapsed="false">
      <c r="A635" s="49" t="s">
        <v>995</v>
      </c>
      <c r="B635" s="49" t="s">
        <v>1196</v>
      </c>
      <c r="C635" s="49" t="s">
        <v>1217</v>
      </c>
      <c r="D635" s="49" t="s">
        <v>1218</v>
      </c>
      <c r="E635" s="49" t="s">
        <v>146</v>
      </c>
      <c r="F635" s="49" t="s">
        <v>1219</v>
      </c>
      <c r="G635" s="49" t="s">
        <v>772</v>
      </c>
      <c r="H635" s="49" t="s">
        <v>1132</v>
      </c>
      <c r="I635" s="49" t="s">
        <v>885</v>
      </c>
    </row>
    <row r="636" customFormat="false" ht="25.5" hidden="false" customHeight="true" outlineLevel="0" collapsed="false">
      <c r="A636" s="49" t="s">
        <v>995</v>
      </c>
      <c r="B636" s="49" t="s">
        <v>1196</v>
      </c>
      <c r="C636" s="49" t="s">
        <v>1220</v>
      </c>
      <c r="D636" s="49" t="s">
        <v>1129</v>
      </c>
      <c r="E636" s="49" t="s">
        <v>1183</v>
      </c>
      <c r="F636" s="49" t="s">
        <v>1221</v>
      </c>
      <c r="G636" s="49" t="s">
        <v>772</v>
      </c>
      <c r="H636" s="49" t="s">
        <v>1132</v>
      </c>
      <c r="I636" s="49" t="s">
        <v>885</v>
      </c>
    </row>
    <row r="637" customFormat="false" ht="25.5" hidden="false" customHeight="true" outlineLevel="0" collapsed="false">
      <c r="A637" s="49" t="s">
        <v>995</v>
      </c>
      <c r="B637" s="49" t="s">
        <v>1196</v>
      </c>
      <c r="C637" s="49" t="s">
        <v>1222</v>
      </c>
      <c r="D637" s="49" t="s">
        <v>1141</v>
      </c>
      <c r="E637" s="49" t="s">
        <v>1223</v>
      </c>
      <c r="F637" s="49" t="s">
        <v>1224</v>
      </c>
      <c r="G637" s="49" t="s">
        <v>772</v>
      </c>
      <c r="H637" s="49" t="s">
        <v>1132</v>
      </c>
      <c r="I637" s="49" t="s">
        <v>885</v>
      </c>
    </row>
    <row r="638" customFormat="false" ht="25.5" hidden="false" customHeight="true" outlineLevel="0" collapsed="false">
      <c r="A638" s="49" t="s">
        <v>995</v>
      </c>
      <c r="B638" s="49" t="s">
        <v>1196</v>
      </c>
      <c r="C638" s="49" t="s">
        <v>1225</v>
      </c>
      <c r="D638" s="49" t="s">
        <v>1141</v>
      </c>
      <c r="E638" s="49" t="s">
        <v>1226</v>
      </c>
      <c r="F638" s="49" t="s">
        <v>1227</v>
      </c>
      <c r="G638" s="49" t="s">
        <v>772</v>
      </c>
      <c r="H638" s="49" t="s">
        <v>1132</v>
      </c>
      <c r="I638" s="49" t="s">
        <v>885</v>
      </c>
    </row>
    <row r="639" customFormat="false" ht="25.5" hidden="false" customHeight="true" outlineLevel="0" collapsed="false">
      <c r="A639" s="49" t="s">
        <v>995</v>
      </c>
      <c r="B639" s="49" t="s">
        <v>1196</v>
      </c>
      <c r="C639" s="49" t="s">
        <v>1228</v>
      </c>
      <c r="D639" s="49" t="s">
        <v>1199</v>
      </c>
      <c r="E639" s="49" t="s">
        <v>1135</v>
      </c>
      <c r="F639" s="49" t="s">
        <v>1229</v>
      </c>
      <c r="G639" s="49" t="s">
        <v>772</v>
      </c>
      <c r="H639" s="49" t="s">
        <v>1132</v>
      </c>
      <c r="I639" s="49" t="s">
        <v>885</v>
      </c>
    </row>
    <row r="640" customFormat="false" ht="25.5" hidden="false" customHeight="true" outlineLevel="0" collapsed="false">
      <c r="A640" s="49" t="s">
        <v>995</v>
      </c>
      <c r="B640" s="49" t="s">
        <v>1196</v>
      </c>
      <c r="C640" s="49" t="s">
        <v>1230</v>
      </c>
      <c r="D640" s="49" t="s">
        <v>1208</v>
      </c>
      <c r="E640" s="49" t="s">
        <v>1183</v>
      </c>
      <c r="F640" s="49" t="s">
        <v>1231</v>
      </c>
      <c r="G640" s="49" t="s">
        <v>772</v>
      </c>
      <c r="H640" s="49" t="s">
        <v>1132</v>
      </c>
      <c r="I640" s="49" t="s">
        <v>885</v>
      </c>
    </row>
    <row r="641" customFormat="false" ht="25.5" hidden="false" customHeight="true" outlineLevel="0" collapsed="false">
      <c r="A641" s="49" t="s">
        <v>995</v>
      </c>
      <c r="B641" s="49" t="s">
        <v>1196</v>
      </c>
      <c r="C641" s="49" t="s">
        <v>1232</v>
      </c>
      <c r="D641" s="49" t="s">
        <v>1208</v>
      </c>
      <c r="E641" s="49" t="s">
        <v>1135</v>
      </c>
      <c r="F641" s="49" t="s">
        <v>1229</v>
      </c>
      <c r="G641" s="49" t="s">
        <v>772</v>
      </c>
      <c r="H641" s="49" t="s">
        <v>1132</v>
      </c>
      <c r="I641" s="49" t="s">
        <v>885</v>
      </c>
    </row>
    <row r="642" customFormat="false" ht="25.5" hidden="false" customHeight="true" outlineLevel="0" collapsed="false">
      <c r="A642" s="49" t="s">
        <v>995</v>
      </c>
      <c r="B642" s="49" t="s">
        <v>1196</v>
      </c>
      <c r="C642" s="49" t="s">
        <v>1233</v>
      </c>
      <c r="D642" s="49" t="s">
        <v>1129</v>
      </c>
      <c r="E642" s="49" t="s">
        <v>1234</v>
      </c>
      <c r="F642" s="49" t="s">
        <v>1235</v>
      </c>
      <c r="G642" s="49" t="s">
        <v>772</v>
      </c>
      <c r="H642" s="49" t="s">
        <v>1132</v>
      </c>
      <c r="I642" s="49" t="s">
        <v>885</v>
      </c>
    </row>
    <row r="643" customFormat="false" ht="25.5" hidden="false" customHeight="true" outlineLevel="0" collapsed="false">
      <c r="A643" s="49" t="s">
        <v>995</v>
      </c>
      <c r="B643" s="49" t="s">
        <v>1196</v>
      </c>
      <c r="C643" s="49" t="s">
        <v>1236</v>
      </c>
      <c r="D643" s="49" t="s">
        <v>1199</v>
      </c>
      <c r="E643" s="49" t="s">
        <v>1237</v>
      </c>
      <c r="F643" s="49" t="s">
        <v>1238</v>
      </c>
      <c r="G643" s="49" t="s">
        <v>772</v>
      </c>
      <c r="H643" s="49" t="s">
        <v>1132</v>
      </c>
      <c r="I643" s="49" t="s">
        <v>885</v>
      </c>
    </row>
    <row r="644" customFormat="false" ht="25.5" hidden="false" customHeight="true" outlineLevel="0" collapsed="false">
      <c r="A644" s="49" t="s">
        <v>995</v>
      </c>
      <c r="B644" s="49" t="s">
        <v>1196</v>
      </c>
      <c r="C644" s="49" t="s">
        <v>1239</v>
      </c>
      <c r="D644" s="49" t="s">
        <v>1134</v>
      </c>
      <c r="E644" s="49" t="s">
        <v>1240</v>
      </c>
      <c r="F644" s="49" t="s">
        <v>1241</v>
      </c>
      <c r="G644" s="49" t="s">
        <v>772</v>
      </c>
      <c r="H644" s="49" t="s">
        <v>1132</v>
      </c>
      <c r="I644" s="49" t="s">
        <v>885</v>
      </c>
    </row>
    <row r="645" customFormat="false" ht="25.5" hidden="false" customHeight="true" outlineLevel="0" collapsed="false">
      <c r="A645" s="49" t="s">
        <v>995</v>
      </c>
      <c r="B645" s="49" t="s">
        <v>1196</v>
      </c>
      <c r="C645" s="49" t="s">
        <v>1236</v>
      </c>
      <c r="D645" s="49" t="s">
        <v>1199</v>
      </c>
      <c r="E645" s="49" t="s">
        <v>1237</v>
      </c>
      <c r="F645" s="49" t="s">
        <v>1242</v>
      </c>
      <c r="G645" s="49" t="s">
        <v>772</v>
      </c>
      <c r="H645" s="49" t="s">
        <v>1132</v>
      </c>
      <c r="I645" s="49" t="s">
        <v>885</v>
      </c>
    </row>
    <row r="646" customFormat="false" ht="25.5" hidden="false" customHeight="true" outlineLevel="0" collapsed="false">
      <c r="A646" s="49" t="s">
        <v>995</v>
      </c>
      <c r="B646" s="49" t="s">
        <v>1196</v>
      </c>
      <c r="C646" s="49" t="s">
        <v>1243</v>
      </c>
      <c r="D646" s="49" t="s">
        <v>1151</v>
      </c>
      <c r="E646" s="49" t="s">
        <v>217</v>
      </c>
      <c r="F646" s="49" t="s">
        <v>1244</v>
      </c>
      <c r="G646" s="49" t="s">
        <v>772</v>
      </c>
      <c r="H646" s="49" t="s">
        <v>1132</v>
      </c>
      <c r="I646" s="49" t="s">
        <v>885</v>
      </c>
    </row>
    <row r="647" customFormat="false" ht="25.5" hidden="false" customHeight="true" outlineLevel="0" collapsed="false">
      <c r="A647" s="49" t="s">
        <v>995</v>
      </c>
      <c r="B647" s="49" t="s">
        <v>1196</v>
      </c>
      <c r="C647" s="49" t="s">
        <v>1245</v>
      </c>
      <c r="D647" s="49" t="s">
        <v>1151</v>
      </c>
      <c r="E647" s="49" t="s">
        <v>1183</v>
      </c>
      <c r="F647" s="49" t="s">
        <v>1246</v>
      </c>
      <c r="G647" s="49" t="s">
        <v>772</v>
      </c>
      <c r="H647" s="49" t="s">
        <v>1132</v>
      </c>
      <c r="I647" s="49" t="s">
        <v>885</v>
      </c>
    </row>
    <row r="648" customFormat="false" ht="25.5" hidden="false" customHeight="true" outlineLevel="0" collapsed="false">
      <c r="A648" s="49" t="s">
        <v>995</v>
      </c>
      <c r="B648" s="49" t="s">
        <v>1247</v>
      </c>
      <c r="C648" s="49" t="s">
        <v>1171</v>
      </c>
      <c r="D648" s="49" t="s">
        <v>1172</v>
      </c>
      <c r="E648" s="49" t="s">
        <v>1173</v>
      </c>
      <c r="F648" s="49" t="s">
        <v>1248</v>
      </c>
      <c r="G648" s="49" t="s">
        <v>772</v>
      </c>
      <c r="H648" s="49" t="s">
        <v>1132</v>
      </c>
      <c r="I648" s="49" t="s">
        <v>885</v>
      </c>
    </row>
    <row r="649" customFormat="false" ht="25.5" hidden="false" customHeight="true" outlineLevel="0" collapsed="false">
      <c r="A649" s="49" t="s">
        <v>995</v>
      </c>
      <c r="B649" s="49" t="s">
        <v>1247</v>
      </c>
      <c r="C649" s="49" t="s">
        <v>1249</v>
      </c>
      <c r="D649" s="49" t="s">
        <v>1218</v>
      </c>
      <c r="E649" s="49" t="s">
        <v>1250</v>
      </c>
      <c r="F649" s="49" t="s">
        <v>1251</v>
      </c>
      <c r="G649" s="49" t="s">
        <v>772</v>
      </c>
      <c r="H649" s="49" t="s">
        <v>1132</v>
      </c>
      <c r="I649" s="49" t="s">
        <v>885</v>
      </c>
    </row>
    <row r="650" customFormat="false" ht="25.5" hidden="false" customHeight="true" outlineLevel="0" collapsed="false">
      <c r="A650" s="49" t="s">
        <v>995</v>
      </c>
      <c r="B650" s="49" t="s">
        <v>1247</v>
      </c>
      <c r="C650" s="49" t="s">
        <v>1252</v>
      </c>
      <c r="D650" s="49" t="s">
        <v>1148</v>
      </c>
      <c r="E650" s="49" t="s">
        <v>1183</v>
      </c>
      <c r="F650" s="49" t="s">
        <v>1253</v>
      </c>
      <c r="G650" s="49" t="s">
        <v>772</v>
      </c>
      <c r="H650" s="49" t="s">
        <v>1132</v>
      </c>
      <c r="I650" s="49" t="s">
        <v>885</v>
      </c>
    </row>
    <row r="651" customFormat="false" ht="25.5" hidden="false" customHeight="true" outlineLevel="0" collapsed="false">
      <c r="A651" s="49" t="s">
        <v>995</v>
      </c>
      <c r="B651" s="49" t="s">
        <v>1247</v>
      </c>
      <c r="C651" s="49" t="s">
        <v>1254</v>
      </c>
      <c r="D651" s="49" t="s">
        <v>1141</v>
      </c>
      <c r="E651" s="49" t="s">
        <v>1135</v>
      </c>
      <c r="F651" s="49" t="s">
        <v>1255</v>
      </c>
      <c r="G651" s="49" t="s">
        <v>772</v>
      </c>
      <c r="H651" s="49" t="s">
        <v>1132</v>
      </c>
      <c r="I651" s="49" t="s">
        <v>885</v>
      </c>
    </row>
    <row r="652" customFormat="false" ht="25.5" hidden="false" customHeight="true" outlineLevel="0" collapsed="false">
      <c r="A652" s="49" t="s">
        <v>995</v>
      </c>
      <c r="B652" s="49" t="s">
        <v>1247</v>
      </c>
      <c r="C652" s="49" t="s">
        <v>1256</v>
      </c>
      <c r="D652" s="49" t="s">
        <v>1218</v>
      </c>
      <c r="E652" s="49" t="s">
        <v>1135</v>
      </c>
      <c r="F652" s="49" t="s">
        <v>1257</v>
      </c>
      <c r="G652" s="49" t="s">
        <v>772</v>
      </c>
      <c r="H652" s="49" t="s">
        <v>1132</v>
      </c>
      <c r="I652" s="49" t="s">
        <v>885</v>
      </c>
    </row>
    <row r="653" customFormat="false" ht="25.5" hidden="false" customHeight="true" outlineLevel="0" collapsed="false">
      <c r="A653" s="49" t="s">
        <v>995</v>
      </c>
      <c r="B653" s="49" t="s">
        <v>1247</v>
      </c>
      <c r="C653" s="49" t="s">
        <v>1258</v>
      </c>
      <c r="D653" s="49" t="s">
        <v>1156</v>
      </c>
      <c r="E653" s="49" t="s">
        <v>217</v>
      </c>
      <c r="F653" s="49" t="s">
        <v>1259</v>
      </c>
      <c r="G653" s="49" t="s">
        <v>772</v>
      </c>
      <c r="H653" s="49" t="s">
        <v>1132</v>
      </c>
      <c r="I653" s="49" t="s">
        <v>885</v>
      </c>
    </row>
    <row r="654" customFormat="false" ht="25.5" hidden="false" customHeight="true" outlineLevel="0" collapsed="false">
      <c r="A654" s="49" t="s">
        <v>995</v>
      </c>
      <c r="B654" s="49" t="s">
        <v>1247</v>
      </c>
      <c r="C654" s="49" t="s">
        <v>1260</v>
      </c>
      <c r="D654" s="49" t="s">
        <v>1208</v>
      </c>
      <c r="E654" s="49" t="s">
        <v>1183</v>
      </c>
      <c r="F654" s="49" t="s">
        <v>1261</v>
      </c>
      <c r="G654" s="49" t="s">
        <v>772</v>
      </c>
      <c r="H654" s="49" t="s">
        <v>1132</v>
      </c>
      <c r="I654" s="49" t="s">
        <v>885</v>
      </c>
    </row>
    <row r="655" customFormat="false" ht="25.5" hidden="false" customHeight="true" outlineLevel="0" collapsed="false">
      <c r="A655" s="49" t="s">
        <v>995</v>
      </c>
      <c r="B655" s="49" t="s">
        <v>1247</v>
      </c>
      <c r="C655" s="49" t="s">
        <v>1262</v>
      </c>
      <c r="D655" s="49" t="s">
        <v>1162</v>
      </c>
      <c r="E655" s="49" t="s">
        <v>217</v>
      </c>
      <c r="F655" s="49" t="s">
        <v>1263</v>
      </c>
      <c r="G655" s="49" t="s">
        <v>772</v>
      </c>
      <c r="H655" s="49" t="s">
        <v>1132</v>
      </c>
      <c r="I655" s="49" t="s">
        <v>885</v>
      </c>
    </row>
    <row r="656" customFormat="false" ht="25.5" hidden="false" customHeight="true" outlineLevel="0" collapsed="false">
      <c r="A656" s="49" t="s">
        <v>995</v>
      </c>
      <c r="B656" s="49" t="s">
        <v>1247</v>
      </c>
      <c r="C656" s="49" t="s">
        <v>1264</v>
      </c>
      <c r="D656" s="49" t="s">
        <v>1134</v>
      </c>
      <c r="E656" s="49" t="s">
        <v>1265</v>
      </c>
      <c r="F656" s="49" t="s">
        <v>1266</v>
      </c>
      <c r="G656" s="49" t="s">
        <v>772</v>
      </c>
      <c r="H656" s="49" t="s">
        <v>1132</v>
      </c>
      <c r="I656" s="49" t="s">
        <v>885</v>
      </c>
    </row>
    <row r="657" customFormat="false" ht="25.5" hidden="false" customHeight="true" outlineLevel="0" collapsed="false">
      <c r="A657" s="49" t="s">
        <v>995</v>
      </c>
      <c r="B657" s="49" t="s">
        <v>1247</v>
      </c>
      <c r="C657" s="49" t="s">
        <v>1267</v>
      </c>
      <c r="D657" s="49" t="s">
        <v>1141</v>
      </c>
      <c r="E657" s="49" t="s">
        <v>1268</v>
      </c>
      <c r="F657" s="49" t="s">
        <v>1269</v>
      </c>
      <c r="G657" s="49" t="s">
        <v>772</v>
      </c>
      <c r="H657" s="49" t="s">
        <v>1132</v>
      </c>
      <c r="I657" s="49" t="s">
        <v>885</v>
      </c>
    </row>
    <row r="658" customFormat="false" ht="25.5" hidden="false" customHeight="true" outlineLevel="0" collapsed="false">
      <c r="A658" s="49" t="s">
        <v>995</v>
      </c>
      <c r="B658" s="49" t="s">
        <v>1247</v>
      </c>
      <c r="C658" s="49" t="s">
        <v>1270</v>
      </c>
      <c r="D658" s="49" t="s">
        <v>1208</v>
      </c>
      <c r="E658" s="49" t="s">
        <v>1271</v>
      </c>
      <c r="F658" s="49" t="s">
        <v>1272</v>
      </c>
      <c r="G658" s="49" t="s">
        <v>772</v>
      </c>
      <c r="H658" s="49" t="s">
        <v>1132</v>
      </c>
      <c r="I658" s="49" t="s">
        <v>885</v>
      </c>
    </row>
    <row r="659" customFormat="false" ht="25.5" hidden="false" customHeight="true" outlineLevel="0" collapsed="false">
      <c r="A659" s="49" t="s">
        <v>995</v>
      </c>
      <c r="B659" s="49" t="s">
        <v>1247</v>
      </c>
      <c r="C659" s="49" t="s">
        <v>1273</v>
      </c>
      <c r="D659" s="49" t="s">
        <v>1218</v>
      </c>
      <c r="E659" s="49" t="s">
        <v>893</v>
      </c>
      <c r="F659" s="49" t="s">
        <v>1274</v>
      </c>
      <c r="G659" s="49" t="s">
        <v>772</v>
      </c>
      <c r="H659" s="49" t="s">
        <v>1132</v>
      </c>
      <c r="I659" s="49" t="s">
        <v>885</v>
      </c>
    </row>
    <row r="660" customFormat="false" ht="25.5" hidden="false" customHeight="true" outlineLevel="0" collapsed="false">
      <c r="A660" s="49" t="s">
        <v>995</v>
      </c>
      <c r="B660" s="49" t="s">
        <v>1247</v>
      </c>
      <c r="C660" s="49" t="s">
        <v>1275</v>
      </c>
      <c r="D660" s="49" t="s">
        <v>1156</v>
      </c>
      <c r="E660" s="49" t="s">
        <v>893</v>
      </c>
      <c r="F660" s="49" t="s">
        <v>1274</v>
      </c>
      <c r="G660" s="49" t="s">
        <v>772</v>
      </c>
      <c r="H660" s="49" t="s">
        <v>1132</v>
      </c>
      <c r="I660" s="49" t="s">
        <v>885</v>
      </c>
    </row>
    <row r="661" customFormat="false" ht="25.5" hidden="false" customHeight="true" outlineLevel="0" collapsed="false">
      <c r="A661" s="49" t="s">
        <v>995</v>
      </c>
      <c r="B661" s="49" t="s">
        <v>1247</v>
      </c>
      <c r="C661" s="49" t="s">
        <v>1276</v>
      </c>
      <c r="D661" s="49" t="s">
        <v>1134</v>
      </c>
      <c r="E661" s="49" t="s">
        <v>1183</v>
      </c>
      <c r="F661" s="49" t="s">
        <v>1277</v>
      </c>
      <c r="G661" s="49" t="s">
        <v>772</v>
      </c>
      <c r="H661" s="49" t="s">
        <v>1132</v>
      </c>
      <c r="I661" s="49" t="s">
        <v>885</v>
      </c>
    </row>
    <row r="662" customFormat="false" ht="25.5" hidden="false" customHeight="true" outlineLevel="0" collapsed="false">
      <c r="A662" s="49" t="s">
        <v>995</v>
      </c>
      <c r="B662" s="49" t="s">
        <v>1247</v>
      </c>
      <c r="C662" s="49" t="s">
        <v>1278</v>
      </c>
      <c r="D662" s="49" t="s">
        <v>1208</v>
      </c>
      <c r="E662" s="49" t="s">
        <v>1279</v>
      </c>
      <c r="F662" s="49" t="s">
        <v>1280</v>
      </c>
      <c r="G662" s="49" t="s">
        <v>772</v>
      </c>
      <c r="H662" s="49" t="s">
        <v>1132</v>
      </c>
      <c r="I662" s="49" t="s">
        <v>885</v>
      </c>
    </row>
    <row r="663" customFormat="false" ht="25.5" hidden="false" customHeight="true" outlineLevel="0" collapsed="false">
      <c r="A663" s="49" t="s">
        <v>995</v>
      </c>
      <c r="B663" s="49" t="s">
        <v>1247</v>
      </c>
      <c r="C663" s="49" t="s">
        <v>1281</v>
      </c>
      <c r="D663" s="49" t="s">
        <v>1162</v>
      </c>
      <c r="E663" s="49" t="s">
        <v>1163</v>
      </c>
      <c r="F663" s="49" t="s">
        <v>1282</v>
      </c>
      <c r="G663" s="49" t="s">
        <v>772</v>
      </c>
      <c r="H663" s="49" t="s">
        <v>1132</v>
      </c>
      <c r="I663" s="49" t="s">
        <v>885</v>
      </c>
    </row>
    <row r="664" customFormat="false" ht="25.5" hidden="false" customHeight="true" outlineLevel="0" collapsed="false">
      <c r="A664" s="49" t="s">
        <v>995</v>
      </c>
      <c r="B664" s="49" t="s">
        <v>1247</v>
      </c>
      <c r="C664" s="49" t="s">
        <v>1283</v>
      </c>
      <c r="D664" s="49" t="s">
        <v>1199</v>
      </c>
      <c r="E664" s="49" t="s">
        <v>1284</v>
      </c>
      <c r="F664" s="49" t="s">
        <v>1285</v>
      </c>
      <c r="G664" s="49" t="s">
        <v>772</v>
      </c>
      <c r="H664" s="49" t="s">
        <v>1132</v>
      </c>
      <c r="I664" s="49" t="s">
        <v>885</v>
      </c>
    </row>
    <row r="665" customFormat="false" ht="25.5" hidden="false" customHeight="true" outlineLevel="0" collapsed="false">
      <c r="A665" s="49" t="s">
        <v>995</v>
      </c>
      <c r="B665" s="49" t="s">
        <v>1247</v>
      </c>
      <c r="C665" s="49" t="s">
        <v>1286</v>
      </c>
      <c r="D665" s="49" t="s">
        <v>1208</v>
      </c>
      <c r="E665" s="49" t="s">
        <v>217</v>
      </c>
      <c r="F665" s="49" t="s">
        <v>1287</v>
      </c>
      <c r="G665" s="49" t="s">
        <v>772</v>
      </c>
      <c r="H665" s="49" t="s">
        <v>1132</v>
      </c>
      <c r="I665" s="49" t="s">
        <v>885</v>
      </c>
    </row>
    <row r="666" customFormat="false" ht="25.5" hidden="false" customHeight="true" outlineLevel="0" collapsed="false">
      <c r="A666" s="49" t="s">
        <v>995</v>
      </c>
      <c r="B666" s="49" t="s">
        <v>1247</v>
      </c>
      <c r="C666" s="49" t="s">
        <v>1288</v>
      </c>
      <c r="D666" s="49" t="s">
        <v>1218</v>
      </c>
      <c r="E666" s="49" t="s">
        <v>1289</v>
      </c>
      <c r="F666" s="49" t="s">
        <v>1290</v>
      </c>
      <c r="G666" s="49" t="s">
        <v>772</v>
      </c>
      <c r="H666" s="49" t="s">
        <v>1132</v>
      </c>
      <c r="I666" s="49" t="s">
        <v>885</v>
      </c>
    </row>
    <row r="667" customFormat="false" ht="25.5" hidden="false" customHeight="true" outlineLevel="0" collapsed="false">
      <c r="A667" s="49" t="s">
        <v>995</v>
      </c>
      <c r="B667" s="49" t="s">
        <v>1247</v>
      </c>
      <c r="C667" s="49" t="s">
        <v>1291</v>
      </c>
      <c r="D667" s="49" t="s">
        <v>1292</v>
      </c>
      <c r="E667" s="49" t="s">
        <v>1157</v>
      </c>
      <c r="F667" s="49" t="s">
        <v>1293</v>
      </c>
      <c r="G667" s="49" t="s">
        <v>772</v>
      </c>
      <c r="H667" s="49" t="s">
        <v>1132</v>
      </c>
      <c r="I667" s="49" t="s">
        <v>885</v>
      </c>
    </row>
    <row r="668" customFormat="false" ht="25.5" hidden="false" customHeight="true" outlineLevel="0" collapsed="false">
      <c r="A668" s="49" t="s">
        <v>995</v>
      </c>
      <c r="B668" s="49" t="s">
        <v>1294</v>
      </c>
      <c r="C668" s="49" t="s">
        <v>1171</v>
      </c>
      <c r="D668" s="49" t="s">
        <v>1172</v>
      </c>
      <c r="E668" s="49" t="s">
        <v>1173</v>
      </c>
      <c r="F668" s="49" t="s">
        <v>1174</v>
      </c>
      <c r="G668" s="49" t="s">
        <v>772</v>
      </c>
      <c r="H668" s="49" t="s">
        <v>1132</v>
      </c>
      <c r="I668" s="49" t="s">
        <v>885</v>
      </c>
    </row>
    <row r="669" customFormat="false" ht="25.5" hidden="false" customHeight="true" outlineLevel="0" collapsed="false">
      <c r="A669" s="49" t="s">
        <v>995</v>
      </c>
      <c r="B669" s="49" t="s">
        <v>1294</v>
      </c>
      <c r="C669" s="49" t="s">
        <v>1295</v>
      </c>
      <c r="D669" s="49" t="s">
        <v>1292</v>
      </c>
      <c r="E669" s="49" t="s">
        <v>1296</v>
      </c>
      <c r="F669" s="49" t="s">
        <v>1297</v>
      </c>
      <c r="G669" s="49" t="s">
        <v>772</v>
      </c>
      <c r="H669" s="49" t="s">
        <v>1132</v>
      </c>
      <c r="I669" s="49" t="s">
        <v>885</v>
      </c>
    </row>
    <row r="670" customFormat="false" ht="25.5" hidden="false" customHeight="true" outlineLevel="0" collapsed="false">
      <c r="A670" s="49" t="s">
        <v>995</v>
      </c>
      <c r="B670" s="49" t="s">
        <v>1294</v>
      </c>
      <c r="C670" s="49" t="s">
        <v>1298</v>
      </c>
      <c r="D670" s="49" t="s">
        <v>1141</v>
      </c>
      <c r="E670" s="49" t="s">
        <v>1183</v>
      </c>
      <c r="F670" s="49" t="s">
        <v>1299</v>
      </c>
      <c r="G670" s="49" t="s">
        <v>772</v>
      </c>
      <c r="H670" s="49" t="s">
        <v>1132</v>
      </c>
      <c r="I670" s="49" t="s">
        <v>885</v>
      </c>
    </row>
    <row r="671" customFormat="false" ht="25.5" hidden="false" customHeight="true" outlineLevel="0" collapsed="false">
      <c r="A671" s="49" t="s">
        <v>995</v>
      </c>
      <c r="B671" s="49" t="s">
        <v>1294</v>
      </c>
      <c r="C671" s="49" t="s">
        <v>1300</v>
      </c>
      <c r="D671" s="49" t="s">
        <v>1218</v>
      </c>
      <c r="E671" s="49" t="s">
        <v>1183</v>
      </c>
      <c r="F671" s="49" t="s">
        <v>1301</v>
      </c>
      <c r="G671" s="49" t="s">
        <v>772</v>
      </c>
      <c r="H671" s="49" t="s">
        <v>1132</v>
      </c>
      <c r="I671" s="49" t="s">
        <v>885</v>
      </c>
    </row>
    <row r="672" customFormat="false" ht="25.5" hidden="false" customHeight="true" outlineLevel="0" collapsed="false">
      <c r="A672" s="49" t="s">
        <v>995</v>
      </c>
      <c r="B672" s="49" t="s">
        <v>1294</v>
      </c>
      <c r="C672" s="49" t="s">
        <v>1302</v>
      </c>
      <c r="D672" s="49" t="s">
        <v>1199</v>
      </c>
      <c r="E672" s="49" t="s">
        <v>1183</v>
      </c>
      <c r="F672" s="49" t="s">
        <v>1303</v>
      </c>
      <c r="G672" s="49" t="s">
        <v>772</v>
      </c>
      <c r="H672" s="49" t="s">
        <v>1132</v>
      </c>
      <c r="I672" s="49" t="s">
        <v>885</v>
      </c>
    </row>
    <row r="673" customFormat="false" ht="25.5" hidden="false" customHeight="true" outlineLevel="0" collapsed="false">
      <c r="A673" s="49" t="s">
        <v>995</v>
      </c>
      <c r="B673" s="49" t="s">
        <v>1294</v>
      </c>
      <c r="C673" s="49" t="s">
        <v>1304</v>
      </c>
      <c r="D673" s="49" t="s">
        <v>1156</v>
      </c>
      <c r="E673" s="49" t="s">
        <v>1265</v>
      </c>
      <c r="F673" s="49" t="s">
        <v>1305</v>
      </c>
      <c r="G673" s="49" t="s">
        <v>772</v>
      </c>
      <c r="H673" s="49" t="s">
        <v>1132</v>
      </c>
      <c r="I673" s="49" t="s">
        <v>885</v>
      </c>
    </row>
    <row r="674" customFormat="false" ht="25.5" hidden="false" customHeight="true" outlineLevel="0" collapsed="false">
      <c r="A674" s="49" t="s">
        <v>995</v>
      </c>
      <c r="B674" s="49" t="s">
        <v>1294</v>
      </c>
      <c r="C674" s="49" t="s">
        <v>1306</v>
      </c>
      <c r="D674" s="49" t="s">
        <v>1148</v>
      </c>
      <c r="E674" s="49" t="s">
        <v>1226</v>
      </c>
      <c r="F674" s="49" t="s">
        <v>1307</v>
      </c>
      <c r="G674" s="49" t="s">
        <v>772</v>
      </c>
      <c r="H674" s="49" t="s">
        <v>1132</v>
      </c>
      <c r="I674" s="49" t="s">
        <v>885</v>
      </c>
    </row>
    <row r="675" customFormat="false" ht="25.5" hidden="false" customHeight="true" outlineLevel="0" collapsed="false">
      <c r="A675" s="49" t="s">
        <v>995</v>
      </c>
      <c r="B675" s="49" t="s">
        <v>1294</v>
      </c>
      <c r="C675" s="49" t="s">
        <v>1308</v>
      </c>
      <c r="D675" s="49" t="s">
        <v>1156</v>
      </c>
      <c r="E675" s="49" t="s">
        <v>1309</v>
      </c>
      <c r="F675" s="49" t="s">
        <v>1310</v>
      </c>
      <c r="G675" s="49" t="s">
        <v>772</v>
      </c>
      <c r="H675" s="49" t="s">
        <v>1132</v>
      </c>
      <c r="I675" s="49" t="s">
        <v>885</v>
      </c>
    </row>
    <row r="676" customFormat="false" ht="25.5" hidden="false" customHeight="true" outlineLevel="0" collapsed="false">
      <c r="A676" s="49" t="s">
        <v>995</v>
      </c>
      <c r="B676" s="49" t="s">
        <v>1294</v>
      </c>
      <c r="C676" s="49" t="s">
        <v>1311</v>
      </c>
      <c r="D676" s="49" t="s">
        <v>1199</v>
      </c>
      <c r="E676" s="49" t="s">
        <v>217</v>
      </c>
      <c r="F676" s="49" t="s">
        <v>1312</v>
      </c>
      <c r="G676" s="49" t="s">
        <v>772</v>
      </c>
      <c r="H676" s="49" t="s">
        <v>1132</v>
      </c>
      <c r="I676" s="49" t="s">
        <v>885</v>
      </c>
    </row>
    <row r="677" customFormat="false" ht="25.5" hidden="false" customHeight="true" outlineLevel="0" collapsed="false">
      <c r="A677" s="49" t="s">
        <v>995</v>
      </c>
      <c r="B677" s="49" t="s">
        <v>1294</v>
      </c>
      <c r="C677" s="49" t="s">
        <v>1313</v>
      </c>
      <c r="D677" s="49" t="s">
        <v>1208</v>
      </c>
      <c r="E677" s="49" t="s">
        <v>1183</v>
      </c>
      <c r="F677" s="49" t="s">
        <v>1314</v>
      </c>
      <c r="G677" s="49" t="s">
        <v>772</v>
      </c>
      <c r="H677" s="49" t="s">
        <v>1132</v>
      </c>
      <c r="I677" s="49" t="s">
        <v>885</v>
      </c>
    </row>
    <row r="678" customFormat="false" ht="25.5" hidden="false" customHeight="true" outlineLevel="0" collapsed="false">
      <c r="A678" s="49" t="s">
        <v>995</v>
      </c>
      <c r="B678" s="49" t="s">
        <v>1294</v>
      </c>
      <c r="C678" s="49" t="s">
        <v>1315</v>
      </c>
      <c r="D678" s="49" t="s">
        <v>1208</v>
      </c>
      <c r="E678" s="49" t="s">
        <v>1186</v>
      </c>
      <c r="F678" s="49" t="s">
        <v>1316</v>
      </c>
      <c r="G678" s="49" t="s">
        <v>772</v>
      </c>
      <c r="H678" s="49" t="s">
        <v>1132</v>
      </c>
      <c r="I678" s="49" t="s">
        <v>885</v>
      </c>
    </row>
    <row r="679" customFormat="false" ht="25.5" hidden="false" customHeight="true" outlineLevel="0" collapsed="false">
      <c r="A679" s="49" t="s">
        <v>995</v>
      </c>
      <c r="B679" s="49" t="s">
        <v>1294</v>
      </c>
      <c r="C679" s="49" t="s">
        <v>1317</v>
      </c>
      <c r="D679" s="49" t="s">
        <v>1151</v>
      </c>
      <c r="E679" s="49" t="s">
        <v>1265</v>
      </c>
      <c r="F679" s="49" t="s">
        <v>1318</v>
      </c>
      <c r="G679" s="49" t="s">
        <v>772</v>
      </c>
      <c r="H679" s="49" t="s">
        <v>1132</v>
      </c>
      <c r="I679" s="49" t="s">
        <v>885</v>
      </c>
    </row>
    <row r="680" customFormat="false" ht="25.5" hidden="false" customHeight="true" outlineLevel="0" collapsed="false">
      <c r="A680" s="49" t="s">
        <v>995</v>
      </c>
      <c r="B680" s="49" t="s">
        <v>1294</v>
      </c>
      <c r="C680" s="49" t="s">
        <v>1319</v>
      </c>
      <c r="D680" s="49" t="s">
        <v>1156</v>
      </c>
      <c r="E680" s="49" t="s">
        <v>1183</v>
      </c>
      <c r="F680" s="49" t="s">
        <v>1320</v>
      </c>
      <c r="G680" s="49" t="s">
        <v>772</v>
      </c>
      <c r="H680" s="49" t="s">
        <v>1132</v>
      </c>
      <c r="I680" s="49" t="s">
        <v>885</v>
      </c>
    </row>
    <row r="681" customFormat="false" ht="25.5" hidden="false" customHeight="true" outlineLevel="0" collapsed="false">
      <c r="A681" s="49" t="s">
        <v>995</v>
      </c>
      <c r="B681" s="49" t="s">
        <v>1294</v>
      </c>
      <c r="C681" s="49" t="s">
        <v>1321</v>
      </c>
      <c r="D681" s="49" t="s">
        <v>1151</v>
      </c>
      <c r="E681" s="49" t="s">
        <v>1265</v>
      </c>
      <c r="F681" s="49" t="s">
        <v>1227</v>
      </c>
      <c r="G681" s="49" t="s">
        <v>772</v>
      </c>
      <c r="H681" s="49" t="s">
        <v>1132</v>
      </c>
      <c r="I681" s="49" t="s">
        <v>885</v>
      </c>
    </row>
    <row r="682" customFormat="false" ht="25.5" hidden="false" customHeight="true" outlineLevel="0" collapsed="false">
      <c r="A682" s="49" t="s">
        <v>995</v>
      </c>
      <c r="B682" s="49" t="s">
        <v>1294</v>
      </c>
      <c r="C682" s="49" t="s">
        <v>1322</v>
      </c>
      <c r="D682" s="49" t="s">
        <v>1208</v>
      </c>
      <c r="E682" s="49" t="s">
        <v>1183</v>
      </c>
      <c r="F682" s="49" t="s">
        <v>1323</v>
      </c>
      <c r="G682" s="49" t="s">
        <v>772</v>
      </c>
      <c r="H682" s="49" t="s">
        <v>1132</v>
      </c>
      <c r="I682" s="49" t="s">
        <v>885</v>
      </c>
    </row>
    <row r="683" customFormat="false" ht="25.5" hidden="false" customHeight="true" outlineLevel="0" collapsed="false">
      <c r="A683" s="49" t="s">
        <v>995</v>
      </c>
      <c r="B683" s="49" t="s">
        <v>1294</v>
      </c>
      <c r="C683" s="49" t="s">
        <v>1324</v>
      </c>
      <c r="D683" s="49" t="s">
        <v>1129</v>
      </c>
      <c r="E683" s="49" t="s">
        <v>1183</v>
      </c>
      <c r="F683" s="49" t="s">
        <v>1325</v>
      </c>
      <c r="G683" s="49" t="s">
        <v>772</v>
      </c>
      <c r="H683" s="49" t="s">
        <v>1132</v>
      </c>
      <c r="I683" s="49" t="s">
        <v>885</v>
      </c>
    </row>
    <row r="684" customFormat="false" ht="25.5" hidden="false" customHeight="true" outlineLevel="0" collapsed="false">
      <c r="A684" s="49" t="s">
        <v>995</v>
      </c>
      <c r="B684" s="49" t="s">
        <v>1294</v>
      </c>
      <c r="C684" s="49" t="s">
        <v>1326</v>
      </c>
      <c r="D684" s="49" t="s">
        <v>1129</v>
      </c>
      <c r="E684" s="49" t="s">
        <v>893</v>
      </c>
      <c r="F684" s="49" t="s">
        <v>1327</v>
      </c>
      <c r="G684" s="49" t="s">
        <v>772</v>
      </c>
      <c r="H684" s="49" t="s">
        <v>1132</v>
      </c>
      <c r="I684" s="49" t="s">
        <v>885</v>
      </c>
    </row>
    <row r="685" customFormat="false" ht="25.5" hidden="false" customHeight="true" outlineLevel="0" collapsed="false">
      <c r="A685" s="49" t="s">
        <v>995</v>
      </c>
      <c r="B685" s="49" t="s">
        <v>1294</v>
      </c>
      <c r="C685" s="49" t="s">
        <v>1328</v>
      </c>
      <c r="D685" s="49" t="s">
        <v>1129</v>
      </c>
      <c r="E685" s="49" t="s">
        <v>1183</v>
      </c>
      <c r="F685" s="49" t="s">
        <v>1329</v>
      </c>
      <c r="G685" s="49" t="s">
        <v>772</v>
      </c>
      <c r="H685" s="49" t="s">
        <v>1132</v>
      </c>
      <c r="I685" s="49" t="s">
        <v>885</v>
      </c>
    </row>
    <row r="686" customFormat="false" ht="25.5" hidden="false" customHeight="true" outlineLevel="0" collapsed="false">
      <c r="A686" s="49" t="s">
        <v>995</v>
      </c>
      <c r="B686" s="49" t="s">
        <v>1294</v>
      </c>
      <c r="C686" s="49" t="s">
        <v>1330</v>
      </c>
      <c r="D686" s="49" t="s">
        <v>1134</v>
      </c>
      <c r="E686" s="49" t="s">
        <v>1183</v>
      </c>
      <c r="F686" s="49" t="s">
        <v>1331</v>
      </c>
      <c r="G686" s="49" t="s">
        <v>772</v>
      </c>
      <c r="H686" s="49" t="s">
        <v>1132</v>
      </c>
      <c r="I686" s="49" t="s">
        <v>885</v>
      </c>
    </row>
    <row r="687" customFormat="false" ht="25.5" hidden="false" customHeight="true" outlineLevel="0" collapsed="false">
      <c r="A687" s="49" t="s">
        <v>995</v>
      </c>
      <c r="B687" s="49" t="s">
        <v>1294</v>
      </c>
      <c r="C687" s="49" t="s">
        <v>1332</v>
      </c>
      <c r="D687" s="49" t="s">
        <v>1156</v>
      </c>
      <c r="E687" s="49" t="s">
        <v>1333</v>
      </c>
      <c r="F687" s="49" t="s">
        <v>1334</v>
      </c>
      <c r="G687" s="49" t="s">
        <v>772</v>
      </c>
      <c r="H687" s="49" t="s">
        <v>1132</v>
      </c>
      <c r="I687" s="49" t="s">
        <v>885</v>
      </c>
    </row>
    <row r="688" customFormat="false" ht="25.5" hidden="false" customHeight="true" outlineLevel="0" collapsed="false">
      <c r="A688" s="49" t="s">
        <v>995</v>
      </c>
      <c r="B688" s="49" t="s">
        <v>1294</v>
      </c>
      <c r="C688" s="49" t="s">
        <v>1335</v>
      </c>
      <c r="D688" s="49" t="s">
        <v>1199</v>
      </c>
      <c r="E688" s="49" t="s">
        <v>1183</v>
      </c>
      <c r="F688" s="49" t="s">
        <v>1336</v>
      </c>
      <c r="G688" s="49" t="s">
        <v>772</v>
      </c>
      <c r="H688" s="49" t="s">
        <v>1132</v>
      </c>
      <c r="I688" s="49" t="s">
        <v>885</v>
      </c>
    </row>
    <row r="689" customFormat="false" ht="25.5" hidden="false" customHeight="true" outlineLevel="0" collapsed="false">
      <c r="A689" s="49" t="s">
        <v>995</v>
      </c>
      <c r="B689" s="49" t="s">
        <v>1294</v>
      </c>
      <c r="C689" s="49" t="s">
        <v>1337</v>
      </c>
      <c r="D689" s="49" t="s">
        <v>1134</v>
      </c>
      <c r="E689" s="49" t="s">
        <v>217</v>
      </c>
      <c r="F689" s="49" t="s">
        <v>1338</v>
      </c>
      <c r="G689" s="49" t="s">
        <v>772</v>
      </c>
      <c r="H689" s="49" t="s">
        <v>1132</v>
      </c>
      <c r="I689" s="49" t="s">
        <v>885</v>
      </c>
    </row>
    <row r="690" customFormat="false" ht="25.5" hidden="false" customHeight="true" outlineLevel="0" collapsed="false">
      <c r="A690" s="49" t="s">
        <v>995</v>
      </c>
      <c r="B690" s="49" t="s">
        <v>1294</v>
      </c>
      <c r="C690" s="49" t="s">
        <v>1339</v>
      </c>
      <c r="D690" s="49" t="s">
        <v>1208</v>
      </c>
      <c r="E690" s="49" t="s">
        <v>40</v>
      </c>
      <c r="F690" s="49" t="s">
        <v>1340</v>
      </c>
      <c r="G690" s="49" t="s">
        <v>772</v>
      </c>
      <c r="H690" s="49" t="s">
        <v>1132</v>
      </c>
      <c r="I690" s="49" t="s">
        <v>885</v>
      </c>
    </row>
    <row r="691" customFormat="false" ht="25.5" hidden="false" customHeight="true" outlineLevel="0" collapsed="false">
      <c r="A691" s="49" t="s">
        <v>995</v>
      </c>
      <c r="B691" s="49" t="s">
        <v>1341</v>
      </c>
      <c r="C691" s="49" t="s">
        <v>1171</v>
      </c>
      <c r="D691" s="49" t="s">
        <v>1172</v>
      </c>
      <c r="E691" s="49" t="s">
        <v>1173</v>
      </c>
      <c r="F691" s="49" t="s">
        <v>1174</v>
      </c>
      <c r="G691" s="49" t="s">
        <v>772</v>
      </c>
      <c r="H691" s="49" t="s">
        <v>1132</v>
      </c>
      <c r="I691" s="49" t="s">
        <v>885</v>
      </c>
    </row>
    <row r="692" customFormat="false" ht="25.5" hidden="false" customHeight="true" outlineLevel="0" collapsed="false">
      <c r="A692" s="49" t="s">
        <v>995</v>
      </c>
      <c r="B692" s="49" t="s">
        <v>1341</v>
      </c>
      <c r="C692" s="49" t="s">
        <v>1342</v>
      </c>
      <c r="D692" s="49" t="s">
        <v>1292</v>
      </c>
      <c r="E692" s="49" t="s">
        <v>1113</v>
      </c>
      <c r="F692" s="49" t="s">
        <v>1343</v>
      </c>
      <c r="G692" s="49" t="s">
        <v>772</v>
      </c>
      <c r="H692" s="49" t="s">
        <v>1132</v>
      </c>
      <c r="I692" s="49" t="s">
        <v>885</v>
      </c>
    </row>
    <row r="693" customFormat="false" ht="25.5" hidden="false" customHeight="true" outlineLevel="0" collapsed="false">
      <c r="A693" s="49" t="s">
        <v>995</v>
      </c>
      <c r="B693" s="49" t="s">
        <v>1341</v>
      </c>
      <c r="C693" s="49" t="s">
        <v>1344</v>
      </c>
      <c r="D693" s="49" t="s">
        <v>1208</v>
      </c>
      <c r="E693" s="49" t="s">
        <v>1183</v>
      </c>
      <c r="F693" s="49" t="s">
        <v>1345</v>
      </c>
      <c r="G693" s="49" t="s">
        <v>772</v>
      </c>
      <c r="H693" s="49" t="s">
        <v>1132</v>
      </c>
      <c r="I693" s="49" t="s">
        <v>885</v>
      </c>
    </row>
    <row r="694" customFormat="false" ht="25.5" hidden="false" customHeight="true" outlineLevel="0" collapsed="false">
      <c r="A694" s="49" t="s">
        <v>995</v>
      </c>
      <c r="B694" s="49" t="s">
        <v>1341</v>
      </c>
      <c r="C694" s="49" t="s">
        <v>1346</v>
      </c>
      <c r="D694" s="49" t="s">
        <v>1218</v>
      </c>
      <c r="E694" s="49" t="s">
        <v>1347</v>
      </c>
      <c r="F694" s="49" t="s">
        <v>1348</v>
      </c>
      <c r="G694" s="49" t="s">
        <v>772</v>
      </c>
      <c r="H694" s="49" t="s">
        <v>1132</v>
      </c>
      <c r="I694" s="49" t="s">
        <v>885</v>
      </c>
    </row>
    <row r="695" customFormat="false" ht="25.5" hidden="false" customHeight="true" outlineLevel="0" collapsed="false">
      <c r="A695" s="49" t="s">
        <v>995</v>
      </c>
      <c r="B695" s="49" t="s">
        <v>1341</v>
      </c>
      <c r="C695" s="49" t="s">
        <v>1349</v>
      </c>
      <c r="D695" s="49" t="s">
        <v>1218</v>
      </c>
      <c r="E695" s="49" t="s">
        <v>1183</v>
      </c>
      <c r="F695" s="49" t="s">
        <v>1350</v>
      </c>
      <c r="G695" s="49" t="s">
        <v>772</v>
      </c>
      <c r="H695" s="49" t="s">
        <v>1132</v>
      </c>
      <c r="I695" s="49" t="s">
        <v>885</v>
      </c>
    </row>
    <row r="696" customFormat="false" ht="25.5" hidden="false" customHeight="true" outlineLevel="0" collapsed="false">
      <c r="A696" s="49" t="s">
        <v>995</v>
      </c>
      <c r="B696" s="49" t="s">
        <v>1341</v>
      </c>
      <c r="C696" s="49" t="s">
        <v>1351</v>
      </c>
      <c r="D696" s="49" t="s">
        <v>1134</v>
      </c>
      <c r="E696" s="49" t="s">
        <v>1055</v>
      </c>
      <c r="F696" s="49" t="s">
        <v>1352</v>
      </c>
      <c r="G696" s="49" t="s">
        <v>772</v>
      </c>
      <c r="H696" s="49" t="s">
        <v>1132</v>
      </c>
      <c r="I696" s="49" t="s">
        <v>885</v>
      </c>
    </row>
    <row r="697" customFormat="false" ht="25.5" hidden="false" customHeight="true" outlineLevel="0" collapsed="false">
      <c r="A697" s="49" t="s">
        <v>995</v>
      </c>
      <c r="B697" s="49" t="s">
        <v>1341</v>
      </c>
      <c r="C697" s="49" t="s">
        <v>1353</v>
      </c>
      <c r="D697" s="49" t="s">
        <v>1134</v>
      </c>
      <c r="E697" s="49" t="s">
        <v>1226</v>
      </c>
      <c r="F697" s="49" t="s">
        <v>1354</v>
      </c>
      <c r="G697" s="49" t="s">
        <v>772</v>
      </c>
      <c r="H697" s="49" t="s">
        <v>1132</v>
      </c>
      <c r="I697" s="49" t="s">
        <v>885</v>
      </c>
    </row>
    <row r="698" customFormat="false" ht="25.5" hidden="false" customHeight="true" outlineLevel="0" collapsed="false">
      <c r="A698" s="49" t="s">
        <v>995</v>
      </c>
      <c r="B698" s="49" t="s">
        <v>1341</v>
      </c>
      <c r="C698" s="49" t="s">
        <v>1355</v>
      </c>
      <c r="D698" s="49" t="s">
        <v>1148</v>
      </c>
      <c r="E698" s="49" t="s">
        <v>1356</v>
      </c>
      <c r="F698" s="49" t="s">
        <v>1357</v>
      </c>
      <c r="G698" s="49" t="s">
        <v>772</v>
      </c>
      <c r="H698" s="49" t="s">
        <v>1132</v>
      </c>
      <c r="I698" s="49" t="s">
        <v>885</v>
      </c>
    </row>
    <row r="699" customFormat="false" ht="25.5" hidden="false" customHeight="true" outlineLevel="0" collapsed="false">
      <c r="A699" s="49" t="s">
        <v>995</v>
      </c>
      <c r="B699" s="49" t="s">
        <v>1341</v>
      </c>
      <c r="C699" s="49" t="s">
        <v>1358</v>
      </c>
      <c r="D699" s="49" t="s">
        <v>1218</v>
      </c>
      <c r="E699" s="49" t="s">
        <v>1359</v>
      </c>
      <c r="F699" s="49" t="s">
        <v>1360</v>
      </c>
      <c r="G699" s="49" t="s">
        <v>772</v>
      </c>
      <c r="H699" s="49" t="s">
        <v>1132</v>
      </c>
      <c r="I699" s="49" t="s">
        <v>885</v>
      </c>
    </row>
    <row r="700" customFormat="false" ht="25.5" hidden="false" customHeight="true" outlineLevel="0" collapsed="false">
      <c r="A700" s="49" t="s">
        <v>995</v>
      </c>
      <c r="B700" s="49" t="s">
        <v>1341</v>
      </c>
      <c r="C700" s="49" t="s">
        <v>1361</v>
      </c>
      <c r="D700" s="49" t="s">
        <v>1148</v>
      </c>
      <c r="E700" s="49" t="s">
        <v>1183</v>
      </c>
      <c r="F700" s="49" t="s">
        <v>1362</v>
      </c>
      <c r="G700" s="49" t="s">
        <v>772</v>
      </c>
      <c r="H700" s="49" t="s">
        <v>1132</v>
      </c>
      <c r="I700" s="49" t="s">
        <v>885</v>
      </c>
    </row>
    <row r="701" customFormat="false" ht="25.5" hidden="false" customHeight="true" outlineLevel="0" collapsed="false">
      <c r="A701" s="49" t="s">
        <v>995</v>
      </c>
      <c r="B701" s="49" t="s">
        <v>1341</v>
      </c>
      <c r="C701" s="49" t="s">
        <v>1363</v>
      </c>
      <c r="D701" s="49" t="s">
        <v>1148</v>
      </c>
      <c r="E701" s="49" t="s">
        <v>1364</v>
      </c>
      <c r="F701" s="49" t="s">
        <v>1365</v>
      </c>
      <c r="G701" s="49" t="s">
        <v>772</v>
      </c>
      <c r="H701" s="49" t="s">
        <v>1132</v>
      </c>
      <c r="I701" s="49" t="s">
        <v>885</v>
      </c>
    </row>
    <row r="702" customFormat="false" ht="25.5" hidden="false" customHeight="true" outlineLevel="0" collapsed="false">
      <c r="A702" s="49" t="s">
        <v>995</v>
      </c>
      <c r="B702" s="49" t="s">
        <v>1341</v>
      </c>
      <c r="C702" s="49" t="s">
        <v>1366</v>
      </c>
      <c r="D702" s="49" t="s">
        <v>1148</v>
      </c>
      <c r="E702" s="49" t="s">
        <v>1183</v>
      </c>
      <c r="F702" s="49" t="s">
        <v>1367</v>
      </c>
      <c r="G702" s="49" t="s">
        <v>772</v>
      </c>
      <c r="H702" s="49" t="s">
        <v>1132</v>
      </c>
      <c r="I702" s="49" t="s">
        <v>885</v>
      </c>
    </row>
    <row r="703" customFormat="false" ht="25.5" hidden="false" customHeight="true" outlineLevel="0" collapsed="false">
      <c r="A703" s="49" t="s">
        <v>995</v>
      </c>
      <c r="B703" s="49" t="s">
        <v>1341</v>
      </c>
      <c r="C703" s="49" t="s">
        <v>1368</v>
      </c>
      <c r="D703" s="49" t="s">
        <v>1218</v>
      </c>
      <c r="E703" s="49" t="s">
        <v>217</v>
      </c>
      <c r="F703" s="49" t="s">
        <v>1369</v>
      </c>
      <c r="G703" s="49" t="s">
        <v>772</v>
      </c>
      <c r="H703" s="49" t="s">
        <v>1132</v>
      </c>
      <c r="I703" s="49" t="s">
        <v>885</v>
      </c>
    </row>
    <row r="704" customFormat="false" ht="25.5" hidden="false" customHeight="true" outlineLevel="0" collapsed="false">
      <c r="A704" s="49" t="s">
        <v>995</v>
      </c>
      <c r="B704" s="49" t="s">
        <v>1341</v>
      </c>
      <c r="C704" s="49" t="s">
        <v>1370</v>
      </c>
      <c r="D704" s="49" t="s">
        <v>1208</v>
      </c>
      <c r="E704" s="49" t="s">
        <v>893</v>
      </c>
      <c r="F704" s="49" t="s">
        <v>1371</v>
      </c>
      <c r="G704" s="49" t="s">
        <v>772</v>
      </c>
      <c r="H704" s="49" t="s">
        <v>1132</v>
      </c>
      <c r="I704" s="49" t="s">
        <v>885</v>
      </c>
    </row>
    <row r="705" customFormat="false" ht="25.5" hidden="false" customHeight="true" outlineLevel="0" collapsed="false">
      <c r="A705" s="49" t="s">
        <v>995</v>
      </c>
      <c r="B705" s="49" t="s">
        <v>1341</v>
      </c>
      <c r="C705" s="49" t="s">
        <v>1372</v>
      </c>
      <c r="D705" s="49" t="s">
        <v>1199</v>
      </c>
      <c r="E705" s="49" t="s">
        <v>1135</v>
      </c>
      <c r="F705" s="49" t="s">
        <v>1373</v>
      </c>
      <c r="G705" s="49" t="s">
        <v>772</v>
      </c>
      <c r="H705" s="49" t="s">
        <v>1132</v>
      </c>
      <c r="I705" s="49" t="s">
        <v>885</v>
      </c>
    </row>
    <row r="706" customFormat="false" ht="25.5" hidden="false" customHeight="true" outlineLevel="0" collapsed="false">
      <c r="A706" s="49" t="s">
        <v>995</v>
      </c>
      <c r="B706" s="49" t="s">
        <v>1341</v>
      </c>
      <c r="C706" s="49" t="s">
        <v>1374</v>
      </c>
      <c r="D706" s="49" t="s">
        <v>1208</v>
      </c>
      <c r="E706" s="49" t="s">
        <v>1183</v>
      </c>
      <c r="F706" s="49" t="s">
        <v>1375</v>
      </c>
      <c r="G706" s="49" t="s">
        <v>772</v>
      </c>
      <c r="H706" s="49" t="s">
        <v>1132</v>
      </c>
      <c r="I706" s="49" t="s">
        <v>885</v>
      </c>
    </row>
    <row r="707" customFormat="false" ht="25.5" hidden="false" customHeight="true" outlineLevel="0" collapsed="false">
      <c r="A707" s="49" t="s">
        <v>995</v>
      </c>
      <c r="B707" s="49" t="s">
        <v>1341</v>
      </c>
      <c r="C707" s="49" t="s">
        <v>1376</v>
      </c>
      <c r="D707" s="49" t="s">
        <v>1208</v>
      </c>
      <c r="E707" s="49" t="s">
        <v>1377</v>
      </c>
      <c r="F707" s="49" t="s">
        <v>1378</v>
      </c>
      <c r="G707" s="49" t="s">
        <v>772</v>
      </c>
      <c r="H707" s="49" t="s">
        <v>1132</v>
      </c>
      <c r="I707" s="49" t="s">
        <v>885</v>
      </c>
    </row>
    <row r="708" customFormat="false" ht="25.5" hidden="false" customHeight="true" outlineLevel="0" collapsed="false">
      <c r="A708" s="49" t="s">
        <v>995</v>
      </c>
      <c r="B708" s="49" t="s">
        <v>1341</v>
      </c>
      <c r="C708" s="49" t="s">
        <v>1379</v>
      </c>
      <c r="D708" s="49" t="s">
        <v>1199</v>
      </c>
      <c r="E708" s="49" t="s">
        <v>1183</v>
      </c>
      <c r="F708" s="49" t="s">
        <v>1380</v>
      </c>
      <c r="G708" s="49" t="s">
        <v>772</v>
      </c>
      <c r="H708" s="49" t="s">
        <v>1132</v>
      </c>
      <c r="I708" s="49" t="s">
        <v>885</v>
      </c>
    </row>
    <row r="709" customFormat="false" ht="25.5" hidden="false" customHeight="true" outlineLevel="0" collapsed="false">
      <c r="A709" s="49" t="s">
        <v>995</v>
      </c>
      <c r="B709" s="49" t="s">
        <v>1341</v>
      </c>
      <c r="C709" s="49" t="s">
        <v>1381</v>
      </c>
      <c r="D709" s="49" t="s">
        <v>1162</v>
      </c>
      <c r="E709" s="49" t="s">
        <v>1382</v>
      </c>
      <c r="F709" s="49" t="s">
        <v>1383</v>
      </c>
      <c r="G709" s="49" t="s">
        <v>772</v>
      </c>
      <c r="H709" s="49" t="s">
        <v>1132</v>
      </c>
      <c r="I709" s="49" t="s">
        <v>885</v>
      </c>
    </row>
    <row r="710" customFormat="false" ht="25.5" hidden="false" customHeight="true" outlineLevel="0" collapsed="false">
      <c r="A710" s="49" t="s">
        <v>995</v>
      </c>
      <c r="B710" s="49" t="s">
        <v>1341</v>
      </c>
      <c r="C710" s="49" t="s">
        <v>1384</v>
      </c>
      <c r="D710" s="49" t="s">
        <v>1292</v>
      </c>
      <c r="E710" s="49" t="s">
        <v>1189</v>
      </c>
      <c r="F710" s="49" t="s">
        <v>1385</v>
      </c>
      <c r="G710" s="49" t="s">
        <v>772</v>
      </c>
      <c r="H710" s="49" t="s">
        <v>1132</v>
      </c>
      <c r="I710" s="49" t="s">
        <v>885</v>
      </c>
    </row>
    <row r="711" customFormat="false" ht="25.5" hidden="false" customHeight="true" outlineLevel="0" collapsed="false">
      <c r="A711" s="49" t="s">
        <v>995</v>
      </c>
      <c r="B711" s="49" t="s">
        <v>1341</v>
      </c>
      <c r="C711" s="49" t="s">
        <v>1386</v>
      </c>
      <c r="D711" s="49" t="s">
        <v>1156</v>
      </c>
      <c r="E711" s="49" t="s">
        <v>1183</v>
      </c>
      <c r="F711" s="49" t="s">
        <v>1387</v>
      </c>
      <c r="G711" s="49" t="s">
        <v>772</v>
      </c>
      <c r="H711" s="49" t="s">
        <v>1132</v>
      </c>
      <c r="I711" s="49" t="s">
        <v>885</v>
      </c>
    </row>
    <row r="712" customFormat="false" ht="25.5" hidden="false" customHeight="true" outlineLevel="0" collapsed="false">
      <c r="A712" s="49" t="s">
        <v>995</v>
      </c>
      <c r="B712" s="49" t="s">
        <v>1341</v>
      </c>
      <c r="C712" s="49" t="s">
        <v>1388</v>
      </c>
      <c r="D712" s="49" t="s">
        <v>1162</v>
      </c>
      <c r="E712" s="49" t="s">
        <v>1163</v>
      </c>
      <c r="F712" s="49" t="s">
        <v>1389</v>
      </c>
      <c r="G712" s="49" t="s">
        <v>772</v>
      </c>
      <c r="H712" s="49" t="s">
        <v>1132</v>
      </c>
      <c r="I712" s="49" t="s">
        <v>885</v>
      </c>
    </row>
    <row r="713" customFormat="false" ht="25.5" hidden="false" customHeight="true" outlineLevel="0" collapsed="false">
      <c r="A713" s="49" t="s">
        <v>995</v>
      </c>
      <c r="B713" s="49" t="s">
        <v>1341</v>
      </c>
      <c r="C713" s="49" t="s">
        <v>1390</v>
      </c>
      <c r="D713" s="49" t="s">
        <v>1162</v>
      </c>
      <c r="E713" s="49" t="s">
        <v>1163</v>
      </c>
      <c r="F713" s="49" t="s">
        <v>1391</v>
      </c>
      <c r="G713" s="49" t="s">
        <v>772</v>
      </c>
      <c r="H713" s="49" t="s">
        <v>1132</v>
      </c>
      <c r="I713" s="49" t="s">
        <v>885</v>
      </c>
    </row>
    <row r="714" customFormat="false" ht="25.5" hidden="false" customHeight="true" outlineLevel="0" collapsed="false">
      <c r="A714" s="49" t="s">
        <v>995</v>
      </c>
      <c r="B714" s="49" t="s">
        <v>1341</v>
      </c>
      <c r="C714" s="49" t="s">
        <v>1392</v>
      </c>
      <c r="D714" s="49" t="s">
        <v>1162</v>
      </c>
      <c r="E714" s="49" t="s">
        <v>1163</v>
      </c>
      <c r="F714" s="49" t="s">
        <v>952</v>
      </c>
      <c r="G714" s="49" t="s">
        <v>772</v>
      </c>
      <c r="H714" s="49" t="s">
        <v>1132</v>
      </c>
      <c r="I714" s="49" t="s">
        <v>885</v>
      </c>
    </row>
    <row r="715" customFormat="false" ht="25.5" hidden="false" customHeight="true" outlineLevel="0" collapsed="false">
      <c r="A715" s="49" t="s">
        <v>995</v>
      </c>
      <c r="B715" s="49" t="s">
        <v>1341</v>
      </c>
      <c r="C715" s="49" t="s">
        <v>1372</v>
      </c>
      <c r="D715" s="49" t="s">
        <v>1199</v>
      </c>
      <c r="E715" s="49" t="s">
        <v>217</v>
      </c>
      <c r="F715" s="49" t="s">
        <v>1393</v>
      </c>
      <c r="G715" s="49" t="s">
        <v>772</v>
      </c>
      <c r="H715" s="49" t="s">
        <v>1132</v>
      </c>
      <c r="I715" s="49" t="s">
        <v>885</v>
      </c>
    </row>
    <row r="716" customFormat="false" ht="25.5" hidden="false" customHeight="true" outlineLevel="0" collapsed="false">
      <c r="A716" s="49" t="s">
        <v>995</v>
      </c>
      <c r="B716" s="49" t="s">
        <v>1341</v>
      </c>
      <c r="C716" s="49" t="s">
        <v>1394</v>
      </c>
      <c r="D716" s="49" t="s">
        <v>1129</v>
      </c>
      <c r="E716" s="49" t="s">
        <v>1395</v>
      </c>
      <c r="F716" s="49" t="s">
        <v>1396</v>
      </c>
      <c r="G716" s="49" t="s">
        <v>772</v>
      </c>
      <c r="H716" s="49" t="s">
        <v>1132</v>
      </c>
      <c r="I716" s="49" t="s">
        <v>885</v>
      </c>
    </row>
    <row r="717" customFormat="false" ht="25.5" hidden="false" customHeight="true" outlineLevel="0" collapsed="false">
      <c r="A717" s="49" t="s">
        <v>995</v>
      </c>
      <c r="B717" s="49" t="s">
        <v>1341</v>
      </c>
      <c r="C717" s="49" t="s">
        <v>1397</v>
      </c>
      <c r="D717" s="49" t="s">
        <v>1148</v>
      </c>
      <c r="E717" s="49" t="s">
        <v>1395</v>
      </c>
      <c r="F717" s="49" t="s">
        <v>1398</v>
      </c>
      <c r="G717" s="49" t="s">
        <v>772</v>
      </c>
      <c r="H717" s="49" t="s">
        <v>1132</v>
      </c>
      <c r="I717" s="49" t="s">
        <v>885</v>
      </c>
    </row>
    <row r="718" customFormat="false" ht="25.5" hidden="false" customHeight="true" outlineLevel="0" collapsed="false">
      <c r="A718" s="49" t="s">
        <v>995</v>
      </c>
      <c r="B718" s="49" t="s">
        <v>1341</v>
      </c>
      <c r="C718" s="49" t="s">
        <v>1399</v>
      </c>
      <c r="D718" s="49" t="s">
        <v>1199</v>
      </c>
      <c r="E718" s="49" t="s">
        <v>217</v>
      </c>
      <c r="F718" s="49" t="s">
        <v>1400</v>
      </c>
      <c r="G718" s="49" t="s">
        <v>772</v>
      </c>
      <c r="H718" s="49" t="s">
        <v>1132</v>
      </c>
      <c r="I718" s="49" t="s">
        <v>885</v>
      </c>
    </row>
    <row r="719" customFormat="false" ht="25.5" hidden="false" customHeight="true" outlineLevel="0" collapsed="false">
      <c r="A719" s="49" t="s">
        <v>995</v>
      </c>
      <c r="B719" s="49" t="s">
        <v>1341</v>
      </c>
      <c r="C719" s="49" t="s">
        <v>1401</v>
      </c>
      <c r="D719" s="49" t="s">
        <v>1199</v>
      </c>
      <c r="E719" s="49" t="s">
        <v>146</v>
      </c>
      <c r="F719" s="49" t="s">
        <v>1402</v>
      </c>
      <c r="G719" s="49" t="s">
        <v>772</v>
      </c>
      <c r="H719" s="49" t="s">
        <v>1132</v>
      </c>
      <c r="I719" s="49" t="s">
        <v>885</v>
      </c>
    </row>
    <row r="720" customFormat="false" ht="25.5" hidden="false" customHeight="true" outlineLevel="0" collapsed="false">
      <c r="A720" s="49" t="s">
        <v>995</v>
      </c>
      <c r="B720" s="49" t="s">
        <v>1403</v>
      </c>
      <c r="C720" s="49" t="s">
        <v>1171</v>
      </c>
      <c r="D720" s="49" t="s">
        <v>1172</v>
      </c>
      <c r="E720" s="49" t="s">
        <v>1173</v>
      </c>
      <c r="F720" s="49" t="s">
        <v>1174</v>
      </c>
      <c r="G720" s="49" t="s">
        <v>772</v>
      </c>
      <c r="H720" s="49" t="s">
        <v>1132</v>
      </c>
      <c r="I720" s="49" t="s">
        <v>885</v>
      </c>
    </row>
    <row r="721" customFormat="false" ht="25.5" hidden="false" customHeight="true" outlineLevel="0" collapsed="false">
      <c r="A721" s="49" t="s">
        <v>995</v>
      </c>
      <c r="B721" s="49" t="s">
        <v>1403</v>
      </c>
      <c r="C721" s="49" t="s">
        <v>1404</v>
      </c>
      <c r="D721" s="49" t="s">
        <v>1151</v>
      </c>
      <c r="E721" s="49" t="s">
        <v>1405</v>
      </c>
      <c r="F721" s="49" t="s">
        <v>1406</v>
      </c>
      <c r="G721" s="49" t="s">
        <v>772</v>
      </c>
      <c r="H721" s="49" t="s">
        <v>1132</v>
      </c>
      <c r="I721" s="49" t="s">
        <v>885</v>
      </c>
    </row>
    <row r="722" customFormat="false" ht="25.5" hidden="false" customHeight="true" outlineLevel="0" collapsed="false">
      <c r="A722" s="49" t="s">
        <v>995</v>
      </c>
      <c r="B722" s="49" t="s">
        <v>1403</v>
      </c>
      <c r="C722" s="49" t="s">
        <v>1407</v>
      </c>
      <c r="D722" s="49" t="s">
        <v>1141</v>
      </c>
      <c r="E722" s="49" t="s">
        <v>1183</v>
      </c>
      <c r="F722" s="49" t="s">
        <v>1408</v>
      </c>
      <c r="G722" s="49" t="s">
        <v>772</v>
      </c>
      <c r="H722" s="49" t="s">
        <v>1132</v>
      </c>
      <c r="I722" s="49" t="s">
        <v>885</v>
      </c>
    </row>
    <row r="723" customFormat="false" ht="25.5" hidden="false" customHeight="true" outlineLevel="0" collapsed="false">
      <c r="A723" s="49" t="s">
        <v>995</v>
      </c>
      <c r="B723" s="49" t="s">
        <v>1403</v>
      </c>
      <c r="C723" s="49" t="s">
        <v>1409</v>
      </c>
      <c r="D723" s="49" t="s">
        <v>1208</v>
      </c>
      <c r="E723" s="49" t="s">
        <v>1410</v>
      </c>
      <c r="F723" s="49" t="s">
        <v>1411</v>
      </c>
      <c r="G723" s="49" t="s">
        <v>772</v>
      </c>
      <c r="H723" s="49" t="s">
        <v>1132</v>
      </c>
      <c r="I723" s="49" t="s">
        <v>885</v>
      </c>
    </row>
    <row r="724" customFormat="false" ht="25.5" hidden="false" customHeight="true" outlineLevel="0" collapsed="false">
      <c r="A724" s="49" t="s">
        <v>995</v>
      </c>
      <c r="B724" s="49" t="s">
        <v>1403</v>
      </c>
      <c r="C724" s="49" t="s">
        <v>1412</v>
      </c>
      <c r="D724" s="49" t="s">
        <v>1199</v>
      </c>
      <c r="E724" s="49" t="s">
        <v>1183</v>
      </c>
      <c r="F724" s="49" t="s">
        <v>1413</v>
      </c>
      <c r="G724" s="49" t="s">
        <v>772</v>
      </c>
      <c r="H724" s="49" t="s">
        <v>1132</v>
      </c>
      <c r="I724" s="49" t="s">
        <v>885</v>
      </c>
    </row>
    <row r="725" customFormat="false" ht="25.5" hidden="false" customHeight="true" outlineLevel="0" collapsed="false">
      <c r="A725" s="49" t="s">
        <v>995</v>
      </c>
      <c r="B725" s="49" t="s">
        <v>1403</v>
      </c>
      <c r="C725" s="49" t="s">
        <v>1414</v>
      </c>
      <c r="D725" s="49" t="s">
        <v>1156</v>
      </c>
      <c r="E725" s="49" t="s">
        <v>1183</v>
      </c>
      <c r="F725" s="49" t="s">
        <v>1415</v>
      </c>
      <c r="G725" s="49" t="s">
        <v>772</v>
      </c>
      <c r="H725" s="49" t="s">
        <v>1132</v>
      </c>
      <c r="I725" s="49" t="s">
        <v>885</v>
      </c>
    </row>
    <row r="726" customFormat="false" ht="25.5" hidden="false" customHeight="true" outlineLevel="0" collapsed="false">
      <c r="A726" s="49" t="s">
        <v>995</v>
      </c>
      <c r="B726" s="49" t="s">
        <v>1403</v>
      </c>
      <c r="C726" s="49" t="s">
        <v>1416</v>
      </c>
      <c r="D726" s="49" t="s">
        <v>1134</v>
      </c>
      <c r="E726" s="49" t="s">
        <v>1226</v>
      </c>
      <c r="F726" s="49" t="s">
        <v>1417</v>
      </c>
      <c r="G726" s="49" t="s">
        <v>772</v>
      </c>
      <c r="H726" s="49" t="s">
        <v>1132</v>
      </c>
      <c r="I726" s="49" t="s">
        <v>885</v>
      </c>
    </row>
    <row r="727" customFormat="false" ht="25.5" hidden="false" customHeight="true" outlineLevel="0" collapsed="false">
      <c r="A727" s="49" t="s">
        <v>995</v>
      </c>
      <c r="B727" s="49" t="s">
        <v>1403</v>
      </c>
      <c r="C727" s="49" t="s">
        <v>1418</v>
      </c>
      <c r="D727" s="49" t="s">
        <v>1129</v>
      </c>
      <c r="E727" s="49" t="s">
        <v>1183</v>
      </c>
      <c r="F727" s="49" t="s">
        <v>1419</v>
      </c>
      <c r="G727" s="49" t="s">
        <v>772</v>
      </c>
      <c r="H727" s="49" t="s">
        <v>1132</v>
      </c>
      <c r="I727" s="49" t="s">
        <v>885</v>
      </c>
    </row>
    <row r="728" customFormat="false" ht="25.5" hidden="false" customHeight="true" outlineLevel="0" collapsed="false">
      <c r="A728" s="49" t="s">
        <v>995</v>
      </c>
      <c r="B728" s="49" t="s">
        <v>1403</v>
      </c>
      <c r="C728" s="49" t="s">
        <v>1420</v>
      </c>
      <c r="D728" s="49" t="s">
        <v>1129</v>
      </c>
      <c r="E728" s="49" t="s">
        <v>146</v>
      </c>
      <c r="F728" s="49" t="s">
        <v>1421</v>
      </c>
      <c r="G728" s="49" t="s">
        <v>772</v>
      </c>
      <c r="H728" s="49" t="s">
        <v>1132</v>
      </c>
      <c r="I728" s="49" t="s">
        <v>885</v>
      </c>
    </row>
    <row r="729" customFormat="false" ht="25.5" hidden="false" customHeight="true" outlineLevel="0" collapsed="false">
      <c r="A729" s="49" t="s">
        <v>995</v>
      </c>
      <c r="B729" s="49" t="s">
        <v>1403</v>
      </c>
      <c r="C729" s="49" t="s">
        <v>1422</v>
      </c>
      <c r="D729" s="49" t="s">
        <v>1292</v>
      </c>
      <c r="E729" s="49" t="s">
        <v>1135</v>
      </c>
      <c r="F729" s="49" t="s">
        <v>1423</v>
      </c>
      <c r="G729" s="49" t="s">
        <v>772</v>
      </c>
      <c r="H729" s="49" t="s">
        <v>1132</v>
      </c>
      <c r="I729" s="49" t="s">
        <v>885</v>
      </c>
    </row>
    <row r="730" customFormat="false" ht="25.5" hidden="false" customHeight="true" outlineLevel="0" collapsed="false">
      <c r="A730" s="49" t="s">
        <v>995</v>
      </c>
      <c r="B730" s="49" t="s">
        <v>1403</v>
      </c>
      <c r="C730" s="49" t="s">
        <v>1424</v>
      </c>
      <c r="D730" s="49" t="s">
        <v>1148</v>
      </c>
      <c r="E730" s="49" t="s">
        <v>1135</v>
      </c>
      <c r="F730" s="49" t="s">
        <v>1423</v>
      </c>
      <c r="G730" s="49" t="s">
        <v>772</v>
      </c>
      <c r="H730" s="49" t="s">
        <v>1132</v>
      </c>
      <c r="I730" s="49" t="s">
        <v>885</v>
      </c>
    </row>
    <row r="731" customFormat="false" ht="25.5" hidden="false" customHeight="true" outlineLevel="0" collapsed="false">
      <c r="A731" s="49" t="s">
        <v>995</v>
      </c>
      <c r="B731" s="49" t="s">
        <v>1403</v>
      </c>
      <c r="C731" s="49" t="s">
        <v>1425</v>
      </c>
      <c r="D731" s="49" t="s">
        <v>1199</v>
      </c>
      <c r="E731" s="49" t="s">
        <v>1183</v>
      </c>
      <c r="F731" s="49" t="s">
        <v>1415</v>
      </c>
      <c r="G731" s="49" t="s">
        <v>772</v>
      </c>
      <c r="H731" s="49" t="s">
        <v>1132</v>
      </c>
      <c r="I731" s="49" t="s">
        <v>885</v>
      </c>
    </row>
    <row r="732" customFormat="false" ht="25.5" hidden="false" customHeight="true" outlineLevel="0" collapsed="false">
      <c r="A732" s="49" t="s">
        <v>995</v>
      </c>
      <c r="B732" s="49" t="s">
        <v>1403</v>
      </c>
      <c r="C732" s="49" t="s">
        <v>1426</v>
      </c>
      <c r="D732" s="49" t="s">
        <v>1208</v>
      </c>
      <c r="E732" s="49" t="s">
        <v>1427</v>
      </c>
      <c r="F732" s="49" t="s">
        <v>1428</v>
      </c>
      <c r="G732" s="49" t="s">
        <v>772</v>
      </c>
      <c r="H732" s="49" t="s">
        <v>1132</v>
      </c>
      <c r="I732" s="49" t="s">
        <v>885</v>
      </c>
    </row>
    <row r="733" customFormat="false" ht="25.5" hidden="false" customHeight="true" outlineLevel="0" collapsed="false">
      <c r="A733" s="49" t="s">
        <v>995</v>
      </c>
      <c r="B733" s="49" t="s">
        <v>1403</v>
      </c>
      <c r="C733" s="49" t="s">
        <v>1429</v>
      </c>
      <c r="D733" s="49" t="s">
        <v>1129</v>
      </c>
      <c r="E733" s="49" t="s">
        <v>1223</v>
      </c>
      <c r="F733" s="49" t="s">
        <v>1430</v>
      </c>
      <c r="G733" s="49" t="s">
        <v>772</v>
      </c>
      <c r="H733" s="49" t="s">
        <v>1132</v>
      </c>
      <c r="I733" s="49" t="s">
        <v>885</v>
      </c>
    </row>
    <row r="734" customFormat="false" ht="25.5" hidden="false" customHeight="true" outlineLevel="0" collapsed="false">
      <c r="A734" s="49" t="s">
        <v>995</v>
      </c>
      <c r="B734" s="49" t="s">
        <v>1403</v>
      </c>
      <c r="C734" s="49" t="s">
        <v>1431</v>
      </c>
      <c r="D734" s="49" t="s">
        <v>1208</v>
      </c>
      <c r="E734" s="49" t="s">
        <v>1432</v>
      </c>
      <c r="F734" s="49" t="s">
        <v>1433</v>
      </c>
      <c r="G734" s="49" t="s">
        <v>772</v>
      </c>
      <c r="H734" s="49" t="s">
        <v>1132</v>
      </c>
      <c r="I734" s="49" t="s">
        <v>885</v>
      </c>
    </row>
    <row r="735" customFormat="false" ht="25.5" hidden="false" customHeight="true" outlineLevel="0" collapsed="false">
      <c r="A735" s="49" t="s">
        <v>995</v>
      </c>
      <c r="B735" s="49" t="s">
        <v>1403</v>
      </c>
      <c r="C735" s="49" t="s">
        <v>1434</v>
      </c>
      <c r="D735" s="49" t="s">
        <v>1162</v>
      </c>
      <c r="E735" s="49" t="s">
        <v>1163</v>
      </c>
      <c r="F735" s="49" t="s">
        <v>1435</v>
      </c>
      <c r="G735" s="49" t="s">
        <v>772</v>
      </c>
      <c r="H735" s="49" t="s">
        <v>1132</v>
      </c>
      <c r="I735" s="49" t="s">
        <v>885</v>
      </c>
    </row>
    <row r="736" customFormat="false" ht="25.5" hidden="false" customHeight="true" outlineLevel="0" collapsed="false">
      <c r="A736" s="49" t="s">
        <v>995</v>
      </c>
      <c r="B736" s="49" t="s">
        <v>1403</v>
      </c>
      <c r="C736" s="49" t="s">
        <v>1436</v>
      </c>
      <c r="D736" s="49" t="s">
        <v>1199</v>
      </c>
      <c r="E736" s="49" t="s">
        <v>146</v>
      </c>
      <c r="F736" s="49" t="s">
        <v>1437</v>
      </c>
      <c r="G736" s="49" t="s">
        <v>772</v>
      </c>
      <c r="H736" s="49" t="s">
        <v>1132</v>
      </c>
      <c r="I736" s="49" t="s">
        <v>885</v>
      </c>
    </row>
    <row r="737" customFormat="false" ht="25.5" hidden="false" customHeight="true" outlineLevel="0" collapsed="false">
      <c r="A737" s="49" t="s">
        <v>995</v>
      </c>
      <c r="B737" s="49" t="s">
        <v>1403</v>
      </c>
      <c r="C737" s="49" t="s">
        <v>1438</v>
      </c>
      <c r="D737" s="49" t="s">
        <v>1151</v>
      </c>
      <c r="E737" s="49" t="s">
        <v>1183</v>
      </c>
      <c r="F737" s="49" t="s">
        <v>1439</v>
      </c>
      <c r="G737" s="49" t="s">
        <v>772</v>
      </c>
      <c r="H737" s="49" t="s">
        <v>1132</v>
      </c>
      <c r="I737" s="49" t="s">
        <v>885</v>
      </c>
    </row>
    <row r="738" customFormat="false" ht="25.5" hidden="false" customHeight="true" outlineLevel="0" collapsed="false">
      <c r="A738" s="49" t="s">
        <v>995</v>
      </c>
      <c r="B738" s="49" t="s">
        <v>1403</v>
      </c>
      <c r="C738" s="49" t="s">
        <v>1440</v>
      </c>
      <c r="D738" s="49" t="s">
        <v>1134</v>
      </c>
      <c r="E738" s="49" t="s">
        <v>217</v>
      </c>
      <c r="F738" s="49" t="s">
        <v>1441</v>
      </c>
      <c r="G738" s="49" t="s">
        <v>772</v>
      </c>
      <c r="H738" s="49" t="s">
        <v>1132</v>
      </c>
      <c r="I738" s="49" t="s">
        <v>885</v>
      </c>
    </row>
    <row r="739" customFormat="false" ht="25.5" hidden="false" customHeight="true" outlineLevel="0" collapsed="false">
      <c r="A739" s="49" t="s">
        <v>995</v>
      </c>
      <c r="B739" s="49" t="s">
        <v>1403</v>
      </c>
      <c r="C739" s="49" t="s">
        <v>1442</v>
      </c>
      <c r="D739" s="49" t="s">
        <v>1151</v>
      </c>
      <c r="E739" s="49" t="s">
        <v>1443</v>
      </c>
      <c r="F739" s="49" t="s">
        <v>1444</v>
      </c>
      <c r="G739" s="49" t="s">
        <v>772</v>
      </c>
      <c r="H739" s="49" t="s">
        <v>1132</v>
      </c>
      <c r="I739" s="49" t="s">
        <v>885</v>
      </c>
    </row>
    <row r="740" customFormat="false" ht="25.5" hidden="false" customHeight="true" outlineLevel="0" collapsed="false">
      <c r="A740" s="49" t="s">
        <v>995</v>
      </c>
      <c r="B740" s="49" t="s">
        <v>1403</v>
      </c>
      <c r="C740" s="49" t="s">
        <v>1445</v>
      </c>
      <c r="D740" s="49" t="s">
        <v>1199</v>
      </c>
      <c r="E740" s="49" t="s">
        <v>1183</v>
      </c>
      <c r="F740" s="49" t="s">
        <v>1446</v>
      </c>
      <c r="G740" s="49" t="s">
        <v>772</v>
      </c>
      <c r="H740" s="49" t="s">
        <v>1132</v>
      </c>
      <c r="I740" s="49" t="s">
        <v>885</v>
      </c>
    </row>
    <row r="741" customFormat="false" ht="25.5" hidden="false" customHeight="true" outlineLevel="0" collapsed="false">
      <c r="A741" s="49" t="s">
        <v>995</v>
      </c>
      <c r="B741" s="49" t="s">
        <v>1447</v>
      </c>
      <c r="C741" s="49" t="s">
        <v>1171</v>
      </c>
      <c r="D741" s="49" t="s">
        <v>1172</v>
      </c>
      <c r="E741" s="49" t="s">
        <v>1173</v>
      </c>
      <c r="F741" s="49" t="s">
        <v>1174</v>
      </c>
      <c r="G741" s="49" t="s">
        <v>772</v>
      </c>
      <c r="H741" s="49" t="s">
        <v>1132</v>
      </c>
      <c r="I741" s="49" t="s">
        <v>885</v>
      </c>
    </row>
    <row r="742" customFormat="false" ht="25.5" hidden="false" customHeight="true" outlineLevel="0" collapsed="false">
      <c r="A742" s="49" t="s">
        <v>995</v>
      </c>
      <c r="B742" s="49" t="s">
        <v>1447</v>
      </c>
      <c r="C742" s="49" t="s">
        <v>1448</v>
      </c>
      <c r="D742" s="49" t="s">
        <v>1141</v>
      </c>
      <c r="E742" s="49" t="s">
        <v>1449</v>
      </c>
      <c r="F742" s="49" t="s">
        <v>1450</v>
      </c>
      <c r="G742" s="49" t="s">
        <v>772</v>
      </c>
      <c r="H742" s="49" t="s">
        <v>1132</v>
      </c>
      <c r="I742" s="49" t="s">
        <v>885</v>
      </c>
    </row>
    <row r="743" customFormat="false" ht="25.5" hidden="false" customHeight="true" outlineLevel="0" collapsed="false">
      <c r="A743" s="49" t="s">
        <v>995</v>
      </c>
      <c r="B743" s="49" t="s">
        <v>1447</v>
      </c>
      <c r="C743" s="49" t="s">
        <v>1451</v>
      </c>
      <c r="D743" s="49" t="s">
        <v>1129</v>
      </c>
      <c r="E743" s="49" t="s">
        <v>1452</v>
      </c>
      <c r="F743" s="49" t="s">
        <v>1453</v>
      </c>
      <c r="G743" s="49" t="s">
        <v>772</v>
      </c>
      <c r="H743" s="49" t="s">
        <v>1132</v>
      </c>
      <c r="I743" s="49" t="s">
        <v>885</v>
      </c>
    </row>
    <row r="744" customFormat="false" ht="25.5" hidden="false" customHeight="true" outlineLevel="0" collapsed="false">
      <c r="A744" s="49" t="s">
        <v>995</v>
      </c>
      <c r="B744" s="49" t="s">
        <v>1447</v>
      </c>
      <c r="C744" s="49" t="s">
        <v>1454</v>
      </c>
      <c r="D744" s="49" t="s">
        <v>1156</v>
      </c>
      <c r="E744" s="49" t="s">
        <v>1455</v>
      </c>
      <c r="F744" s="49" t="s">
        <v>1456</v>
      </c>
      <c r="G744" s="49" t="s">
        <v>772</v>
      </c>
      <c r="H744" s="49" t="s">
        <v>1132</v>
      </c>
      <c r="I744" s="49" t="s">
        <v>885</v>
      </c>
    </row>
    <row r="745" customFormat="false" ht="25.5" hidden="false" customHeight="true" outlineLevel="0" collapsed="false">
      <c r="A745" s="49" t="s">
        <v>995</v>
      </c>
      <c r="B745" s="49" t="s">
        <v>1447</v>
      </c>
      <c r="C745" s="49" t="s">
        <v>1457</v>
      </c>
      <c r="D745" s="49" t="s">
        <v>1156</v>
      </c>
      <c r="E745" s="49" t="s">
        <v>1455</v>
      </c>
      <c r="F745" s="49" t="s">
        <v>1456</v>
      </c>
      <c r="G745" s="49" t="s">
        <v>772</v>
      </c>
      <c r="H745" s="49" t="s">
        <v>1132</v>
      </c>
      <c r="I745" s="49" t="s">
        <v>885</v>
      </c>
    </row>
    <row r="746" customFormat="false" ht="25.5" hidden="false" customHeight="true" outlineLevel="0" collapsed="false">
      <c r="A746" s="49" t="s">
        <v>995</v>
      </c>
      <c r="B746" s="49" t="s">
        <v>1447</v>
      </c>
      <c r="C746" s="49" t="s">
        <v>1458</v>
      </c>
      <c r="D746" s="49" t="s">
        <v>1208</v>
      </c>
      <c r="E746" s="49" t="s">
        <v>1183</v>
      </c>
      <c r="F746" s="49" t="s">
        <v>1459</v>
      </c>
      <c r="G746" s="49" t="s">
        <v>772</v>
      </c>
      <c r="H746" s="49" t="s">
        <v>1132</v>
      </c>
      <c r="I746" s="49" t="s">
        <v>885</v>
      </c>
    </row>
    <row r="747" customFormat="false" ht="25.5" hidden="false" customHeight="true" outlineLevel="0" collapsed="false">
      <c r="A747" s="49" t="s">
        <v>995</v>
      </c>
      <c r="B747" s="49" t="s">
        <v>1447</v>
      </c>
      <c r="C747" s="49" t="s">
        <v>1460</v>
      </c>
      <c r="D747" s="49" t="s">
        <v>1141</v>
      </c>
      <c r="E747" s="49" t="s">
        <v>1183</v>
      </c>
      <c r="F747" s="49" t="s">
        <v>1461</v>
      </c>
      <c r="G747" s="49" t="s">
        <v>772</v>
      </c>
      <c r="H747" s="49" t="s">
        <v>1132</v>
      </c>
      <c r="I747" s="49" t="s">
        <v>885</v>
      </c>
    </row>
    <row r="748" customFormat="false" ht="25.5" hidden="false" customHeight="true" outlineLevel="0" collapsed="false">
      <c r="A748" s="49" t="s">
        <v>995</v>
      </c>
      <c r="B748" s="49" t="s">
        <v>1447</v>
      </c>
      <c r="C748" s="49" t="s">
        <v>1462</v>
      </c>
      <c r="D748" s="49" t="s">
        <v>1156</v>
      </c>
      <c r="E748" s="49" t="s">
        <v>1183</v>
      </c>
      <c r="F748" s="49" t="s">
        <v>1463</v>
      </c>
      <c r="G748" s="49" t="s">
        <v>772</v>
      </c>
      <c r="H748" s="49" t="s">
        <v>1132</v>
      </c>
      <c r="I748" s="49" t="s">
        <v>885</v>
      </c>
    </row>
    <row r="749" customFormat="false" ht="25.5" hidden="false" customHeight="true" outlineLevel="0" collapsed="false">
      <c r="A749" s="49" t="s">
        <v>995</v>
      </c>
      <c r="B749" s="49" t="s">
        <v>1447</v>
      </c>
      <c r="C749" s="49" t="s">
        <v>1464</v>
      </c>
      <c r="D749" s="49" t="s">
        <v>1218</v>
      </c>
      <c r="E749" s="49" t="s">
        <v>1183</v>
      </c>
      <c r="F749" s="49" t="s">
        <v>1465</v>
      </c>
      <c r="G749" s="49" t="s">
        <v>772</v>
      </c>
      <c r="H749" s="49" t="s">
        <v>1132</v>
      </c>
      <c r="I749" s="49" t="s">
        <v>885</v>
      </c>
    </row>
    <row r="750" customFormat="false" ht="25.5" hidden="false" customHeight="true" outlineLevel="0" collapsed="false">
      <c r="A750" s="49" t="s">
        <v>995</v>
      </c>
      <c r="B750" s="49" t="s">
        <v>1447</v>
      </c>
      <c r="C750" s="49" t="s">
        <v>1466</v>
      </c>
      <c r="D750" s="49" t="s">
        <v>1141</v>
      </c>
      <c r="E750" s="49" t="s">
        <v>1183</v>
      </c>
      <c r="F750" s="49" t="s">
        <v>1467</v>
      </c>
      <c r="G750" s="49" t="s">
        <v>772</v>
      </c>
      <c r="H750" s="49" t="s">
        <v>1132</v>
      </c>
      <c r="I750" s="49" t="s">
        <v>885</v>
      </c>
    </row>
    <row r="751" customFormat="false" ht="25.5" hidden="false" customHeight="true" outlineLevel="0" collapsed="false">
      <c r="A751" s="49" t="s">
        <v>995</v>
      </c>
      <c r="B751" s="49" t="s">
        <v>1447</v>
      </c>
      <c r="C751" s="49" t="s">
        <v>1468</v>
      </c>
      <c r="D751" s="49" t="s">
        <v>1292</v>
      </c>
      <c r="E751" s="49" t="s">
        <v>1183</v>
      </c>
      <c r="F751" s="49" t="s">
        <v>1469</v>
      </c>
      <c r="G751" s="49" t="s">
        <v>772</v>
      </c>
      <c r="H751" s="49" t="s">
        <v>1132</v>
      </c>
      <c r="I751" s="49" t="s">
        <v>885</v>
      </c>
    </row>
    <row r="752" customFormat="false" ht="25.5" hidden="false" customHeight="true" outlineLevel="0" collapsed="false">
      <c r="A752" s="49" t="s">
        <v>995</v>
      </c>
      <c r="B752" s="49" t="s">
        <v>1447</v>
      </c>
      <c r="C752" s="49" t="s">
        <v>1470</v>
      </c>
      <c r="D752" s="49" t="s">
        <v>1218</v>
      </c>
      <c r="E752" s="49" t="s">
        <v>1183</v>
      </c>
      <c r="F752" s="49" t="s">
        <v>1471</v>
      </c>
      <c r="G752" s="49" t="s">
        <v>772</v>
      </c>
      <c r="H752" s="49" t="s">
        <v>1132</v>
      </c>
      <c r="I752" s="49" t="s">
        <v>885</v>
      </c>
    </row>
    <row r="753" customFormat="false" ht="25.5" hidden="false" customHeight="true" outlineLevel="0" collapsed="false">
      <c r="A753" s="49" t="s">
        <v>995</v>
      </c>
      <c r="B753" s="49" t="s">
        <v>1447</v>
      </c>
      <c r="C753" s="49" t="s">
        <v>1472</v>
      </c>
      <c r="D753" s="49" t="s">
        <v>1134</v>
      </c>
      <c r="E753" s="49" t="s">
        <v>1405</v>
      </c>
      <c r="F753" s="49" t="s">
        <v>1473</v>
      </c>
      <c r="G753" s="49" t="s">
        <v>772</v>
      </c>
      <c r="H753" s="49" t="s">
        <v>1132</v>
      </c>
      <c r="I753" s="49" t="s">
        <v>885</v>
      </c>
    </row>
    <row r="754" customFormat="false" ht="25.5" hidden="false" customHeight="true" outlineLevel="0" collapsed="false">
      <c r="A754" s="49" t="s">
        <v>995</v>
      </c>
      <c r="B754" s="49" t="s">
        <v>1447</v>
      </c>
      <c r="C754" s="49" t="s">
        <v>1474</v>
      </c>
      <c r="D754" s="49" t="s">
        <v>1208</v>
      </c>
      <c r="E754" s="49" t="s">
        <v>1475</v>
      </c>
      <c r="F754" s="49" t="s">
        <v>1476</v>
      </c>
      <c r="G754" s="49" t="s">
        <v>772</v>
      </c>
      <c r="H754" s="49" t="s">
        <v>1132</v>
      </c>
      <c r="I754" s="49" t="s">
        <v>885</v>
      </c>
    </row>
    <row r="755" customFormat="false" ht="25.5" hidden="false" customHeight="true" outlineLevel="0" collapsed="false">
      <c r="A755" s="49" t="s">
        <v>995</v>
      </c>
      <c r="B755" s="49" t="s">
        <v>1447</v>
      </c>
      <c r="C755" s="49" t="s">
        <v>1477</v>
      </c>
      <c r="D755" s="49" t="s">
        <v>1162</v>
      </c>
      <c r="E755" s="49" t="s">
        <v>1478</v>
      </c>
      <c r="F755" s="49" t="s">
        <v>1479</v>
      </c>
      <c r="G755" s="49" t="s">
        <v>772</v>
      </c>
      <c r="H755" s="49" t="s">
        <v>1132</v>
      </c>
      <c r="I755" s="49" t="s">
        <v>885</v>
      </c>
    </row>
    <row r="756" customFormat="false" ht="25.5" hidden="false" customHeight="true" outlineLevel="0" collapsed="false">
      <c r="A756" s="49" t="s">
        <v>995</v>
      </c>
      <c r="B756" s="49" t="s">
        <v>1447</v>
      </c>
      <c r="C756" s="49" t="s">
        <v>1480</v>
      </c>
      <c r="D756" s="49" t="s">
        <v>1199</v>
      </c>
      <c r="E756" s="49" t="s">
        <v>1135</v>
      </c>
      <c r="F756" s="49" t="s">
        <v>1473</v>
      </c>
      <c r="G756" s="49" t="s">
        <v>772</v>
      </c>
      <c r="H756" s="49" t="s">
        <v>1132</v>
      </c>
      <c r="I756" s="49" t="s">
        <v>885</v>
      </c>
    </row>
    <row r="757" customFormat="false" ht="25.5" hidden="false" customHeight="true" outlineLevel="0" collapsed="false">
      <c r="A757" s="49" t="s">
        <v>995</v>
      </c>
      <c r="B757" s="49" t="s">
        <v>1447</v>
      </c>
      <c r="C757" s="49" t="s">
        <v>1481</v>
      </c>
      <c r="D757" s="49" t="s">
        <v>1292</v>
      </c>
      <c r="E757" s="49" t="s">
        <v>1135</v>
      </c>
      <c r="F757" s="49" t="s">
        <v>1473</v>
      </c>
      <c r="G757" s="49" t="s">
        <v>772</v>
      </c>
      <c r="H757" s="49" t="s">
        <v>1132</v>
      </c>
      <c r="I757" s="49" t="s">
        <v>885</v>
      </c>
    </row>
    <row r="758" customFormat="false" ht="25.5" hidden="false" customHeight="true" outlineLevel="0" collapsed="false">
      <c r="A758" s="49" t="s">
        <v>995</v>
      </c>
      <c r="B758" s="49" t="s">
        <v>1447</v>
      </c>
      <c r="C758" s="49" t="s">
        <v>1482</v>
      </c>
      <c r="D758" s="49" t="s">
        <v>1199</v>
      </c>
      <c r="E758" s="49" t="s">
        <v>1483</v>
      </c>
      <c r="F758" s="49" t="s">
        <v>1484</v>
      </c>
      <c r="G758" s="49" t="s">
        <v>772</v>
      </c>
      <c r="H758" s="49" t="s">
        <v>1132</v>
      </c>
      <c r="I758" s="49" t="s">
        <v>885</v>
      </c>
    </row>
    <row r="759" customFormat="false" ht="25.5" hidden="false" customHeight="true" outlineLevel="0" collapsed="false">
      <c r="A759" s="49" t="s">
        <v>995</v>
      </c>
      <c r="B759" s="49" t="s">
        <v>1447</v>
      </c>
      <c r="C759" s="49" t="s">
        <v>1485</v>
      </c>
      <c r="D759" s="49" t="s">
        <v>1151</v>
      </c>
      <c r="E759" s="49" t="s">
        <v>1135</v>
      </c>
      <c r="F759" s="49" t="s">
        <v>1473</v>
      </c>
      <c r="G759" s="49" t="s">
        <v>772</v>
      </c>
      <c r="H759" s="49" t="s">
        <v>1132</v>
      </c>
      <c r="I759" s="49" t="s">
        <v>885</v>
      </c>
    </row>
    <row r="760" customFormat="false" ht="25.5" hidden="false" customHeight="true" outlineLevel="0" collapsed="false">
      <c r="A760" s="49" t="s">
        <v>995</v>
      </c>
      <c r="B760" s="49" t="s">
        <v>1447</v>
      </c>
      <c r="C760" s="49" t="s">
        <v>1486</v>
      </c>
      <c r="D760" s="49" t="s">
        <v>1199</v>
      </c>
      <c r="E760" s="49" t="s">
        <v>1135</v>
      </c>
      <c r="F760" s="49" t="s">
        <v>1473</v>
      </c>
      <c r="G760" s="49" t="s">
        <v>772</v>
      </c>
      <c r="H760" s="49" t="s">
        <v>1132</v>
      </c>
      <c r="I760" s="49" t="s">
        <v>885</v>
      </c>
    </row>
    <row r="761" customFormat="false" ht="25.5" hidden="false" customHeight="true" outlineLevel="0" collapsed="false">
      <c r="A761" s="49" t="s">
        <v>995</v>
      </c>
      <c r="B761" s="49" t="s">
        <v>1447</v>
      </c>
      <c r="C761" s="49" t="s">
        <v>1487</v>
      </c>
      <c r="D761" s="49" t="s">
        <v>1148</v>
      </c>
      <c r="E761" s="49" t="s">
        <v>1135</v>
      </c>
      <c r="F761" s="49" t="s">
        <v>1473</v>
      </c>
      <c r="G761" s="49" t="s">
        <v>772</v>
      </c>
      <c r="H761" s="49" t="s">
        <v>1132</v>
      </c>
      <c r="I761" s="49" t="s">
        <v>885</v>
      </c>
    </row>
    <row r="762" customFormat="false" ht="25.5" hidden="false" customHeight="true" outlineLevel="0" collapsed="false">
      <c r="A762" s="49" t="s">
        <v>995</v>
      </c>
      <c r="B762" s="49" t="s">
        <v>1447</v>
      </c>
      <c r="C762" s="49" t="s">
        <v>1488</v>
      </c>
      <c r="D762" s="49" t="s">
        <v>1151</v>
      </c>
      <c r="E762" s="49" t="s">
        <v>1135</v>
      </c>
      <c r="F762" s="49" t="s">
        <v>1473</v>
      </c>
      <c r="G762" s="49" t="s">
        <v>772</v>
      </c>
      <c r="H762" s="49" t="s">
        <v>1132</v>
      </c>
      <c r="I762" s="49" t="s">
        <v>885</v>
      </c>
    </row>
    <row r="763" customFormat="false" ht="25.5" hidden="false" customHeight="true" outlineLevel="0" collapsed="false">
      <c r="A763" s="49" t="s">
        <v>995</v>
      </c>
      <c r="B763" s="49" t="s">
        <v>1447</v>
      </c>
      <c r="C763" s="49" t="s">
        <v>1489</v>
      </c>
      <c r="D763" s="49" t="s">
        <v>1151</v>
      </c>
      <c r="E763" s="49" t="s">
        <v>1135</v>
      </c>
      <c r="F763" s="49" t="s">
        <v>1473</v>
      </c>
      <c r="G763" s="49" t="s">
        <v>772</v>
      </c>
      <c r="H763" s="49" t="s">
        <v>1132</v>
      </c>
      <c r="I763" s="49" t="s">
        <v>885</v>
      </c>
    </row>
    <row r="764" customFormat="false" ht="25.5" hidden="false" customHeight="true" outlineLevel="0" collapsed="false">
      <c r="A764" s="49" t="s">
        <v>995</v>
      </c>
      <c r="B764" s="49" t="s">
        <v>1447</v>
      </c>
      <c r="C764" s="49" t="s">
        <v>1490</v>
      </c>
      <c r="D764" s="49" t="s">
        <v>1141</v>
      </c>
      <c r="E764" s="49" t="s">
        <v>1135</v>
      </c>
      <c r="F764" s="49" t="s">
        <v>1473</v>
      </c>
      <c r="G764" s="49" t="s">
        <v>772</v>
      </c>
      <c r="H764" s="49" t="s">
        <v>1132</v>
      </c>
      <c r="I764" s="49" t="s">
        <v>885</v>
      </c>
    </row>
    <row r="765" customFormat="false" ht="25.5" hidden="false" customHeight="true" outlineLevel="0" collapsed="false">
      <c r="A765" s="49" t="s">
        <v>995</v>
      </c>
      <c r="B765" s="49" t="s">
        <v>1447</v>
      </c>
      <c r="C765" s="49" t="s">
        <v>1491</v>
      </c>
      <c r="D765" s="49" t="s">
        <v>1218</v>
      </c>
      <c r="E765" s="49" t="s">
        <v>1135</v>
      </c>
      <c r="F765" s="49" t="s">
        <v>1473</v>
      </c>
      <c r="G765" s="49" t="s">
        <v>772</v>
      </c>
      <c r="H765" s="49" t="s">
        <v>1132</v>
      </c>
      <c r="I765" s="49" t="s">
        <v>885</v>
      </c>
    </row>
    <row r="766" customFormat="false" ht="25.5" hidden="false" customHeight="true" outlineLevel="0" collapsed="false">
      <c r="A766" s="49" t="s">
        <v>995</v>
      </c>
      <c r="B766" s="49" t="s">
        <v>1447</v>
      </c>
      <c r="C766" s="49" t="s">
        <v>1492</v>
      </c>
      <c r="D766" s="49" t="s">
        <v>1156</v>
      </c>
      <c r="E766" s="49" t="s">
        <v>1135</v>
      </c>
      <c r="F766" s="49" t="s">
        <v>1473</v>
      </c>
      <c r="G766" s="49" t="s">
        <v>772</v>
      </c>
      <c r="H766" s="49" t="s">
        <v>1132</v>
      </c>
      <c r="I766" s="49" t="s">
        <v>885</v>
      </c>
    </row>
    <row r="767" customFormat="false" ht="25.5" hidden="false" customHeight="true" outlineLevel="0" collapsed="false">
      <c r="A767" s="49" t="s">
        <v>995</v>
      </c>
      <c r="B767" s="49" t="s">
        <v>1447</v>
      </c>
      <c r="C767" s="49" t="s">
        <v>1493</v>
      </c>
      <c r="D767" s="49" t="s">
        <v>1134</v>
      </c>
      <c r="E767" s="49" t="s">
        <v>1183</v>
      </c>
      <c r="F767" s="49" t="s">
        <v>1408</v>
      </c>
      <c r="G767" s="49" t="s">
        <v>772</v>
      </c>
      <c r="H767" s="49" t="s">
        <v>1132</v>
      </c>
      <c r="I767" s="49" t="s">
        <v>885</v>
      </c>
    </row>
    <row r="768" customFormat="false" ht="25.5" hidden="false" customHeight="true" outlineLevel="0" collapsed="false">
      <c r="A768" s="49" t="s">
        <v>995</v>
      </c>
      <c r="B768" s="49" t="s">
        <v>1447</v>
      </c>
      <c r="C768" s="49" t="s">
        <v>1494</v>
      </c>
      <c r="D768" s="49" t="s">
        <v>1151</v>
      </c>
      <c r="E768" s="49" t="s">
        <v>1135</v>
      </c>
      <c r="F768" s="49" t="s">
        <v>1473</v>
      </c>
      <c r="G768" s="49" t="s">
        <v>772</v>
      </c>
      <c r="H768" s="49" t="s">
        <v>1132</v>
      </c>
      <c r="I768" s="49" t="s">
        <v>885</v>
      </c>
    </row>
    <row r="769" customFormat="false" ht="25.5" hidden="false" customHeight="true" outlineLevel="0" collapsed="false">
      <c r="A769" s="49" t="s">
        <v>995</v>
      </c>
      <c r="B769" s="49" t="s">
        <v>879</v>
      </c>
      <c r="C769" s="49" t="s">
        <v>880</v>
      </c>
      <c r="D769" s="49" t="s">
        <v>881</v>
      </c>
      <c r="E769" s="49" t="s">
        <v>882</v>
      </c>
      <c r="F769" s="49" t="s">
        <v>883</v>
      </c>
      <c r="G769" s="49" t="s">
        <v>772</v>
      </c>
      <c r="H769" s="49" t="s">
        <v>1132</v>
      </c>
      <c r="I769" s="49" t="s">
        <v>885</v>
      </c>
    </row>
    <row r="770" customFormat="false" ht="25.5" hidden="false" customHeight="true" outlineLevel="0" collapsed="false">
      <c r="A770" s="49" t="s">
        <v>995</v>
      </c>
      <c r="B770" s="49" t="s">
        <v>879</v>
      </c>
      <c r="C770" s="49" t="s">
        <v>943</v>
      </c>
      <c r="D770" s="49" t="s">
        <v>944</v>
      </c>
      <c r="E770" s="49" t="s">
        <v>843</v>
      </c>
      <c r="F770" s="49" t="s">
        <v>945</v>
      </c>
      <c r="G770" s="49" t="s">
        <v>776</v>
      </c>
      <c r="H770" s="49" t="s">
        <v>1495</v>
      </c>
      <c r="I770" s="49" t="s">
        <v>885</v>
      </c>
    </row>
    <row r="771" customFormat="false" ht="25.5" hidden="false" customHeight="true" outlineLevel="0" collapsed="false">
      <c r="A771" s="49" t="s">
        <v>995</v>
      </c>
      <c r="B771" s="49" t="s">
        <v>879</v>
      </c>
      <c r="C771" s="49" t="s">
        <v>947</v>
      </c>
      <c r="D771" s="49"/>
      <c r="E771" s="49" t="s">
        <v>40</v>
      </c>
      <c r="F771" s="49"/>
      <c r="G771" s="49" t="s">
        <v>776</v>
      </c>
      <c r="H771" s="49" t="s">
        <v>1496</v>
      </c>
      <c r="I771" s="49" t="s">
        <v>885</v>
      </c>
    </row>
    <row r="772" customFormat="false" ht="25.5" hidden="false" customHeight="true" outlineLevel="0" collapsed="false">
      <c r="A772" s="49" t="s">
        <v>995</v>
      </c>
      <c r="B772" s="49" t="s">
        <v>879</v>
      </c>
      <c r="C772" s="49" t="s">
        <v>949</v>
      </c>
      <c r="D772" s="49"/>
      <c r="E772" s="49" t="s">
        <v>811</v>
      </c>
      <c r="F772" s="49"/>
      <c r="G772" s="49" t="s">
        <v>776</v>
      </c>
      <c r="H772" s="49" t="s">
        <v>1497</v>
      </c>
      <c r="I772" s="49" t="s">
        <v>885</v>
      </c>
    </row>
    <row r="773" customFormat="false" ht="25.5" hidden="false" customHeight="true" outlineLevel="0" collapsed="false">
      <c r="A773" s="49" t="s">
        <v>995</v>
      </c>
      <c r="B773" s="49" t="s">
        <v>879</v>
      </c>
      <c r="C773" s="49" t="s">
        <v>998</v>
      </c>
      <c r="D773" s="49" t="s">
        <v>881</v>
      </c>
      <c r="E773" s="49" t="s">
        <v>146</v>
      </c>
      <c r="F773" s="49"/>
      <c r="G773" s="49" t="s">
        <v>776</v>
      </c>
      <c r="H773" s="49" t="s">
        <v>1495</v>
      </c>
      <c r="I773" s="49" t="s">
        <v>885</v>
      </c>
    </row>
    <row r="774" customFormat="false" ht="25.5" hidden="false" customHeight="true" outlineLevel="0" collapsed="false">
      <c r="A774" s="49" t="s">
        <v>995</v>
      </c>
      <c r="B774" s="49" t="s">
        <v>879</v>
      </c>
      <c r="C774" s="49" t="s">
        <v>999</v>
      </c>
      <c r="D774" s="49" t="s">
        <v>890</v>
      </c>
      <c r="E774" s="49" t="s">
        <v>146</v>
      </c>
      <c r="F774" s="49" t="s">
        <v>1000</v>
      </c>
      <c r="G774" s="49" t="s">
        <v>776</v>
      </c>
      <c r="H774" s="49" t="s">
        <v>1495</v>
      </c>
      <c r="I774" s="49" t="s">
        <v>885</v>
      </c>
    </row>
    <row r="775" customFormat="false" ht="25.5" hidden="false" customHeight="true" outlineLevel="0" collapsed="false">
      <c r="A775" s="49" t="s">
        <v>995</v>
      </c>
      <c r="B775" s="49" t="s">
        <v>879</v>
      </c>
      <c r="C775" s="49" t="s">
        <v>1001</v>
      </c>
      <c r="D775" s="49"/>
      <c r="E775" s="49" t="s">
        <v>146</v>
      </c>
      <c r="F775" s="49"/>
      <c r="G775" s="49" t="s">
        <v>776</v>
      </c>
      <c r="H775" s="49" t="s">
        <v>1495</v>
      </c>
      <c r="I775" s="49" t="s">
        <v>885</v>
      </c>
    </row>
    <row r="776" customFormat="false" ht="25.5" hidden="false" customHeight="true" outlineLevel="0" collapsed="false">
      <c r="A776" s="49" t="s">
        <v>995</v>
      </c>
      <c r="B776" s="49" t="s">
        <v>891</v>
      </c>
      <c r="C776" s="49" t="s">
        <v>1498</v>
      </c>
      <c r="D776" s="49" t="s">
        <v>1499</v>
      </c>
      <c r="E776" s="49" t="s">
        <v>1142</v>
      </c>
      <c r="F776" s="49" t="s">
        <v>1500</v>
      </c>
      <c r="G776" s="49" t="s">
        <v>772</v>
      </c>
      <c r="H776" s="49" t="s">
        <v>1132</v>
      </c>
      <c r="I776" s="49" t="s">
        <v>885</v>
      </c>
    </row>
    <row r="777" customFormat="false" ht="25.5" hidden="false" customHeight="true" outlineLevel="0" collapsed="false">
      <c r="A777" s="49" t="s">
        <v>995</v>
      </c>
      <c r="B777" s="49" t="s">
        <v>891</v>
      </c>
      <c r="C777" s="49" t="s">
        <v>1002</v>
      </c>
      <c r="D777" s="49" t="s">
        <v>898</v>
      </c>
      <c r="E777" s="49" t="s">
        <v>146</v>
      </c>
      <c r="F777" s="49"/>
      <c r="G777" s="49" t="s">
        <v>776</v>
      </c>
      <c r="H777" s="49" t="s">
        <v>1495</v>
      </c>
      <c r="I777" s="49" t="s">
        <v>885</v>
      </c>
    </row>
    <row r="778" customFormat="false" ht="25.5" hidden="false" customHeight="true" outlineLevel="0" collapsed="false">
      <c r="A778" s="49" t="s">
        <v>995</v>
      </c>
      <c r="B778" s="49" t="s">
        <v>891</v>
      </c>
      <c r="C778" s="49" t="s">
        <v>1501</v>
      </c>
      <c r="D778" s="49" t="s">
        <v>1004</v>
      </c>
      <c r="E778" s="49" t="s">
        <v>1502</v>
      </c>
      <c r="F778" s="49" t="s">
        <v>1008</v>
      </c>
      <c r="G778" s="49" t="s">
        <v>772</v>
      </c>
      <c r="H778" s="49" t="s">
        <v>1132</v>
      </c>
      <c r="I778" s="49" t="s">
        <v>885</v>
      </c>
    </row>
    <row r="779" customFormat="false" ht="25.5" hidden="false" customHeight="true" outlineLevel="0" collapsed="false">
      <c r="A779" s="49" t="s">
        <v>995</v>
      </c>
      <c r="B779" s="49" t="s">
        <v>891</v>
      </c>
      <c r="C779" s="49" t="s">
        <v>1003</v>
      </c>
      <c r="D779" s="49" t="s">
        <v>1004</v>
      </c>
      <c r="E779" s="49" t="s">
        <v>146</v>
      </c>
      <c r="F779" s="49"/>
      <c r="G779" s="49" t="s">
        <v>776</v>
      </c>
      <c r="H779" s="49" t="s">
        <v>1495</v>
      </c>
      <c r="I779" s="49" t="s">
        <v>885</v>
      </c>
    </row>
    <row r="780" customFormat="false" ht="25.5" hidden="false" customHeight="true" outlineLevel="0" collapsed="false">
      <c r="A780" s="51" t="s">
        <v>995</v>
      </c>
      <c r="B780" s="51" t="s">
        <v>891</v>
      </c>
      <c r="C780" s="51" t="s">
        <v>892</v>
      </c>
      <c r="D780" s="51"/>
      <c r="E780" s="51" t="s">
        <v>893</v>
      </c>
      <c r="F780" s="51" t="s">
        <v>894</v>
      </c>
      <c r="G780" s="52" t="s">
        <v>910</v>
      </c>
      <c r="H780" s="51" t="s">
        <v>1503</v>
      </c>
      <c r="I780" s="51" t="s">
        <v>912</v>
      </c>
    </row>
    <row r="781" customFormat="false" ht="25.5" hidden="false" customHeight="true" outlineLevel="0" collapsed="false">
      <c r="A781" s="49" t="s">
        <v>995</v>
      </c>
      <c r="B781" s="49" t="s">
        <v>891</v>
      </c>
      <c r="C781" s="49" t="s">
        <v>1006</v>
      </c>
      <c r="D781" s="49" t="s">
        <v>1007</v>
      </c>
      <c r="E781" s="49" t="s">
        <v>146</v>
      </c>
      <c r="F781" s="49" t="s">
        <v>1008</v>
      </c>
      <c r="G781" s="49" t="s">
        <v>776</v>
      </c>
      <c r="H781" s="49" t="s">
        <v>1495</v>
      </c>
      <c r="I781" s="49" t="s">
        <v>885</v>
      </c>
    </row>
    <row r="782" customFormat="false" ht="25.5" hidden="false" customHeight="true" outlineLevel="0" collapsed="false">
      <c r="A782" s="49" t="s">
        <v>995</v>
      </c>
      <c r="B782" s="49" t="s">
        <v>1009</v>
      </c>
      <c r="C782" s="49" t="s">
        <v>1504</v>
      </c>
      <c r="D782" s="49" t="s">
        <v>1011</v>
      </c>
      <c r="E782" s="49" t="s">
        <v>1189</v>
      </c>
      <c r="F782" s="49" t="s">
        <v>1505</v>
      </c>
      <c r="G782" s="49" t="s">
        <v>772</v>
      </c>
      <c r="H782" s="49" t="s">
        <v>1132</v>
      </c>
      <c r="I782" s="49" t="s">
        <v>885</v>
      </c>
    </row>
    <row r="783" customFormat="false" ht="25.5" hidden="false" customHeight="true" outlineLevel="0" collapsed="false">
      <c r="A783" s="49" t="s">
        <v>995</v>
      </c>
      <c r="B783" s="49" t="s">
        <v>1009</v>
      </c>
      <c r="C783" s="49" t="s">
        <v>1010</v>
      </c>
      <c r="D783" s="49" t="s">
        <v>1011</v>
      </c>
      <c r="E783" s="49" t="s">
        <v>146</v>
      </c>
      <c r="F783" s="49"/>
      <c r="G783" s="49" t="s">
        <v>776</v>
      </c>
      <c r="H783" s="49" t="s">
        <v>1495</v>
      </c>
      <c r="I783" s="49" t="s">
        <v>885</v>
      </c>
    </row>
    <row r="784" customFormat="false" ht="25.5" hidden="false" customHeight="true" outlineLevel="0" collapsed="false">
      <c r="A784" s="49" t="s">
        <v>995</v>
      </c>
      <c r="B784" s="49" t="s">
        <v>1009</v>
      </c>
      <c r="C784" s="49" t="s">
        <v>1012</v>
      </c>
      <c r="D784" s="49" t="s">
        <v>1011</v>
      </c>
      <c r="E784" s="49" t="s">
        <v>1013</v>
      </c>
      <c r="F784" s="49"/>
      <c r="G784" s="49" t="s">
        <v>776</v>
      </c>
      <c r="H784" s="49" t="s">
        <v>1506</v>
      </c>
      <c r="I784" s="49" t="s">
        <v>885</v>
      </c>
    </row>
    <row r="785" customFormat="false" ht="25.5" hidden="false" customHeight="true" outlineLevel="0" collapsed="false">
      <c r="A785" s="49" t="s">
        <v>995</v>
      </c>
      <c r="B785" s="49" t="s">
        <v>1009</v>
      </c>
      <c r="C785" s="49" t="s">
        <v>1014</v>
      </c>
      <c r="D785" s="49" t="s">
        <v>1011</v>
      </c>
      <c r="E785" s="49" t="s">
        <v>1015</v>
      </c>
      <c r="F785" s="49" t="s">
        <v>1016</v>
      </c>
      <c r="G785" s="49" t="s">
        <v>776</v>
      </c>
      <c r="H785" s="49" t="s">
        <v>1495</v>
      </c>
      <c r="I785" s="49" t="s">
        <v>885</v>
      </c>
    </row>
    <row r="786" customFormat="false" ht="25.5" hidden="false" customHeight="true" outlineLevel="0" collapsed="false">
      <c r="A786" s="49" t="s">
        <v>995</v>
      </c>
      <c r="B786" s="49" t="s">
        <v>1009</v>
      </c>
      <c r="C786" s="49" t="s">
        <v>1017</v>
      </c>
      <c r="D786" s="49" t="s">
        <v>1011</v>
      </c>
      <c r="E786" s="49" t="s">
        <v>146</v>
      </c>
      <c r="F786" s="49"/>
      <c r="G786" s="49" t="s">
        <v>776</v>
      </c>
      <c r="H786" s="49" t="s">
        <v>1495</v>
      </c>
      <c r="I786" s="49" t="s">
        <v>885</v>
      </c>
    </row>
    <row r="787" customFormat="false" ht="25.5" hidden="false" customHeight="true" outlineLevel="0" collapsed="false">
      <c r="A787" s="49" t="s">
        <v>995</v>
      </c>
      <c r="B787" s="49" t="s">
        <v>950</v>
      </c>
      <c r="C787" s="49" t="s">
        <v>1018</v>
      </c>
      <c r="D787" s="49" t="s">
        <v>1019</v>
      </c>
      <c r="E787" s="49" t="s">
        <v>1020</v>
      </c>
      <c r="F787" s="49"/>
      <c r="G787" s="49" t="s">
        <v>776</v>
      </c>
      <c r="H787" s="49" t="s">
        <v>1495</v>
      </c>
      <c r="I787" s="49" t="s">
        <v>885</v>
      </c>
    </row>
    <row r="788" customFormat="false" ht="25.5" hidden="false" customHeight="true" outlineLevel="0" collapsed="false">
      <c r="A788" s="49" t="s">
        <v>995</v>
      </c>
      <c r="B788" s="49" t="s">
        <v>950</v>
      </c>
      <c r="C788" s="49" t="s">
        <v>951</v>
      </c>
      <c r="D788" s="49"/>
      <c r="E788" s="49" t="s">
        <v>217</v>
      </c>
      <c r="F788" s="49" t="s">
        <v>952</v>
      </c>
      <c r="G788" s="49" t="s">
        <v>772</v>
      </c>
      <c r="H788" s="49" t="s">
        <v>1132</v>
      </c>
      <c r="I788" s="49" t="s">
        <v>885</v>
      </c>
    </row>
    <row r="789" customFormat="false" ht="25.5" hidden="false" customHeight="true" outlineLevel="0" collapsed="false">
      <c r="A789" s="49" t="s">
        <v>995</v>
      </c>
      <c r="B789" s="49" t="s">
        <v>950</v>
      </c>
      <c r="C789" s="49" t="s">
        <v>953</v>
      </c>
      <c r="D789" s="49" t="s">
        <v>954</v>
      </c>
      <c r="E789" s="49" t="s">
        <v>217</v>
      </c>
      <c r="F789" s="49" t="s">
        <v>955</v>
      </c>
      <c r="G789" s="49" t="s">
        <v>772</v>
      </c>
      <c r="H789" s="49" t="s">
        <v>1132</v>
      </c>
      <c r="I789" s="49" t="s">
        <v>885</v>
      </c>
    </row>
    <row r="790" customFormat="false" ht="25.5" hidden="false" customHeight="true" outlineLevel="0" collapsed="false">
      <c r="A790" s="49" t="s">
        <v>995</v>
      </c>
      <c r="B790" s="49" t="s">
        <v>950</v>
      </c>
      <c r="C790" s="49" t="s">
        <v>1021</v>
      </c>
      <c r="D790" s="49" t="s">
        <v>954</v>
      </c>
      <c r="E790" s="49" t="s">
        <v>146</v>
      </c>
      <c r="F790" s="49"/>
      <c r="G790" s="49" t="s">
        <v>776</v>
      </c>
      <c r="H790" s="49" t="s">
        <v>1495</v>
      </c>
      <c r="I790" s="49" t="s">
        <v>885</v>
      </c>
    </row>
    <row r="791" customFormat="false" ht="25.5" hidden="false" customHeight="true" outlineLevel="0" collapsed="false">
      <c r="A791" s="49" t="s">
        <v>995</v>
      </c>
      <c r="B791" s="49" t="s">
        <v>950</v>
      </c>
      <c r="C791" s="49" t="s">
        <v>1022</v>
      </c>
      <c r="D791" s="49" t="s">
        <v>1019</v>
      </c>
      <c r="E791" s="49" t="s">
        <v>1023</v>
      </c>
      <c r="F791" s="49"/>
      <c r="G791" s="49" t="s">
        <v>776</v>
      </c>
      <c r="H791" s="49" t="s">
        <v>1495</v>
      </c>
      <c r="I791" s="49" t="s">
        <v>885</v>
      </c>
    </row>
    <row r="792" customFormat="false" ht="25.5" hidden="false" customHeight="true" outlineLevel="0" collapsed="false">
      <c r="A792" s="49" t="s">
        <v>995</v>
      </c>
      <c r="B792" s="49" t="s">
        <v>950</v>
      </c>
      <c r="C792" s="49" t="s">
        <v>956</v>
      </c>
      <c r="D792" s="49" t="s">
        <v>954</v>
      </c>
      <c r="E792" s="49" t="s">
        <v>957</v>
      </c>
      <c r="F792" s="49" t="s">
        <v>958</v>
      </c>
      <c r="G792" s="49" t="s">
        <v>776</v>
      </c>
      <c r="H792" s="49" t="s">
        <v>1495</v>
      </c>
      <c r="I792" s="49" t="s">
        <v>885</v>
      </c>
    </row>
    <row r="793" customFormat="false" ht="25.5" hidden="false" customHeight="true" outlineLevel="0" collapsed="false">
      <c r="A793" s="49" t="s">
        <v>995</v>
      </c>
      <c r="B793" s="49" t="s">
        <v>950</v>
      </c>
      <c r="C793" s="49" t="s">
        <v>1024</v>
      </c>
      <c r="D793" s="49" t="s">
        <v>1025</v>
      </c>
      <c r="E793" s="49" t="s">
        <v>146</v>
      </c>
      <c r="F793" s="49" t="s">
        <v>1026</v>
      </c>
      <c r="G793" s="49" t="s">
        <v>776</v>
      </c>
      <c r="H793" s="49" t="s">
        <v>1495</v>
      </c>
      <c r="I793" s="49" t="s">
        <v>885</v>
      </c>
    </row>
    <row r="794" customFormat="false" ht="25.5" hidden="false" customHeight="true" outlineLevel="0" collapsed="false">
      <c r="A794" s="49" t="s">
        <v>995</v>
      </c>
      <c r="B794" s="49" t="s">
        <v>950</v>
      </c>
      <c r="C794" s="49" t="s">
        <v>1027</v>
      </c>
      <c r="D794" s="49" t="s">
        <v>1025</v>
      </c>
      <c r="E794" s="49" t="s">
        <v>146</v>
      </c>
      <c r="F794" s="49"/>
      <c r="G794" s="49" t="s">
        <v>776</v>
      </c>
      <c r="H794" s="49" t="s">
        <v>1495</v>
      </c>
      <c r="I794" s="49" t="s">
        <v>885</v>
      </c>
    </row>
    <row r="795" customFormat="false" ht="25.5" hidden="false" customHeight="true" outlineLevel="0" collapsed="false">
      <c r="A795" s="49" t="s">
        <v>995</v>
      </c>
      <c r="B795" s="49" t="s">
        <v>896</v>
      </c>
      <c r="C795" s="49" t="s">
        <v>1028</v>
      </c>
      <c r="D795" s="49" t="s">
        <v>1029</v>
      </c>
      <c r="E795" s="49" t="s">
        <v>146</v>
      </c>
      <c r="F795" s="49" t="s">
        <v>1030</v>
      </c>
      <c r="G795" s="49" t="s">
        <v>776</v>
      </c>
      <c r="H795" s="49" t="s">
        <v>1495</v>
      </c>
      <c r="I795" s="49" t="s">
        <v>885</v>
      </c>
    </row>
    <row r="796" customFormat="false" ht="25.5" hidden="false" customHeight="true" outlineLevel="0" collapsed="false">
      <c r="A796" s="51" t="s">
        <v>995</v>
      </c>
      <c r="B796" s="51" t="s">
        <v>896</v>
      </c>
      <c r="C796" s="51" t="s">
        <v>897</v>
      </c>
      <c r="D796" s="51" t="s">
        <v>898</v>
      </c>
      <c r="E796" s="51" t="s">
        <v>899</v>
      </c>
      <c r="F796" s="51"/>
      <c r="G796" s="52" t="s">
        <v>910</v>
      </c>
      <c r="H796" s="51" t="s">
        <v>1503</v>
      </c>
      <c r="I796" s="51" t="s">
        <v>912</v>
      </c>
    </row>
    <row r="797" customFormat="false" ht="25.5" hidden="false" customHeight="true" outlineLevel="0" collapsed="false">
      <c r="A797" s="51" t="s">
        <v>995</v>
      </c>
      <c r="B797" s="51" t="s">
        <v>896</v>
      </c>
      <c r="C797" s="51" t="s">
        <v>900</v>
      </c>
      <c r="D797" s="51" t="s">
        <v>898</v>
      </c>
      <c r="E797" s="51" t="s">
        <v>893</v>
      </c>
      <c r="F797" s="51"/>
      <c r="G797" s="52" t="s">
        <v>910</v>
      </c>
      <c r="H797" s="51" t="s">
        <v>1503</v>
      </c>
      <c r="I797" s="51" t="s">
        <v>912</v>
      </c>
    </row>
    <row r="798" customFormat="false" ht="25.5" hidden="false" customHeight="true" outlineLevel="0" collapsed="false">
      <c r="A798" s="51" t="s">
        <v>995</v>
      </c>
      <c r="B798" s="51" t="s">
        <v>896</v>
      </c>
      <c r="C798" s="51" t="s">
        <v>901</v>
      </c>
      <c r="D798" s="51" t="s">
        <v>898</v>
      </c>
      <c r="E798" s="51" t="s">
        <v>893</v>
      </c>
      <c r="F798" s="51"/>
      <c r="G798" s="52" t="s">
        <v>910</v>
      </c>
      <c r="H798" s="51" t="s">
        <v>1503</v>
      </c>
      <c r="I798" s="51" t="s">
        <v>912</v>
      </c>
    </row>
    <row r="799" customFormat="false" ht="25.5" hidden="false" customHeight="true" outlineLevel="0" collapsed="false">
      <c r="A799" s="51" t="s">
        <v>995</v>
      </c>
      <c r="B799" s="51" t="s">
        <v>896</v>
      </c>
      <c r="C799" s="51" t="s">
        <v>902</v>
      </c>
      <c r="D799" s="51" t="s">
        <v>903</v>
      </c>
      <c r="E799" s="51" t="s">
        <v>893</v>
      </c>
      <c r="F799" s="51"/>
      <c r="G799" s="52" t="s">
        <v>910</v>
      </c>
      <c r="H799" s="51" t="s">
        <v>1503</v>
      </c>
      <c r="I799" s="51" t="s">
        <v>912</v>
      </c>
    </row>
    <row r="800" customFormat="false" ht="25.5" hidden="false" customHeight="true" outlineLevel="0" collapsed="false">
      <c r="A800" s="51" t="s">
        <v>995</v>
      </c>
      <c r="B800" s="51" t="s">
        <v>896</v>
      </c>
      <c r="C800" s="51" t="s">
        <v>904</v>
      </c>
      <c r="D800" s="51"/>
      <c r="E800" s="51" t="s">
        <v>893</v>
      </c>
      <c r="F800" s="51"/>
      <c r="G800" s="52" t="s">
        <v>910</v>
      </c>
      <c r="H800" s="51" t="s">
        <v>1503</v>
      </c>
      <c r="I800" s="51" t="s">
        <v>912</v>
      </c>
    </row>
    <row r="801" customFormat="false" ht="25.5" hidden="false" customHeight="true" outlineLevel="0" collapsed="false">
      <c r="A801" s="51" t="s">
        <v>995</v>
      </c>
      <c r="B801" s="51" t="s">
        <v>896</v>
      </c>
      <c r="C801" s="51" t="s">
        <v>905</v>
      </c>
      <c r="D801" s="51"/>
      <c r="E801" s="51" t="s">
        <v>893</v>
      </c>
      <c r="F801" s="51"/>
      <c r="G801" s="52" t="s">
        <v>910</v>
      </c>
      <c r="H801" s="51" t="s">
        <v>1503</v>
      </c>
      <c r="I801" s="51" t="s">
        <v>912</v>
      </c>
    </row>
    <row r="802" customFormat="false" ht="25.5" hidden="false" customHeight="true" outlineLevel="0" collapsed="false">
      <c r="A802" s="51" t="s">
        <v>995</v>
      </c>
      <c r="B802" s="51" t="s">
        <v>896</v>
      </c>
      <c r="C802" s="51" t="s">
        <v>906</v>
      </c>
      <c r="D802" s="51"/>
      <c r="E802" s="51" t="s">
        <v>893</v>
      </c>
      <c r="F802" s="51"/>
      <c r="G802" s="52" t="s">
        <v>910</v>
      </c>
      <c r="H802" s="51" t="s">
        <v>1503</v>
      </c>
      <c r="I802" s="51" t="s">
        <v>912</v>
      </c>
    </row>
    <row r="803" customFormat="false" ht="25.5" hidden="false" customHeight="true" outlineLevel="0" collapsed="false">
      <c r="A803" s="49" t="s">
        <v>995</v>
      </c>
      <c r="B803" s="49" t="s">
        <v>907</v>
      </c>
      <c r="C803" s="49" t="s">
        <v>1507</v>
      </c>
      <c r="D803" s="49" t="s">
        <v>1032</v>
      </c>
      <c r="E803" s="49" t="s">
        <v>1142</v>
      </c>
      <c r="F803" s="49" t="s">
        <v>1500</v>
      </c>
      <c r="G803" s="49" t="s">
        <v>772</v>
      </c>
      <c r="H803" s="49" t="s">
        <v>1132</v>
      </c>
      <c r="I803" s="49" t="s">
        <v>885</v>
      </c>
    </row>
    <row r="804" customFormat="false" ht="25.5" hidden="false" customHeight="true" outlineLevel="0" collapsed="false">
      <c r="A804" s="49" t="s">
        <v>995</v>
      </c>
      <c r="B804" s="49" t="s">
        <v>907</v>
      </c>
      <c r="C804" s="49" t="s">
        <v>1508</v>
      </c>
      <c r="D804" s="49" t="s">
        <v>1034</v>
      </c>
      <c r="E804" s="49" t="s">
        <v>1142</v>
      </c>
      <c r="F804" s="49" t="s">
        <v>1500</v>
      </c>
      <c r="G804" s="49" t="s">
        <v>772</v>
      </c>
      <c r="H804" s="49" t="s">
        <v>1132</v>
      </c>
      <c r="I804" s="49" t="s">
        <v>885</v>
      </c>
    </row>
    <row r="805" customFormat="false" ht="25.5" hidden="false" customHeight="true" outlineLevel="0" collapsed="false">
      <c r="A805" s="49" t="s">
        <v>995</v>
      </c>
      <c r="B805" s="49" t="s">
        <v>907</v>
      </c>
      <c r="C805" s="49" t="s">
        <v>1509</v>
      </c>
      <c r="D805" s="49" t="s">
        <v>1032</v>
      </c>
      <c r="E805" s="49" t="s">
        <v>1189</v>
      </c>
      <c r="F805" s="49" t="s">
        <v>1500</v>
      </c>
      <c r="G805" s="49" t="s">
        <v>772</v>
      </c>
      <c r="H805" s="49" t="s">
        <v>1132</v>
      </c>
      <c r="I805" s="49" t="s">
        <v>885</v>
      </c>
    </row>
    <row r="806" customFormat="false" ht="25.5" hidden="false" customHeight="true" outlineLevel="0" collapsed="false">
      <c r="A806" s="49" t="s">
        <v>995</v>
      </c>
      <c r="B806" s="49" t="s">
        <v>907</v>
      </c>
      <c r="C806" s="49" t="s">
        <v>1031</v>
      </c>
      <c r="D806" s="49" t="s">
        <v>1032</v>
      </c>
      <c r="E806" s="49" t="s">
        <v>146</v>
      </c>
      <c r="F806" s="49"/>
      <c r="G806" s="49" t="s">
        <v>776</v>
      </c>
      <c r="H806" s="49" t="s">
        <v>1495</v>
      </c>
      <c r="I806" s="49" t="s">
        <v>885</v>
      </c>
    </row>
    <row r="807" customFormat="false" ht="25.5" hidden="false" customHeight="true" outlineLevel="0" collapsed="false">
      <c r="A807" s="49" t="s">
        <v>995</v>
      </c>
      <c r="B807" s="49" t="s">
        <v>907</v>
      </c>
      <c r="C807" s="49" t="s">
        <v>1033</v>
      </c>
      <c r="D807" s="49" t="s">
        <v>1034</v>
      </c>
      <c r="E807" s="49" t="s">
        <v>146</v>
      </c>
      <c r="F807" s="49"/>
      <c r="G807" s="49" t="s">
        <v>776</v>
      </c>
      <c r="H807" s="49" t="s">
        <v>1495</v>
      </c>
      <c r="I807" s="49" t="s">
        <v>885</v>
      </c>
    </row>
    <row r="808" customFormat="false" ht="25.5" hidden="false" customHeight="true" outlineLevel="0" collapsed="false">
      <c r="A808" s="49" t="s">
        <v>995</v>
      </c>
      <c r="B808" s="49" t="s">
        <v>907</v>
      </c>
      <c r="C808" s="49" t="s">
        <v>1035</v>
      </c>
      <c r="D808" s="49" t="s">
        <v>1034</v>
      </c>
      <c r="E808" s="49" t="s">
        <v>1036</v>
      </c>
      <c r="F808" s="49" t="s">
        <v>1037</v>
      </c>
      <c r="G808" s="49" t="s">
        <v>776</v>
      </c>
      <c r="H808" s="49" t="s">
        <v>1495</v>
      </c>
      <c r="I808" s="49" t="s">
        <v>885</v>
      </c>
    </row>
    <row r="809" customFormat="false" ht="25.5" hidden="false" customHeight="true" outlineLevel="0" collapsed="false">
      <c r="A809" s="49" t="s">
        <v>995</v>
      </c>
      <c r="B809" s="49" t="s">
        <v>907</v>
      </c>
      <c r="C809" s="49" t="s">
        <v>1038</v>
      </c>
      <c r="D809" s="49" t="s">
        <v>1039</v>
      </c>
      <c r="E809" s="49" t="s">
        <v>146</v>
      </c>
      <c r="F809" s="49"/>
      <c r="G809" s="49" t="s">
        <v>776</v>
      </c>
      <c r="H809" s="49" t="s">
        <v>1495</v>
      </c>
      <c r="I809" s="49" t="s">
        <v>885</v>
      </c>
    </row>
    <row r="810" customFormat="false" ht="25.5" hidden="false" customHeight="true" outlineLevel="0" collapsed="false">
      <c r="A810" s="49" t="s">
        <v>995</v>
      </c>
      <c r="B810" s="49" t="s">
        <v>907</v>
      </c>
      <c r="C810" s="49" t="s">
        <v>908</v>
      </c>
      <c r="D810" s="49"/>
      <c r="E810" s="49" t="s">
        <v>909</v>
      </c>
      <c r="F810" s="49"/>
      <c r="G810" s="49" t="s">
        <v>776</v>
      </c>
      <c r="H810" s="49" t="s">
        <v>1495</v>
      </c>
      <c r="I810" s="49" t="s">
        <v>885</v>
      </c>
    </row>
    <row r="811" customFormat="false" ht="25.5" hidden="false" customHeight="true" outlineLevel="0" collapsed="false">
      <c r="A811" s="51" t="s">
        <v>995</v>
      </c>
      <c r="B811" s="51" t="s">
        <v>907</v>
      </c>
      <c r="C811" s="51" t="s">
        <v>913</v>
      </c>
      <c r="D811" s="51"/>
      <c r="E811" s="51" t="s">
        <v>893</v>
      </c>
      <c r="F811" s="51"/>
      <c r="G811" s="52" t="s">
        <v>910</v>
      </c>
      <c r="H811" s="51" t="s">
        <v>1503</v>
      </c>
      <c r="I811" s="51" t="s">
        <v>912</v>
      </c>
    </row>
    <row r="812" customFormat="false" ht="25.5" hidden="false" customHeight="true" outlineLevel="0" collapsed="false">
      <c r="A812" s="51" t="s">
        <v>995</v>
      </c>
      <c r="B812" s="51" t="s">
        <v>907</v>
      </c>
      <c r="C812" s="51" t="s">
        <v>914</v>
      </c>
      <c r="D812" s="51"/>
      <c r="E812" s="51" t="s">
        <v>893</v>
      </c>
      <c r="F812" s="51"/>
      <c r="G812" s="52" t="s">
        <v>910</v>
      </c>
      <c r="H812" s="51" t="s">
        <v>1503</v>
      </c>
      <c r="I812" s="51" t="s">
        <v>912</v>
      </c>
    </row>
    <row r="813" customFormat="false" ht="25.5" hidden="false" customHeight="true" outlineLevel="0" collapsed="false">
      <c r="A813" s="49" t="s">
        <v>995</v>
      </c>
      <c r="B813" s="49" t="s">
        <v>907</v>
      </c>
      <c r="C813" s="49" t="s">
        <v>1040</v>
      </c>
      <c r="D813" s="49" t="s">
        <v>1039</v>
      </c>
      <c r="E813" s="49" t="s">
        <v>146</v>
      </c>
      <c r="F813" s="49"/>
      <c r="G813" s="49" t="s">
        <v>776</v>
      </c>
      <c r="H813" s="49" t="s">
        <v>1495</v>
      </c>
      <c r="I813" s="49" t="s">
        <v>885</v>
      </c>
    </row>
    <row r="814" customFormat="false" ht="25.5" hidden="false" customHeight="true" outlineLevel="0" collapsed="false">
      <c r="A814" s="49" t="s">
        <v>995</v>
      </c>
      <c r="B814" s="49" t="s">
        <v>907</v>
      </c>
      <c r="C814" s="49" t="s">
        <v>1510</v>
      </c>
      <c r="D814" s="49"/>
      <c r="E814" s="49" t="s">
        <v>1511</v>
      </c>
      <c r="F814" s="49" t="s">
        <v>1512</v>
      </c>
      <c r="G814" s="49" t="s">
        <v>772</v>
      </c>
      <c r="H814" s="49" t="s">
        <v>1132</v>
      </c>
      <c r="I814" s="49" t="s">
        <v>885</v>
      </c>
    </row>
    <row r="815" customFormat="false" ht="25.5" hidden="false" customHeight="true" outlineLevel="0" collapsed="false">
      <c r="A815" s="49" t="s">
        <v>995</v>
      </c>
      <c r="B815" s="49" t="s">
        <v>907</v>
      </c>
      <c r="C815" s="49" t="s">
        <v>960</v>
      </c>
      <c r="D815" s="49"/>
      <c r="E815" s="49" t="s">
        <v>217</v>
      </c>
      <c r="F815" s="49" t="s">
        <v>961</v>
      </c>
      <c r="G815" s="49" t="s">
        <v>772</v>
      </c>
      <c r="H815" s="49" t="s">
        <v>1132</v>
      </c>
      <c r="I815" s="49" t="s">
        <v>885</v>
      </c>
    </row>
    <row r="816" customFormat="false" ht="25.5" hidden="false" customHeight="true" outlineLevel="0" collapsed="false">
      <c r="A816" s="49" t="s">
        <v>995</v>
      </c>
      <c r="B816" s="49" t="s">
        <v>915</v>
      </c>
      <c r="C816" s="49" t="s">
        <v>1513</v>
      </c>
      <c r="D816" s="49" t="s">
        <v>1029</v>
      </c>
      <c r="E816" s="49" t="s">
        <v>1186</v>
      </c>
      <c r="F816" s="49" t="s">
        <v>1514</v>
      </c>
      <c r="G816" s="49" t="s">
        <v>772</v>
      </c>
      <c r="H816" s="49" t="s">
        <v>1132</v>
      </c>
      <c r="I816" s="49" t="s">
        <v>885</v>
      </c>
    </row>
    <row r="817" customFormat="false" ht="25.5" hidden="false" customHeight="true" outlineLevel="0" collapsed="false">
      <c r="A817" s="49" t="s">
        <v>995</v>
      </c>
      <c r="B817" s="49" t="s">
        <v>915</v>
      </c>
      <c r="C817" s="49" t="s">
        <v>1515</v>
      </c>
      <c r="D817" s="49" t="s">
        <v>929</v>
      </c>
      <c r="E817" s="49" t="s">
        <v>1186</v>
      </c>
      <c r="F817" s="49" t="s">
        <v>1516</v>
      </c>
      <c r="G817" s="49" t="s">
        <v>772</v>
      </c>
      <c r="H817" s="49" t="s">
        <v>1132</v>
      </c>
      <c r="I817" s="49" t="s">
        <v>885</v>
      </c>
    </row>
    <row r="818" customFormat="false" ht="25.5" hidden="false" customHeight="true" outlineLevel="0" collapsed="false">
      <c r="A818" s="49" t="s">
        <v>995</v>
      </c>
      <c r="B818" s="49" t="s">
        <v>915</v>
      </c>
      <c r="C818" s="49" t="s">
        <v>1041</v>
      </c>
      <c r="D818" s="49" t="s">
        <v>1034</v>
      </c>
      <c r="E818" s="49" t="s">
        <v>146</v>
      </c>
      <c r="F818" s="49"/>
      <c r="G818" s="49" t="s">
        <v>776</v>
      </c>
      <c r="H818" s="49" t="s">
        <v>1495</v>
      </c>
      <c r="I818" s="49" t="s">
        <v>885</v>
      </c>
    </row>
    <row r="819" customFormat="false" ht="25.5" hidden="false" customHeight="true" outlineLevel="0" collapsed="false">
      <c r="A819" s="49" t="s">
        <v>995</v>
      </c>
      <c r="B819" s="49" t="s">
        <v>915</v>
      </c>
      <c r="C819" s="49" t="s">
        <v>1042</v>
      </c>
      <c r="D819" s="49" t="s">
        <v>1034</v>
      </c>
      <c r="E819" s="49" t="s">
        <v>146</v>
      </c>
      <c r="F819" s="49"/>
      <c r="G819" s="49" t="s">
        <v>776</v>
      </c>
      <c r="H819" s="49" t="s">
        <v>1495</v>
      </c>
      <c r="I819" s="49" t="s">
        <v>885</v>
      </c>
    </row>
    <row r="820" customFormat="false" ht="25.5" hidden="false" customHeight="true" outlineLevel="0" collapsed="false">
      <c r="A820" s="49" t="s">
        <v>995</v>
      </c>
      <c r="B820" s="49" t="s">
        <v>915</v>
      </c>
      <c r="C820" s="49" t="s">
        <v>1043</v>
      </c>
      <c r="D820" s="49" t="s">
        <v>903</v>
      </c>
      <c r="E820" s="49" t="s">
        <v>146</v>
      </c>
      <c r="F820" s="49"/>
      <c r="G820" s="49" t="s">
        <v>776</v>
      </c>
      <c r="H820" s="49" t="s">
        <v>1495</v>
      </c>
      <c r="I820" s="49" t="s">
        <v>885</v>
      </c>
    </row>
    <row r="821" customFormat="false" ht="25.5" hidden="false" customHeight="true" outlineLevel="0" collapsed="false">
      <c r="A821" s="51" t="s">
        <v>995</v>
      </c>
      <c r="B821" s="51" t="s">
        <v>915</v>
      </c>
      <c r="C821" s="51" t="s">
        <v>916</v>
      </c>
      <c r="D821" s="51"/>
      <c r="E821" s="51" t="s">
        <v>893</v>
      </c>
      <c r="F821" s="51"/>
      <c r="G821" s="52" t="s">
        <v>910</v>
      </c>
      <c r="H821" s="51" t="s">
        <v>1503</v>
      </c>
      <c r="I821" s="51" t="s">
        <v>912</v>
      </c>
    </row>
    <row r="822" customFormat="false" ht="25.5" hidden="false" customHeight="true" outlineLevel="0" collapsed="false">
      <c r="A822" s="49" t="s">
        <v>995</v>
      </c>
      <c r="B822" s="49" t="s">
        <v>915</v>
      </c>
      <c r="C822" s="49" t="s">
        <v>1044</v>
      </c>
      <c r="D822" s="49" t="s">
        <v>1045</v>
      </c>
      <c r="E822" s="49" t="s">
        <v>146</v>
      </c>
      <c r="F822" s="49" t="s">
        <v>1046</v>
      </c>
      <c r="G822" s="49" t="s">
        <v>776</v>
      </c>
      <c r="H822" s="49" t="s">
        <v>1495</v>
      </c>
      <c r="I822" s="49" t="s">
        <v>885</v>
      </c>
    </row>
    <row r="823" customFormat="false" ht="25.5" hidden="false" customHeight="true" outlineLevel="0" collapsed="false">
      <c r="A823" s="49" t="s">
        <v>995</v>
      </c>
      <c r="B823" s="49" t="s">
        <v>1047</v>
      </c>
      <c r="C823" s="49" t="s">
        <v>1517</v>
      </c>
      <c r="D823" s="49" t="s">
        <v>965</v>
      </c>
      <c r="E823" s="49" t="s">
        <v>1186</v>
      </c>
      <c r="F823" s="49" t="s">
        <v>1518</v>
      </c>
      <c r="G823" s="49" t="s">
        <v>772</v>
      </c>
      <c r="H823" s="49" t="s">
        <v>1132</v>
      </c>
      <c r="I823" s="49" t="s">
        <v>885</v>
      </c>
    </row>
    <row r="824" customFormat="false" ht="25.5" hidden="false" customHeight="true" outlineLevel="0" collapsed="false">
      <c r="A824" s="49" t="s">
        <v>995</v>
      </c>
      <c r="B824" s="49" t="s">
        <v>1047</v>
      </c>
      <c r="C824" s="49" t="s">
        <v>1048</v>
      </c>
      <c r="D824" s="49" t="s">
        <v>1049</v>
      </c>
      <c r="E824" s="49" t="s">
        <v>146</v>
      </c>
      <c r="F824" s="49"/>
      <c r="G824" s="49" t="s">
        <v>776</v>
      </c>
      <c r="H824" s="49" t="s">
        <v>1495</v>
      </c>
      <c r="I824" s="49" t="s">
        <v>885</v>
      </c>
    </row>
    <row r="825" customFormat="false" ht="25.5" hidden="false" customHeight="true" outlineLevel="0" collapsed="false">
      <c r="A825" s="49" t="s">
        <v>995</v>
      </c>
      <c r="B825" s="49" t="s">
        <v>1047</v>
      </c>
      <c r="C825" s="49" t="s">
        <v>1050</v>
      </c>
      <c r="D825" s="49" t="s">
        <v>991</v>
      </c>
      <c r="E825" s="49" t="s">
        <v>146</v>
      </c>
      <c r="F825" s="49"/>
      <c r="G825" s="49" t="s">
        <v>776</v>
      </c>
      <c r="H825" s="49" t="s">
        <v>1495</v>
      </c>
      <c r="I825" s="49" t="s">
        <v>885</v>
      </c>
    </row>
    <row r="826" customFormat="false" ht="25.5" hidden="false" customHeight="true" outlineLevel="0" collapsed="false">
      <c r="A826" s="49" t="s">
        <v>995</v>
      </c>
      <c r="B826" s="49" t="s">
        <v>1047</v>
      </c>
      <c r="C826" s="49" t="s">
        <v>1051</v>
      </c>
      <c r="D826" s="49" t="s">
        <v>991</v>
      </c>
      <c r="E826" s="49" t="s">
        <v>146</v>
      </c>
      <c r="F826" s="49"/>
      <c r="G826" s="49" t="s">
        <v>776</v>
      </c>
      <c r="H826" s="49" t="s">
        <v>1495</v>
      </c>
      <c r="I826" s="49" t="s">
        <v>885</v>
      </c>
    </row>
    <row r="827" customFormat="false" ht="25.5" hidden="false" customHeight="true" outlineLevel="0" collapsed="false">
      <c r="A827" s="49" t="s">
        <v>995</v>
      </c>
      <c r="B827" s="49" t="s">
        <v>917</v>
      </c>
      <c r="C827" s="49" t="s">
        <v>1519</v>
      </c>
      <c r="D827" s="49" t="s">
        <v>968</v>
      </c>
      <c r="E827" s="49" t="s">
        <v>1520</v>
      </c>
      <c r="F827" s="49" t="s">
        <v>1352</v>
      </c>
      <c r="G827" s="49" t="s">
        <v>772</v>
      </c>
      <c r="H827" s="49" t="s">
        <v>1132</v>
      </c>
      <c r="I827" s="49" t="s">
        <v>885</v>
      </c>
    </row>
    <row r="828" customFormat="false" ht="25.5" hidden="false" customHeight="true" outlineLevel="0" collapsed="false">
      <c r="A828" s="49" t="s">
        <v>995</v>
      </c>
      <c r="B828" s="49" t="s">
        <v>917</v>
      </c>
      <c r="C828" s="49" t="s">
        <v>1521</v>
      </c>
      <c r="D828" s="49" t="s">
        <v>1522</v>
      </c>
      <c r="E828" s="49" t="s">
        <v>1186</v>
      </c>
      <c r="F828" s="49" t="s">
        <v>1523</v>
      </c>
      <c r="G828" s="49" t="s">
        <v>772</v>
      </c>
      <c r="H828" s="49" t="s">
        <v>1132</v>
      </c>
      <c r="I828" s="49" t="s">
        <v>885</v>
      </c>
    </row>
    <row r="829" customFormat="false" ht="25.5" hidden="false" customHeight="true" outlineLevel="0" collapsed="false">
      <c r="A829" s="49" t="s">
        <v>995</v>
      </c>
      <c r="B829" s="49" t="s">
        <v>917</v>
      </c>
      <c r="C829" s="49" t="s">
        <v>1524</v>
      </c>
      <c r="D829" s="49" t="s">
        <v>965</v>
      </c>
      <c r="E829" s="49" t="s">
        <v>1520</v>
      </c>
      <c r="F829" s="49" t="s">
        <v>1525</v>
      </c>
      <c r="G829" s="49" t="s">
        <v>772</v>
      </c>
      <c r="H829" s="49" t="s">
        <v>1132</v>
      </c>
      <c r="I829" s="49" t="s">
        <v>885</v>
      </c>
    </row>
    <row r="830" customFormat="false" ht="25.5" hidden="false" customHeight="true" outlineLevel="0" collapsed="false">
      <c r="A830" s="49" t="s">
        <v>995</v>
      </c>
      <c r="B830" s="49" t="s">
        <v>917</v>
      </c>
      <c r="C830" s="49" t="s">
        <v>1526</v>
      </c>
      <c r="D830" s="49" t="s">
        <v>919</v>
      </c>
      <c r="E830" s="49" t="s">
        <v>1527</v>
      </c>
      <c r="F830" s="49" t="s">
        <v>1528</v>
      </c>
      <c r="G830" s="49" t="s">
        <v>772</v>
      </c>
      <c r="H830" s="49" t="s">
        <v>1132</v>
      </c>
      <c r="I830" s="49" t="s">
        <v>885</v>
      </c>
    </row>
    <row r="831" customFormat="false" ht="25.5" hidden="false" customHeight="true" outlineLevel="0" collapsed="false">
      <c r="A831" s="49" t="s">
        <v>995</v>
      </c>
      <c r="B831" s="49" t="s">
        <v>917</v>
      </c>
      <c r="C831" s="49" t="s">
        <v>964</v>
      </c>
      <c r="D831" s="49" t="s">
        <v>965</v>
      </c>
      <c r="E831" s="49" t="s">
        <v>217</v>
      </c>
      <c r="F831" s="49" t="s">
        <v>966</v>
      </c>
      <c r="G831" s="49" t="s">
        <v>772</v>
      </c>
      <c r="H831" s="49" t="s">
        <v>1132</v>
      </c>
      <c r="I831" s="49" t="s">
        <v>885</v>
      </c>
    </row>
    <row r="832" customFormat="false" ht="25.5" hidden="false" customHeight="true" outlineLevel="0" collapsed="false">
      <c r="A832" s="49" t="s">
        <v>995</v>
      </c>
      <c r="B832" s="49" t="s">
        <v>917</v>
      </c>
      <c r="C832" s="49" t="s">
        <v>967</v>
      </c>
      <c r="D832" s="49" t="s">
        <v>968</v>
      </c>
      <c r="E832" s="49" t="s">
        <v>969</v>
      </c>
      <c r="F832" s="49" t="s">
        <v>970</v>
      </c>
      <c r="G832" s="49" t="s">
        <v>772</v>
      </c>
      <c r="H832" s="49" t="s">
        <v>1132</v>
      </c>
      <c r="I832" s="49" t="s">
        <v>885</v>
      </c>
    </row>
    <row r="833" customFormat="false" ht="25.5" hidden="false" customHeight="true" outlineLevel="0" collapsed="false">
      <c r="A833" s="49" t="s">
        <v>995</v>
      </c>
      <c r="B833" s="49" t="s">
        <v>917</v>
      </c>
      <c r="C833" s="49" t="s">
        <v>1529</v>
      </c>
      <c r="D833" s="49" t="s">
        <v>1530</v>
      </c>
      <c r="E833" s="49" t="s">
        <v>1500</v>
      </c>
      <c r="F833" s="49" t="s">
        <v>1531</v>
      </c>
      <c r="G833" s="49" t="s">
        <v>772</v>
      </c>
      <c r="H833" s="49" t="s">
        <v>1132</v>
      </c>
      <c r="I833" s="49" t="s">
        <v>885</v>
      </c>
    </row>
    <row r="834" customFormat="false" ht="25.5" hidden="false" customHeight="true" outlineLevel="0" collapsed="false">
      <c r="A834" s="49" t="s">
        <v>995</v>
      </c>
      <c r="B834" s="49" t="s">
        <v>917</v>
      </c>
      <c r="C834" s="49" t="s">
        <v>918</v>
      </c>
      <c r="D834" s="49" t="s">
        <v>919</v>
      </c>
      <c r="E834" s="49" t="s">
        <v>882</v>
      </c>
      <c r="F834" s="49" t="s">
        <v>920</v>
      </c>
      <c r="G834" s="49" t="s">
        <v>772</v>
      </c>
      <c r="H834" s="49" t="s">
        <v>1132</v>
      </c>
      <c r="I834" s="49" t="s">
        <v>885</v>
      </c>
    </row>
    <row r="835" customFormat="false" ht="25.5" hidden="false" customHeight="true" outlineLevel="0" collapsed="false">
      <c r="A835" s="49" t="s">
        <v>995</v>
      </c>
      <c r="B835" s="49" t="s">
        <v>917</v>
      </c>
      <c r="C835" s="49" t="s">
        <v>921</v>
      </c>
      <c r="D835" s="49" t="s">
        <v>922</v>
      </c>
      <c r="E835" s="49" t="s">
        <v>882</v>
      </c>
      <c r="F835" s="49" t="s">
        <v>923</v>
      </c>
      <c r="G835" s="49" t="s">
        <v>772</v>
      </c>
      <c r="H835" s="49" t="s">
        <v>1132</v>
      </c>
      <c r="I835" s="49" t="s">
        <v>885</v>
      </c>
    </row>
    <row r="836" customFormat="false" ht="25.5" hidden="false" customHeight="true" outlineLevel="0" collapsed="false">
      <c r="A836" s="49" t="s">
        <v>995</v>
      </c>
      <c r="B836" s="49" t="s">
        <v>917</v>
      </c>
      <c r="C836" s="49" t="s">
        <v>1532</v>
      </c>
      <c r="D836" s="49" t="s">
        <v>919</v>
      </c>
      <c r="E836" s="49" t="s">
        <v>1533</v>
      </c>
      <c r="F836" s="49" t="s">
        <v>1534</v>
      </c>
      <c r="G836" s="49" t="s">
        <v>772</v>
      </c>
      <c r="H836" s="49" t="s">
        <v>1132</v>
      </c>
      <c r="I836" s="49" t="s">
        <v>885</v>
      </c>
    </row>
    <row r="837" customFormat="false" ht="25.5" hidden="false" customHeight="true" outlineLevel="0" collapsed="false">
      <c r="A837" s="49" t="s">
        <v>995</v>
      </c>
      <c r="B837" s="49" t="s">
        <v>917</v>
      </c>
      <c r="C837" s="49" t="s">
        <v>1052</v>
      </c>
      <c r="D837" s="49" t="s">
        <v>968</v>
      </c>
      <c r="E837" s="49" t="s">
        <v>146</v>
      </c>
      <c r="F837" s="49" t="s">
        <v>1053</v>
      </c>
      <c r="G837" s="49" t="s">
        <v>776</v>
      </c>
      <c r="H837" s="49" t="s">
        <v>1495</v>
      </c>
      <c r="I837" s="49" t="s">
        <v>885</v>
      </c>
    </row>
    <row r="838" customFormat="false" ht="25.5" hidden="false" customHeight="true" outlineLevel="0" collapsed="false">
      <c r="A838" s="49" t="s">
        <v>995</v>
      </c>
      <c r="B838" s="49" t="s">
        <v>917</v>
      </c>
      <c r="C838" s="49" t="s">
        <v>1054</v>
      </c>
      <c r="D838" s="49" t="s">
        <v>965</v>
      </c>
      <c r="E838" s="49" t="s">
        <v>1055</v>
      </c>
      <c r="F838" s="49" t="s">
        <v>1056</v>
      </c>
      <c r="G838" s="49" t="s">
        <v>776</v>
      </c>
      <c r="H838" s="49" t="s">
        <v>1495</v>
      </c>
      <c r="I838" s="49" t="s">
        <v>885</v>
      </c>
    </row>
    <row r="839" customFormat="false" ht="25.5" hidden="false" customHeight="true" outlineLevel="0" collapsed="false">
      <c r="A839" s="51" t="s">
        <v>995</v>
      </c>
      <c r="B839" s="51" t="s">
        <v>917</v>
      </c>
      <c r="C839" s="51" t="s">
        <v>924</v>
      </c>
      <c r="D839" s="51"/>
      <c r="E839" s="51" t="s">
        <v>893</v>
      </c>
      <c r="F839" s="51"/>
      <c r="G839" s="52" t="s">
        <v>910</v>
      </c>
      <c r="H839" s="51" t="s">
        <v>1503</v>
      </c>
      <c r="I839" s="51" t="s">
        <v>912</v>
      </c>
    </row>
    <row r="840" customFormat="false" ht="25.5" hidden="false" customHeight="true" outlineLevel="0" collapsed="false">
      <c r="A840" s="49" t="s">
        <v>995</v>
      </c>
      <c r="B840" s="49" t="s">
        <v>917</v>
      </c>
      <c r="C840" s="49" t="s">
        <v>1535</v>
      </c>
      <c r="D840" s="49" t="s">
        <v>929</v>
      </c>
      <c r="E840" s="49" t="s">
        <v>1536</v>
      </c>
      <c r="F840" s="49" t="s">
        <v>1537</v>
      </c>
      <c r="G840" s="49" t="s">
        <v>772</v>
      </c>
      <c r="H840" s="49" t="s">
        <v>1132</v>
      </c>
      <c r="I840" s="49" t="s">
        <v>885</v>
      </c>
    </row>
    <row r="841" customFormat="false" ht="25.5" hidden="false" customHeight="true" outlineLevel="0" collapsed="false">
      <c r="A841" s="49" t="s">
        <v>995</v>
      </c>
      <c r="B841" s="49" t="s">
        <v>917</v>
      </c>
      <c r="C841" s="49" t="s">
        <v>1538</v>
      </c>
      <c r="D841" s="49" t="s">
        <v>929</v>
      </c>
      <c r="E841" s="49" t="s">
        <v>1536</v>
      </c>
      <c r="F841" s="49" t="s">
        <v>1539</v>
      </c>
      <c r="G841" s="49" t="s">
        <v>772</v>
      </c>
      <c r="H841" s="49" t="s">
        <v>1132</v>
      </c>
      <c r="I841" s="49" t="s">
        <v>885</v>
      </c>
    </row>
    <row r="842" customFormat="false" ht="25.5" hidden="false" customHeight="true" outlineLevel="0" collapsed="false">
      <c r="A842" s="49" t="s">
        <v>995</v>
      </c>
      <c r="B842" s="49" t="s">
        <v>917</v>
      </c>
      <c r="C842" s="49" t="s">
        <v>1540</v>
      </c>
      <c r="D842" s="49" t="s">
        <v>929</v>
      </c>
      <c r="E842" s="49" t="s">
        <v>1541</v>
      </c>
      <c r="F842" s="49" t="s">
        <v>1542</v>
      </c>
      <c r="G842" s="49" t="s">
        <v>772</v>
      </c>
      <c r="H842" s="49" t="s">
        <v>1132</v>
      </c>
      <c r="I842" s="49" t="s">
        <v>885</v>
      </c>
    </row>
    <row r="843" customFormat="false" ht="25.5" hidden="false" customHeight="true" outlineLevel="0" collapsed="false">
      <c r="A843" s="49" t="s">
        <v>995</v>
      </c>
      <c r="B843" s="49" t="s">
        <v>925</v>
      </c>
      <c r="C843" s="49" t="s">
        <v>1543</v>
      </c>
      <c r="D843" s="49" t="s">
        <v>972</v>
      </c>
      <c r="E843" s="49" t="s">
        <v>1186</v>
      </c>
      <c r="F843" s="49" t="s">
        <v>1544</v>
      </c>
      <c r="G843" s="49" t="s">
        <v>772</v>
      </c>
      <c r="H843" s="49" t="s">
        <v>1132</v>
      </c>
      <c r="I843" s="49" t="s">
        <v>885</v>
      </c>
    </row>
    <row r="844" customFormat="false" ht="25.5" hidden="false" customHeight="true" outlineLevel="0" collapsed="false">
      <c r="A844" s="49" t="s">
        <v>995</v>
      </c>
      <c r="B844" s="49" t="s">
        <v>925</v>
      </c>
      <c r="C844" s="49" t="s">
        <v>1057</v>
      </c>
      <c r="D844" s="49" t="s">
        <v>968</v>
      </c>
      <c r="E844" s="49" t="s">
        <v>146</v>
      </c>
      <c r="F844" s="49" t="s">
        <v>1058</v>
      </c>
      <c r="G844" s="49" t="s">
        <v>776</v>
      </c>
      <c r="H844" s="49" t="s">
        <v>1495</v>
      </c>
      <c r="I844" s="49" t="s">
        <v>885</v>
      </c>
    </row>
    <row r="845" customFormat="false" ht="25.5" hidden="false" customHeight="true" outlineLevel="0" collapsed="false">
      <c r="A845" s="49" t="s">
        <v>995</v>
      </c>
      <c r="B845" s="49" t="s">
        <v>925</v>
      </c>
      <c r="C845" s="49" t="s">
        <v>1059</v>
      </c>
      <c r="D845" s="49" t="s">
        <v>968</v>
      </c>
      <c r="E845" s="49" t="s">
        <v>146</v>
      </c>
      <c r="F845" s="49"/>
      <c r="G845" s="49" t="s">
        <v>776</v>
      </c>
      <c r="H845" s="49" t="s">
        <v>1495</v>
      </c>
      <c r="I845" s="49" t="s">
        <v>885</v>
      </c>
    </row>
    <row r="846" customFormat="false" ht="25.5" hidden="false" customHeight="true" outlineLevel="0" collapsed="false">
      <c r="A846" s="49" t="s">
        <v>995</v>
      </c>
      <c r="B846" s="49" t="s">
        <v>925</v>
      </c>
      <c r="C846" s="49" t="s">
        <v>1060</v>
      </c>
      <c r="D846" s="49" t="s">
        <v>1061</v>
      </c>
      <c r="E846" s="49" t="s">
        <v>146</v>
      </c>
      <c r="F846" s="49" t="s">
        <v>1062</v>
      </c>
      <c r="G846" s="49" t="s">
        <v>776</v>
      </c>
      <c r="H846" s="49" t="s">
        <v>1495</v>
      </c>
      <c r="I846" s="49" t="s">
        <v>885</v>
      </c>
    </row>
    <row r="847" customFormat="false" ht="25.5" hidden="false" customHeight="true" outlineLevel="0" collapsed="false">
      <c r="A847" s="49" t="s">
        <v>995</v>
      </c>
      <c r="B847" s="49" t="s">
        <v>925</v>
      </c>
      <c r="C847" s="49" t="s">
        <v>1063</v>
      </c>
      <c r="D847" s="49" t="s">
        <v>972</v>
      </c>
      <c r="E847" s="49" t="s">
        <v>146</v>
      </c>
      <c r="F847" s="49" t="s">
        <v>1058</v>
      </c>
      <c r="G847" s="49" t="s">
        <v>776</v>
      </c>
      <c r="H847" s="49" t="s">
        <v>1495</v>
      </c>
      <c r="I847" s="49" t="s">
        <v>885</v>
      </c>
    </row>
    <row r="848" customFormat="false" ht="25.5" hidden="false" customHeight="true" outlineLevel="0" collapsed="false">
      <c r="A848" s="49" t="s">
        <v>995</v>
      </c>
      <c r="B848" s="49" t="s">
        <v>925</v>
      </c>
      <c r="C848" s="49" t="s">
        <v>1064</v>
      </c>
      <c r="D848" s="49" t="s">
        <v>972</v>
      </c>
      <c r="E848" s="49" t="s">
        <v>146</v>
      </c>
      <c r="F848" s="49" t="s">
        <v>1065</v>
      </c>
      <c r="G848" s="49" t="s">
        <v>776</v>
      </c>
      <c r="H848" s="49" t="s">
        <v>1495</v>
      </c>
      <c r="I848" s="49" t="s">
        <v>885</v>
      </c>
    </row>
    <row r="849" customFormat="false" ht="25.5" hidden="false" customHeight="true" outlineLevel="0" collapsed="false">
      <c r="A849" s="51" t="s">
        <v>995</v>
      </c>
      <c r="B849" s="51" t="s">
        <v>925</v>
      </c>
      <c r="C849" s="51" t="s">
        <v>973</v>
      </c>
      <c r="D849" s="51" t="s">
        <v>968</v>
      </c>
      <c r="E849" s="51" t="s">
        <v>974</v>
      </c>
      <c r="F849" s="51" t="s">
        <v>975</v>
      </c>
      <c r="G849" s="52" t="s">
        <v>910</v>
      </c>
      <c r="H849" s="51" t="s">
        <v>1545</v>
      </c>
      <c r="I849" s="51" t="s">
        <v>912</v>
      </c>
    </row>
    <row r="850" customFormat="false" ht="25.5" hidden="false" customHeight="true" outlineLevel="0" collapsed="false">
      <c r="A850" s="49" t="s">
        <v>995</v>
      </c>
      <c r="B850" s="49" t="s">
        <v>925</v>
      </c>
      <c r="C850" s="49" t="s">
        <v>1067</v>
      </c>
      <c r="D850" s="49" t="s">
        <v>1068</v>
      </c>
      <c r="E850" s="49" t="s">
        <v>1069</v>
      </c>
      <c r="F850" s="49"/>
      <c r="G850" s="49" t="s">
        <v>776</v>
      </c>
      <c r="H850" s="49" t="s">
        <v>1495</v>
      </c>
      <c r="I850" s="49" t="s">
        <v>885</v>
      </c>
    </row>
    <row r="851" customFormat="false" ht="25.5" hidden="false" customHeight="true" outlineLevel="0" collapsed="false">
      <c r="A851" s="49" t="s">
        <v>995</v>
      </c>
      <c r="B851" s="49" t="s">
        <v>925</v>
      </c>
      <c r="C851" s="49" t="s">
        <v>926</v>
      </c>
      <c r="D851" s="49"/>
      <c r="E851" s="49" t="s">
        <v>882</v>
      </c>
      <c r="F851" s="49" t="s">
        <v>927</v>
      </c>
      <c r="G851" s="49" t="s">
        <v>772</v>
      </c>
      <c r="H851" s="49" t="s">
        <v>1132</v>
      </c>
      <c r="I851" s="49" t="s">
        <v>885</v>
      </c>
    </row>
    <row r="852" customFormat="false" ht="25.5" hidden="false" customHeight="true" outlineLevel="0" collapsed="false">
      <c r="A852" s="49" t="s">
        <v>995</v>
      </c>
      <c r="B852" s="49" t="s">
        <v>925</v>
      </c>
      <c r="C852" s="49" t="s">
        <v>976</v>
      </c>
      <c r="D852" s="49"/>
      <c r="E852" s="49" t="s">
        <v>217</v>
      </c>
      <c r="F852" s="49" t="s">
        <v>927</v>
      </c>
      <c r="G852" s="49" t="s">
        <v>772</v>
      </c>
      <c r="H852" s="49" t="s">
        <v>1132</v>
      </c>
      <c r="I852" s="49" t="s">
        <v>885</v>
      </c>
    </row>
    <row r="853" customFormat="false" ht="25.5" hidden="false" customHeight="true" outlineLevel="0" collapsed="false">
      <c r="A853" s="49" t="s">
        <v>995</v>
      </c>
      <c r="B853" s="49" t="s">
        <v>925</v>
      </c>
      <c r="C853" s="49" t="s">
        <v>1070</v>
      </c>
      <c r="D853" s="49" t="s">
        <v>929</v>
      </c>
      <c r="E853" s="49" t="s">
        <v>146</v>
      </c>
      <c r="F853" s="49" t="s">
        <v>1071</v>
      </c>
      <c r="G853" s="49" t="s">
        <v>776</v>
      </c>
      <c r="H853" s="49" t="s">
        <v>1495</v>
      </c>
      <c r="I853" s="49" t="s">
        <v>885</v>
      </c>
    </row>
    <row r="854" customFormat="false" ht="25.5" hidden="false" customHeight="true" outlineLevel="0" collapsed="false">
      <c r="A854" s="49" t="s">
        <v>995</v>
      </c>
      <c r="B854" s="49" t="s">
        <v>977</v>
      </c>
      <c r="C854" s="49" t="s">
        <v>1546</v>
      </c>
      <c r="D854" s="49" t="s">
        <v>1073</v>
      </c>
      <c r="E854" s="49" t="s">
        <v>1547</v>
      </c>
      <c r="F854" s="49" t="s">
        <v>1548</v>
      </c>
      <c r="G854" s="49" t="s">
        <v>772</v>
      </c>
      <c r="H854" s="49" t="s">
        <v>1132</v>
      </c>
      <c r="I854" s="49" t="s">
        <v>885</v>
      </c>
    </row>
    <row r="855" customFormat="false" ht="25.5" hidden="false" customHeight="true" outlineLevel="0" collapsed="false">
      <c r="A855" s="49" t="s">
        <v>995</v>
      </c>
      <c r="B855" s="49" t="s">
        <v>977</v>
      </c>
      <c r="C855" s="49" t="s">
        <v>1072</v>
      </c>
      <c r="D855" s="49" t="s">
        <v>1073</v>
      </c>
      <c r="E855" s="49" t="s">
        <v>146</v>
      </c>
      <c r="F855" s="49"/>
      <c r="G855" s="49" t="s">
        <v>776</v>
      </c>
      <c r="H855" s="49" t="s">
        <v>1495</v>
      </c>
      <c r="I855" s="49" t="s">
        <v>885</v>
      </c>
    </row>
    <row r="856" customFormat="false" ht="25.5" hidden="false" customHeight="true" outlineLevel="0" collapsed="false">
      <c r="A856" s="49" t="s">
        <v>995</v>
      </c>
      <c r="B856" s="49" t="s">
        <v>977</v>
      </c>
      <c r="C856" s="49" t="s">
        <v>1549</v>
      </c>
      <c r="D856" s="49" t="s">
        <v>1073</v>
      </c>
      <c r="E856" s="49" t="s">
        <v>1533</v>
      </c>
      <c r="F856" s="49" t="s">
        <v>1550</v>
      </c>
      <c r="G856" s="49" t="s">
        <v>772</v>
      </c>
      <c r="H856" s="49" t="s">
        <v>1132</v>
      </c>
      <c r="I856" s="49" t="s">
        <v>885</v>
      </c>
    </row>
    <row r="857" customFormat="false" ht="25.5" hidden="false" customHeight="true" outlineLevel="0" collapsed="false">
      <c r="A857" s="49" t="s">
        <v>995</v>
      </c>
      <c r="B857" s="49" t="s">
        <v>977</v>
      </c>
      <c r="C857" s="49" t="s">
        <v>1074</v>
      </c>
      <c r="D857" s="49" t="s">
        <v>1075</v>
      </c>
      <c r="E857" s="49" t="s">
        <v>1076</v>
      </c>
      <c r="F857" s="49"/>
      <c r="G857" s="49" t="s">
        <v>776</v>
      </c>
      <c r="H857" s="49" t="s">
        <v>1495</v>
      </c>
      <c r="I857" s="49" t="s">
        <v>885</v>
      </c>
    </row>
    <row r="858" customFormat="false" ht="25.5" hidden="false" customHeight="true" outlineLevel="0" collapsed="false">
      <c r="A858" s="49" t="s">
        <v>995</v>
      </c>
      <c r="B858" s="49" t="s">
        <v>977</v>
      </c>
      <c r="C858" s="49" t="s">
        <v>979</v>
      </c>
      <c r="D858" s="49" t="s">
        <v>980</v>
      </c>
      <c r="E858" s="49" t="s">
        <v>981</v>
      </c>
      <c r="F858" s="49" t="s">
        <v>982</v>
      </c>
      <c r="G858" s="49" t="s">
        <v>776</v>
      </c>
      <c r="H858" s="49" t="s">
        <v>1551</v>
      </c>
      <c r="I858" s="49" t="s">
        <v>885</v>
      </c>
    </row>
    <row r="859" customFormat="false" ht="25.5" hidden="false" customHeight="true" outlineLevel="0" collapsed="false">
      <c r="A859" s="49" t="s">
        <v>995</v>
      </c>
      <c r="B859" s="49" t="s">
        <v>977</v>
      </c>
      <c r="C859" s="49" t="s">
        <v>1077</v>
      </c>
      <c r="D859" s="49" t="s">
        <v>980</v>
      </c>
      <c r="E859" s="49" t="s">
        <v>1078</v>
      </c>
      <c r="F859" s="49"/>
      <c r="G859" s="49" t="s">
        <v>776</v>
      </c>
      <c r="H859" s="49" t="s">
        <v>1495</v>
      </c>
      <c r="I859" s="49" t="s">
        <v>885</v>
      </c>
    </row>
    <row r="860" customFormat="false" ht="25.5" hidden="false" customHeight="true" outlineLevel="0" collapsed="false">
      <c r="A860" s="49" t="s">
        <v>995</v>
      </c>
      <c r="B860" s="49" t="s">
        <v>977</v>
      </c>
      <c r="C860" s="49" t="s">
        <v>1079</v>
      </c>
      <c r="D860" s="49" t="s">
        <v>1073</v>
      </c>
      <c r="E860" s="49" t="s">
        <v>1080</v>
      </c>
      <c r="F860" s="49"/>
      <c r="G860" s="49" t="s">
        <v>776</v>
      </c>
      <c r="H860" s="49" t="s">
        <v>1495</v>
      </c>
      <c r="I860" s="49" t="s">
        <v>885</v>
      </c>
    </row>
    <row r="861" customFormat="false" ht="25.5" hidden="false" customHeight="true" outlineLevel="0" collapsed="false">
      <c r="A861" s="49" t="s">
        <v>995</v>
      </c>
      <c r="B861" s="49" t="s">
        <v>977</v>
      </c>
      <c r="C861" s="49" t="s">
        <v>1081</v>
      </c>
      <c r="D861" s="49" t="s">
        <v>1073</v>
      </c>
      <c r="E861" s="49" t="s">
        <v>1082</v>
      </c>
      <c r="F861" s="49" t="s">
        <v>1083</v>
      </c>
      <c r="G861" s="49" t="s">
        <v>776</v>
      </c>
      <c r="H861" s="49" t="s">
        <v>1495</v>
      </c>
      <c r="I861" s="49" t="s">
        <v>885</v>
      </c>
    </row>
    <row r="862" customFormat="false" ht="25.5" hidden="false" customHeight="true" outlineLevel="0" collapsed="false">
      <c r="A862" s="49" t="s">
        <v>995</v>
      </c>
      <c r="B862" s="49" t="s">
        <v>977</v>
      </c>
      <c r="C862" s="49" t="s">
        <v>1084</v>
      </c>
      <c r="D862" s="49" t="s">
        <v>1073</v>
      </c>
      <c r="E862" s="49" t="s">
        <v>1085</v>
      </c>
      <c r="F862" s="49"/>
      <c r="G862" s="49" t="s">
        <v>776</v>
      </c>
      <c r="H862" s="49" t="s">
        <v>1495</v>
      </c>
      <c r="I862" s="49" t="s">
        <v>885</v>
      </c>
    </row>
    <row r="863" customFormat="false" ht="25.5" hidden="false" customHeight="true" outlineLevel="0" collapsed="false">
      <c r="A863" s="49" t="s">
        <v>995</v>
      </c>
      <c r="B863" s="49" t="s">
        <v>932</v>
      </c>
      <c r="C863" s="49" t="s">
        <v>933</v>
      </c>
      <c r="D863" s="49"/>
      <c r="E863" s="49" t="s">
        <v>882</v>
      </c>
      <c r="F863" s="49" t="s">
        <v>934</v>
      </c>
      <c r="G863" s="49" t="s">
        <v>772</v>
      </c>
      <c r="H863" s="49" t="s">
        <v>1132</v>
      </c>
      <c r="I863" s="49" t="s">
        <v>885</v>
      </c>
    </row>
    <row r="864" customFormat="false" ht="25.5" hidden="false" customHeight="true" outlineLevel="0" collapsed="false">
      <c r="A864" s="49" t="s">
        <v>995</v>
      </c>
      <c r="B864" s="49" t="s">
        <v>932</v>
      </c>
      <c r="C864" s="49" t="s">
        <v>1552</v>
      </c>
      <c r="D864" s="49"/>
      <c r="E864" s="49" t="s">
        <v>1553</v>
      </c>
      <c r="F864" s="49" t="s">
        <v>1554</v>
      </c>
      <c r="G864" s="49" t="s">
        <v>772</v>
      </c>
      <c r="H864" s="49" t="s">
        <v>1132</v>
      </c>
      <c r="I864" s="49" t="s">
        <v>885</v>
      </c>
    </row>
    <row r="865" customFormat="false" ht="25.5" hidden="false" customHeight="true" outlineLevel="0" collapsed="false">
      <c r="A865" s="49" t="s">
        <v>995</v>
      </c>
      <c r="B865" s="49" t="s">
        <v>932</v>
      </c>
      <c r="C865" s="49" t="s">
        <v>1555</v>
      </c>
      <c r="D865" s="49" t="s">
        <v>1090</v>
      </c>
      <c r="E865" s="49" t="s">
        <v>1186</v>
      </c>
      <c r="F865" s="49" t="s">
        <v>1556</v>
      </c>
      <c r="G865" s="49" t="s">
        <v>772</v>
      </c>
      <c r="H865" s="49" t="s">
        <v>1132</v>
      </c>
      <c r="I865" s="49" t="s">
        <v>885</v>
      </c>
    </row>
    <row r="866" customFormat="false" ht="25.5" hidden="false" customHeight="true" outlineLevel="0" collapsed="false">
      <c r="A866" s="49" t="s">
        <v>995</v>
      </c>
      <c r="B866" s="49" t="s">
        <v>932</v>
      </c>
      <c r="C866" s="49" t="s">
        <v>984</v>
      </c>
      <c r="D866" s="49" t="s">
        <v>936</v>
      </c>
      <c r="E866" s="49" t="s">
        <v>985</v>
      </c>
      <c r="F866" s="49" t="s">
        <v>986</v>
      </c>
      <c r="G866" s="49" t="s">
        <v>776</v>
      </c>
      <c r="H866" s="49" t="s">
        <v>1495</v>
      </c>
      <c r="I866" s="49" t="s">
        <v>885</v>
      </c>
    </row>
    <row r="867" customFormat="false" ht="25.5" hidden="false" customHeight="true" outlineLevel="0" collapsed="false">
      <c r="A867" s="49" t="s">
        <v>995</v>
      </c>
      <c r="B867" s="49" t="s">
        <v>932</v>
      </c>
      <c r="C867" s="49" t="s">
        <v>1086</v>
      </c>
      <c r="D867" s="49" t="s">
        <v>929</v>
      </c>
      <c r="E867" s="49" t="s">
        <v>1087</v>
      </c>
      <c r="F867" s="49" t="s">
        <v>1088</v>
      </c>
      <c r="G867" s="49" t="s">
        <v>776</v>
      </c>
      <c r="H867" s="49" t="s">
        <v>1495</v>
      </c>
      <c r="I867" s="49" t="s">
        <v>885</v>
      </c>
    </row>
    <row r="868" customFormat="false" ht="25.5" hidden="false" customHeight="true" outlineLevel="0" collapsed="false">
      <c r="A868" s="49" t="s">
        <v>995</v>
      </c>
      <c r="B868" s="49" t="s">
        <v>932</v>
      </c>
      <c r="C868" s="49" t="s">
        <v>1089</v>
      </c>
      <c r="D868" s="49" t="s">
        <v>1090</v>
      </c>
      <c r="E868" s="49" t="s">
        <v>1091</v>
      </c>
      <c r="F868" s="49" t="s">
        <v>1092</v>
      </c>
      <c r="G868" s="49" t="s">
        <v>776</v>
      </c>
      <c r="H868" s="49" t="s">
        <v>1495</v>
      </c>
      <c r="I868" s="49" t="s">
        <v>885</v>
      </c>
    </row>
    <row r="869" customFormat="false" ht="25.5" hidden="false" customHeight="true" outlineLevel="0" collapsed="false">
      <c r="A869" s="49" t="s">
        <v>995</v>
      </c>
      <c r="B869" s="49" t="s">
        <v>932</v>
      </c>
      <c r="C869" s="49" t="s">
        <v>1093</v>
      </c>
      <c r="D869" s="49" t="s">
        <v>936</v>
      </c>
      <c r="E869" s="49" t="s">
        <v>146</v>
      </c>
      <c r="F869" s="49" t="s">
        <v>1094</v>
      </c>
      <c r="G869" s="49" t="s">
        <v>776</v>
      </c>
      <c r="H869" s="49" t="s">
        <v>1495</v>
      </c>
      <c r="I869" s="49" t="s">
        <v>885</v>
      </c>
    </row>
    <row r="870" customFormat="false" ht="25.5" hidden="false" customHeight="true" outlineLevel="0" collapsed="false">
      <c r="A870" s="49" t="s">
        <v>995</v>
      </c>
      <c r="B870" s="49" t="s">
        <v>932</v>
      </c>
      <c r="C870" s="49" t="s">
        <v>935</v>
      </c>
      <c r="D870" s="49" t="s">
        <v>936</v>
      </c>
      <c r="E870" s="49" t="s">
        <v>882</v>
      </c>
      <c r="F870" s="49" t="s">
        <v>937</v>
      </c>
      <c r="G870" s="49" t="s">
        <v>772</v>
      </c>
      <c r="H870" s="49" t="s">
        <v>1132</v>
      </c>
      <c r="I870" s="49" t="s">
        <v>885</v>
      </c>
    </row>
    <row r="871" customFormat="false" ht="25.5" hidden="false" customHeight="true" outlineLevel="0" collapsed="false">
      <c r="A871" s="51" t="s">
        <v>995</v>
      </c>
      <c r="B871" s="51" t="s">
        <v>932</v>
      </c>
      <c r="C871" s="51" t="s">
        <v>938</v>
      </c>
      <c r="D871" s="51"/>
      <c r="E871" s="51" t="s">
        <v>893</v>
      </c>
      <c r="F871" s="51"/>
      <c r="G871" s="52" t="s">
        <v>910</v>
      </c>
      <c r="H871" s="51" t="s">
        <v>1503</v>
      </c>
      <c r="I871" s="51" t="s">
        <v>912</v>
      </c>
    </row>
    <row r="872" customFormat="false" ht="25.5" hidden="false" customHeight="true" outlineLevel="0" collapsed="false">
      <c r="A872" s="49" t="s">
        <v>995</v>
      </c>
      <c r="B872" s="49" t="s">
        <v>932</v>
      </c>
      <c r="C872" s="49" t="s">
        <v>1095</v>
      </c>
      <c r="D872" s="49"/>
      <c r="E872" s="49" t="s">
        <v>146</v>
      </c>
      <c r="F872" s="49"/>
      <c r="G872" s="49" t="s">
        <v>776</v>
      </c>
      <c r="H872" s="49" t="s">
        <v>1495</v>
      </c>
      <c r="I872" s="49" t="s">
        <v>885</v>
      </c>
    </row>
    <row r="873" customFormat="false" ht="25.5" hidden="false" customHeight="true" outlineLevel="0" collapsed="false">
      <c r="A873" s="49" t="s">
        <v>995</v>
      </c>
      <c r="B873" s="49" t="s">
        <v>932</v>
      </c>
      <c r="C873" s="49" t="s">
        <v>1096</v>
      </c>
      <c r="D873" s="49" t="s">
        <v>936</v>
      </c>
      <c r="E873" s="49" t="s">
        <v>1097</v>
      </c>
      <c r="F873" s="49" t="s">
        <v>1098</v>
      </c>
      <c r="G873" s="49" t="s">
        <v>776</v>
      </c>
      <c r="H873" s="49" t="s">
        <v>1495</v>
      </c>
      <c r="I873" s="49" t="s">
        <v>885</v>
      </c>
    </row>
    <row r="874" customFormat="false" ht="25.5" hidden="false" customHeight="true" outlineLevel="0" collapsed="false">
      <c r="A874" s="51" t="s">
        <v>995</v>
      </c>
      <c r="B874" s="51" t="s">
        <v>939</v>
      </c>
      <c r="C874" s="51" t="s">
        <v>940</v>
      </c>
      <c r="D874" s="51"/>
      <c r="E874" s="51" t="s">
        <v>893</v>
      </c>
      <c r="F874" s="51" t="s">
        <v>941</v>
      </c>
      <c r="G874" s="52" t="s">
        <v>910</v>
      </c>
      <c r="H874" s="51" t="s">
        <v>1503</v>
      </c>
      <c r="I874" s="51" t="s">
        <v>912</v>
      </c>
    </row>
    <row r="875" customFormat="false" ht="25.5" hidden="false" customHeight="true" outlineLevel="0" collapsed="false">
      <c r="A875" s="49" t="s">
        <v>995</v>
      </c>
      <c r="B875" s="49" t="s">
        <v>939</v>
      </c>
      <c r="C875" s="49" t="s">
        <v>1099</v>
      </c>
      <c r="D875" s="49" t="s">
        <v>1100</v>
      </c>
      <c r="E875" s="49" t="s">
        <v>1101</v>
      </c>
      <c r="F875" s="49" t="s">
        <v>993</v>
      </c>
      <c r="G875" s="49" t="s">
        <v>776</v>
      </c>
      <c r="H875" s="49" t="s">
        <v>1495</v>
      </c>
      <c r="I875" s="49" t="s">
        <v>885</v>
      </c>
    </row>
    <row r="876" customFormat="false" ht="25.5" hidden="false" customHeight="true" outlineLevel="0" collapsed="false">
      <c r="A876" s="49" t="s">
        <v>995</v>
      </c>
      <c r="B876" s="49" t="s">
        <v>939</v>
      </c>
      <c r="C876" s="49" t="s">
        <v>1557</v>
      </c>
      <c r="D876" s="49" t="s">
        <v>988</v>
      </c>
      <c r="E876" s="49" t="s">
        <v>1186</v>
      </c>
      <c r="F876" s="49" t="s">
        <v>993</v>
      </c>
      <c r="G876" s="49" t="s">
        <v>772</v>
      </c>
      <c r="H876" s="49" t="s">
        <v>1132</v>
      </c>
      <c r="I876" s="49" t="s">
        <v>885</v>
      </c>
    </row>
    <row r="877" customFormat="false" ht="25.5" hidden="false" customHeight="true" outlineLevel="0" collapsed="false">
      <c r="A877" s="49" t="s">
        <v>995</v>
      </c>
      <c r="B877" s="49" t="s">
        <v>939</v>
      </c>
      <c r="C877" s="49" t="s">
        <v>987</v>
      </c>
      <c r="D877" s="49" t="s">
        <v>988</v>
      </c>
      <c r="E877" s="49" t="s">
        <v>217</v>
      </c>
      <c r="F877" s="49" t="s">
        <v>989</v>
      </c>
      <c r="G877" s="49" t="s">
        <v>772</v>
      </c>
      <c r="H877" s="49" t="s">
        <v>1132</v>
      </c>
      <c r="I877" s="49" t="s">
        <v>885</v>
      </c>
    </row>
    <row r="878" customFormat="false" ht="25.5" hidden="false" customHeight="true" outlineLevel="0" collapsed="false">
      <c r="A878" s="49" t="s">
        <v>995</v>
      </c>
      <c r="B878" s="49" t="s">
        <v>939</v>
      </c>
      <c r="C878" s="49" t="s">
        <v>1102</v>
      </c>
      <c r="D878" s="49" t="s">
        <v>988</v>
      </c>
      <c r="E878" s="49" t="s">
        <v>146</v>
      </c>
      <c r="F878" s="49" t="s">
        <v>993</v>
      </c>
      <c r="G878" s="49" t="s">
        <v>776</v>
      </c>
      <c r="H878" s="49" t="s">
        <v>1495</v>
      </c>
      <c r="I878" s="49" t="s">
        <v>885</v>
      </c>
    </row>
    <row r="879" customFormat="false" ht="25.5" hidden="false" customHeight="true" outlineLevel="0" collapsed="false">
      <c r="A879" s="49" t="s">
        <v>995</v>
      </c>
      <c r="B879" s="49" t="s">
        <v>939</v>
      </c>
      <c r="C879" s="49" t="s">
        <v>1103</v>
      </c>
      <c r="D879" s="49" t="s">
        <v>1100</v>
      </c>
      <c r="E879" s="49" t="s">
        <v>146</v>
      </c>
      <c r="F879" s="49" t="s">
        <v>993</v>
      </c>
      <c r="G879" s="49" t="s">
        <v>776</v>
      </c>
      <c r="H879" s="49" t="s">
        <v>1495</v>
      </c>
      <c r="I879" s="49" t="s">
        <v>885</v>
      </c>
    </row>
    <row r="880" customFormat="false" ht="25.5" hidden="false" customHeight="true" outlineLevel="0" collapsed="false">
      <c r="A880" s="49" t="s">
        <v>995</v>
      </c>
      <c r="B880" s="49" t="s">
        <v>939</v>
      </c>
      <c r="C880" s="49" t="s">
        <v>1558</v>
      </c>
      <c r="D880" s="49" t="s">
        <v>1559</v>
      </c>
      <c r="E880" s="49" t="s">
        <v>1533</v>
      </c>
      <c r="F880" s="49" t="s">
        <v>1560</v>
      </c>
      <c r="G880" s="49" t="s">
        <v>772</v>
      </c>
      <c r="H880" s="49" t="s">
        <v>1132</v>
      </c>
      <c r="I880" s="49" t="s">
        <v>885</v>
      </c>
    </row>
    <row r="881" customFormat="false" ht="25.5" hidden="false" customHeight="true" outlineLevel="0" collapsed="false">
      <c r="A881" s="49" t="s">
        <v>995</v>
      </c>
      <c r="B881" s="49" t="s">
        <v>939</v>
      </c>
      <c r="C881" s="49" t="s">
        <v>1109</v>
      </c>
      <c r="D881" s="49" t="s">
        <v>1110</v>
      </c>
      <c r="E881" s="49" t="s">
        <v>1111</v>
      </c>
      <c r="F881" s="49" t="s">
        <v>941</v>
      </c>
      <c r="G881" s="49" t="s">
        <v>772</v>
      </c>
      <c r="H881" s="49" t="s">
        <v>1132</v>
      </c>
      <c r="I881" s="49" t="s">
        <v>885</v>
      </c>
    </row>
    <row r="882" customFormat="false" ht="25.5" hidden="false" customHeight="true" outlineLevel="0" collapsed="false">
      <c r="A882" s="49" t="s">
        <v>995</v>
      </c>
      <c r="B882" s="49" t="s">
        <v>939</v>
      </c>
      <c r="C882" s="49" t="s">
        <v>1561</v>
      </c>
      <c r="D882" s="49" t="s">
        <v>1110</v>
      </c>
      <c r="E882" s="49" t="s">
        <v>1186</v>
      </c>
      <c r="F882" s="49" t="s">
        <v>993</v>
      </c>
      <c r="G882" s="49" t="s">
        <v>772</v>
      </c>
      <c r="H882" s="49" t="s">
        <v>1132</v>
      </c>
      <c r="I882" s="49" t="s">
        <v>885</v>
      </c>
    </row>
    <row r="883" customFormat="false" ht="25.5" hidden="false" customHeight="true" outlineLevel="0" collapsed="false">
      <c r="A883" s="49" t="s">
        <v>995</v>
      </c>
      <c r="B883" s="49" t="s">
        <v>939</v>
      </c>
      <c r="C883" s="49" t="s">
        <v>990</v>
      </c>
      <c r="D883" s="49" t="s">
        <v>991</v>
      </c>
      <c r="E883" s="49" t="s">
        <v>992</v>
      </c>
      <c r="F883" s="49" t="s">
        <v>993</v>
      </c>
      <c r="G883" s="49" t="s">
        <v>772</v>
      </c>
      <c r="H883" s="49" t="s">
        <v>1132</v>
      </c>
      <c r="I883" s="49" t="s">
        <v>885</v>
      </c>
    </row>
    <row r="884" customFormat="false" ht="25.5" hidden="false" customHeight="true" outlineLevel="0" collapsed="false">
      <c r="A884" s="49" t="s">
        <v>995</v>
      </c>
      <c r="B884" s="49" t="s">
        <v>939</v>
      </c>
      <c r="C884" s="49" t="s">
        <v>1112</v>
      </c>
      <c r="D884" s="49" t="s">
        <v>991</v>
      </c>
      <c r="E884" s="49" t="s">
        <v>1113</v>
      </c>
      <c r="F884" s="49" t="s">
        <v>941</v>
      </c>
      <c r="G884" s="49" t="s">
        <v>772</v>
      </c>
      <c r="H884" s="49" t="s">
        <v>1132</v>
      </c>
      <c r="I884" s="49" t="s">
        <v>885</v>
      </c>
    </row>
    <row r="885" customFormat="false" ht="25.5" hidden="false" customHeight="true" outlineLevel="0" collapsed="false">
      <c r="A885" s="49" t="s">
        <v>1104</v>
      </c>
      <c r="B885" s="49" t="s">
        <v>1562</v>
      </c>
      <c r="C885" s="49" t="s">
        <v>1563</v>
      </c>
      <c r="D885" s="49" t="s">
        <v>1208</v>
      </c>
      <c r="E885" s="49" t="s">
        <v>843</v>
      </c>
      <c r="F885" s="49" t="s">
        <v>1564</v>
      </c>
      <c r="G885" s="49" t="s">
        <v>772</v>
      </c>
      <c r="H885" s="49" t="s">
        <v>1132</v>
      </c>
      <c r="I885" s="49" t="s">
        <v>885</v>
      </c>
    </row>
    <row r="886" customFormat="false" ht="25.5" hidden="false" customHeight="true" outlineLevel="0" collapsed="false">
      <c r="A886" s="49" t="s">
        <v>1104</v>
      </c>
      <c r="B886" s="49" t="s">
        <v>1562</v>
      </c>
      <c r="C886" s="49" t="s">
        <v>1565</v>
      </c>
      <c r="D886" s="49" t="s">
        <v>1199</v>
      </c>
      <c r="E886" s="49" t="s">
        <v>1135</v>
      </c>
      <c r="F886" s="49" t="s">
        <v>1566</v>
      </c>
      <c r="G886" s="49" t="s">
        <v>772</v>
      </c>
      <c r="H886" s="49" t="s">
        <v>1132</v>
      </c>
      <c r="I886" s="49" t="s">
        <v>885</v>
      </c>
    </row>
    <row r="887" customFormat="false" ht="25.5" hidden="false" customHeight="true" outlineLevel="0" collapsed="false">
      <c r="A887" s="49" t="s">
        <v>1104</v>
      </c>
      <c r="B887" s="49" t="s">
        <v>1562</v>
      </c>
      <c r="C887" s="49" t="s">
        <v>1567</v>
      </c>
      <c r="D887" s="49" t="s">
        <v>1218</v>
      </c>
      <c r="E887" s="49" t="s">
        <v>1568</v>
      </c>
      <c r="F887" s="49" t="s">
        <v>1569</v>
      </c>
      <c r="G887" s="49" t="s">
        <v>772</v>
      </c>
      <c r="H887" s="49" t="s">
        <v>1132</v>
      </c>
      <c r="I887" s="49" t="s">
        <v>885</v>
      </c>
    </row>
    <row r="888" customFormat="false" ht="25.5" hidden="false" customHeight="true" outlineLevel="0" collapsed="false">
      <c r="A888" s="49" t="s">
        <v>1104</v>
      </c>
      <c r="B888" s="49" t="s">
        <v>1562</v>
      </c>
      <c r="C888" s="49" t="s">
        <v>1570</v>
      </c>
      <c r="D888" s="49" t="s">
        <v>1208</v>
      </c>
      <c r="E888" s="49" t="s">
        <v>1571</v>
      </c>
      <c r="F888" s="49" t="s">
        <v>1572</v>
      </c>
      <c r="G888" s="49" t="s">
        <v>772</v>
      </c>
      <c r="H888" s="49" t="s">
        <v>1132</v>
      </c>
      <c r="I888" s="49" t="s">
        <v>885</v>
      </c>
    </row>
    <row r="889" customFormat="false" ht="25.5" hidden="false" customHeight="true" outlineLevel="0" collapsed="false">
      <c r="A889" s="49" t="s">
        <v>1104</v>
      </c>
      <c r="B889" s="49" t="s">
        <v>1562</v>
      </c>
      <c r="C889" s="49" t="s">
        <v>1573</v>
      </c>
      <c r="D889" s="49" t="s">
        <v>1151</v>
      </c>
      <c r="E889" s="49" t="s">
        <v>1135</v>
      </c>
      <c r="F889" s="49" t="s">
        <v>1574</v>
      </c>
      <c r="G889" s="49" t="s">
        <v>772</v>
      </c>
      <c r="H889" s="49" t="s">
        <v>1132</v>
      </c>
      <c r="I889" s="49" t="s">
        <v>885</v>
      </c>
    </row>
    <row r="890" customFormat="false" ht="25.5" hidden="false" customHeight="true" outlineLevel="0" collapsed="false">
      <c r="A890" s="49" t="s">
        <v>1104</v>
      </c>
      <c r="B890" s="49" t="s">
        <v>1562</v>
      </c>
      <c r="C890" s="49" t="s">
        <v>1575</v>
      </c>
      <c r="D890" s="49" t="s">
        <v>1218</v>
      </c>
      <c r="E890" s="49" t="s">
        <v>1395</v>
      </c>
      <c r="F890" s="49" t="s">
        <v>1533</v>
      </c>
      <c r="G890" s="49" t="s">
        <v>772</v>
      </c>
      <c r="H890" s="49" t="s">
        <v>1132</v>
      </c>
      <c r="I890" s="49" t="s">
        <v>885</v>
      </c>
    </row>
    <row r="891" customFormat="false" ht="25.5" hidden="false" customHeight="true" outlineLevel="0" collapsed="false">
      <c r="A891" s="49" t="s">
        <v>1104</v>
      </c>
      <c r="B891" s="49" t="s">
        <v>1562</v>
      </c>
      <c r="C891" s="49" t="s">
        <v>1576</v>
      </c>
      <c r="D891" s="49" t="s">
        <v>1199</v>
      </c>
      <c r="E891" s="49" t="s">
        <v>1577</v>
      </c>
      <c r="F891" s="49" t="s">
        <v>1578</v>
      </c>
      <c r="G891" s="49" t="s">
        <v>772</v>
      </c>
      <c r="H891" s="49" t="s">
        <v>1132</v>
      </c>
      <c r="I891" s="49" t="s">
        <v>885</v>
      </c>
    </row>
    <row r="892" customFormat="false" ht="25.5" hidden="false" customHeight="true" outlineLevel="0" collapsed="false">
      <c r="A892" s="49" t="s">
        <v>1104</v>
      </c>
      <c r="B892" s="49" t="s">
        <v>1562</v>
      </c>
      <c r="C892" s="49" t="s">
        <v>1579</v>
      </c>
      <c r="D892" s="49" t="s">
        <v>1208</v>
      </c>
      <c r="E892" s="49" t="s">
        <v>146</v>
      </c>
      <c r="F892" s="49" t="s">
        <v>1580</v>
      </c>
      <c r="G892" s="49" t="s">
        <v>772</v>
      </c>
      <c r="H892" s="49" t="s">
        <v>1132</v>
      </c>
      <c r="I892" s="49" t="s">
        <v>885</v>
      </c>
    </row>
    <row r="893" customFormat="false" ht="25.5" hidden="false" customHeight="true" outlineLevel="0" collapsed="false">
      <c r="A893" s="49" t="s">
        <v>1104</v>
      </c>
      <c r="B893" s="49" t="s">
        <v>1562</v>
      </c>
      <c r="C893" s="49" t="s">
        <v>1581</v>
      </c>
      <c r="D893" s="49" t="s">
        <v>1208</v>
      </c>
      <c r="E893" s="49" t="s">
        <v>1226</v>
      </c>
      <c r="F893" s="49" t="s">
        <v>1582</v>
      </c>
      <c r="G893" s="49" t="s">
        <v>772</v>
      </c>
      <c r="H893" s="49" t="s">
        <v>1132</v>
      </c>
      <c r="I893" s="49" t="s">
        <v>885</v>
      </c>
    </row>
    <row r="894" customFormat="false" ht="25.5" hidden="false" customHeight="true" outlineLevel="0" collapsed="false">
      <c r="A894" s="49" t="s">
        <v>1104</v>
      </c>
      <c r="B894" s="49" t="s">
        <v>1562</v>
      </c>
      <c r="C894" s="49" t="s">
        <v>1583</v>
      </c>
      <c r="D894" s="49" t="s">
        <v>1151</v>
      </c>
      <c r="E894" s="49" t="s">
        <v>1395</v>
      </c>
      <c r="F894" s="49" t="s">
        <v>1533</v>
      </c>
      <c r="G894" s="49" t="s">
        <v>772</v>
      </c>
      <c r="H894" s="49" t="s">
        <v>1132</v>
      </c>
      <c r="I894" s="49" t="s">
        <v>885</v>
      </c>
    </row>
    <row r="895" customFormat="false" ht="25.5" hidden="false" customHeight="true" outlineLevel="0" collapsed="false">
      <c r="A895" s="49" t="s">
        <v>1104</v>
      </c>
      <c r="B895" s="49" t="s">
        <v>1562</v>
      </c>
      <c r="C895" s="49" t="s">
        <v>1584</v>
      </c>
      <c r="D895" s="49" t="s">
        <v>1199</v>
      </c>
      <c r="E895" s="49" t="s">
        <v>1186</v>
      </c>
      <c r="F895" s="49" t="s">
        <v>1585</v>
      </c>
      <c r="G895" s="49" t="s">
        <v>772</v>
      </c>
      <c r="H895" s="49" t="s">
        <v>1132</v>
      </c>
      <c r="I895" s="49" t="s">
        <v>885</v>
      </c>
    </row>
    <row r="896" customFormat="false" ht="25.5" hidden="false" customHeight="true" outlineLevel="0" collapsed="false">
      <c r="A896" s="49" t="s">
        <v>1104</v>
      </c>
      <c r="B896" s="49" t="s">
        <v>1562</v>
      </c>
      <c r="C896" s="49" t="s">
        <v>1586</v>
      </c>
      <c r="D896" s="49" t="s">
        <v>1218</v>
      </c>
      <c r="E896" s="49" t="s">
        <v>1135</v>
      </c>
      <c r="F896" s="49" t="s">
        <v>1587</v>
      </c>
      <c r="G896" s="49" t="s">
        <v>772</v>
      </c>
      <c r="H896" s="49" t="s">
        <v>1132</v>
      </c>
      <c r="I896" s="49" t="s">
        <v>885</v>
      </c>
    </row>
    <row r="897" customFormat="false" ht="25.5" hidden="false" customHeight="true" outlineLevel="0" collapsed="false">
      <c r="A897" s="49" t="s">
        <v>1104</v>
      </c>
      <c r="B897" s="49" t="s">
        <v>1562</v>
      </c>
      <c r="C897" s="49" t="s">
        <v>1171</v>
      </c>
      <c r="D897" s="49" t="s">
        <v>1172</v>
      </c>
      <c r="E897" s="49" t="s">
        <v>1173</v>
      </c>
      <c r="F897" s="49" t="s">
        <v>1197</v>
      </c>
      <c r="G897" s="49" t="s">
        <v>772</v>
      </c>
      <c r="H897" s="49" t="s">
        <v>1132</v>
      </c>
      <c r="I897" s="49" t="s">
        <v>885</v>
      </c>
    </row>
    <row r="898" customFormat="false" ht="25.5" hidden="false" customHeight="true" outlineLevel="0" collapsed="false">
      <c r="A898" s="49" t="s">
        <v>1104</v>
      </c>
      <c r="B898" s="49" t="s">
        <v>1562</v>
      </c>
      <c r="C898" s="49" t="s">
        <v>1588</v>
      </c>
      <c r="D898" s="49" t="s">
        <v>1199</v>
      </c>
      <c r="E898" s="49" t="s">
        <v>217</v>
      </c>
      <c r="F898" s="49" t="s">
        <v>1589</v>
      </c>
      <c r="G898" s="49" t="s">
        <v>772</v>
      </c>
      <c r="H898" s="49" t="s">
        <v>1132</v>
      </c>
      <c r="I898" s="49" t="s">
        <v>885</v>
      </c>
    </row>
    <row r="899" customFormat="false" ht="25.5" hidden="false" customHeight="true" outlineLevel="0" collapsed="false">
      <c r="A899" s="49" t="s">
        <v>1104</v>
      </c>
      <c r="B899" s="49" t="s">
        <v>1562</v>
      </c>
      <c r="C899" s="49" t="s">
        <v>1590</v>
      </c>
      <c r="D899" s="49" t="s">
        <v>1151</v>
      </c>
      <c r="E899" s="49" t="s">
        <v>1520</v>
      </c>
      <c r="F899" s="49" t="s">
        <v>1591</v>
      </c>
      <c r="G899" s="49" t="s">
        <v>772</v>
      </c>
      <c r="H899" s="49" t="s">
        <v>1132</v>
      </c>
      <c r="I899" s="49" t="s">
        <v>885</v>
      </c>
    </row>
    <row r="900" customFormat="false" ht="25.5" hidden="false" customHeight="true" outlineLevel="0" collapsed="false">
      <c r="A900" s="49" t="s">
        <v>1104</v>
      </c>
      <c r="B900" s="49" t="s">
        <v>1562</v>
      </c>
      <c r="C900" s="49" t="s">
        <v>1592</v>
      </c>
      <c r="D900" s="49" t="s">
        <v>1148</v>
      </c>
      <c r="E900" s="49" t="s">
        <v>217</v>
      </c>
      <c r="F900" s="49" t="s">
        <v>1593</v>
      </c>
      <c r="G900" s="49" t="s">
        <v>772</v>
      </c>
      <c r="H900" s="49" t="s">
        <v>1132</v>
      </c>
      <c r="I900" s="49" t="s">
        <v>885</v>
      </c>
    </row>
    <row r="901" customFormat="false" ht="25.5" hidden="false" customHeight="true" outlineLevel="0" collapsed="false">
      <c r="A901" s="49" t="s">
        <v>1104</v>
      </c>
      <c r="B901" s="49" t="s">
        <v>1562</v>
      </c>
      <c r="C901" s="49" t="s">
        <v>1594</v>
      </c>
      <c r="D901" s="49" t="s">
        <v>1151</v>
      </c>
      <c r="E901" s="49" t="s">
        <v>671</v>
      </c>
      <c r="F901" s="49" t="s">
        <v>1595</v>
      </c>
      <c r="G901" s="49" t="s">
        <v>772</v>
      </c>
      <c r="H901" s="49" t="s">
        <v>1132</v>
      </c>
      <c r="I901" s="49" t="s">
        <v>885</v>
      </c>
    </row>
    <row r="902" customFormat="false" ht="25.5" hidden="false" customHeight="true" outlineLevel="0" collapsed="false">
      <c r="A902" s="49" t="s">
        <v>1104</v>
      </c>
      <c r="B902" s="49" t="s">
        <v>1127</v>
      </c>
      <c r="C902" s="49" t="s">
        <v>1596</v>
      </c>
      <c r="D902" s="49" t="s">
        <v>1218</v>
      </c>
      <c r="E902" s="49" t="s">
        <v>1135</v>
      </c>
      <c r="F902" s="49" t="s">
        <v>1216</v>
      </c>
      <c r="G902" s="49" t="s">
        <v>772</v>
      </c>
      <c r="H902" s="49" t="s">
        <v>1132</v>
      </c>
      <c r="I902" s="49" t="s">
        <v>885</v>
      </c>
    </row>
    <row r="903" customFormat="false" ht="25.5" hidden="false" customHeight="true" outlineLevel="0" collapsed="false">
      <c r="A903" s="49" t="s">
        <v>1104</v>
      </c>
      <c r="B903" s="49" t="s">
        <v>1127</v>
      </c>
      <c r="C903" s="49" t="s">
        <v>1597</v>
      </c>
      <c r="D903" s="49" t="s">
        <v>1218</v>
      </c>
      <c r="E903" s="49" t="s">
        <v>1183</v>
      </c>
      <c r="F903" s="49" t="s">
        <v>1598</v>
      </c>
      <c r="G903" s="49" t="s">
        <v>772</v>
      </c>
      <c r="H903" s="49" t="s">
        <v>1132</v>
      </c>
      <c r="I903" s="49" t="s">
        <v>885</v>
      </c>
    </row>
    <row r="904" customFormat="false" ht="25.5" hidden="false" customHeight="true" outlineLevel="0" collapsed="false">
      <c r="A904" s="49" t="s">
        <v>1104</v>
      </c>
      <c r="B904" s="49" t="s">
        <v>1127</v>
      </c>
      <c r="C904" s="49" t="s">
        <v>1599</v>
      </c>
      <c r="D904" s="49" t="s">
        <v>1151</v>
      </c>
      <c r="E904" s="49" t="s">
        <v>1135</v>
      </c>
      <c r="F904" s="49" t="s">
        <v>1600</v>
      </c>
      <c r="G904" s="49" t="s">
        <v>772</v>
      </c>
      <c r="H904" s="49" t="s">
        <v>1132</v>
      </c>
      <c r="I904" s="49" t="s">
        <v>885</v>
      </c>
    </row>
    <row r="905" customFormat="false" ht="25.5" hidden="false" customHeight="true" outlineLevel="0" collapsed="false">
      <c r="A905" s="49" t="s">
        <v>1104</v>
      </c>
      <c r="B905" s="49" t="s">
        <v>1127</v>
      </c>
      <c r="C905" s="49" t="s">
        <v>1601</v>
      </c>
      <c r="D905" s="49" t="s">
        <v>1218</v>
      </c>
      <c r="E905" s="49" t="s">
        <v>893</v>
      </c>
      <c r="F905" s="49" t="s">
        <v>1602</v>
      </c>
      <c r="G905" s="49" t="s">
        <v>772</v>
      </c>
      <c r="H905" s="49" t="s">
        <v>1132</v>
      </c>
      <c r="I905" s="49" t="s">
        <v>885</v>
      </c>
    </row>
    <row r="906" customFormat="false" ht="25.5" hidden="false" customHeight="true" outlineLevel="0" collapsed="false">
      <c r="A906" s="49" t="s">
        <v>1104</v>
      </c>
      <c r="B906" s="49" t="s">
        <v>1127</v>
      </c>
      <c r="C906" s="49" t="s">
        <v>1603</v>
      </c>
      <c r="D906" s="49" t="s">
        <v>1162</v>
      </c>
      <c r="E906" s="49" t="s">
        <v>1163</v>
      </c>
      <c r="F906" s="49" t="s">
        <v>1604</v>
      </c>
      <c r="G906" s="49" t="s">
        <v>772</v>
      </c>
      <c r="H906" s="49" t="s">
        <v>1132</v>
      </c>
      <c r="I906" s="49" t="s">
        <v>885</v>
      </c>
    </row>
    <row r="907" customFormat="false" ht="25.5" hidden="false" customHeight="true" outlineLevel="0" collapsed="false">
      <c r="A907" s="49" t="s">
        <v>1104</v>
      </c>
      <c r="B907" s="49" t="s">
        <v>1127</v>
      </c>
      <c r="C907" s="49" t="s">
        <v>1605</v>
      </c>
      <c r="D907" s="49" t="s">
        <v>1218</v>
      </c>
      <c r="E907" s="49" t="s">
        <v>1135</v>
      </c>
      <c r="F907" s="49" t="s">
        <v>1136</v>
      </c>
      <c r="G907" s="49" t="s">
        <v>772</v>
      </c>
      <c r="H907" s="49" t="s">
        <v>1132</v>
      </c>
      <c r="I907" s="49" t="s">
        <v>885</v>
      </c>
    </row>
    <row r="908" customFormat="false" ht="25.5" hidden="false" customHeight="true" outlineLevel="0" collapsed="false">
      <c r="A908" s="49" t="s">
        <v>1104</v>
      </c>
      <c r="B908" s="49" t="s">
        <v>1127</v>
      </c>
      <c r="C908" s="49" t="s">
        <v>1606</v>
      </c>
      <c r="D908" s="49" t="s">
        <v>1148</v>
      </c>
      <c r="E908" s="49" t="s">
        <v>893</v>
      </c>
      <c r="F908" s="49" t="s">
        <v>1607</v>
      </c>
      <c r="G908" s="49" t="s">
        <v>772</v>
      </c>
      <c r="H908" s="49" t="s">
        <v>1132</v>
      </c>
      <c r="I908" s="49" t="s">
        <v>885</v>
      </c>
    </row>
    <row r="909" customFormat="false" ht="25.5" hidden="false" customHeight="true" outlineLevel="0" collapsed="false">
      <c r="A909" s="49" t="s">
        <v>1104</v>
      </c>
      <c r="B909" s="49" t="s">
        <v>1127</v>
      </c>
      <c r="C909" s="49" t="s">
        <v>1608</v>
      </c>
      <c r="D909" s="49" t="s">
        <v>1218</v>
      </c>
      <c r="E909" s="49" t="s">
        <v>1609</v>
      </c>
      <c r="F909" s="49" t="s">
        <v>1610</v>
      </c>
      <c r="G909" s="49" t="s">
        <v>772</v>
      </c>
      <c r="H909" s="49" t="s">
        <v>1132</v>
      </c>
      <c r="I909" s="49" t="s">
        <v>885</v>
      </c>
    </row>
    <row r="910" customFormat="false" ht="25.5" hidden="false" customHeight="true" outlineLevel="0" collapsed="false">
      <c r="A910" s="49" t="s">
        <v>1104</v>
      </c>
      <c r="B910" s="49" t="s">
        <v>1127</v>
      </c>
      <c r="C910" s="49" t="s">
        <v>1611</v>
      </c>
      <c r="D910" s="49" t="s">
        <v>1151</v>
      </c>
      <c r="E910" s="49" t="s">
        <v>1135</v>
      </c>
      <c r="F910" s="49" t="s">
        <v>1600</v>
      </c>
      <c r="G910" s="49" t="s">
        <v>772</v>
      </c>
      <c r="H910" s="49" t="s">
        <v>1132</v>
      </c>
      <c r="I910" s="49" t="s">
        <v>885</v>
      </c>
    </row>
    <row r="911" customFormat="false" ht="25.5" hidden="false" customHeight="true" outlineLevel="0" collapsed="false">
      <c r="A911" s="49" t="s">
        <v>1104</v>
      </c>
      <c r="B911" s="49" t="s">
        <v>1127</v>
      </c>
      <c r="C911" s="49" t="s">
        <v>1612</v>
      </c>
      <c r="D911" s="49" t="s">
        <v>1218</v>
      </c>
      <c r="E911" s="49" t="s">
        <v>1135</v>
      </c>
      <c r="F911" s="49" t="s">
        <v>1170</v>
      </c>
      <c r="G911" s="49" t="s">
        <v>772</v>
      </c>
      <c r="H911" s="49" t="s">
        <v>1132</v>
      </c>
      <c r="I911" s="49" t="s">
        <v>885</v>
      </c>
    </row>
    <row r="912" customFormat="false" ht="25.5" hidden="false" customHeight="true" outlineLevel="0" collapsed="false">
      <c r="A912" s="49" t="s">
        <v>1104</v>
      </c>
      <c r="B912" s="49" t="s">
        <v>1127</v>
      </c>
      <c r="C912" s="49" t="s">
        <v>1613</v>
      </c>
      <c r="D912" s="49" t="s">
        <v>1208</v>
      </c>
      <c r="E912" s="49" t="s">
        <v>1183</v>
      </c>
      <c r="F912" s="49" t="s">
        <v>1614</v>
      </c>
      <c r="G912" s="49" t="s">
        <v>772</v>
      </c>
      <c r="H912" s="49" t="s">
        <v>1132</v>
      </c>
      <c r="I912" s="49" t="s">
        <v>885</v>
      </c>
    </row>
    <row r="913" customFormat="false" ht="25.5" hidden="false" customHeight="true" outlineLevel="0" collapsed="false">
      <c r="A913" s="49" t="s">
        <v>1104</v>
      </c>
      <c r="B913" s="49" t="s">
        <v>1127</v>
      </c>
      <c r="C913" s="49" t="s">
        <v>1615</v>
      </c>
      <c r="D913" s="49" t="s">
        <v>1129</v>
      </c>
      <c r="E913" s="49" t="s">
        <v>1226</v>
      </c>
      <c r="F913" s="49" t="s">
        <v>1616</v>
      </c>
      <c r="G913" s="49" t="s">
        <v>772</v>
      </c>
      <c r="H913" s="49" t="s">
        <v>1132</v>
      </c>
      <c r="I913" s="49" t="s">
        <v>885</v>
      </c>
    </row>
    <row r="914" customFormat="false" ht="25.5" hidden="false" customHeight="true" outlineLevel="0" collapsed="false">
      <c r="A914" s="49" t="s">
        <v>1104</v>
      </c>
      <c r="B914" s="49" t="s">
        <v>1127</v>
      </c>
      <c r="C914" s="49" t="s">
        <v>1128</v>
      </c>
      <c r="D914" s="49" t="s">
        <v>1129</v>
      </c>
      <c r="E914" s="49" t="s">
        <v>1130</v>
      </c>
      <c r="F914" s="49" t="s">
        <v>1131</v>
      </c>
      <c r="G914" s="49" t="s">
        <v>772</v>
      </c>
      <c r="H914" s="49" t="s">
        <v>1132</v>
      </c>
      <c r="I914" s="49" t="s">
        <v>885</v>
      </c>
    </row>
    <row r="915" customFormat="false" ht="25.5" hidden="false" customHeight="true" outlineLevel="0" collapsed="false">
      <c r="A915" s="49" t="s">
        <v>1104</v>
      </c>
      <c r="B915" s="49" t="s">
        <v>1127</v>
      </c>
      <c r="C915" s="49" t="s">
        <v>1133</v>
      </c>
      <c r="D915" s="49" t="s">
        <v>1134</v>
      </c>
      <c r="E915" s="49" t="s">
        <v>1135</v>
      </c>
      <c r="F915" s="49" t="s">
        <v>1136</v>
      </c>
      <c r="G915" s="49" t="s">
        <v>772</v>
      </c>
      <c r="H915" s="49" t="s">
        <v>1132</v>
      </c>
      <c r="I915" s="49" t="s">
        <v>885</v>
      </c>
    </row>
    <row r="916" customFormat="false" ht="25.5" hidden="false" customHeight="true" outlineLevel="0" collapsed="false">
      <c r="A916" s="49" t="s">
        <v>1104</v>
      </c>
      <c r="B916" s="49" t="s">
        <v>1127</v>
      </c>
      <c r="C916" s="49" t="s">
        <v>1137</v>
      </c>
      <c r="D916" s="49" t="s">
        <v>1129</v>
      </c>
      <c r="E916" s="49" t="s">
        <v>1135</v>
      </c>
      <c r="F916" s="49" t="s">
        <v>1138</v>
      </c>
      <c r="G916" s="49" t="s">
        <v>772</v>
      </c>
      <c r="H916" s="49" t="s">
        <v>1132</v>
      </c>
      <c r="I916" s="49" t="s">
        <v>885</v>
      </c>
    </row>
    <row r="917" customFormat="false" ht="25.5" hidden="false" customHeight="true" outlineLevel="0" collapsed="false">
      <c r="A917" s="49" t="s">
        <v>1104</v>
      </c>
      <c r="B917" s="49" t="s">
        <v>1127</v>
      </c>
      <c r="C917" s="49" t="s">
        <v>1139</v>
      </c>
      <c r="D917" s="49" t="s">
        <v>1134</v>
      </c>
      <c r="E917" s="49" t="s">
        <v>1135</v>
      </c>
      <c r="F917" s="49" t="s">
        <v>1136</v>
      </c>
      <c r="G917" s="49" t="s">
        <v>772</v>
      </c>
      <c r="H917" s="49" t="s">
        <v>1132</v>
      </c>
      <c r="I917" s="49" t="s">
        <v>885</v>
      </c>
    </row>
    <row r="918" customFormat="false" ht="25.5" hidden="false" customHeight="true" outlineLevel="0" collapsed="false">
      <c r="A918" s="49" t="s">
        <v>1104</v>
      </c>
      <c r="B918" s="49" t="s">
        <v>1127</v>
      </c>
      <c r="C918" s="49" t="s">
        <v>1140</v>
      </c>
      <c r="D918" s="49" t="s">
        <v>1141</v>
      </c>
      <c r="E918" s="49" t="s">
        <v>1142</v>
      </c>
      <c r="F918" s="49" t="s">
        <v>1143</v>
      </c>
      <c r="G918" s="49" t="s">
        <v>772</v>
      </c>
      <c r="H918" s="49" t="s">
        <v>1132</v>
      </c>
      <c r="I918" s="49" t="s">
        <v>885</v>
      </c>
    </row>
    <row r="919" customFormat="false" ht="25.5" hidden="false" customHeight="true" outlineLevel="0" collapsed="false">
      <c r="A919" s="49" t="s">
        <v>1104</v>
      </c>
      <c r="B919" s="49" t="s">
        <v>1127</v>
      </c>
      <c r="C919" s="49" t="s">
        <v>1144</v>
      </c>
      <c r="D919" s="49" t="s">
        <v>1134</v>
      </c>
      <c r="E919" s="49" t="s">
        <v>1145</v>
      </c>
      <c r="F919" s="49" t="s">
        <v>1146</v>
      </c>
      <c r="G919" s="49" t="s">
        <v>772</v>
      </c>
      <c r="H919" s="49" t="s">
        <v>1132</v>
      </c>
      <c r="I919" s="49" t="s">
        <v>885</v>
      </c>
    </row>
    <row r="920" customFormat="false" ht="25.5" hidden="false" customHeight="true" outlineLevel="0" collapsed="false">
      <c r="A920" s="49" t="s">
        <v>1104</v>
      </c>
      <c r="B920" s="49" t="s">
        <v>1127</v>
      </c>
      <c r="C920" s="49" t="s">
        <v>1147</v>
      </c>
      <c r="D920" s="49" t="s">
        <v>1148</v>
      </c>
      <c r="E920" s="49" t="s">
        <v>1135</v>
      </c>
      <c r="F920" s="49" t="s">
        <v>1136</v>
      </c>
      <c r="G920" s="49" t="s">
        <v>772</v>
      </c>
      <c r="H920" s="49" t="s">
        <v>1132</v>
      </c>
      <c r="I920" s="49" t="s">
        <v>885</v>
      </c>
    </row>
    <row r="921" customFormat="false" ht="25.5" hidden="false" customHeight="true" outlineLevel="0" collapsed="false">
      <c r="A921" s="49" t="s">
        <v>1104</v>
      </c>
      <c r="B921" s="49" t="s">
        <v>1127</v>
      </c>
      <c r="C921" s="49" t="s">
        <v>1149</v>
      </c>
      <c r="D921" s="49" t="s">
        <v>1134</v>
      </c>
      <c r="E921" s="49" t="s">
        <v>1135</v>
      </c>
      <c r="F921" s="49" t="s">
        <v>1136</v>
      </c>
      <c r="G921" s="49" t="s">
        <v>772</v>
      </c>
      <c r="H921" s="49" t="s">
        <v>1132</v>
      </c>
      <c r="I921" s="49" t="s">
        <v>885</v>
      </c>
    </row>
    <row r="922" customFormat="false" ht="25.5" hidden="false" customHeight="true" outlineLevel="0" collapsed="false">
      <c r="A922" s="49" t="s">
        <v>1104</v>
      </c>
      <c r="B922" s="49" t="s">
        <v>1127</v>
      </c>
      <c r="C922" s="49" t="s">
        <v>1150</v>
      </c>
      <c r="D922" s="49" t="s">
        <v>1151</v>
      </c>
      <c r="E922" s="49" t="s">
        <v>1152</v>
      </c>
      <c r="F922" s="49" t="s">
        <v>1153</v>
      </c>
      <c r="G922" s="49" t="s">
        <v>772</v>
      </c>
      <c r="H922" s="49" t="s">
        <v>1132</v>
      </c>
      <c r="I922" s="49" t="s">
        <v>885</v>
      </c>
    </row>
    <row r="923" customFormat="false" ht="25.5" hidden="false" customHeight="true" outlineLevel="0" collapsed="false">
      <c r="A923" s="49" t="s">
        <v>1104</v>
      </c>
      <c r="B923" s="49" t="s">
        <v>1127</v>
      </c>
      <c r="C923" s="49" t="s">
        <v>1154</v>
      </c>
      <c r="D923" s="49" t="s">
        <v>1134</v>
      </c>
      <c r="E923" s="49" t="s">
        <v>1135</v>
      </c>
      <c r="F923" s="49" t="s">
        <v>1136</v>
      </c>
      <c r="G923" s="49" t="s">
        <v>772</v>
      </c>
      <c r="H923" s="49" t="s">
        <v>1132</v>
      </c>
      <c r="I923" s="49" t="s">
        <v>885</v>
      </c>
    </row>
    <row r="924" customFormat="false" ht="25.5" hidden="false" customHeight="true" outlineLevel="0" collapsed="false">
      <c r="A924" s="49" t="s">
        <v>1104</v>
      </c>
      <c r="B924" s="49" t="s">
        <v>1127</v>
      </c>
      <c r="C924" s="49" t="s">
        <v>1155</v>
      </c>
      <c r="D924" s="49" t="s">
        <v>1156</v>
      </c>
      <c r="E924" s="49" t="s">
        <v>1157</v>
      </c>
      <c r="F924" s="49" t="s">
        <v>1158</v>
      </c>
      <c r="G924" s="49" t="s">
        <v>772</v>
      </c>
      <c r="H924" s="49" t="s">
        <v>1132</v>
      </c>
      <c r="I924" s="49" t="s">
        <v>885</v>
      </c>
    </row>
    <row r="925" customFormat="false" ht="25.5" hidden="false" customHeight="true" outlineLevel="0" collapsed="false">
      <c r="A925" s="49" t="s">
        <v>1104</v>
      </c>
      <c r="B925" s="49" t="s">
        <v>1127</v>
      </c>
      <c r="C925" s="49" t="s">
        <v>1159</v>
      </c>
      <c r="D925" s="49" t="s">
        <v>1148</v>
      </c>
      <c r="E925" s="49" t="s">
        <v>1135</v>
      </c>
      <c r="F925" s="49" t="s">
        <v>1136</v>
      </c>
      <c r="G925" s="49" t="s">
        <v>772</v>
      </c>
      <c r="H925" s="49" t="s">
        <v>1132</v>
      </c>
      <c r="I925" s="49" t="s">
        <v>885</v>
      </c>
    </row>
    <row r="926" customFormat="false" ht="25.5" hidden="false" customHeight="true" outlineLevel="0" collapsed="false">
      <c r="A926" s="49" t="s">
        <v>1104</v>
      </c>
      <c r="B926" s="49" t="s">
        <v>1127</v>
      </c>
      <c r="C926" s="49" t="s">
        <v>1160</v>
      </c>
      <c r="D926" s="49" t="s">
        <v>1134</v>
      </c>
      <c r="E926" s="49" t="s">
        <v>1157</v>
      </c>
      <c r="F926" s="49" t="s">
        <v>1158</v>
      </c>
      <c r="G926" s="49" t="s">
        <v>772</v>
      </c>
      <c r="H926" s="49" t="s">
        <v>1132</v>
      </c>
      <c r="I926" s="49" t="s">
        <v>885</v>
      </c>
    </row>
    <row r="927" customFormat="false" ht="25.5" hidden="false" customHeight="true" outlineLevel="0" collapsed="false">
      <c r="A927" s="49" t="s">
        <v>1104</v>
      </c>
      <c r="B927" s="49" t="s">
        <v>1127</v>
      </c>
      <c r="C927" s="49" t="s">
        <v>1161</v>
      </c>
      <c r="D927" s="49" t="s">
        <v>1162</v>
      </c>
      <c r="E927" s="49" t="s">
        <v>1163</v>
      </c>
      <c r="F927" s="49" t="s">
        <v>1164</v>
      </c>
      <c r="G927" s="49" t="s">
        <v>772</v>
      </c>
      <c r="H927" s="49" t="s">
        <v>1132</v>
      </c>
      <c r="I927" s="49" t="s">
        <v>885</v>
      </c>
    </row>
    <row r="928" customFormat="false" ht="25.5" hidden="false" customHeight="true" outlineLevel="0" collapsed="false">
      <c r="A928" s="49" t="s">
        <v>1104</v>
      </c>
      <c r="B928" s="49" t="s">
        <v>1127</v>
      </c>
      <c r="C928" s="49" t="s">
        <v>1165</v>
      </c>
      <c r="D928" s="49" t="s">
        <v>1156</v>
      </c>
      <c r="E928" s="49" t="s">
        <v>146</v>
      </c>
      <c r="F928" s="49" t="s">
        <v>1166</v>
      </c>
      <c r="G928" s="49" t="s">
        <v>772</v>
      </c>
      <c r="H928" s="49" t="s">
        <v>1132</v>
      </c>
      <c r="I928" s="49" t="s">
        <v>885</v>
      </c>
    </row>
    <row r="929" customFormat="false" ht="25.5" hidden="false" customHeight="true" outlineLevel="0" collapsed="false">
      <c r="A929" s="49" t="s">
        <v>1104</v>
      </c>
      <c r="B929" s="49" t="s">
        <v>1127</v>
      </c>
      <c r="C929" s="49" t="s">
        <v>1167</v>
      </c>
      <c r="D929" s="49" t="s">
        <v>1141</v>
      </c>
      <c r="E929" s="49" t="s">
        <v>1135</v>
      </c>
      <c r="F929" s="49" t="s">
        <v>1136</v>
      </c>
      <c r="G929" s="49" t="s">
        <v>772</v>
      </c>
      <c r="H929" s="49" t="s">
        <v>1132</v>
      </c>
      <c r="I929" s="49" t="s">
        <v>885</v>
      </c>
    </row>
    <row r="930" customFormat="false" ht="25.5" hidden="false" customHeight="true" outlineLevel="0" collapsed="false">
      <c r="A930" s="49" t="s">
        <v>1104</v>
      </c>
      <c r="B930" s="49" t="s">
        <v>1127</v>
      </c>
      <c r="C930" s="49" t="s">
        <v>1168</v>
      </c>
      <c r="D930" s="49" t="s">
        <v>1141</v>
      </c>
      <c r="E930" s="49" t="s">
        <v>1145</v>
      </c>
      <c r="F930" s="49" t="s">
        <v>1146</v>
      </c>
      <c r="G930" s="49" t="s">
        <v>772</v>
      </c>
      <c r="H930" s="49" t="s">
        <v>1132</v>
      </c>
      <c r="I930" s="49" t="s">
        <v>885</v>
      </c>
    </row>
    <row r="931" customFormat="false" ht="25.5" hidden="false" customHeight="true" outlineLevel="0" collapsed="false">
      <c r="A931" s="49" t="s">
        <v>1104</v>
      </c>
      <c r="B931" s="49" t="s">
        <v>1127</v>
      </c>
      <c r="C931" s="49" t="s">
        <v>1169</v>
      </c>
      <c r="D931" s="49" t="s">
        <v>1148</v>
      </c>
      <c r="E931" s="49" t="s">
        <v>1135</v>
      </c>
      <c r="F931" s="49" t="s">
        <v>1170</v>
      </c>
      <c r="G931" s="49" t="s">
        <v>772</v>
      </c>
      <c r="H931" s="49" t="s">
        <v>1132</v>
      </c>
      <c r="I931" s="49" t="s">
        <v>885</v>
      </c>
    </row>
    <row r="932" customFormat="false" ht="25.5" hidden="false" customHeight="true" outlineLevel="0" collapsed="false">
      <c r="A932" s="49" t="s">
        <v>1104</v>
      </c>
      <c r="B932" s="49" t="s">
        <v>1127</v>
      </c>
      <c r="C932" s="49" t="s">
        <v>1171</v>
      </c>
      <c r="D932" s="49" t="s">
        <v>1172</v>
      </c>
      <c r="E932" s="49" t="s">
        <v>1173</v>
      </c>
      <c r="F932" s="49" t="s">
        <v>1174</v>
      </c>
      <c r="G932" s="49" t="s">
        <v>772</v>
      </c>
      <c r="H932" s="49" t="s">
        <v>1132</v>
      </c>
      <c r="I932" s="49" t="s">
        <v>885</v>
      </c>
    </row>
    <row r="933" customFormat="false" ht="25.5" hidden="false" customHeight="true" outlineLevel="0" collapsed="false">
      <c r="A933" s="49" t="s">
        <v>1104</v>
      </c>
      <c r="B933" s="49" t="s">
        <v>1127</v>
      </c>
      <c r="C933" s="49" t="s">
        <v>1175</v>
      </c>
      <c r="D933" s="49" t="s">
        <v>1162</v>
      </c>
      <c r="E933" s="49" t="s">
        <v>893</v>
      </c>
      <c r="F933" s="49" t="s">
        <v>1176</v>
      </c>
      <c r="G933" s="49" t="s">
        <v>772</v>
      </c>
      <c r="H933" s="49" t="s">
        <v>1132</v>
      </c>
      <c r="I933" s="49" t="s">
        <v>885</v>
      </c>
    </row>
    <row r="934" customFormat="false" ht="25.5" hidden="false" customHeight="true" outlineLevel="0" collapsed="false">
      <c r="A934" s="49" t="s">
        <v>1104</v>
      </c>
      <c r="B934" s="49" t="s">
        <v>1127</v>
      </c>
      <c r="C934" s="49" t="s">
        <v>1177</v>
      </c>
      <c r="D934" s="49" t="s">
        <v>1148</v>
      </c>
      <c r="E934" s="49" t="s">
        <v>217</v>
      </c>
      <c r="F934" s="49" t="s">
        <v>1178</v>
      </c>
      <c r="G934" s="49" t="s">
        <v>772</v>
      </c>
      <c r="H934" s="49" t="s">
        <v>1132</v>
      </c>
      <c r="I934" s="49" t="s">
        <v>885</v>
      </c>
    </row>
    <row r="935" customFormat="false" ht="25.5" hidden="false" customHeight="true" outlineLevel="0" collapsed="false">
      <c r="A935" s="49" t="s">
        <v>1104</v>
      </c>
      <c r="B935" s="49" t="s">
        <v>1127</v>
      </c>
      <c r="C935" s="49" t="s">
        <v>1179</v>
      </c>
      <c r="D935" s="49" t="s">
        <v>1151</v>
      </c>
      <c r="E935" s="49" t="s">
        <v>1180</v>
      </c>
      <c r="F935" s="49" t="s">
        <v>1181</v>
      </c>
      <c r="G935" s="49" t="s">
        <v>772</v>
      </c>
      <c r="H935" s="49" t="s">
        <v>1132</v>
      </c>
      <c r="I935" s="49" t="s">
        <v>885</v>
      </c>
    </row>
    <row r="936" customFormat="false" ht="25.5" hidden="false" customHeight="true" outlineLevel="0" collapsed="false">
      <c r="A936" s="49" t="s">
        <v>1104</v>
      </c>
      <c r="B936" s="49" t="s">
        <v>1127</v>
      </c>
      <c r="C936" s="49" t="s">
        <v>1182</v>
      </c>
      <c r="D936" s="49" t="s">
        <v>1148</v>
      </c>
      <c r="E936" s="49" t="s">
        <v>1183</v>
      </c>
      <c r="F936" s="49" t="s">
        <v>1184</v>
      </c>
      <c r="G936" s="49" t="s">
        <v>772</v>
      </c>
      <c r="H936" s="49" t="s">
        <v>1132</v>
      </c>
      <c r="I936" s="49" t="s">
        <v>885</v>
      </c>
    </row>
    <row r="937" customFormat="false" ht="25.5" hidden="false" customHeight="true" outlineLevel="0" collapsed="false">
      <c r="A937" s="49" t="s">
        <v>1104</v>
      </c>
      <c r="B937" s="49" t="s">
        <v>1127</v>
      </c>
      <c r="C937" s="49" t="s">
        <v>1185</v>
      </c>
      <c r="D937" s="49" t="s">
        <v>1134</v>
      </c>
      <c r="E937" s="49" t="s">
        <v>1186</v>
      </c>
      <c r="F937" s="49" t="s">
        <v>1187</v>
      </c>
      <c r="G937" s="49" t="s">
        <v>772</v>
      </c>
      <c r="H937" s="49" t="s">
        <v>1132</v>
      </c>
      <c r="I937" s="49" t="s">
        <v>885</v>
      </c>
    </row>
    <row r="938" customFormat="false" ht="25.5" hidden="false" customHeight="true" outlineLevel="0" collapsed="false">
      <c r="A938" s="49" t="s">
        <v>1104</v>
      </c>
      <c r="B938" s="49" t="s">
        <v>1127</v>
      </c>
      <c r="C938" s="49" t="s">
        <v>1188</v>
      </c>
      <c r="D938" s="49" t="s">
        <v>1134</v>
      </c>
      <c r="E938" s="49" t="s">
        <v>1189</v>
      </c>
      <c r="F938" s="49" t="s">
        <v>1190</v>
      </c>
      <c r="G938" s="49" t="s">
        <v>772</v>
      </c>
      <c r="H938" s="49" t="s">
        <v>1132</v>
      </c>
      <c r="I938" s="49" t="s">
        <v>885</v>
      </c>
    </row>
    <row r="939" customFormat="false" ht="25.5" hidden="false" customHeight="true" outlineLevel="0" collapsed="false">
      <c r="A939" s="49" t="s">
        <v>1104</v>
      </c>
      <c r="B939" s="49" t="s">
        <v>1127</v>
      </c>
      <c r="C939" s="49" t="s">
        <v>1191</v>
      </c>
      <c r="D939" s="49" t="s">
        <v>1151</v>
      </c>
      <c r="E939" s="49" t="s">
        <v>1142</v>
      </c>
      <c r="F939" s="49" t="s">
        <v>1192</v>
      </c>
      <c r="G939" s="49" t="s">
        <v>772</v>
      </c>
      <c r="H939" s="49" t="s">
        <v>1132</v>
      </c>
      <c r="I939" s="49" t="s">
        <v>885</v>
      </c>
    </row>
    <row r="940" customFormat="false" ht="25.5" hidden="false" customHeight="true" outlineLevel="0" collapsed="false">
      <c r="A940" s="49" t="s">
        <v>1104</v>
      </c>
      <c r="B940" s="49" t="s">
        <v>1127</v>
      </c>
      <c r="C940" s="49" t="s">
        <v>1193</v>
      </c>
      <c r="D940" s="49" t="s">
        <v>1148</v>
      </c>
      <c r="E940" s="49" t="s">
        <v>1194</v>
      </c>
      <c r="F940" s="49" t="s">
        <v>1195</v>
      </c>
      <c r="G940" s="49" t="s">
        <v>772</v>
      </c>
      <c r="H940" s="49" t="s">
        <v>1132</v>
      </c>
      <c r="I940" s="49" t="s">
        <v>885</v>
      </c>
    </row>
    <row r="941" customFormat="false" ht="25.5" hidden="false" customHeight="true" outlineLevel="0" collapsed="false">
      <c r="A941" s="49" t="s">
        <v>1104</v>
      </c>
      <c r="B941" s="49" t="s">
        <v>1196</v>
      </c>
      <c r="C941" s="49" t="s">
        <v>1171</v>
      </c>
      <c r="D941" s="49" t="s">
        <v>1172</v>
      </c>
      <c r="E941" s="49" t="s">
        <v>1173</v>
      </c>
      <c r="F941" s="49" t="s">
        <v>1197</v>
      </c>
      <c r="G941" s="49" t="s">
        <v>772</v>
      </c>
      <c r="H941" s="49" t="s">
        <v>1132</v>
      </c>
      <c r="I941" s="49" t="s">
        <v>885</v>
      </c>
    </row>
    <row r="942" customFormat="false" ht="25.5" hidden="false" customHeight="true" outlineLevel="0" collapsed="false">
      <c r="A942" s="49" t="s">
        <v>1104</v>
      </c>
      <c r="B942" s="49" t="s">
        <v>1196</v>
      </c>
      <c r="C942" s="49" t="s">
        <v>1198</v>
      </c>
      <c r="D942" s="49" t="s">
        <v>1199</v>
      </c>
      <c r="E942" s="49" t="s">
        <v>1200</v>
      </c>
      <c r="F942" s="49" t="s">
        <v>1201</v>
      </c>
      <c r="G942" s="49" t="s">
        <v>772</v>
      </c>
      <c r="H942" s="49" t="s">
        <v>1132</v>
      </c>
      <c r="I942" s="49" t="s">
        <v>885</v>
      </c>
    </row>
    <row r="943" customFormat="false" ht="25.5" hidden="false" customHeight="true" outlineLevel="0" collapsed="false">
      <c r="A943" s="49" t="s">
        <v>1104</v>
      </c>
      <c r="B943" s="49" t="s">
        <v>1196</v>
      </c>
      <c r="C943" s="49" t="s">
        <v>1202</v>
      </c>
      <c r="D943" s="49" t="s">
        <v>1151</v>
      </c>
      <c r="E943" s="49" t="s">
        <v>217</v>
      </c>
      <c r="F943" s="49" t="s">
        <v>1203</v>
      </c>
      <c r="G943" s="49" t="s">
        <v>772</v>
      </c>
      <c r="H943" s="49" t="s">
        <v>1132</v>
      </c>
      <c r="I943" s="49" t="s">
        <v>885</v>
      </c>
    </row>
    <row r="944" customFormat="false" ht="25.5" hidden="false" customHeight="true" outlineLevel="0" collapsed="false">
      <c r="A944" s="49" t="s">
        <v>1104</v>
      </c>
      <c r="B944" s="49" t="s">
        <v>1196</v>
      </c>
      <c r="C944" s="49" t="s">
        <v>1204</v>
      </c>
      <c r="D944" s="49" t="s">
        <v>1151</v>
      </c>
      <c r="E944" s="49" t="s">
        <v>1205</v>
      </c>
      <c r="F944" s="49" t="s">
        <v>1206</v>
      </c>
      <c r="G944" s="49" t="s">
        <v>772</v>
      </c>
      <c r="H944" s="49" t="s">
        <v>1132</v>
      </c>
      <c r="I944" s="49" t="s">
        <v>885</v>
      </c>
    </row>
    <row r="945" customFormat="false" ht="25.5" hidden="false" customHeight="true" outlineLevel="0" collapsed="false">
      <c r="A945" s="49" t="s">
        <v>1104</v>
      </c>
      <c r="B945" s="49" t="s">
        <v>1196</v>
      </c>
      <c r="C945" s="49" t="s">
        <v>1207</v>
      </c>
      <c r="D945" s="49" t="s">
        <v>1208</v>
      </c>
      <c r="E945" s="49" t="s">
        <v>1183</v>
      </c>
      <c r="F945" s="49" t="s">
        <v>1209</v>
      </c>
      <c r="G945" s="49" t="s">
        <v>772</v>
      </c>
      <c r="H945" s="49" t="s">
        <v>1132</v>
      </c>
      <c r="I945" s="49" t="s">
        <v>885</v>
      </c>
    </row>
    <row r="946" customFormat="false" ht="25.5" hidden="false" customHeight="true" outlineLevel="0" collapsed="false">
      <c r="A946" s="49" t="s">
        <v>1104</v>
      </c>
      <c r="B946" s="49" t="s">
        <v>1196</v>
      </c>
      <c r="C946" s="49" t="s">
        <v>1210</v>
      </c>
      <c r="D946" s="49" t="s">
        <v>1141</v>
      </c>
      <c r="E946" s="49" t="s">
        <v>1135</v>
      </c>
      <c r="F946" s="49" t="s">
        <v>1211</v>
      </c>
      <c r="G946" s="49" t="s">
        <v>772</v>
      </c>
      <c r="H946" s="49" t="s">
        <v>1132</v>
      </c>
      <c r="I946" s="49" t="s">
        <v>885</v>
      </c>
    </row>
    <row r="947" customFormat="false" ht="25.5" hidden="false" customHeight="true" outlineLevel="0" collapsed="false">
      <c r="A947" s="49" t="s">
        <v>1104</v>
      </c>
      <c r="B947" s="49" t="s">
        <v>1196</v>
      </c>
      <c r="C947" s="49" t="s">
        <v>1212</v>
      </c>
      <c r="D947" s="49" t="s">
        <v>1156</v>
      </c>
      <c r="E947" s="49" t="s">
        <v>1213</v>
      </c>
      <c r="F947" s="49" t="s">
        <v>1214</v>
      </c>
      <c r="G947" s="49" t="s">
        <v>772</v>
      </c>
      <c r="H947" s="49" t="s">
        <v>1132</v>
      </c>
      <c r="I947" s="49" t="s">
        <v>885</v>
      </c>
    </row>
    <row r="948" customFormat="false" ht="25.5" hidden="false" customHeight="true" outlineLevel="0" collapsed="false">
      <c r="A948" s="49" t="s">
        <v>1104</v>
      </c>
      <c r="B948" s="49" t="s">
        <v>1196</v>
      </c>
      <c r="C948" s="49" t="s">
        <v>1215</v>
      </c>
      <c r="D948" s="49" t="s">
        <v>1151</v>
      </c>
      <c r="E948" s="49" t="s">
        <v>1135</v>
      </c>
      <c r="F948" s="49" t="s">
        <v>1216</v>
      </c>
      <c r="G948" s="49" t="s">
        <v>772</v>
      </c>
      <c r="H948" s="49" t="s">
        <v>1132</v>
      </c>
      <c r="I948" s="49" t="s">
        <v>885</v>
      </c>
    </row>
    <row r="949" customFormat="false" ht="25.5" hidden="false" customHeight="true" outlineLevel="0" collapsed="false">
      <c r="A949" s="49" t="s">
        <v>1104</v>
      </c>
      <c r="B949" s="49" t="s">
        <v>1196</v>
      </c>
      <c r="C949" s="49" t="s">
        <v>1217</v>
      </c>
      <c r="D949" s="49" t="s">
        <v>1218</v>
      </c>
      <c r="E949" s="49" t="s">
        <v>146</v>
      </c>
      <c r="F949" s="49" t="s">
        <v>1219</v>
      </c>
      <c r="G949" s="49" t="s">
        <v>772</v>
      </c>
      <c r="H949" s="49" t="s">
        <v>1132</v>
      </c>
      <c r="I949" s="49" t="s">
        <v>885</v>
      </c>
    </row>
    <row r="950" customFormat="false" ht="25.5" hidden="false" customHeight="true" outlineLevel="0" collapsed="false">
      <c r="A950" s="49" t="s">
        <v>1104</v>
      </c>
      <c r="B950" s="49" t="s">
        <v>1196</v>
      </c>
      <c r="C950" s="49" t="s">
        <v>1220</v>
      </c>
      <c r="D950" s="49" t="s">
        <v>1129</v>
      </c>
      <c r="E950" s="49" t="s">
        <v>1183</v>
      </c>
      <c r="F950" s="49" t="s">
        <v>1221</v>
      </c>
      <c r="G950" s="49" t="s">
        <v>772</v>
      </c>
      <c r="H950" s="49" t="s">
        <v>1132</v>
      </c>
      <c r="I950" s="49" t="s">
        <v>885</v>
      </c>
    </row>
    <row r="951" customFormat="false" ht="25.5" hidden="false" customHeight="true" outlineLevel="0" collapsed="false">
      <c r="A951" s="49" t="s">
        <v>1104</v>
      </c>
      <c r="B951" s="49" t="s">
        <v>1196</v>
      </c>
      <c r="C951" s="49" t="s">
        <v>1222</v>
      </c>
      <c r="D951" s="49" t="s">
        <v>1141</v>
      </c>
      <c r="E951" s="49" t="s">
        <v>1223</v>
      </c>
      <c r="F951" s="49" t="s">
        <v>1224</v>
      </c>
      <c r="G951" s="49" t="s">
        <v>772</v>
      </c>
      <c r="H951" s="49" t="s">
        <v>1132</v>
      </c>
      <c r="I951" s="49" t="s">
        <v>885</v>
      </c>
    </row>
    <row r="952" customFormat="false" ht="25.5" hidden="false" customHeight="true" outlineLevel="0" collapsed="false">
      <c r="A952" s="49" t="s">
        <v>1104</v>
      </c>
      <c r="B952" s="49" t="s">
        <v>1196</v>
      </c>
      <c r="C952" s="49" t="s">
        <v>1225</v>
      </c>
      <c r="D952" s="49" t="s">
        <v>1141</v>
      </c>
      <c r="E952" s="49" t="s">
        <v>1226</v>
      </c>
      <c r="F952" s="49" t="s">
        <v>1227</v>
      </c>
      <c r="G952" s="49" t="s">
        <v>772</v>
      </c>
      <c r="H952" s="49" t="s">
        <v>1132</v>
      </c>
      <c r="I952" s="49" t="s">
        <v>885</v>
      </c>
    </row>
    <row r="953" customFormat="false" ht="25.5" hidden="false" customHeight="true" outlineLevel="0" collapsed="false">
      <c r="A953" s="49" t="s">
        <v>1104</v>
      </c>
      <c r="B953" s="49" t="s">
        <v>1196</v>
      </c>
      <c r="C953" s="49" t="s">
        <v>1228</v>
      </c>
      <c r="D953" s="49" t="s">
        <v>1199</v>
      </c>
      <c r="E953" s="49" t="s">
        <v>1135</v>
      </c>
      <c r="F953" s="49" t="s">
        <v>1229</v>
      </c>
      <c r="G953" s="49" t="s">
        <v>772</v>
      </c>
      <c r="H953" s="49" t="s">
        <v>1132</v>
      </c>
      <c r="I953" s="49" t="s">
        <v>885</v>
      </c>
    </row>
    <row r="954" customFormat="false" ht="25.5" hidden="false" customHeight="true" outlineLevel="0" collapsed="false">
      <c r="A954" s="49" t="s">
        <v>1104</v>
      </c>
      <c r="B954" s="49" t="s">
        <v>1196</v>
      </c>
      <c r="C954" s="49" t="s">
        <v>1230</v>
      </c>
      <c r="D954" s="49" t="s">
        <v>1208</v>
      </c>
      <c r="E954" s="49" t="s">
        <v>1183</v>
      </c>
      <c r="F954" s="49" t="s">
        <v>1231</v>
      </c>
      <c r="G954" s="49" t="s">
        <v>772</v>
      </c>
      <c r="H954" s="49" t="s">
        <v>1132</v>
      </c>
      <c r="I954" s="49" t="s">
        <v>885</v>
      </c>
    </row>
    <row r="955" customFormat="false" ht="25.5" hidden="false" customHeight="true" outlineLevel="0" collapsed="false">
      <c r="A955" s="49" t="s">
        <v>1104</v>
      </c>
      <c r="B955" s="49" t="s">
        <v>1196</v>
      </c>
      <c r="C955" s="49" t="s">
        <v>1232</v>
      </c>
      <c r="D955" s="49" t="s">
        <v>1208</v>
      </c>
      <c r="E955" s="49" t="s">
        <v>1135</v>
      </c>
      <c r="F955" s="49" t="s">
        <v>1229</v>
      </c>
      <c r="G955" s="49" t="s">
        <v>772</v>
      </c>
      <c r="H955" s="49" t="s">
        <v>1132</v>
      </c>
      <c r="I955" s="49" t="s">
        <v>885</v>
      </c>
    </row>
    <row r="956" customFormat="false" ht="25.5" hidden="false" customHeight="true" outlineLevel="0" collapsed="false">
      <c r="A956" s="49" t="s">
        <v>1104</v>
      </c>
      <c r="B956" s="49" t="s">
        <v>1196</v>
      </c>
      <c r="C956" s="49" t="s">
        <v>1233</v>
      </c>
      <c r="D956" s="49" t="s">
        <v>1129</v>
      </c>
      <c r="E956" s="49" t="s">
        <v>1234</v>
      </c>
      <c r="F956" s="49" t="s">
        <v>1235</v>
      </c>
      <c r="G956" s="49" t="s">
        <v>772</v>
      </c>
      <c r="H956" s="49" t="s">
        <v>1132</v>
      </c>
      <c r="I956" s="49" t="s">
        <v>885</v>
      </c>
    </row>
    <row r="957" customFormat="false" ht="25.5" hidden="false" customHeight="true" outlineLevel="0" collapsed="false">
      <c r="A957" s="49" t="s">
        <v>1104</v>
      </c>
      <c r="B957" s="49" t="s">
        <v>1196</v>
      </c>
      <c r="C957" s="49" t="s">
        <v>1236</v>
      </c>
      <c r="D957" s="49" t="s">
        <v>1199</v>
      </c>
      <c r="E957" s="49" t="s">
        <v>1237</v>
      </c>
      <c r="F957" s="49" t="s">
        <v>1238</v>
      </c>
      <c r="G957" s="49" t="s">
        <v>772</v>
      </c>
      <c r="H957" s="49" t="s">
        <v>1132</v>
      </c>
      <c r="I957" s="49" t="s">
        <v>885</v>
      </c>
    </row>
    <row r="958" customFormat="false" ht="25.5" hidden="false" customHeight="true" outlineLevel="0" collapsed="false">
      <c r="A958" s="49" t="s">
        <v>1104</v>
      </c>
      <c r="B958" s="49" t="s">
        <v>1196</v>
      </c>
      <c r="C958" s="49" t="s">
        <v>1239</v>
      </c>
      <c r="D958" s="49" t="s">
        <v>1134</v>
      </c>
      <c r="E958" s="49" t="s">
        <v>1240</v>
      </c>
      <c r="F958" s="49" t="s">
        <v>1241</v>
      </c>
      <c r="G958" s="49" t="s">
        <v>772</v>
      </c>
      <c r="H958" s="49" t="s">
        <v>1132</v>
      </c>
      <c r="I958" s="49" t="s">
        <v>885</v>
      </c>
    </row>
    <row r="959" customFormat="false" ht="25.5" hidden="false" customHeight="true" outlineLevel="0" collapsed="false">
      <c r="A959" s="49" t="s">
        <v>1104</v>
      </c>
      <c r="B959" s="49" t="s">
        <v>1196</v>
      </c>
      <c r="C959" s="49" t="s">
        <v>1236</v>
      </c>
      <c r="D959" s="49" t="s">
        <v>1199</v>
      </c>
      <c r="E959" s="49" t="s">
        <v>1237</v>
      </c>
      <c r="F959" s="49" t="s">
        <v>1242</v>
      </c>
      <c r="G959" s="49" t="s">
        <v>772</v>
      </c>
      <c r="H959" s="49" t="s">
        <v>1132</v>
      </c>
      <c r="I959" s="49" t="s">
        <v>885</v>
      </c>
    </row>
    <row r="960" customFormat="false" ht="25.5" hidden="false" customHeight="true" outlineLevel="0" collapsed="false">
      <c r="A960" s="49" t="s">
        <v>1104</v>
      </c>
      <c r="B960" s="49" t="s">
        <v>1196</v>
      </c>
      <c r="C960" s="49" t="s">
        <v>1243</v>
      </c>
      <c r="D960" s="49" t="s">
        <v>1151</v>
      </c>
      <c r="E960" s="49" t="s">
        <v>217</v>
      </c>
      <c r="F960" s="49" t="s">
        <v>1244</v>
      </c>
      <c r="G960" s="49" t="s">
        <v>772</v>
      </c>
      <c r="H960" s="49" t="s">
        <v>1132</v>
      </c>
      <c r="I960" s="49" t="s">
        <v>885</v>
      </c>
    </row>
    <row r="961" customFormat="false" ht="25.5" hidden="false" customHeight="true" outlineLevel="0" collapsed="false">
      <c r="A961" s="49" t="s">
        <v>1104</v>
      </c>
      <c r="B961" s="49" t="s">
        <v>1196</v>
      </c>
      <c r="C961" s="49" t="s">
        <v>1245</v>
      </c>
      <c r="D961" s="49" t="s">
        <v>1151</v>
      </c>
      <c r="E961" s="49" t="s">
        <v>1183</v>
      </c>
      <c r="F961" s="49" t="s">
        <v>1246</v>
      </c>
      <c r="G961" s="49" t="s">
        <v>772</v>
      </c>
      <c r="H961" s="49" t="s">
        <v>1132</v>
      </c>
      <c r="I961" s="49" t="s">
        <v>885</v>
      </c>
    </row>
    <row r="962" customFormat="false" ht="25.5" hidden="false" customHeight="true" outlineLevel="0" collapsed="false">
      <c r="A962" s="49" t="s">
        <v>1104</v>
      </c>
      <c r="B962" s="49" t="s">
        <v>1247</v>
      </c>
      <c r="C962" s="49" t="s">
        <v>1171</v>
      </c>
      <c r="D962" s="49" t="s">
        <v>1172</v>
      </c>
      <c r="E962" s="49" t="s">
        <v>1173</v>
      </c>
      <c r="F962" s="49" t="s">
        <v>1248</v>
      </c>
      <c r="G962" s="49" t="s">
        <v>772</v>
      </c>
      <c r="H962" s="49" t="s">
        <v>1132</v>
      </c>
      <c r="I962" s="49" t="s">
        <v>885</v>
      </c>
    </row>
    <row r="963" customFormat="false" ht="25.5" hidden="false" customHeight="true" outlineLevel="0" collapsed="false">
      <c r="A963" s="49" t="s">
        <v>1104</v>
      </c>
      <c r="B963" s="49" t="s">
        <v>1247</v>
      </c>
      <c r="C963" s="49" t="s">
        <v>1249</v>
      </c>
      <c r="D963" s="49" t="s">
        <v>1218</v>
      </c>
      <c r="E963" s="49" t="s">
        <v>1250</v>
      </c>
      <c r="F963" s="49" t="s">
        <v>1251</v>
      </c>
      <c r="G963" s="49" t="s">
        <v>772</v>
      </c>
      <c r="H963" s="49" t="s">
        <v>1132</v>
      </c>
      <c r="I963" s="49" t="s">
        <v>885</v>
      </c>
    </row>
    <row r="964" customFormat="false" ht="25.5" hidden="false" customHeight="true" outlineLevel="0" collapsed="false">
      <c r="A964" s="49" t="s">
        <v>1104</v>
      </c>
      <c r="B964" s="49" t="s">
        <v>1247</v>
      </c>
      <c r="C964" s="49" t="s">
        <v>1252</v>
      </c>
      <c r="D964" s="49" t="s">
        <v>1148</v>
      </c>
      <c r="E964" s="49" t="s">
        <v>1183</v>
      </c>
      <c r="F964" s="49" t="s">
        <v>1253</v>
      </c>
      <c r="G964" s="49" t="s">
        <v>772</v>
      </c>
      <c r="H964" s="49" t="s">
        <v>1132</v>
      </c>
      <c r="I964" s="49" t="s">
        <v>885</v>
      </c>
    </row>
    <row r="965" customFormat="false" ht="25.5" hidden="false" customHeight="true" outlineLevel="0" collapsed="false">
      <c r="A965" s="49" t="s">
        <v>1104</v>
      </c>
      <c r="B965" s="49" t="s">
        <v>1247</v>
      </c>
      <c r="C965" s="49" t="s">
        <v>1254</v>
      </c>
      <c r="D965" s="49" t="s">
        <v>1141</v>
      </c>
      <c r="E965" s="49" t="s">
        <v>1135</v>
      </c>
      <c r="F965" s="49" t="s">
        <v>1255</v>
      </c>
      <c r="G965" s="49" t="s">
        <v>772</v>
      </c>
      <c r="H965" s="49" t="s">
        <v>1132</v>
      </c>
      <c r="I965" s="49" t="s">
        <v>885</v>
      </c>
    </row>
    <row r="966" customFormat="false" ht="25.5" hidden="false" customHeight="true" outlineLevel="0" collapsed="false">
      <c r="A966" s="49" t="s">
        <v>1104</v>
      </c>
      <c r="B966" s="49" t="s">
        <v>1247</v>
      </c>
      <c r="C966" s="49" t="s">
        <v>1256</v>
      </c>
      <c r="D966" s="49" t="s">
        <v>1218</v>
      </c>
      <c r="E966" s="49" t="s">
        <v>1135</v>
      </c>
      <c r="F966" s="49" t="s">
        <v>1257</v>
      </c>
      <c r="G966" s="49" t="s">
        <v>772</v>
      </c>
      <c r="H966" s="49" t="s">
        <v>1132</v>
      </c>
      <c r="I966" s="49" t="s">
        <v>885</v>
      </c>
    </row>
    <row r="967" customFormat="false" ht="25.5" hidden="false" customHeight="true" outlineLevel="0" collapsed="false">
      <c r="A967" s="49" t="s">
        <v>1104</v>
      </c>
      <c r="B967" s="49" t="s">
        <v>1247</v>
      </c>
      <c r="C967" s="49" t="s">
        <v>1258</v>
      </c>
      <c r="D967" s="49" t="s">
        <v>1156</v>
      </c>
      <c r="E967" s="49" t="s">
        <v>217</v>
      </c>
      <c r="F967" s="49" t="s">
        <v>1259</v>
      </c>
      <c r="G967" s="49" t="s">
        <v>772</v>
      </c>
      <c r="H967" s="49" t="s">
        <v>1132</v>
      </c>
      <c r="I967" s="49" t="s">
        <v>885</v>
      </c>
    </row>
    <row r="968" customFormat="false" ht="25.5" hidden="false" customHeight="true" outlineLevel="0" collapsed="false">
      <c r="A968" s="49" t="s">
        <v>1104</v>
      </c>
      <c r="B968" s="49" t="s">
        <v>1247</v>
      </c>
      <c r="C968" s="49" t="s">
        <v>1260</v>
      </c>
      <c r="D968" s="49" t="s">
        <v>1208</v>
      </c>
      <c r="E968" s="49" t="s">
        <v>1183</v>
      </c>
      <c r="F968" s="49" t="s">
        <v>1261</v>
      </c>
      <c r="G968" s="49" t="s">
        <v>772</v>
      </c>
      <c r="H968" s="49" t="s">
        <v>1132</v>
      </c>
      <c r="I968" s="49" t="s">
        <v>885</v>
      </c>
    </row>
    <row r="969" customFormat="false" ht="25.5" hidden="false" customHeight="true" outlineLevel="0" collapsed="false">
      <c r="A969" s="49" t="s">
        <v>1104</v>
      </c>
      <c r="B969" s="49" t="s">
        <v>1247</v>
      </c>
      <c r="C969" s="49" t="s">
        <v>1262</v>
      </c>
      <c r="D969" s="49" t="s">
        <v>1162</v>
      </c>
      <c r="E969" s="49" t="s">
        <v>217</v>
      </c>
      <c r="F969" s="49" t="s">
        <v>1263</v>
      </c>
      <c r="G969" s="49" t="s">
        <v>772</v>
      </c>
      <c r="H969" s="49" t="s">
        <v>1132</v>
      </c>
      <c r="I969" s="49" t="s">
        <v>885</v>
      </c>
    </row>
    <row r="970" customFormat="false" ht="25.5" hidden="false" customHeight="true" outlineLevel="0" collapsed="false">
      <c r="A970" s="49" t="s">
        <v>1104</v>
      </c>
      <c r="B970" s="49" t="s">
        <v>1247</v>
      </c>
      <c r="C970" s="49" t="s">
        <v>1264</v>
      </c>
      <c r="D970" s="49" t="s">
        <v>1134</v>
      </c>
      <c r="E970" s="49" t="s">
        <v>1265</v>
      </c>
      <c r="F970" s="49" t="s">
        <v>1266</v>
      </c>
      <c r="G970" s="49" t="s">
        <v>772</v>
      </c>
      <c r="H970" s="49" t="s">
        <v>1132</v>
      </c>
      <c r="I970" s="49" t="s">
        <v>885</v>
      </c>
    </row>
    <row r="971" customFormat="false" ht="25.5" hidden="false" customHeight="true" outlineLevel="0" collapsed="false">
      <c r="A971" s="49" t="s">
        <v>1104</v>
      </c>
      <c r="B971" s="49" t="s">
        <v>1247</v>
      </c>
      <c r="C971" s="49" t="s">
        <v>1267</v>
      </c>
      <c r="D971" s="49" t="s">
        <v>1141</v>
      </c>
      <c r="E971" s="49" t="s">
        <v>1268</v>
      </c>
      <c r="F971" s="49" t="s">
        <v>1269</v>
      </c>
      <c r="G971" s="49" t="s">
        <v>772</v>
      </c>
      <c r="H971" s="49" t="s">
        <v>1132</v>
      </c>
      <c r="I971" s="49" t="s">
        <v>885</v>
      </c>
    </row>
    <row r="972" customFormat="false" ht="25.5" hidden="false" customHeight="true" outlineLevel="0" collapsed="false">
      <c r="A972" s="49" t="s">
        <v>1104</v>
      </c>
      <c r="B972" s="49" t="s">
        <v>1247</v>
      </c>
      <c r="C972" s="49" t="s">
        <v>1270</v>
      </c>
      <c r="D972" s="49" t="s">
        <v>1208</v>
      </c>
      <c r="E972" s="49" t="s">
        <v>1271</v>
      </c>
      <c r="F972" s="49" t="s">
        <v>1272</v>
      </c>
      <c r="G972" s="49" t="s">
        <v>772</v>
      </c>
      <c r="H972" s="49" t="s">
        <v>1132</v>
      </c>
      <c r="I972" s="49" t="s">
        <v>885</v>
      </c>
    </row>
    <row r="973" customFormat="false" ht="25.5" hidden="false" customHeight="true" outlineLevel="0" collapsed="false">
      <c r="A973" s="49" t="s">
        <v>1104</v>
      </c>
      <c r="B973" s="49" t="s">
        <v>1247</v>
      </c>
      <c r="C973" s="49" t="s">
        <v>1273</v>
      </c>
      <c r="D973" s="49" t="s">
        <v>1218</v>
      </c>
      <c r="E973" s="49" t="s">
        <v>893</v>
      </c>
      <c r="F973" s="49" t="s">
        <v>1274</v>
      </c>
      <c r="G973" s="49" t="s">
        <v>772</v>
      </c>
      <c r="H973" s="49" t="s">
        <v>1132</v>
      </c>
      <c r="I973" s="49" t="s">
        <v>885</v>
      </c>
    </row>
    <row r="974" customFormat="false" ht="25.5" hidden="false" customHeight="true" outlineLevel="0" collapsed="false">
      <c r="A974" s="49" t="s">
        <v>1104</v>
      </c>
      <c r="B974" s="49" t="s">
        <v>1247</v>
      </c>
      <c r="C974" s="49" t="s">
        <v>1275</v>
      </c>
      <c r="D974" s="49" t="s">
        <v>1156</v>
      </c>
      <c r="E974" s="49" t="s">
        <v>893</v>
      </c>
      <c r="F974" s="49" t="s">
        <v>1274</v>
      </c>
      <c r="G974" s="49" t="s">
        <v>772</v>
      </c>
      <c r="H974" s="49" t="s">
        <v>1132</v>
      </c>
      <c r="I974" s="49" t="s">
        <v>885</v>
      </c>
    </row>
    <row r="975" customFormat="false" ht="25.5" hidden="false" customHeight="true" outlineLevel="0" collapsed="false">
      <c r="A975" s="49" t="s">
        <v>1104</v>
      </c>
      <c r="B975" s="49" t="s">
        <v>1247</v>
      </c>
      <c r="C975" s="49" t="s">
        <v>1276</v>
      </c>
      <c r="D975" s="49" t="s">
        <v>1134</v>
      </c>
      <c r="E975" s="49" t="s">
        <v>1183</v>
      </c>
      <c r="F975" s="49" t="s">
        <v>1277</v>
      </c>
      <c r="G975" s="49" t="s">
        <v>772</v>
      </c>
      <c r="H975" s="49" t="s">
        <v>1132</v>
      </c>
      <c r="I975" s="49" t="s">
        <v>885</v>
      </c>
    </row>
    <row r="976" customFormat="false" ht="25.5" hidden="false" customHeight="true" outlineLevel="0" collapsed="false">
      <c r="A976" s="49" t="s">
        <v>1104</v>
      </c>
      <c r="B976" s="49" t="s">
        <v>1247</v>
      </c>
      <c r="C976" s="49" t="s">
        <v>1278</v>
      </c>
      <c r="D976" s="49" t="s">
        <v>1208</v>
      </c>
      <c r="E976" s="49" t="s">
        <v>1279</v>
      </c>
      <c r="F976" s="49" t="s">
        <v>1280</v>
      </c>
      <c r="G976" s="49" t="s">
        <v>772</v>
      </c>
      <c r="H976" s="49" t="s">
        <v>1132</v>
      </c>
      <c r="I976" s="49" t="s">
        <v>885</v>
      </c>
    </row>
    <row r="977" customFormat="false" ht="25.5" hidden="false" customHeight="true" outlineLevel="0" collapsed="false">
      <c r="A977" s="49" t="s">
        <v>1104</v>
      </c>
      <c r="B977" s="49" t="s">
        <v>1247</v>
      </c>
      <c r="C977" s="49" t="s">
        <v>1281</v>
      </c>
      <c r="D977" s="49" t="s">
        <v>1162</v>
      </c>
      <c r="E977" s="49" t="s">
        <v>1163</v>
      </c>
      <c r="F977" s="49" t="s">
        <v>1282</v>
      </c>
      <c r="G977" s="49" t="s">
        <v>772</v>
      </c>
      <c r="H977" s="49" t="s">
        <v>1132</v>
      </c>
      <c r="I977" s="49" t="s">
        <v>885</v>
      </c>
    </row>
    <row r="978" customFormat="false" ht="25.5" hidden="false" customHeight="true" outlineLevel="0" collapsed="false">
      <c r="A978" s="49" t="s">
        <v>1104</v>
      </c>
      <c r="B978" s="49" t="s">
        <v>1247</v>
      </c>
      <c r="C978" s="49" t="s">
        <v>1283</v>
      </c>
      <c r="D978" s="49" t="s">
        <v>1199</v>
      </c>
      <c r="E978" s="49" t="s">
        <v>1284</v>
      </c>
      <c r="F978" s="49" t="s">
        <v>1285</v>
      </c>
      <c r="G978" s="49" t="s">
        <v>772</v>
      </c>
      <c r="H978" s="49" t="s">
        <v>1132</v>
      </c>
      <c r="I978" s="49" t="s">
        <v>885</v>
      </c>
    </row>
    <row r="979" customFormat="false" ht="25.5" hidden="false" customHeight="true" outlineLevel="0" collapsed="false">
      <c r="A979" s="49" t="s">
        <v>1104</v>
      </c>
      <c r="B979" s="49" t="s">
        <v>1247</v>
      </c>
      <c r="C979" s="49" t="s">
        <v>1286</v>
      </c>
      <c r="D979" s="49" t="s">
        <v>1208</v>
      </c>
      <c r="E979" s="49" t="s">
        <v>217</v>
      </c>
      <c r="F979" s="49" t="s">
        <v>1287</v>
      </c>
      <c r="G979" s="49" t="s">
        <v>772</v>
      </c>
      <c r="H979" s="49" t="s">
        <v>1132</v>
      </c>
      <c r="I979" s="49" t="s">
        <v>885</v>
      </c>
    </row>
    <row r="980" customFormat="false" ht="25.5" hidden="false" customHeight="true" outlineLevel="0" collapsed="false">
      <c r="A980" s="49" t="s">
        <v>1104</v>
      </c>
      <c r="B980" s="49" t="s">
        <v>1247</v>
      </c>
      <c r="C980" s="49" t="s">
        <v>1288</v>
      </c>
      <c r="D980" s="49" t="s">
        <v>1218</v>
      </c>
      <c r="E980" s="49" t="s">
        <v>1289</v>
      </c>
      <c r="F980" s="49" t="s">
        <v>1290</v>
      </c>
      <c r="G980" s="49" t="s">
        <v>772</v>
      </c>
      <c r="H980" s="49" t="s">
        <v>1132</v>
      </c>
      <c r="I980" s="49" t="s">
        <v>885</v>
      </c>
    </row>
    <row r="981" customFormat="false" ht="25.5" hidden="false" customHeight="true" outlineLevel="0" collapsed="false">
      <c r="A981" s="49" t="s">
        <v>1104</v>
      </c>
      <c r="B981" s="49" t="s">
        <v>1247</v>
      </c>
      <c r="C981" s="49" t="s">
        <v>1291</v>
      </c>
      <c r="D981" s="49" t="s">
        <v>1292</v>
      </c>
      <c r="E981" s="49" t="s">
        <v>1157</v>
      </c>
      <c r="F981" s="49" t="s">
        <v>1293</v>
      </c>
      <c r="G981" s="49" t="s">
        <v>772</v>
      </c>
      <c r="H981" s="49" t="s">
        <v>1132</v>
      </c>
      <c r="I981" s="49" t="s">
        <v>885</v>
      </c>
    </row>
    <row r="982" customFormat="false" ht="25.5" hidden="false" customHeight="true" outlineLevel="0" collapsed="false">
      <c r="A982" s="49" t="s">
        <v>1104</v>
      </c>
      <c r="B982" s="49" t="s">
        <v>1294</v>
      </c>
      <c r="C982" s="49" t="s">
        <v>1171</v>
      </c>
      <c r="D982" s="49" t="s">
        <v>1172</v>
      </c>
      <c r="E982" s="49" t="s">
        <v>1173</v>
      </c>
      <c r="F982" s="49" t="s">
        <v>1174</v>
      </c>
      <c r="G982" s="49" t="s">
        <v>772</v>
      </c>
      <c r="H982" s="49" t="s">
        <v>1132</v>
      </c>
      <c r="I982" s="49" t="s">
        <v>885</v>
      </c>
    </row>
    <row r="983" customFormat="false" ht="25.5" hidden="false" customHeight="true" outlineLevel="0" collapsed="false">
      <c r="A983" s="49" t="s">
        <v>1104</v>
      </c>
      <c r="B983" s="49" t="s">
        <v>1294</v>
      </c>
      <c r="C983" s="49" t="s">
        <v>1295</v>
      </c>
      <c r="D983" s="49" t="s">
        <v>1292</v>
      </c>
      <c r="E983" s="49" t="s">
        <v>1296</v>
      </c>
      <c r="F983" s="49" t="s">
        <v>1297</v>
      </c>
      <c r="G983" s="49" t="s">
        <v>772</v>
      </c>
      <c r="H983" s="49" t="s">
        <v>1132</v>
      </c>
      <c r="I983" s="49" t="s">
        <v>885</v>
      </c>
    </row>
    <row r="984" customFormat="false" ht="25.5" hidden="false" customHeight="true" outlineLevel="0" collapsed="false">
      <c r="A984" s="49" t="s">
        <v>1104</v>
      </c>
      <c r="B984" s="49" t="s">
        <v>1294</v>
      </c>
      <c r="C984" s="49" t="s">
        <v>1298</v>
      </c>
      <c r="D984" s="49" t="s">
        <v>1141</v>
      </c>
      <c r="E984" s="49" t="s">
        <v>1183</v>
      </c>
      <c r="F984" s="49" t="s">
        <v>1299</v>
      </c>
      <c r="G984" s="49" t="s">
        <v>772</v>
      </c>
      <c r="H984" s="49" t="s">
        <v>1132</v>
      </c>
      <c r="I984" s="49" t="s">
        <v>885</v>
      </c>
    </row>
    <row r="985" customFormat="false" ht="25.5" hidden="false" customHeight="true" outlineLevel="0" collapsed="false">
      <c r="A985" s="49" t="s">
        <v>1104</v>
      </c>
      <c r="B985" s="49" t="s">
        <v>1294</v>
      </c>
      <c r="C985" s="49" t="s">
        <v>1300</v>
      </c>
      <c r="D985" s="49" t="s">
        <v>1218</v>
      </c>
      <c r="E985" s="49" t="s">
        <v>1183</v>
      </c>
      <c r="F985" s="49" t="s">
        <v>1301</v>
      </c>
      <c r="G985" s="49" t="s">
        <v>772</v>
      </c>
      <c r="H985" s="49" t="s">
        <v>1132</v>
      </c>
      <c r="I985" s="49" t="s">
        <v>885</v>
      </c>
    </row>
    <row r="986" customFormat="false" ht="25.5" hidden="false" customHeight="true" outlineLevel="0" collapsed="false">
      <c r="A986" s="49" t="s">
        <v>1104</v>
      </c>
      <c r="B986" s="49" t="s">
        <v>1294</v>
      </c>
      <c r="C986" s="49" t="s">
        <v>1302</v>
      </c>
      <c r="D986" s="49" t="s">
        <v>1199</v>
      </c>
      <c r="E986" s="49" t="s">
        <v>1183</v>
      </c>
      <c r="F986" s="49" t="s">
        <v>1303</v>
      </c>
      <c r="G986" s="49" t="s">
        <v>772</v>
      </c>
      <c r="H986" s="49" t="s">
        <v>1132</v>
      </c>
      <c r="I986" s="49" t="s">
        <v>885</v>
      </c>
    </row>
    <row r="987" customFormat="false" ht="25.5" hidden="false" customHeight="true" outlineLevel="0" collapsed="false">
      <c r="A987" s="49" t="s">
        <v>1104</v>
      </c>
      <c r="B987" s="49" t="s">
        <v>1294</v>
      </c>
      <c r="C987" s="49" t="s">
        <v>1304</v>
      </c>
      <c r="D987" s="49" t="s">
        <v>1156</v>
      </c>
      <c r="E987" s="49" t="s">
        <v>1265</v>
      </c>
      <c r="F987" s="49" t="s">
        <v>1305</v>
      </c>
      <c r="G987" s="49" t="s">
        <v>772</v>
      </c>
      <c r="H987" s="49" t="s">
        <v>1132</v>
      </c>
      <c r="I987" s="49" t="s">
        <v>885</v>
      </c>
    </row>
    <row r="988" customFormat="false" ht="25.5" hidden="false" customHeight="true" outlineLevel="0" collapsed="false">
      <c r="A988" s="49" t="s">
        <v>1104</v>
      </c>
      <c r="B988" s="49" t="s">
        <v>1294</v>
      </c>
      <c r="C988" s="49" t="s">
        <v>1306</v>
      </c>
      <c r="D988" s="49" t="s">
        <v>1148</v>
      </c>
      <c r="E988" s="49" t="s">
        <v>1226</v>
      </c>
      <c r="F988" s="49" t="s">
        <v>1307</v>
      </c>
      <c r="G988" s="49" t="s">
        <v>772</v>
      </c>
      <c r="H988" s="49" t="s">
        <v>1132</v>
      </c>
      <c r="I988" s="49" t="s">
        <v>885</v>
      </c>
    </row>
    <row r="989" customFormat="false" ht="25.5" hidden="false" customHeight="true" outlineLevel="0" collapsed="false">
      <c r="A989" s="49" t="s">
        <v>1104</v>
      </c>
      <c r="B989" s="49" t="s">
        <v>1294</v>
      </c>
      <c r="C989" s="49" t="s">
        <v>1308</v>
      </c>
      <c r="D989" s="49" t="s">
        <v>1156</v>
      </c>
      <c r="E989" s="49" t="s">
        <v>1309</v>
      </c>
      <c r="F989" s="49" t="s">
        <v>1310</v>
      </c>
      <c r="G989" s="49" t="s">
        <v>772</v>
      </c>
      <c r="H989" s="49" t="s">
        <v>1132</v>
      </c>
      <c r="I989" s="49" t="s">
        <v>885</v>
      </c>
    </row>
    <row r="990" customFormat="false" ht="25.5" hidden="false" customHeight="true" outlineLevel="0" collapsed="false">
      <c r="A990" s="49" t="s">
        <v>1104</v>
      </c>
      <c r="B990" s="49" t="s">
        <v>1294</v>
      </c>
      <c r="C990" s="49" t="s">
        <v>1311</v>
      </c>
      <c r="D990" s="49" t="s">
        <v>1199</v>
      </c>
      <c r="E990" s="49" t="s">
        <v>217</v>
      </c>
      <c r="F990" s="49" t="s">
        <v>1312</v>
      </c>
      <c r="G990" s="49" t="s">
        <v>772</v>
      </c>
      <c r="H990" s="49" t="s">
        <v>1132</v>
      </c>
      <c r="I990" s="49" t="s">
        <v>885</v>
      </c>
    </row>
    <row r="991" customFormat="false" ht="25.5" hidden="false" customHeight="true" outlineLevel="0" collapsed="false">
      <c r="A991" s="49" t="s">
        <v>1104</v>
      </c>
      <c r="B991" s="49" t="s">
        <v>1294</v>
      </c>
      <c r="C991" s="49" t="s">
        <v>1313</v>
      </c>
      <c r="D991" s="49" t="s">
        <v>1208</v>
      </c>
      <c r="E991" s="49" t="s">
        <v>1183</v>
      </c>
      <c r="F991" s="49" t="s">
        <v>1314</v>
      </c>
      <c r="G991" s="49" t="s">
        <v>772</v>
      </c>
      <c r="H991" s="49" t="s">
        <v>1132</v>
      </c>
      <c r="I991" s="49" t="s">
        <v>885</v>
      </c>
    </row>
    <row r="992" customFormat="false" ht="25.5" hidden="false" customHeight="true" outlineLevel="0" collapsed="false">
      <c r="A992" s="49" t="s">
        <v>1104</v>
      </c>
      <c r="B992" s="49" t="s">
        <v>1294</v>
      </c>
      <c r="C992" s="49" t="s">
        <v>1315</v>
      </c>
      <c r="D992" s="49" t="s">
        <v>1208</v>
      </c>
      <c r="E992" s="49" t="s">
        <v>1186</v>
      </c>
      <c r="F992" s="49" t="s">
        <v>1316</v>
      </c>
      <c r="G992" s="49" t="s">
        <v>772</v>
      </c>
      <c r="H992" s="49" t="s">
        <v>1132</v>
      </c>
      <c r="I992" s="49" t="s">
        <v>885</v>
      </c>
    </row>
    <row r="993" customFormat="false" ht="25.5" hidden="false" customHeight="true" outlineLevel="0" collapsed="false">
      <c r="A993" s="49" t="s">
        <v>1104</v>
      </c>
      <c r="B993" s="49" t="s">
        <v>1294</v>
      </c>
      <c r="C993" s="49" t="s">
        <v>1317</v>
      </c>
      <c r="D993" s="49" t="s">
        <v>1151</v>
      </c>
      <c r="E993" s="49" t="s">
        <v>1265</v>
      </c>
      <c r="F993" s="49" t="s">
        <v>1318</v>
      </c>
      <c r="G993" s="49" t="s">
        <v>772</v>
      </c>
      <c r="H993" s="49" t="s">
        <v>1132</v>
      </c>
      <c r="I993" s="49" t="s">
        <v>885</v>
      </c>
    </row>
    <row r="994" customFormat="false" ht="25.5" hidden="false" customHeight="true" outlineLevel="0" collapsed="false">
      <c r="A994" s="49" t="s">
        <v>1104</v>
      </c>
      <c r="B994" s="49" t="s">
        <v>1294</v>
      </c>
      <c r="C994" s="49" t="s">
        <v>1319</v>
      </c>
      <c r="D994" s="49" t="s">
        <v>1156</v>
      </c>
      <c r="E994" s="49" t="s">
        <v>1183</v>
      </c>
      <c r="F994" s="49" t="s">
        <v>1320</v>
      </c>
      <c r="G994" s="49" t="s">
        <v>772</v>
      </c>
      <c r="H994" s="49" t="s">
        <v>1132</v>
      </c>
      <c r="I994" s="49" t="s">
        <v>885</v>
      </c>
    </row>
    <row r="995" customFormat="false" ht="25.5" hidden="false" customHeight="true" outlineLevel="0" collapsed="false">
      <c r="A995" s="49" t="s">
        <v>1104</v>
      </c>
      <c r="B995" s="49" t="s">
        <v>1294</v>
      </c>
      <c r="C995" s="49" t="s">
        <v>1321</v>
      </c>
      <c r="D995" s="49" t="s">
        <v>1151</v>
      </c>
      <c r="E995" s="49" t="s">
        <v>1265</v>
      </c>
      <c r="F995" s="49" t="s">
        <v>1227</v>
      </c>
      <c r="G995" s="49" t="s">
        <v>772</v>
      </c>
      <c r="H995" s="49" t="s">
        <v>1132</v>
      </c>
      <c r="I995" s="49" t="s">
        <v>885</v>
      </c>
    </row>
    <row r="996" customFormat="false" ht="25.5" hidden="false" customHeight="true" outlineLevel="0" collapsed="false">
      <c r="A996" s="49" t="s">
        <v>1104</v>
      </c>
      <c r="B996" s="49" t="s">
        <v>1294</v>
      </c>
      <c r="C996" s="49" t="s">
        <v>1322</v>
      </c>
      <c r="D996" s="49" t="s">
        <v>1208</v>
      </c>
      <c r="E996" s="49" t="s">
        <v>1183</v>
      </c>
      <c r="F996" s="49" t="s">
        <v>1323</v>
      </c>
      <c r="G996" s="49" t="s">
        <v>772</v>
      </c>
      <c r="H996" s="49" t="s">
        <v>1132</v>
      </c>
      <c r="I996" s="49" t="s">
        <v>885</v>
      </c>
    </row>
    <row r="997" customFormat="false" ht="25.5" hidden="false" customHeight="true" outlineLevel="0" collapsed="false">
      <c r="A997" s="49" t="s">
        <v>1104</v>
      </c>
      <c r="B997" s="49" t="s">
        <v>1294</v>
      </c>
      <c r="C997" s="49" t="s">
        <v>1324</v>
      </c>
      <c r="D997" s="49" t="s">
        <v>1129</v>
      </c>
      <c r="E997" s="49" t="s">
        <v>1183</v>
      </c>
      <c r="F997" s="49" t="s">
        <v>1325</v>
      </c>
      <c r="G997" s="49" t="s">
        <v>772</v>
      </c>
      <c r="H997" s="49" t="s">
        <v>1132</v>
      </c>
      <c r="I997" s="49" t="s">
        <v>885</v>
      </c>
    </row>
    <row r="998" customFormat="false" ht="25.5" hidden="false" customHeight="true" outlineLevel="0" collapsed="false">
      <c r="A998" s="49" t="s">
        <v>1104</v>
      </c>
      <c r="B998" s="49" t="s">
        <v>1294</v>
      </c>
      <c r="C998" s="49" t="s">
        <v>1326</v>
      </c>
      <c r="D998" s="49" t="s">
        <v>1129</v>
      </c>
      <c r="E998" s="49" t="s">
        <v>893</v>
      </c>
      <c r="F998" s="49" t="s">
        <v>1327</v>
      </c>
      <c r="G998" s="49" t="s">
        <v>772</v>
      </c>
      <c r="H998" s="49" t="s">
        <v>1132</v>
      </c>
      <c r="I998" s="49" t="s">
        <v>885</v>
      </c>
    </row>
    <row r="999" customFormat="false" ht="25.5" hidden="false" customHeight="true" outlineLevel="0" collapsed="false">
      <c r="A999" s="49" t="s">
        <v>1104</v>
      </c>
      <c r="B999" s="49" t="s">
        <v>1294</v>
      </c>
      <c r="C999" s="49" t="s">
        <v>1328</v>
      </c>
      <c r="D999" s="49" t="s">
        <v>1129</v>
      </c>
      <c r="E999" s="49" t="s">
        <v>1183</v>
      </c>
      <c r="F999" s="49" t="s">
        <v>1329</v>
      </c>
      <c r="G999" s="49" t="s">
        <v>772</v>
      </c>
      <c r="H999" s="49" t="s">
        <v>1132</v>
      </c>
      <c r="I999" s="49" t="s">
        <v>885</v>
      </c>
    </row>
    <row r="1000" customFormat="false" ht="25.5" hidden="false" customHeight="true" outlineLevel="0" collapsed="false">
      <c r="A1000" s="49" t="s">
        <v>1104</v>
      </c>
      <c r="B1000" s="49" t="s">
        <v>1294</v>
      </c>
      <c r="C1000" s="49" t="s">
        <v>1330</v>
      </c>
      <c r="D1000" s="49" t="s">
        <v>1134</v>
      </c>
      <c r="E1000" s="49" t="s">
        <v>1183</v>
      </c>
      <c r="F1000" s="49" t="s">
        <v>1331</v>
      </c>
      <c r="G1000" s="49" t="s">
        <v>772</v>
      </c>
      <c r="H1000" s="49" t="s">
        <v>1132</v>
      </c>
      <c r="I1000" s="49" t="s">
        <v>885</v>
      </c>
    </row>
    <row r="1001" customFormat="false" ht="25.5" hidden="false" customHeight="true" outlineLevel="0" collapsed="false">
      <c r="A1001" s="49" t="s">
        <v>1104</v>
      </c>
      <c r="B1001" s="49" t="s">
        <v>1294</v>
      </c>
      <c r="C1001" s="49" t="s">
        <v>1332</v>
      </c>
      <c r="D1001" s="49" t="s">
        <v>1156</v>
      </c>
      <c r="E1001" s="49" t="s">
        <v>1333</v>
      </c>
      <c r="F1001" s="49" t="s">
        <v>1334</v>
      </c>
      <c r="G1001" s="49" t="s">
        <v>772</v>
      </c>
      <c r="H1001" s="49" t="s">
        <v>1132</v>
      </c>
      <c r="I1001" s="49" t="s">
        <v>885</v>
      </c>
    </row>
    <row r="1002" customFormat="false" ht="25.5" hidden="false" customHeight="true" outlineLevel="0" collapsed="false">
      <c r="A1002" s="49" t="s">
        <v>1104</v>
      </c>
      <c r="B1002" s="49" t="s">
        <v>1294</v>
      </c>
      <c r="C1002" s="49" t="s">
        <v>1335</v>
      </c>
      <c r="D1002" s="49" t="s">
        <v>1199</v>
      </c>
      <c r="E1002" s="49" t="s">
        <v>1183</v>
      </c>
      <c r="F1002" s="49" t="s">
        <v>1336</v>
      </c>
      <c r="G1002" s="49" t="s">
        <v>772</v>
      </c>
      <c r="H1002" s="49" t="s">
        <v>1132</v>
      </c>
      <c r="I1002" s="49" t="s">
        <v>885</v>
      </c>
    </row>
    <row r="1003" customFormat="false" ht="25.5" hidden="false" customHeight="true" outlineLevel="0" collapsed="false">
      <c r="A1003" s="49" t="s">
        <v>1104</v>
      </c>
      <c r="B1003" s="49" t="s">
        <v>1294</v>
      </c>
      <c r="C1003" s="49" t="s">
        <v>1337</v>
      </c>
      <c r="D1003" s="49" t="s">
        <v>1134</v>
      </c>
      <c r="E1003" s="49" t="s">
        <v>217</v>
      </c>
      <c r="F1003" s="49" t="s">
        <v>1338</v>
      </c>
      <c r="G1003" s="49" t="s">
        <v>772</v>
      </c>
      <c r="H1003" s="49" t="s">
        <v>1132</v>
      </c>
      <c r="I1003" s="49" t="s">
        <v>885</v>
      </c>
    </row>
    <row r="1004" customFormat="false" ht="25.5" hidden="false" customHeight="true" outlineLevel="0" collapsed="false">
      <c r="A1004" s="49" t="s">
        <v>1104</v>
      </c>
      <c r="B1004" s="49" t="s">
        <v>1294</v>
      </c>
      <c r="C1004" s="49" t="s">
        <v>1339</v>
      </c>
      <c r="D1004" s="49" t="s">
        <v>1208</v>
      </c>
      <c r="E1004" s="49" t="s">
        <v>40</v>
      </c>
      <c r="F1004" s="49" t="s">
        <v>1340</v>
      </c>
      <c r="G1004" s="49" t="s">
        <v>772</v>
      </c>
      <c r="H1004" s="49" t="s">
        <v>1132</v>
      </c>
      <c r="I1004" s="49" t="s">
        <v>885</v>
      </c>
    </row>
    <row r="1005" customFormat="false" ht="25.5" hidden="false" customHeight="true" outlineLevel="0" collapsed="false">
      <c r="A1005" s="49" t="s">
        <v>1104</v>
      </c>
      <c r="B1005" s="49" t="s">
        <v>1341</v>
      </c>
      <c r="C1005" s="49" t="s">
        <v>1171</v>
      </c>
      <c r="D1005" s="49" t="s">
        <v>1172</v>
      </c>
      <c r="E1005" s="49" t="s">
        <v>1173</v>
      </c>
      <c r="F1005" s="49" t="s">
        <v>1174</v>
      </c>
      <c r="G1005" s="49" t="s">
        <v>772</v>
      </c>
      <c r="H1005" s="49" t="s">
        <v>1132</v>
      </c>
      <c r="I1005" s="49" t="s">
        <v>885</v>
      </c>
    </row>
    <row r="1006" customFormat="false" ht="25.5" hidden="false" customHeight="true" outlineLevel="0" collapsed="false">
      <c r="A1006" s="49" t="s">
        <v>1104</v>
      </c>
      <c r="B1006" s="49" t="s">
        <v>1341</v>
      </c>
      <c r="C1006" s="49" t="s">
        <v>1342</v>
      </c>
      <c r="D1006" s="49" t="s">
        <v>1292</v>
      </c>
      <c r="E1006" s="49" t="s">
        <v>1113</v>
      </c>
      <c r="F1006" s="49" t="s">
        <v>1343</v>
      </c>
      <c r="G1006" s="49" t="s">
        <v>772</v>
      </c>
      <c r="H1006" s="49" t="s">
        <v>1132</v>
      </c>
      <c r="I1006" s="49" t="s">
        <v>885</v>
      </c>
    </row>
    <row r="1007" customFormat="false" ht="25.5" hidden="false" customHeight="true" outlineLevel="0" collapsed="false">
      <c r="A1007" s="49" t="s">
        <v>1104</v>
      </c>
      <c r="B1007" s="49" t="s">
        <v>1341</v>
      </c>
      <c r="C1007" s="49" t="s">
        <v>1344</v>
      </c>
      <c r="D1007" s="49" t="s">
        <v>1208</v>
      </c>
      <c r="E1007" s="49" t="s">
        <v>1183</v>
      </c>
      <c r="F1007" s="49" t="s">
        <v>1345</v>
      </c>
      <c r="G1007" s="49" t="s">
        <v>772</v>
      </c>
      <c r="H1007" s="49" t="s">
        <v>1132</v>
      </c>
      <c r="I1007" s="49" t="s">
        <v>885</v>
      </c>
    </row>
    <row r="1008" customFormat="false" ht="25.5" hidden="false" customHeight="true" outlineLevel="0" collapsed="false">
      <c r="A1008" s="49" t="s">
        <v>1104</v>
      </c>
      <c r="B1008" s="49" t="s">
        <v>1341</v>
      </c>
      <c r="C1008" s="49" t="s">
        <v>1346</v>
      </c>
      <c r="D1008" s="49" t="s">
        <v>1218</v>
      </c>
      <c r="E1008" s="49" t="s">
        <v>1347</v>
      </c>
      <c r="F1008" s="49" t="s">
        <v>1348</v>
      </c>
      <c r="G1008" s="49" t="s">
        <v>772</v>
      </c>
      <c r="H1008" s="49" t="s">
        <v>1132</v>
      </c>
      <c r="I1008" s="49" t="s">
        <v>885</v>
      </c>
    </row>
    <row r="1009" customFormat="false" ht="25.5" hidden="false" customHeight="true" outlineLevel="0" collapsed="false">
      <c r="A1009" s="49" t="s">
        <v>1104</v>
      </c>
      <c r="B1009" s="49" t="s">
        <v>1341</v>
      </c>
      <c r="C1009" s="49" t="s">
        <v>1349</v>
      </c>
      <c r="D1009" s="49" t="s">
        <v>1218</v>
      </c>
      <c r="E1009" s="49" t="s">
        <v>1183</v>
      </c>
      <c r="F1009" s="49" t="s">
        <v>1350</v>
      </c>
      <c r="G1009" s="49" t="s">
        <v>772</v>
      </c>
      <c r="H1009" s="49" t="s">
        <v>1132</v>
      </c>
      <c r="I1009" s="49" t="s">
        <v>885</v>
      </c>
    </row>
    <row r="1010" customFormat="false" ht="25.5" hidden="false" customHeight="true" outlineLevel="0" collapsed="false">
      <c r="A1010" s="49" t="s">
        <v>1104</v>
      </c>
      <c r="B1010" s="49" t="s">
        <v>1341</v>
      </c>
      <c r="C1010" s="49" t="s">
        <v>1351</v>
      </c>
      <c r="D1010" s="49" t="s">
        <v>1134</v>
      </c>
      <c r="E1010" s="49" t="s">
        <v>1055</v>
      </c>
      <c r="F1010" s="49" t="s">
        <v>1352</v>
      </c>
      <c r="G1010" s="49" t="s">
        <v>772</v>
      </c>
      <c r="H1010" s="49" t="s">
        <v>1132</v>
      </c>
      <c r="I1010" s="49" t="s">
        <v>885</v>
      </c>
    </row>
    <row r="1011" customFormat="false" ht="25.5" hidden="false" customHeight="true" outlineLevel="0" collapsed="false">
      <c r="A1011" s="49" t="s">
        <v>1104</v>
      </c>
      <c r="B1011" s="49" t="s">
        <v>1341</v>
      </c>
      <c r="C1011" s="49" t="s">
        <v>1353</v>
      </c>
      <c r="D1011" s="49" t="s">
        <v>1134</v>
      </c>
      <c r="E1011" s="49" t="s">
        <v>1226</v>
      </c>
      <c r="F1011" s="49" t="s">
        <v>1354</v>
      </c>
      <c r="G1011" s="49" t="s">
        <v>772</v>
      </c>
      <c r="H1011" s="49" t="s">
        <v>1132</v>
      </c>
      <c r="I1011" s="49" t="s">
        <v>885</v>
      </c>
    </row>
    <row r="1012" customFormat="false" ht="25.5" hidden="false" customHeight="true" outlineLevel="0" collapsed="false">
      <c r="A1012" s="49" t="s">
        <v>1104</v>
      </c>
      <c r="B1012" s="49" t="s">
        <v>1341</v>
      </c>
      <c r="C1012" s="49" t="s">
        <v>1355</v>
      </c>
      <c r="D1012" s="49" t="s">
        <v>1148</v>
      </c>
      <c r="E1012" s="49" t="s">
        <v>1356</v>
      </c>
      <c r="F1012" s="49" t="s">
        <v>1357</v>
      </c>
      <c r="G1012" s="49" t="s">
        <v>772</v>
      </c>
      <c r="H1012" s="49" t="s">
        <v>1132</v>
      </c>
      <c r="I1012" s="49" t="s">
        <v>885</v>
      </c>
    </row>
    <row r="1013" customFormat="false" ht="25.5" hidden="false" customHeight="true" outlineLevel="0" collapsed="false">
      <c r="A1013" s="49" t="s">
        <v>1104</v>
      </c>
      <c r="B1013" s="49" t="s">
        <v>1341</v>
      </c>
      <c r="C1013" s="49" t="s">
        <v>1358</v>
      </c>
      <c r="D1013" s="49" t="s">
        <v>1218</v>
      </c>
      <c r="E1013" s="49" t="s">
        <v>1359</v>
      </c>
      <c r="F1013" s="49" t="s">
        <v>1360</v>
      </c>
      <c r="G1013" s="49" t="s">
        <v>772</v>
      </c>
      <c r="H1013" s="49" t="s">
        <v>1132</v>
      </c>
      <c r="I1013" s="49" t="s">
        <v>885</v>
      </c>
    </row>
    <row r="1014" customFormat="false" ht="25.5" hidden="false" customHeight="true" outlineLevel="0" collapsed="false">
      <c r="A1014" s="49" t="s">
        <v>1104</v>
      </c>
      <c r="B1014" s="49" t="s">
        <v>1341</v>
      </c>
      <c r="C1014" s="49" t="s">
        <v>1361</v>
      </c>
      <c r="D1014" s="49" t="s">
        <v>1148</v>
      </c>
      <c r="E1014" s="49" t="s">
        <v>1183</v>
      </c>
      <c r="F1014" s="49" t="s">
        <v>1362</v>
      </c>
      <c r="G1014" s="49" t="s">
        <v>772</v>
      </c>
      <c r="H1014" s="49" t="s">
        <v>1132</v>
      </c>
      <c r="I1014" s="49" t="s">
        <v>885</v>
      </c>
    </row>
    <row r="1015" customFormat="false" ht="25.5" hidden="false" customHeight="true" outlineLevel="0" collapsed="false">
      <c r="A1015" s="49" t="s">
        <v>1104</v>
      </c>
      <c r="B1015" s="49" t="s">
        <v>1341</v>
      </c>
      <c r="C1015" s="49" t="s">
        <v>1363</v>
      </c>
      <c r="D1015" s="49" t="s">
        <v>1148</v>
      </c>
      <c r="E1015" s="49" t="s">
        <v>1364</v>
      </c>
      <c r="F1015" s="49" t="s">
        <v>1365</v>
      </c>
      <c r="G1015" s="49" t="s">
        <v>772</v>
      </c>
      <c r="H1015" s="49" t="s">
        <v>1132</v>
      </c>
      <c r="I1015" s="49" t="s">
        <v>885</v>
      </c>
    </row>
    <row r="1016" customFormat="false" ht="25.5" hidden="false" customHeight="true" outlineLevel="0" collapsed="false">
      <c r="A1016" s="49" t="s">
        <v>1104</v>
      </c>
      <c r="B1016" s="49" t="s">
        <v>1341</v>
      </c>
      <c r="C1016" s="49" t="s">
        <v>1366</v>
      </c>
      <c r="D1016" s="49" t="s">
        <v>1148</v>
      </c>
      <c r="E1016" s="49" t="s">
        <v>1183</v>
      </c>
      <c r="F1016" s="49" t="s">
        <v>1367</v>
      </c>
      <c r="G1016" s="49" t="s">
        <v>772</v>
      </c>
      <c r="H1016" s="49" t="s">
        <v>1132</v>
      </c>
      <c r="I1016" s="49" t="s">
        <v>885</v>
      </c>
    </row>
    <row r="1017" customFormat="false" ht="25.5" hidden="false" customHeight="true" outlineLevel="0" collapsed="false">
      <c r="A1017" s="49" t="s">
        <v>1104</v>
      </c>
      <c r="B1017" s="49" t="s">
        <v>1341</v>
      </c>
      <c r="C1017" s="49" t="s">
        <v>1368</v>
      </c>
      <c r="D1017" s="49" t="s">
        <v>1218</v>
      </c>
      <c r="E1017" s="49" t="s">
        <v>217</v>
      </c>
      <c r="F1017" s="49" t="s">
        <v>1369</v>
      </c>
      <c r="G1017" s="49" t="s">
        <v>772</v>
      </c>
      <c r="H1017" s="49" t="s">
        <v>1132</v>
      </c>
      <c r="I1017" s="49" t="s">
        <v>885</v>
      </c>
    </row>
    <row r="1018" customFormat="false" ht="25.5" hidden="false" customHeight="true" outlineLevel="0" collapsed="false">
      <c r="A1018" s="49" t="s">
        <v>1104</v>
      </c>
      <c r="B1018" s="49" t="s">
        <v>1341</v>
      </c>
      <c r="C1018" s="49" t="s">
        <v>1370</v>
      </c>
      <c r="D1018" s="49" t="s">
        <v>1208</v>
      </c>
      <c r="E1018" s="49" t="s">
        <v>893</v>
      </c>
      <c r="F1018" s="49" t="s">
        <v>1371</v>
      </c>
      <c r="G1018" s="49" t="s">
        <v>772</v>
      </c>
      <c r="H1018" s="49" t="s">
        <v>1132</v>
      </c>
      <c r="I1018" s="49" t="s">
        <v>885</v>
      </c>
    </row>
    <row r="1019" customFormat="false" ht="25.5" hidden="false" customHeight="true" outlineLevel="0" collapsed="false">
      <c r="A1019" s="49" t="s">
        <v>1104</v>
      </c>
      <c r="B1019" s="49" t="s">
        <v>1341</v>
      </c>
      <c r="C1019" s="49" t="s">
        <v>1372</v>
      </c>
      <c r="D1019" s="49" t="s">
        <v>1199</v>
      </c>
      <c r="E1019" s="49" t="s">
        <v>1135</v>
      </c>
      <c r="F1019" s="49" t="s">
        <v>1373</v>
      </c>
      <c r="G1019" s="49" t="s">
        <v>772</v>
      </c>
      <c r="H1019" s="49" t="s">
        <v>1132</v>
      </c>
      <c r="I1019" s="49" t="s">
        <v>885</v>
      </c>
    </row>
    <row r="1020" customFormat="false" ht="25.5" hidden="false" customHeight="true" outlineLevel="0" collapsed="false">
      <c r="A1020" s="49" t="s">
        <v>1104</v>
      </c>
      <c r="B1020" s="49" t="s">
        <v>1341</v>
      </c>
      <c r="C1020" s="49" t="s">
        <v>1374</v>
      </c>
      <c r="D1020" s="49" t="s">
        <v>1208</v>
      </c>
      <c r="E1020" s="49" t="s">
        <v>1183</v>
      </c>
      <c r="F1020" s="49" t="s">
        <v>1375</v>
      </c>
      <c r="G1020" s="49" t="s">
        <v>772</v>
      </c>
      <c r="H1020" s="49" t="s">
        <v>1132</v>
      </c>
      <c r="I1020" s="49" t="s">
        <v>885</v>
      </c>
    </row>
    <row r="1021" customFormat="false" ht="25.5" hidden="false" customHeight="true" outlineLevel="0" collapsed="false">
      <c r="A1021" s="49" t="s">
        <v>1104</v>
      </c>
      <c r="B1021" s="49" t="s">
        <v>1341</v>
      </c>
      <c r="C1021" s="49" t="s">
        <v>1376</v>
      </c>
      <c r="D1021" s="49" t="s">
        <v>1208</v>
      </c>
      <c r="E1021" s="49" t="s">
        <v>1377</v>
      </c>
      <c r="F1021" s="49" t="s">
        <v>1378</v>
      </c>
      <c r="G1021" s="49" t="s">
        <v>772</v>
      </c>
      <c r="H1021" s="49" t="s">
        <v>1132</v>
      </c>
      <c r="I1021" s="49" t="s">
        <v>885</v>
      </c>
    </row>
    <row r="1022" customFormat="false" ht="25.5" hidden="false" customHeight="true" outlineLevel="0" collapsed="false">
      <c r="A1022" s="49" t="s">
        <v>1104</v>
      </c>
      <c r="B1022" s="49" t="s">
        <v>1341</v>
      </c>
      <c r="C1022" s="49" t="s">
        <v>1379</v>
      </c>
      <c r="D1022" s="49" t="s">
        <v>1199</v>
      </c>
      <c r="E1022" s="49" t="s">
        <v>1183</v>
      </c>
      <c r="F1022" s="49" t="s">
        <v>1380</v>
      </c>
      <c r="G1022" s="49" t="s">
        <v>772</v>
      </c>
      <c r="H1022" s="49" t="s">
        <v>1132</v>
      </c>
      <c r="I1022" s="49" t="s">
        <v>885</v>
      </c>
    </row>
    <row r="1023" customFormat="false" ht="25.5" hidden="false" customHeight="true" outlineLevel="0" collapsed="false">
      <c r="A1023" s="49" t="s">
        <v>1104</v>
      </c>
      <c r="B1023" s="49" t="s">
        <v>1341</v>
      </c>
      <c r="C1023" s="49" t="s">
        <v>1381</v>
      </c>
      <c r="D1023" s="49" t="s">
        <v>1162</v>
      </c>
      <c r="E1023" s="49" t="s">
        <v>1382</v>
      </c>
      <c r="F1023" s="49" t="s">
        <v>1383</v>
      </c>
      <c r="G1023" s="49" t="s">
        <v>772</v>
      </c>
      <c r="H1023" s="49" t="s">
        <v>1132</v>
      </c>
      <c r="I1023" s="49" t="s">
        <v>885</v>
      </c>
    </row>
    <row r="1024" customFormat="false" ht="25.5" hidden="false" customHeight="true" outlineLevel="0" collapsed="false">
      <c r="A1024" s="49" t="s">
        <v>1104</v>
      </c>
      <c r="B1024" s="49" t="s">
        <v>1341</v>
      </c>
      <c r="C1024" s="49" t="s">
        <v>1384</v>
      </c>
      <c r="D1024" s="49" t="s">
        <v>1292</v>
      </c>
      <c r="E1024" s="49" t="s">
        <v>1189</v>
      </c>
      <c r="F1024" s="49" t="s">
        <v>1385</v>
      </c>
      <c r="G1024" s="49" t="s">
        <v>772</v>
      </c>
      <c r="H1024" s="49" t="s">
        <v>1132</v>
      </c>
      <c r="I1024" s="49" t="s">
        <v>885</v>
      </c>
    </row>
    <row r="1025" customFormat="false" ht="25.5" hidden="false" customHeight="true" outlineLevel="0" collapsed="false">
      <c r="A1025" s="49" t="s">
        <v>1104</v>
      </c>
      <c r="B1025" s="49" t="s">
        <v>1341</v>
      </c>
      <c r="C1025" s="49" t="s">
        <v>1386</v>
      </c>
      <c r="D1025" s="49" t="s">
        <v>1156</v>
      </c>
      <c r="E1025" s="49" t="s">
        <v>1183</v>
      </c>
      <c r="F1025" s="49" t="s">
        <v>1387</v>
      </c>
      <c r="G1025" s="49" t="s">
        <v>772</v>
      </c>
      <c r="H1025" s="49" t="s">
        <v>1132</v>
      </c>
      <c r="I1025" s="49" t="s">
        <v>885</v>
      </c>
    </row>
    <row r="1026" customFormat="false" ht="25.5" hidden="false" customHeight="true" outlineLevel="0" collapsed="false">
      <c r="A1026" s="49" t="s">
        <v>1104</v>
      </c>
      <c r="B1026" s="49" t="s">
        <v>1341</v>
      </c>
      <c r="C1026" s="49" t="s">
        <v>1388</v>
      </c>
      <c r="D1026" s="49" t="s">
        <v>1162</v>
      </c>
      <c r="E1026" s="49" t="s">
        <v>1163</v>
      </c>
      <c r="F1026" s="49" t="s">
        <v>1389</v>
      </c>
      <c r="G1026" s="49" t="s">
        <v>772</v>
      </c>
      <c r="H1026" s="49" t="s">
        <v>1132</v>
      </c>
      <c r="I1026" s="49" t="s">
        <v>885</v>
      </c>
    </row>
    <row r="1027" customFormat="false" ht="25.5" hidden="false" customHeight="true" outlineLevel="0" collapsed="false">
      <c r="A1027" s="49" t="s">
        <v>1104</v>
      </c>
      <c r="B1027" s="49" t="s">
        <v>1341</v>
      </c>
      <c r="C1027" s="49" t="s">
        <v>1390</v>
      </c>
      <c r="D1027" s="49" t="s">
        <v>1162</v>
      </c>
      <c r="E1027" s="49" t="s">
        <v>1163</v>
      </c>
      <c r="F1027" s="49" t="s">
        <v>1391</v>
      </c>
      <c r="G1027" s="49" t="s">
        <v>772</v>
      </c>
      <c r="H1027" s="49" t="s">
        <v>1132</v>
      </c>
      <c r="I1027" s="49" t="s">
        <v>885</v>
      </c>
    </row>
    <row r="1028" customFormat="false" ht="25.5" hidden="false" customHeight="true" outlineLevel="0" collapsed="false">
      <c r="A1028" s="49" t="s">
        <v>1104</v>
      </c>
      <c r="B1028" s="49" t="s">
        <v>1341</v>
      </c>
      <c r="C1028" s="49" t="s">
        <v>1392</v>
      </c>
      <c r="D1028" s="49" t="s">
        <v>1162</v>
      </c>
      <c r="E1028" s="49" t="s">
        <v>1163</v>
      </c>
      <c r="F1028" s="49" t="s">
        <v>952</v>
      </c>
      <c r="G1028" s="49" t="s">
        <v>772</v>
      </c>
      <c r="H1028" s="49" t="s">
        <v>1132</v>
      </c>
      <c r="I1028" s="49" t="s">
        <v>885</v>
      </c>
    </row>
    <row r="1029" customFormat="false" ht="25.5" hidden="false" customHeight="true" outlineLevel="0" collapsed="false">
      <c r="A1029" s="49" t="s">
        <v>1104</v>
      </c>
      <c r="B1029" s="49" t="s">
        <v>1341</v>
      </c>
      <c r="C1029" s="49" t="s">
        <v>1372</v>
      </c>
      <c r="D1029" s="49" t="s">
        <v>1199</v>
      </c>
      <c r="E1029" s="49" t="s">
        <v>217</v>
      </c>
      <c r="F1029" s="49" t="s">
        <v>1393</v>
      </c>
      <c r="G1029" s="49" t="s">
        <v>772</v>
      </c>
      <c r="H1029" s="49" t="s">
        <v>1132</v>
      </c>
      <c r="I1029" s="49" t="s">
        <v>885</v>
      </c>
    </row>
    <row r="1030" customFormat="false" ht="25.5" hidden="false" customHeight="true" outlineLevel="0" collapsed="false">
      <c r="A1030" s="49" t="s">
        <v>1104</v>
      </c>
      <c r="B1030" s="49" t="s">
        <v>1341</v>
      </c>
      <c r="C1030" s="49" t="s">
        <v>1394</v>
      </c>
      <c r="D1030" s="49" t="s">
        <v>1129</v>
      </c>
      <c r="E1030" s="49" t="s">
        <v>1395</v>
      </c>
      <c r="F1030" s="49" t="s">
        <v>1396</v>
      </c>
      <c r="G1030" s="49" t="s">
        <v>772</v>
      </c>
      <c r="H1030" s="49" t="s">
        <v>1132</v>
      </c>
      <c r="I1030" s="49" t="s">
        <v>885</v>
      </c>
    </row>
    <row r="1031" customFormat="false" ht="25.5" hidden="false" customHeight="true" outlineLevel="0" collapsed="false">
      <c r="A1031" s="49" t="s">
        <v>1104</v>
      </c>
      <c r="B1031" s="49" t="s">
        <v>1341</v>
      </c>
      <c r="C1031" s="49" t="s">
        <v>1397</v>
      </c>
      <c r="D1031" s="49" t="s">
        <v>1148</v>
      </c>
      <c r="E1031" s="49" t="s">
        <v>1395</v>
      </c>
      <c r="F1031" s="49" t="s">
        <v>1398</v>
      </c>
      <c r="G1031" s="49" t="s">
        <v>772</v>
      </c>
      <c r="H1031" s="49" t="s">
        <v>1132</v>
      </c>
      <c r="I1031" s="49" t="s">
        <v>885</v>
      </c>
    </row>
    <row r="1032" customFormat="false" ht="25.5" hidden="false" customHeight="true" outlineLevel="0" collapsed="false">
      <c r="A1032" s="49" t="s">
        <v>1104</v>
      </c>
      <c r="B1032" s="49" t="s">
        <v>1341</v>
      </c>
      <c r="C1032" s="49" t="s">
        <v>1399</v>
      </c>
      <c r="D1032" s="49" t="s">
        <v>1199</v>
      </c>
      <c r="E1032" s="49" t="s">
        <v>217</v>
      </c>
      <c r="F1032" s="49" t="s">
        <v>1400</v>
      </c>
      <c r="G1032" s="49" t="s">
        <v>772</v>
      </c>
      <c r="H1032" s="49" t="s">
        <v>1132</v>
      </c>
      <c r="I1032" s="49" t="s">
        <v>885</v>
      </c>
    </row>
    <row r="1033" customFormat="false" ht="25.5" hidden="false" customHeight="true" outlineLevel="0" collapsed="false">
      <c r="A1033" s="49" t="s">
        <v>1104</v>
      </c>
      <c r="B1033" s="49" t="s">
        <v>1341</v>
      </c>
      <c r="C1033" s="49" t="s">
        <v>1401</v>
      </c>
      <c r="D1033" s="49" t="s">
        <v>1199</v>
      </c>
      <c r="E1033" s="49" t="s">
        <v>146</v>
      </c>
      <c r="F1033" s="49" t="s">
        <v>1402</v>
      </c>
      <c r="G1033" s="49" t="s">
        <v>772</v>
      </c>
      <c r="H1033" s="49" t="s">
        <v>1132</v>
      </c>
      <c r="I1033" s="49" t="s">
        <v>885</v>
      </c>
    </row>
    <row r="1034" customFormat="false" ht="25.5" hidden="false" customHeight="true" outlineLevel="0" collapsed="false">
      <c r="A1034" s="49" t="s">
        <v>1104</v>
      </c>
      <c r="B1034" s="49" t="s">
        <v>1403</v>
      </c>
      <c r="C1034" s="49" t="s">
        <v>1171</v>
      </c>
      <c r="D1034" s="49" t="s">
        <v>1172</v>
      </c>
      <c r="E1034" s="49" t="s">
        <v>1173</v>
      </c>
      <c r="F1034" s="49" t="s">
        <v>1174</v>
      </c>
      <c r="G1034" s="49" t="s">
        <v>772</v>
      </c>
      <c r="H1034" s="49" t="s">
        <v>1132</v>
      </c>
      <c r="I1034" s="49" t="s">
        <v>885</v>
      </c>
    </row>
    <row r="1035" customFormat="false" ht="25.5" hidden="false" customHeight="true" outlineLevel="0" collapsed="false">
      <c r="A1035" s="49" t="s">
        <v>1104</v>
      </c>
      <c r="B1035" s="49" t="s">
        <v>1403</v>
      </c>
      <c r="C1035" s="49" t="s">
        <v>1404</v>
      </c>
      <c r="D1035" s="49" t="s">
        <v>1151</v>
      </c>
      <c r="E1035" s="49" t="s">
        <v>1405</v>
      </c>
      <c r="F1035" s="49" t="s">
        <v>1406</v>
      </c>
      <c r="G1035" s="49" t="s">
        <v>772</v>
      </c>
      <c r="H1035" s="49" t="s">
        <v>1132</v>
      </c>
      <c r="I1035" s="49" t="s">
        <v>885</v>
      </c>
    </row>
    <row r="1036" customFormat="false" ht="25.5" hidden="false" customHeight="true" outlineLevel="0" collapsed="false">
      <c r="A1036" s="49" t="s">
        <v>1104</v>
      </c>
      <c r="B1036" s="49" t="s">
        <v>1403</v>
      </c>
      <c r="C1036" s="49" t="s">
        <v>1407</v>
      </c>
      <c r="D1036" s="49" t="s">
        <v>1141</v>
      </c>
      <c r="E1036" s="49" t="s">
        <v>1183</v>
      </c>
      <c r="F1036" s="49" t="s">
        <v>1408</v>
      </c>
      <c r="G1036" s="49" t="s">
        <v>772</v>
      </c>
      <c r="H1036" s="49" t="s">
        <v>1132</v>
      </c>
      <c r="I1036" s="49" t="s">
        <v>885</v>
      </c>
    </row>
    <row r="1037" customFormat="false" ht="25.5" hidden="false" customHeight="true" outlineLevel="0" collapsed="false">
      <c r="A1037" s="49" t="s">
        <v>1104</v>
      </c>
      <c r="B1037" s="49" t="s">
        <v>1403</v>
      </c>
      <c r="C1037" s="49" t="s">
        <v>1409</v>
      </c>
      <c r="D1037" s="49" t="s">
        <v>1208</v>
      </c>
      <c r="E1037" s="49" t="s">
        <v>1410</v>
      </c>
      <c r="F1037" s="49" t="s">
        <v>1411</v>
      </c>
      <c r="G1037" s="49" t="s">
        <v>772</v>
      </c>
      <c r="H1037" s="49" t="s">
        <v>1132</v>
      </c>
      <c r="I1037" s="49" t="s">
        <v>885</v>
      </c>
    </row>
    <row r="1038" customFormat="false" ht="25.5" hidden="false" customHeight="true" outlineLevel="0" collapsed="false">
      <c r="A1038" s="49" t="s">
        <v>1104</v>
      </c>
      <c r="B1038" s="49" t="s">
        <v>1403</v>
      </c>
      <c r="C1038" s="49" t="s">
        <v>1412</v>
      </c>
      <c r="D1038" s="49" t="s">
        <v>1199</v>
      </c>
      <c r="E1038" s="49" t="s">
        <v>1183</v>
      </c>
      <c r="F1038" s="49" t="s">
        <v>1413</v>
      </c>
      <c r="G1038" s="49" t="s">
        <v>772</v>
      </c>
      <c r="H1038" s="49" t="s">
        <v>1132</v>
      </c>
      <c r="I1038" s="49" t="s">
        <v>885</v>
      </c>
    </row>
    <row r="1039" customFormat="false" ht="25.5" hidden="false" customHeight="true" outlineLevel="0" collapsed="false">
      <c r="A1039" s="49" t="s">
        <v>1104</v>
      </c>
      <c r="B1039" s="49" t="s">
        <v>1403</v>
      </c>
      <c r="C1039" s="49" t="s">
        <v>1414</v>
      </c>
      <c r="D1039" s="49" t="s">
        <v>1156</v>
      </c>
      <c r="E1039" s="49" t="s">
        <v>1183</v>
      </c>
      <c r="F1039" s="49" t="s">
        <v>1415</v>
      </c>
      <c r="G1039" s="49" t="s">
        <v>772</v>
      </c>
      <c r="H1039" s="49" t="s">
        <v>1132</v>
      </c>
      <c r="I1039" s="49" t="s">
        <v>885</v>
      </c>
    </row>
    <row r="1040" customFormat="false" ht="25.5" hidden="false" customHeight="true" outlineLevel="0" collapsed="false">
      <c r="A1040" s="49" t="s">
        <v>1104</v>
      </c>
      <c r="B1040" s="49" t="s">
        <v>1403</v>
      </c>
      <c r="C1040" s="49" t="s">
        <v>1416</v>
      </c>
      <c r="D1040" s="49" t="s">
        <v>1134</v>
      </c>
      <c r="E1040" s="49" t="s">
        <v>1226</v>
      </c>
      <c r="F1040" s="49" t="s">
        <v>1417</v>
      </c>
      <c r="G1040" s="49" t="s">
        <v>772</v>
      </c>
      <c r="H1040" s="49" t="s">
        <v>1132</v>
      </c>
      <c r="I1040" s="49" t="s">
        <v>885</v>
      </c>
    </row>
    <row r="1041" customFormat="false" ht="25.5" hidden="false" customHeight="true" outlineLevel="0" collapsed="false">
      <c r="A1041" s="49" t="s">
        <v>1104</v>
      </c>
      <c r="B1041" s="49" t="s">
        <v>1403</v>
      </c>
      <c r="C1041" s="49" t="s">
        <v>1418</v>
      </c>
      <c r="D1041" s="49" t="s">
        <v>1129</v>
      </c>
      <c r="E1041" s="49" t="s">
        <v>1183</v>
      </c>
      <c r="F1041" s="49" t="s">
        <v>1419</v>
      </c>
      <c r="G1041" s="49" t="s">
        <v>772</v>
      </c>
      <c r="H1041" s="49" t="s">
        <v>1132</v>
      </c>
      <c r="I1041" s="49" t="s">
        <v>885</v>
      </c>
    </row>
    <row r="1042" customFormat="false" ht="25.5" hidden="false" customHeight="true" outlineLevel="0" collapsed="false">
      <c r="A1042" s="49" t="s">
        <v>1104</v>
      </c>
      <c r="B1042" s="49" t="s">
        <v>1403</v>
      </c>
      <c r="C1042" s="49" t="s">
        <v>1420</v>
      </c>
      <c r="D1042" s="49" t="s">
        <v>1129</v>
      </c>
      <c r="E1042" s="49" t="s">
        <v>146</v>
      </c>
      <c r="F1042" s="49" t="s">
        <v>1421</v>
      </c>
      <c r="G1042" s="49" t="s">
        <v>772</v>
      </c>
      <c r="H1042" s="49" t="s">
        <v>1132</v>
      </c>
      <c r="I1042" s="49" t="s">
        <v>885</v>
      </c>
    </row>
    <row r="1043" customFormat="false" ht="25.5" hidden="false" customHeight="true" outlineLevel="0" collapsed="false">
      <c r="A1043" s="49" t="s">
        <v>1104</v>
      </c>
      <c r="B1043" s="49" t="s">
        <v>1403</v>
      </c>
      <c r="C1043" s="49" t="s">
        <v>1422</v>
      </c>
      <c r="D1043" s="49" t="s">
        <v>1292</v>
      </c>
      <c r="E1043" s="49" t="s">
        <v>1135</v>
      </c>
      <c r="F1043" s="49" t="s">
        <v>1423</v>
      </c>
      <c r="G1043" s="49" t="s">
        <v>772</v>
      </c>
      <c r="H1043" s="49" t="s">
        <v>1132</v>
      </c>
      <c r="I1043" s="49" t="s">
        <v>885</v>
      </c>
    </row>
    <row r="1044" customFormat="false" ht="25.5" hidden="false" customHeight="true" outlineLevel="0" collapsed="false">
      <c r="A1044" s="49" t="s">
        <v>1104</v>
      </c>
      <c r="B1044" s="49" t="s">
        <v>1403</v>
      </c>
      <c r="C1044" s="49" t="s">
        <v>1424</v>
      </c>
      <c r="D1044" s="49" t="s">
        <v>1148</v>
      </c>
      <c r="E1044" s="49" t="s">
        <v>1135</v>
      </c>
      <c r="F1044" s="49" t="s">
        <v>1423</v>
      </c>
      <c r="G1044" s="49" t="s">
        <v>772</v>
      </c>
      <c r="H1044" s="49" t="s">
        <v>1132</v>
      </c>
      <c r="I1044" s="49" t="s">
        <v>885</v>
      </c>
    </row>
    <row r="1045" customFormat="false" ht="25.5" hidden="false" customHeight="true" outlineLevel="0" collapsed="false">
      <c r="A1045" s="49" t="s">
        <v>1104</v>
      </c>
      <c r="B1045" s="49" t="s">
        <v>1403</v>
      </c>
      <c r="C1045" s="49" t="s">
        <v>1425</v>
      </c>
      <c r="D1045" s="49" t="s">
        <v>1199</v>
      </c>
      <c r="E1045" s="49" t="s">
        <v>1183</v>
      </c>
      <c r="F1045" s="49" t="s">
        <v>1415</v>
      </c>
      <c r="G1045" s="49" t="s">
        <v>772</v>
      </c>
      <c r="H1045" s="49" t="s">
        <v>1132</v>
      </c>
      <c r="I1045" s="49" t="s">
        <v>885</v>
      </c>
    </row>
    <row r="1046" customFormat="false" ht="25.5" hidden="false" customHeight="true" outlineLevel="0" collapsed="false">
      <c r="A1046" s="49" t="s">
        <v>1104</v>
      </c>
      <c r="B1046" s="49" t="s">
        <v>1403</v>
      </c>
      <c r="C1046" s="49" t="s">
        <v>1426</v>
      </c>
      <c r="D1046" s="49" t="s">
        <v>1208</v>
      </c>
      <c r="E1046" s="49" t="s">
        <v>1427</v>
      </c>
      <c r="F1046" s="49" t="s">
        <v>1428</v>
      </c>
      <c r="G1046" s="49" t="s">
        <v>772</v>
      </c>
      <c r="H1046" s="49" t="s">
        <v>1132</v>
      </c>
      <c r="I1046" s="49" t="s">
        <v>885</v>
      </c>
    </row>
    <row r="1047" customFormat="false" ht="25.5" hidden="false" customHeight="true" outlineLevel="0" collapsed="false">
      <c r="A1047" s="49" t="s">
        <v>1104</v>
      </c>
      <c r="B1047" s="49" t="s">
        <v>1403</v>
      </c>
      <c r="C1047" s="49" t="s">
        <v>1429</v>
      </c>
      <c r="D1047" s="49" t="s">
        <v>1129</v>
      </c>
      <c r="E1047" s="49" t="s">
        <v>1223</v>
      </c>
      <c r="F1047" s="49" t="s">
        <v>1430</v>
      </c>
      <c r="G1047" s="49" t="s">
        <v>772</v>
      </c>
      <c r="H1047" s="49" t="s">
        <v>1132</v>
      </c>
      <c r="I1047" s="49" t="s">
        <v>885</v>
      </c>
    </row>
    <row r="1048" customFormat="false" ht="25.5" hidden="false" customHeight="true" outlineLevel="0" collapsed="false">
      <c r="A1048" s="49" t="s">
        <v>1104</v>
      </c>
      <c r="B1048" s="49" t="s">
        <v>1403</v>
      </c>
      <c r="C1048" s="49" t="s">
        <v>1431</v>
      </c>
      <c r="D1048" s="49" t="s">
        <v>1208</v>
      </c>
      <c r="E1048" s="49" t="s">
        <v>1432</v>
      </c>
      <c r="F1048" s="49" t="s">
        <v>1433</v>
      </c>
      <c r="G1048" s="49" t="s">
        <v>772</v>
      </c>
      <c r="H1048" s="49" t="s">
        <v>1132</v>
      </c>
      <c r="I1048" s="49" t="s">
        <v>885</v>
      </c>
    </row>
    <row r="1049" customFormat="false" ht="25.5" hidden="false" customHeight="true" outlineLevel="0" collapsed="false">
      <c r="A1049" s="49" t="s">
        <v>1104</v>
      </c>
      <c r="B1049" s="49" t="s">
        <v>1403</v>
      </c>
      <c r="C1049" s="49" t="s">
        <v>1434</v>
      </c>
      <c r="D1049" s="49" t="s">
        <v>1162</v>
      </c>
      <c r="E1049" s="49" t="s">
        <v>1163</v>
      </c>
      <c r="F1049" s="49" t="s">
        <v>1435</v>
      </c>
      <c r="G1049" s="49" t="s">
        <v>772</v>
      </c>
      <c r="H1049" s="49" t="s">
        <v>1132</v>
      </c>
      <c r="I1049" s="49" t="s">
        <v>885</v>
      </c>
    </row>
    <row r="1050" customFormat="false" ht="25.5" hidden="false" customHeight="true" outlineLevel="0" collapsed="false">
      <c r="A1050" s="49" t="s">
        <v>1104</v>
      </c>
      <c r="B1050" s="49" t="s">
        <v>1403</v>
      </c>
      <c r="C1050" s="49" t="s">
        <v>1436</v>
      </c>
      <c r="D1050" s="49" t="s">
        <v>1199</v>
      </c>
      <c r="E1050" s="49" t="s">
        <v>146</v>
      </c>
      <c r="F1050" s="49" t="s">
        <v>1437</v>
      </c>
      <c r="G1050" s="49" t="s">
        <v>772</v>
      </c>
      <c r="H1050" s="49" t="s">
        <v>1132</v>
      </c>
      <c r="I1050" s="49" t="s">
        <v>885</v>
      </c>
    </row>
    <row r="1051" customFormat="false" ht="25.5" hidden="false" customHeight="true" outlineLevel="0" collapsed="false">
      <c r="A1051" s="49" t="s">
        <v>1104</v>
      </c>
      <c r="B1051" s="49" t="s">
        <v>1403</v>
      </c>
      <c r="C1051" s="49" t="s">
        <v>1438</v>
      </c>
      <c r="D1051" s="49" t="s">
        <v>1151</v>
      </c>
      <c r="E1051" s="49" t="s">
        <v>1183</v>
      </c>
      <c r="F1051" s="49" t="s">
        <v>1439</v>
      </c>
      <c r="G1051" s="49" t="s">
        <v>772</v>
      </c>
      <c r="H1051" s="49" t="s">
        <v>1132</v>
      </c>
      <c r="I1051" s="49" t="s">
        <v>885</v>
      </c>
    </row>
    <row r="1052" customFormat="false" ht="25.5" hidden="false" customHeight="true" outlineLevel="0" collapsed="false">
      <c r="A1052" s="49" t="s">
        <v>1104</v>
      </c>
      <c r="B1052" s="49" t="s">
        <v>1403</v>
      </c>
      <c r="C1052" s="49" t="s">
        <v>1440</v>
      </c>
      <c r="D1052" s="49" t="s">
        <v>1134</v>
      </c>
      <c r="E1052" s="49" t="s">
        <v>217</v>
      </c>
      <c r="F1052" s="49" t="s">
        <v>1441</v>
      </c>
      <c r="G1052" s="49" t="s">
        <v>772</v>
      </c>
      <c r="H1052" s="49" t="s">
        <v>1132</v>
      </c>
      <c r="I1052" s="49" t="s">
        <v>885</v>
      </c>
    </row>
    <row r="1053" customFormat="false" ht="25.5" hidden="false" customHeight="true" outlineLevel="0" collapsed="false">
      <c r="A1053" s="49" t="s">
        <v>1104</v>
      </c>
      <c r="B1053" s="49" t="s">
        <v>1403</v>
      </c>
      <c r="C1053" s="49" t="s">
        <v>1442</v>
      </c>
      <c r="D1053" s="49" t="s">
        <v>1151</v>
      </c>
      <c r="E1053" s="49" t="s">
        <v>1443</v>
      </c>
      <c r="F1053" s="49" t="s">
        <v>1444</v>
      </c>
      <c r="G1053" s="49" t="s">
        <v>772</v>
      </c>
      <c r="H1053" s="49" t="s">
        <v>1132</v>
      </c>
      <c r="I1053" s="49" t="s">
        <v>885</v>
      </c>
    </row>
    <row r="1054" customFormat="false" ht="25.5" hidden="false" customHeight="true" outlineLevel="0" collapsed="false">
      <c r="A1054" s="49" t="s">
        <v>1104</v>
      </c>
      <c r="B1054" s="49" t="s">
        <v>1403</v>
      </c>
      <c r="C1054" s="49" t="s">
        <v>1445</v>
      </c>
      <c r="D1054" s="49" t="s">
        <v>1199</v>
      </c>
      <c r="E1054" s="49" t="s">
        <v>1183</v>
      </c>
      <c r="F1054" s="49" t="s">
        <v>1446</v>
      </c>
      <c r="G1054" s="49" t="s">
        <v>772</v>
      </c>
      <c r="H1054" s="49" t="s">
        <v>1132</v>
      </c>
      <c r="I1054" s="49" t="s">
        <v>885</v>
      </c>
    </row>
    <row r="1055" customFormat="false" ht="25.5" hidden="false" customHeight="true" outlineLevel="0" collapsed="false">
      <c r="A1055" s="49" t="s">
        <v>1104</v>
      </c>
      <c r="B1055" s="49" t="s">
        <v>1447</v>
      </c>
      <c r="C1055" s="49" t="s">
        <v>1171</v>
      </c>
      <c r="D1055" s="49" t="s">
        <v>1172</v>
      </c>
      <c r="E1055" s="49" t="s">
        <v>1173</v>
      </c>
      <c r="F1055" s="49" t="s">
        <v>1174</v>
      </c>
      <c r="G1055" s="49" t="s">
        <v>772</v>
      </c>
      <c r="H1055" s="49" t="s">
        <v>1132</v>
      </c>
      <c r="I1055" s="49" t="s">
        <v>885</v>
      </c>
    </row>
    <row r="1056" customFormat="false" ht="25.5" hidden="false" customHeight="true" outlineLevel="0" collapsed="false">
      <c r="A1056" s="49" t="s">
        <v>1104</v>
      </c>
      <c r="B1056" s="49" t="s">
        <v>1447</v>
      </c>
      <c r="C1056" s="49" t="s">
        <v>1448</v>
      </c>
      <c r="D1056" s="49" t="s">
        <v>1141</v>
      </c>
      <c r="E1056" s="49" t="s">
        <v>1449</v>
      </c>
      <c r="F1056" s="49" t="s">
        <v>1450</v>
      </c>
      <c r="G1056" s="49" t="s">
        <v>772</v>
      </c>
      <c r="H1056" s="49" t="s">
        <v>1132</v>
      </c>
      <c r="I1056" s="49" t="s">
        <v>885</v>
      </c>
    </row>
    <row r="1057" customFormat="false" ht="25.5" hidden="false" customHeight="true" outlineLevel="0" collapsed="false">
      <c r="A1057" s="49" t="s">
        <v>1104</v>
      </c>
      <c r="B1057" s="49" t="s">
        <v>1447</v>
      </c>
      <c r="C1057" s="49" t="s">
        <v>1451</v>
      </c>
      <c r="D1057" s="49" t="s">
        <v>1129</v>
      </c>
      <c r="E1057" s="49" t="s">
        <v>1452</v>
      </c>
      <c r="F1057" s="49" t="s">
        <v>1453</v>
      </c>
      <c r="G1057" s="49" t="s">
        <v>772</v>
      </c>
      <c r="H1057" s="49" t="s">
        <v>1132</v>
      </c>
      <c r="I1057" s="49" t="s">
        <v>885</v>
      </c>
    </row>
    <row r="1058" customFormat="false" ht="25.5" hidden="false" customHeight="true" outlineLevel="0" collapsed="false">
      <c r="A1058" s="49" t="s">
        <v>1104</v>
      </c>
      <c r="B1058" s="49" t="s">
        <v>1447</v>
      </c>
      <c r="C1058" s="49" t="s">
        <v>1454</v>
      </c>
      <c r="D1058" s="49" t="s">
        <v>1156</v>
      </c>
      <c r="E1058" s="49" t="s">
        <v>1455</v>
      </c>
      <c r="F1058" s="49" t="s">
        <v>1456</v>
      </c>
      <c r="G1058" s="49" t="s">
        <v>772</v>
      </c>
      <c r="H1058" s="49" t="s">
        <v>1132</v>
      </c>
      <c r="I1058" s="49" t="s">
        <v>885</v>
      </c>
    </row>
    <row r="1059" customFormat="false" ht="25.5" hidden="false" customHeight="true" outlineLevel="0" collapsed="false">
      <c r="A1059" s="49" t="s">
        <v>1104</v>
      </c>
      <c r="B1059" s="49" t="s">
        <v>1447</v>
      </c>
      <c r="C1059" s="49" t="s">
        <v>1457</v>
      </c>
      <c r="D1059" s="49" t="s">
        <v>1156</v>
      </c>
      <c r="E1059" s="49" t="s">
        <v>1455</v>
      </c>
      <c r="F1059" s="49" t="s">
        <v>1456</v>
      </c>
      <c r="G1059" s="49" t="s">
        <v>772</v>
      </c>
      <c r="H1059" s="49" t="s">
        <v>1132</v>
      </c>
      <c r="I1059" s="49" t="s">
        <v>885</v>
      </c>
    </row>
    <row r="1060" customFormat="false" ht="25.5" hidden="false" customHeight="true" outlineLevel="0" collapsed="false">
      <c r="A1060" s="49" t="s">
        <v>1104</v>
      </c>
      <c r="B1060" s="49" t="s">
        <v>1447</v>
      </c>
      <c r="C1060" s="49" t="s">
        <v>1458</v>
      </c>
      <c r="D1060" s="49" t="s">
        <v>1208</v>
      </c>
      <c r="E1060" s="49" t="s">
        <v>1183</v>
      </c>
      <c r="F1060" s="49" t="s">
        <v>1459</v>
      </c>
      <c r="G1060" s="49" t="s">
        <v>772</v>
      </c>
      <c r="H1060" s="49" t="s">
        <v>1132</v>
      </c>
      <c r="I1060" s="49" t="s">
        <v>885</v>
      </c>
    </row>
    <row r="1061" customFormat="false" ht="25.5" hidden="false" customHeight="true" outlineLevel="0" collapsed="false">
      <c r="A1061" s="49" t="s">
        <v>1104</v>
      </c>
      <c r="B1061" s="49" t="s">
        <v>1447</v>
      </c>
      <c r="C1061" s="49" t="s">
        <v>1460</v>
      </c>
      <c r="D1061" s="49" t="s">
        <v>1141</v>
      </c>
      <c r="E1061" s="49" t="s">
        <v>1183</v>
      </c>
      <c r="F1061" s="49" t="s">
        <v>1461</v>
      </c>
      <c r="G1061" s="49" t="s">
        <v>772</v>
      </c>
      <c r="H1061" s="49" t="s">
        <v>1132</v>
      </c>
      <c r="I1061" s="49" t="s">
        <v>885</v>
      </c>
    </row>
    <row r="1062" customFormat="false" ht="25.5" hidden="false" customHeight="true" outlineLevel="0" collapsed="false">
      <c r="A1062" s="49" t="s">
        <v>1104</v>
      </c>
      <c r="B1062" s="49" t="s">
        <v>1447</v>
      </c>
      <c r="C1062" s="49" t="s">
        <v>1462</v>
      </c>
      <c r="D1062" s="49" t="s">
        <v>1156</v>
      </c>
      <c r="E1062" s="49" t="s">
        <v>1183</v>
      </c>
      <c r="F1062" s="49" t="s">
        <v>1463</v>
      </c>
      <c r="G1062" s="49" t="s">
        <v>772</v>
      </c>
      <c r="H1062" s="49" t="s">
        <v>1132</v>
      </c>
      <c r="I1062" s="49" t="s">
        <v>885</v>
      </c>
    </row>
    <row r="1063" customFormat="false" ht="25.5" hidden="false" customHeight="true" outlineLevel="0" collapsed="false">
      <c r="A1063" s="49" t="s">
        <v>1104</v>
      </c>
      <c r="B1063" s="49" t="s">
        <v>1447</v>
      </c>
      <c r="C1063" s="49" t="s">
        <v>1464</v>
      </c>
      <c r="D1063" s="49" t="s">
        <v>1218</v>
      </c>
      <c r="E1063" s="49" t="s">
        <v>1183</v>
      </c>
      <c r="F1063" s="49" t="s">
        <v>1465</v>
      </c>
      <c r="G1063" s="49" t="s">
        <v>772</v>
      </c>
      <c r="H1063" s="49" t="s">
        <v>1132</v>
      </c>
      <c r="I1063" s="49" t="s">
        <v>885</v>
      </c>
    </row>
    <row r="1064" customFormat="false" ht="25.5" hidden="false" customHeight="true" outlineLevel="0" collapsed="false">
      <c r="A1064" s="49" t="s">
        <v>1104</v>
      </c>
      <c r="B1064" s="49" t="s">
        <v>1447</v>
      </c>
      <c r="C1064" s="49" t="s">
        <v>1466</v>
      </c>
      <c r="D1064" s="49" t="s">
        <v>1141</v>
      </c>
      <c r="E1064" s="49" t="s">
        <v>1183</v>
      </c>
      <c r="F1064" s="49" t="s">
        <v>1467</v>
      </c>
      <c r="G1064" s="49" t="s">
        <v>772</v>
      </c>
      <c r="H1064" s="49" t="s">
        <v>1132</v>
      </c>
      <c r="I1064" s="49" t="s">
        <v>885</v>
      </c>
    </row>
    <row r="1065" customFormat="false" ht="25.5" hidden="false" customHeight="true" outlineLevel="0" collapsed="false">
      <c r="A1065" s="49" t="s">
        <v>1104</v>
      </c>
      <c r="B1065" s="49" t="s">
        <v>1447</v>
      </c>
      <c r="C1065" s="49" t="s">
        <v>1468</v>
      </c>
      <c r="D1065" s="49" t="s">
        <v>1292</v>
      </c>
      <c r="E1065" s="49" t="s">
        <v>1183</v>
      </c>
      <c r="F1065" s="49" t="s">
        <v>1469</v>
      </c>
      <c r="G1065" s="49" t="s">
        <v>772</v>
      </c>
      <c r="H1065" s="49" t="s">
        <v>1132</v>
      </c>
      <c r="I1065" s="49" t="s">
        <v>885</v>
      </c>
    </row>
    <row r="1066" customFormat="false" ht="25.5" hidden="false" customHeight="true" outlineLevel="0" collapsed="false">
      <c r="A1066" s="49" t="s">
        <v>1104</v>
      </c>
      <c r="B1066" s="49" t="s">
        <v>1447</v>
      </c>
      <c r="C1066" s="49" t="s">
        <v>1470</v>
      </c>
      <c r="D1066" s="49" t="s">
        <v>1218</v>
      </c>
      <c r="E1066" s="49" t="s">
        <v>1183</v>
      </c>
      <c r="F1066" s="49" t="s">
        <v>1471</v>
      </c>
      <c r="G1066" s="49" t="s">
        <v>772</v>
      </c>
      <c r="H1066" s="49" t="s">
        <v>1132</v>
      </c>
      <c r="I1066" s="49" t="s">
        <v>885</v>
      </c>
    </row>
    <row r="1067" customFormat="false" ht="25.5" hidden="false" customHeight="true" outlineLevel="0" collapsed="false">
      <c r="A1067" s="49" t="s">
        <v>1104</v>
      </c>
      <c r="B1067" s="49" t="s">
        <v>1447</v>
      </c>
      <c r="C1067" s="49" t="s">
        <v>1472</v>
      </c>
      <c r="D1067" s="49" t="s">
        <v>1134</v>
      </c>
      <c r="E1067" s="49" t="s">
        <v>1405</v>
      </c>
      <c r="F1067" s="49" t="s">
        <v>1473</v>
      </c>
      <c r="G1067" s="49" t="s">
        <v>772</v>
      </c>
      <c r="H1067" s="49" t="s">
        <v>1132</v>
      </c>
      <c r="I1067" s="49" t="s">
        <v>885</v>
      </c>
    </row>
    <row r="1068" customFormat="false" ht="25.5" hidden="false" customHeight="true" outlineLevel="0" collapsed="false">
      <c r="A1068" s="49" t="s">
        <v>1104</v>
      </c>
      <c r="B1068" s="49" t="s">
        <v>1447</v>
      </c>
      <c r="C1068" s="49" t="s">
        <v>1474</v>
      </c>
      <c r="D1068" s="49" t="s">
        <v>1208</v>
      </c>
      <c r="E1068" s="49" t="s">
        <v>1475</v>
      </c>
      <c r="F1068" s="49" t="s">
        <v>1476</v>
      </c>
      <c r="G1068" s="49" t="s">
        <v>772</v>
      </c>
      <c r="H1068" s="49" t="s">
        <v>1132</v>
      </c>
      <c r="I1068" s="49" t="s">
        <v>885</v>
      </c>
    </row>
    <row r="1069" customFormat="false" ht="25.5" hidden="false" customHeight="true" outlineLevel="0" collapsed="false">
      <c r="A1069" s="49" t="s">
        <v>1104</v>
      </c>
      <c r="B1069" s="49" t="s">
        <v>1447</v>
      </c>
      <c r="C1069" s="49" t="s">
        <v>1477</v>
      </c>
      <c r="D1069" s="49" t="s">
        <v>1162</v>
      </c>
      <c r="E1069" s="49" t="s">
        <v>1478</v>
      </c>
      <c r="F1069" s="49" t="s">
        <v>1479</v>
      </c>
      <c r="G1069" s="49" t="s">
        <v>772</v>
      </c>
      <c r="H1069" s="49" t="s">
        <v>1132</v>
      </c>
      <c r="I1069" s="49" t="s">
        <v>885</v>
      </c>
    </row>
    <row r="1070" customFormat="false" ht="25.5" hidden="false" customHeight="true" outlineLevel="0" collapsed="false">
      <c r="A1070" s="49" t="s">
        <v>1104</v>
      </c>
      <c r="B1070" s="49" t="s">
        <v>1447</v>
      </c>
      <c r="C1070" s="49" t="s">
        <v>1480</v>
      </c>
      <c r="D1070" s="49" t="s">
        <v>1199</v>
      </c>
      <c r="E1070" s="49" t="s">
        <v>1135</v>
      </c>
      <c r="F1070" s="49" t="s">
        <v>1473</v>
      </c>
      <c r="G1070" s="49" t="s">
        <v>772</v>
      </c>
      <c r="H1070" s="49" t="s">
        <v>1132</v>
      </c>
      <c r="I1070" s="49" t="s">
        <v>885</v>
      </c>
    </row>
    <row r="1071" customFormat="false" ht="25.5" hidden="false" customHeight="true" outlineLevel="0" collapsed="false">
      <c r="A1071" s="49" t="s">
        <v>1104</v>
      </c>
      <c r="B1071" s="49" t="s">
        <v>1447</v>
      </c>
      <c r="C1071" s="49" t="s">
        <v>1481</v>
      </c>
      <c r="D1071" s="49" t="s">
        <v>1292</v>
      </c>
      <c r="E1071" s="49" t="s">
        <v>1135</v>
      </c>
      <c r="F1071" s="49" t="s">
        <v>1473</v>
      </c>
      <c r="G1071" s="49" t="s">
        <v>772</v>
      </c>
      <c r="H1071" s="49" t="s">
        <v>1132</v>
      </c>
      <c r="I1071" s="49" t="s">
        <v>885</v>
      </c>
    </row>
    <row r="1072" customFormat="false" ht="25.5" hidden="false" customHeight="true" outlineLevel="0" collapsed="false">
      <c r="A1072" s="49" t="s">
        <v>1104</v>
      </c>
      <c r="B1072" s="49" t="s">
        <v>1447</v>
      </c>
      <c r="C1072" s="49" t="s">
        <v>1482</v>
      </c>
      <c r="D1072" s="49" t="s">
        <v>1199</v>
      </c>
      <c r="E1072" s="49" t="s">
        <v>1483</v>
      </c>
      <c r="F1072" s="49" t="s">
        <v>1484</v>
      </c>
      <c r="G1072" s="49" t="s">
        <v>772</v>
      </c>
      <c r="H1072" s="49" t="s">
        <v>1132</v>
      </c>
      <c r="I1072" s="49" t="s">
        <v>885</v>
      </c>
    </row>
    <row r="1073" customFormat="false" ht="25.5" hidden="false" customHeight="true" outlineLevel="0" collapsed="false">
      <c r="A1073" s="49" t="s">
        <v>1104</v>
      </c>
      <c r="B1073" s="49" t="s">
        <v>1447</v>
      </c>
      <c r="C1073" s="49" t="s">
        <v>1485</v>
      </c>
      <c r="D1073" s="49" t="s">
        <v>1151</v>
      </c>
      <c r="E1073" s="49" t="s">
        <v>1135</v>
      </c>
      <c r="F1073" s="49" t="s">
        <v>1473</v>
      </c>
      <c r="G1073" s="49" t="s">
        <v>772</v>
      </c>
      <c r="H1073" s="49" t="s">
        <v>1132</v>
      </c>
      <c r="I1073" s="49" t="s">
        <v>885</v>
      </c>
    </row>
    <row r="1074" customFormat="false" ht="25.5" hidden="false" customHeight="true" outlineLevel="0" collapsed="false">
      <c r="A1074" s="49" t="s">
        <v>1104</v>
      </c>
      <c r="B1074" s="49" t="s">
        <v>1447</v>
      </c>
      <c r="C1074" s="49" t="s">
        <v>1486</v>
      </c>
      <c r="D1074" s="49" t="s">
        <v>1199</v>
      </c>
      <c r="E1074" s="49" t="s">
        <v>1135</v>
      </c>
      <c r="F1074" s="49" t="s">
        <v>1473</v>
      </c>
      <c r="G1074" s="49" t="s">
        <v>772</v>
      </c>
      <c r="H1074" s="49" t="s">
        <v>1132</v>
      </c>
      <c r="I1074" s="49" t="s">
        <v>885</v>
      </c>
    </row>
    <row r="1075" customFormat="false" ht="25.5" hidden="false" customHeight="true" outlineLevel="0" collapsed="false">
      <c r="A1075" s="49" t="s">
        <v>1104</v>
      </c>
      <c r="B1075" s="49" t="s">
        <v>1447</v>
      </c>
      <c r="C1075" s="49" t="s">
        <v>1487</v>
      </c>
      <c r="D1075" s="49" t="s">
        <v>1148</v>
      </c>
      <c r="E1075" s="49" t="s">
        <v>1135</v>
      </c>
      <c r="F1075" s="49" t="s">
        <v>1473</v>
      </c>
      <c r="G1075" s="49" t="s">
        <v>772</v>
      </c>
      <c r="H1075" s="49" t="s">
        <v>1132</v>
      </c>
      <c r="I1075" s="49" t="s">
        <v>885</v>
      </c>
    </row>
    <row r="1076" customFormat="false" ht="25.5" hidden="false" customHeight="true" outlineLevel="0" collapsed="false">
      <c r="A1076" s="49" t="s">
        <v>1104</v>
      </c>
      <c r="B1076" s="49" t="s">
        <v>1447</v>
      </c>
      <c r="C1076" s="49" t="s">
        <v>1488</v>
      </c>
      <c r="D1076" s="49" t="s">
        <v>1151</v>
      </c>
      <c r="E1076" s="49" t="s">
        <v>1135</v>
      </c>
      <c r="F1076" s="49" t="s">
        <v>1473</v>
      </c>
      <c r="G1076" s="49" t="s">
        <v>772</v>
      </c>
      <c r="H1076" s="49" t="s">
        <v>1132</v>
      </c>
      <c r="I1076" s="49" t="s">
        <v>885</v>
      </c>
    </row>
    <row r="1077" customFormat="false" ht="25.5" hidden="false" customHeight="true" outlineLevel="0" collapsed="false">
      <c r="A1077" s="49" t="s">
        <v>1104</v>
      </c>
      <c r="B1077" s="49" t="s">
        <v>1447</v>
      </c>
      <c r="C1077" s="49" t="s">
        <v>1489</v>
      </c>
      <c r="D1077" s="49" t="s">
        <v>1151</v>
      </c>
      <c r="E1077" s="49" t="s">
        <v>1135</v>
      </c>
      <c r="F1077" s="49" t="s">
        <v>1473</v>
      </c>
      <c r="G1077" s="49" t="s">
        <v>772</v>
      </c>
      <c r="H1077" s="49" t="s">
        <v>1132</v>
      </c>
      <c r="I1077" s="49" t="s">
        <v>885</v>
      </c>
    </row>
    <row r="1078" customFormat="false" ht="25.5" hidden="false" customHeight="true" outlineLevel="0" collapsed="false">
      <c r="A1078" s="49" t="s">
        <v>1104</v>
      </c>
      <c r="B1078" s="49" t="s">
        <v>1447</v>
      </c>
      <c r="C1078" s="49" t="s">
        <v>1490</v>
      </c>
      <c r="D1078" s="49" t="s">
        <v>1141</v>
      </c>
      <c r="E1078" s="49" t="s">
        <v>1135</v>
      </c>
      <c r="F1078" s="49" t="s">
        <v>1473</v>
      </c>
      <c r="G1078" s="49" t="s">
        <v>772</v>
      </c>
      <c r="H1078" s="49" t="s">
        <v>1132</v>
      </c>
      <c r="I1078" s="49" t="s">
        <v>885</v>
      </c>
    </row>
    <row r="1079" customFormat="false" ht="25.5" hidden="false" customHeight="true" outlineLevel="0" collapsed="false">
      <c r="A1079" s="49" t="s">
        <v>1104</v>
      </c>
      <c r="B1079" s="49" t="s">
        <v>1447</v>
      </c>
      <c r="C1079" s="49" t="s">
        <v>1491</v>
      </c>
      <c r="D1079" s="49" t="s">
        <v>1218</v>
      </c>
      <c r="E1079" s="49" t="s">
        <v>1135</v>
      </c>
      <c r="F1079" s="49" t="s">
        <v>1473</v>
      </c>
      <c r="G1079" s="49" t="s">
        <v>772</v>
      </c>
      <c r="H1079" s="49" t="s">
        <v>1132</v>
      </c>
      <c r="I1079" s="49" t="s">
        <v>885</v>
      </c>
    </row>
    <row r="1080" customFormat="false" ht="25.5" hidden="false" customHeight="true" outlineLevel="0" collapsed="false">
      <c r="A1080" s="49" t="s">
        <v>1104</v>
      </c>
      <c r="B1080" s="49" t="s">
        <v>1447</v>
      </c>
      <c r="C1080" s="49" t="s">
        <v>1492</v>
      </c>
      <c r="D1080" s="49" t="s">
        <v>1156</v>
      </c>
      <c r="E1080" s="49" t="s">
        <v>1135</v>
      </c>
      <c r="F1080" s="49" t="s">
        <v>1473</v>
      </c>
      <c r="G1080" s="49" t="s">
        <v>772</v>
      </c>
      <c r="H1080" s="49" t="s">
        <v>1132</v>
      </c>
      <c r="I1080" s="49" t="s">
        <v>885</v>
      </c>
    </row>
    <row r="1081" customFormat="false" ht="25.5" hidden="false" customHeight="true" outlineLevel="0" collapsed="false">
      <c r="A1081" s="49" t="s">
        <v>1104</v>
      </c>
      <c r="B1081" s="49" t="s">
        <v>1447</v>
      </c>
      <c r="C1081" s="49" t="s">
        <v>1493</v>
      </c>
      <c r="D1081" s="49" t="s">
        <v>1134</v>
      </c>
      <c r="E1081" s="49" t="s">
        <v>1183</v>
      </c>
      <c r="F1081" s="49" t="s">
        <v>1408</v>
      </c>
      <c r="G1081" s="49" t="s">
        <v>772</v>
      </c>
      <c r="H1081" s="49" t="s">
        <v>1132</v>
      </c>
      <c r="I1081" s="49" t="s">
        <v>885</v>
      </c>
    </row>
    <row r="1082" customFormat="false" ht="25.5" hidden="false" customHeight="true" outlineLevel="0" collapsed="false">
      <c r="A1082" s="49" t="s">
        <v>1104</v>
      </c>
      <c r="B1082" s="49" t="s">
        <v>1447</v>
      </c>
      <c r="C1082" s="49" t="s">
        <v>1494</v>
      </c>
      <c r="D1082" s="49" t="s">
        <v>1151</v>
      </c>
      <c r="E1082" s="49" t="s">
        <v>1135</v>
      </c>
      <c r="F1082" s="49" t="s">
        <v>1473</v>
      </c>
      <c r="G1082" s="49" t="s">
        <v>772</v>
      </c>
      <c r="H1082" s="49" t="s">
        <v>1132</v>
      </c>
      <c r="I1082" s="49" t="s">
        <v>885</v>
      </c>
    </row>
    <row r="1083" customFormat="false" ht="25.5" hidden="false" customHeight="true" outlineLevel="0" collapsed="false">
      <c r="A1083" s="49" t="s">
        <v>1104</v>
      </c>
      <c r="B1083" s="49" t="s">
        <v>879</v>
      </c>
      <c r="C1083" s="49" t="s">
        <v>880</v>
      </c>
      <c r="D1083" s="49" t="s">
        <v>881</v>
      </c>
      <c r="E1083" s="49" t="s">
        <v>882</v>
      </c>
      <c r="F1083" s="49" t="s">
        <v>883</v>
      </c>
      <c r="G1083" s="49" t="s">
        <v>772</v>
      </c>
      <c r="H1083" s="49" t="s">
        <v>1132</v>
      </c>
      <c r="I1083" s="49" t="s">
        <v>885</v>
      </c>
    </row>
    <row r="1084" customFormat="false" ht="25.5" hidden="false" customHeight="true" outlineLevel="0" collapsed="false">
      <c r="A1084" s="49" t="s">
        <v>1104</v>
      </c>
      <c r="B1084" s="49" t="s">
        <v>879</v>
      </c>
      <c r="C1084" s="49" t="s">
        <v>943</v>
      </c>
      <c r="D1084" s="49" t="s">
        <v>944</v>
      </c>
      <c r="E1084" s="49" t="s">
        <v>843</v>
      </c>
      <c r="F1084" s="49" t="s">
        <v>945</v>
      </c>
      <c r="G1084" s="49" t="s">
        <v>776</v>
      </c>
      <c r="H1084" s="49" t="s">
        <v>1617</v>
      </c>
      <c r="I1084" s="49" t="s">
        <v>885</v>
      </c>
    </row>
    <row r="1085" customFormat="false" ht="25.5" hidden="false" customHeight="true" outlineLevel="0" collapsed="false">
      <c r="A1085" s="49" t="s">
        <v>1104</v>
      </c>
      <c r="B1085" s="49" t="s">
        <v>879</v>
      </c>
      <c r="C1085" s="49" t="s">
        <v>947</v>
      </c>
      <c r="D1085" s="49"/>
      <c r="E1085" s="49" t="s">
        <v>40</v>
      </c>
      <c r="F1085" s="49"/>
      <c r="G1085" s="49" t="s">
        <v>772</v>
      </c>
      <c r="H1085" s="49" t="s">
        <v>1618</v>
      </c>
      <c r="I1085" s="49" t="s">
        <v>885</v>
      </c>
    </row>
    <row r="1086" customFormat="false" ht="25.5" hidden="false" customHeight="true" outlineLevel="0" collapsed="false">
      <c r="A1086" s="49" t="s">
        <v>1104</v>
      </c>
      <c r="B1086" s="49" t="s">
        <v>879</v>
      </c>
      <c r="C1086" s="49" t="s">
        <v>949</v>
      </c>
      <c r="D1086" s="49"/>
      <c r="E1086" s="49" t="s">
        <v>811</v>
      </c>
      <c r="F1086" s="49"/>
      <c r="G1086" s="49" t="s">
        <v>772</v>
      </c>
      <c r="H1086" s="49" t="s">
        <v>1618</v>
      </c>
      <c r="I1086" s="49" t="s">
        <v>885</v>
      </c>
    </row>
    <row r="1087" customFormat="false" ht="25.5" hidden="false" customHeight="true" outlineLevel="0" collapsed="false">
      <c r="A1087" s="49" t="s">
        <v>1104</v>
      </c>
      <c r="B1087" s="49" t="s">
        <v>879</v>
      </c>
      <c r="C1087" s="49" t="s">
        <v>999</v>
      </c>
      <c r="D1087" s="49" t="s">
        <v>890</v>
      </c>
      <c r="E1087" s="49" t="s">
        <v>146</v>
      </c>
      <c r="F1087" s="49" t="s">
        <v>1000</v>
      </c>
      <c r="G1087" s="49" t="s">
        <v>772</v>
      </c>
      <c r="H1087" s="49" t="s">
        <v>1132</v>
      </c>
      <c r="I1087" s="49" t="s">
        <v>885</v>
      </c>
    </row>
    <row r="1088" customFormat="false" ht="25.5" hidden="false" customHeight="true" outlineLevel="0" collapsed="false">
      <c r="A1088" s="49" t="s">
        <v>1104</v>
      </c>
      <c r="B1088" s="49" t="s">
        <v>891</v>
      </c>
      <c r="C1088" s="49" t="s">
        <v>1498</v>
      </c>
      <c r="D1088" s="49" t="s">
        <v>1499</v>
      </c>
      <c r="E1088" s="49" t="s">
        <v>1142</v>
      </c>
      <c r="F1088" s="49" t="s">
        <v>1500</v>
      </c>
      <c r="G1088" s="49" t="s">
        <v>772</v>
      </c>
      <c r="H1088" s="49" t="s">
        <v>1132</v>
      </c>
      <c r="I1088" s="49" t="s">
        <v>885</v>
      </c>
    </row>
    <row r="1089" customFormat="false" ht="25.5" hidden="false" customHeight="true" outlineLevel="0" collapsed="false">
      <c r="A1089" s="49" t="s">
        <v>1104</v>
      </c>
      <c r="B1089" s="49" t="s">
        <v>891</v>
      </c>
      <c r="C1089" s="49" t="s">
        <v>1501</v>
      </c>
      <c r="D1089" s="49" t="s">
        <v>1004</v>
      </c>
      <c r="E1089" s="49" t="s">
        <v>1502</v>
      </c>
      <c r="F1089" s="49" t="s">
        <v>1008</v>
      </c>
      <c r="G1089" s="49" t="s">
        <v>772</v>
      </c>
      <c r="H1089" s="49" t="s">
        <v>1132</v>
      </c>
      <c r="I1089" s="49" t="s">
        <v>885</v>
      </c>
    </row>
    <row r="1090" customFormat="false" ht="25.5" hidden="false" customHeight="true" outlineLevel="0" collapsed="false">
      <c r="A1090" s="49" t="s">
        <v>1104</v>
      </c>
      <c r="B1090" s="49" t="s">
        <v>891</v>
      </c>
      <c r="C1090" s="49" t="s">
        <v>892</v>
      </c>
      <c r="D1090" s="49"/>
      <c r="E1090" s="49" t="s">
        <v>893</v>
      </c>
      <c r="F1090" s="49" t="s">
        <v>894</v>
      </c>
      <c r="G1090" s="49" t="s">
        <v>772</v>
      </c>
      <c r="H1090" s="49" t="s">
        <v>1132</v>
      </c>
      <c r="I1090" s="49" t="s">
        <v>885</v>
      </c>
    </row>
    <row r="1091" customFormat="false" ht="25.5" hidden="false" customHeight="true" outlineLevel="0" collapsed="false">
      <c r="A1091" s="49" t="s">
        <v>1104</v>
      </c>
      <c r="B1091" s="49" t="s">
        <v>891</v>
      </c>
      <c r="C1091" s="49" t="s">
        <v>1006</v>
      </c>
      <c r="D1091" s="49" t="s">
        <v>1007</v>
      </c>
      <c r="E1091" s="49" t="s">
        <v>146</v>
      </c>
      <c r="F1091" s="49" t="s">
        <v>1008</v>
      </c>
      <c r="G1091" s="49" t="s">
        <v>772</v>
      </c>
      <c r="H1091" s="49" t="s">
        <v>1132</v>
      </c>
      <c r="I1091" s="49" t="s">
        <v>885</v>
      </c>
    </row>
    <row r="1092" customFormat="false" ht="25.5" hidden="false" customHeight="true" outlineLevel="0" collapsed="false">
      <c r="A1092" s="49" t="s">
        <v>1104</v>
      </c>
      <c r="B1092" s="49" t="s">
        <v>1009</v>
      </c>
      <c r="C1092" s="49" t="s">
        <v>1504</v>
      </c>
      <c r="D1092" s="49" t="s">
        <v>1011</v>
      </c>
      <c r="E1092" s="49" t="s">
        <v>1189</v>
      </c>
      <c r="F1092" s="49" t="s">
        <v>1505</v>
      </c>
      <c r="G1092" s="49" t="s">
        <v>772</v>
      </c>
      <c r="H1092" s="49" t="s">
        <v>1132</v>
      </c>
      <c r="I1092" s="49" t="s">
        <v>885</v>
      </c>
    </row>
    <row r="1093" customFormat="false" ht="25.5" hidden="false" customHeight="true" outlineLevel="0" collapsed="false">
      <c r="A1093" s="49" t="s">
        <v>1104</v>
      </c>
      <c r="B1093" s="49" t="s">
        <v>1009</v>
      </c>
      <c r="C1093" s="49" t="s">
        <v>1012</v>
      </c>
      <c r="D1093" s="49" t="s">
        <v>1011</v>
      </c>
      <c r="E1093" s="49" t="s">
        <v>1013</v>
      </c>
      <c r="F1093" s="49"/>
      <c r="G1093" s="49" t="s">
        <v>776</v>
      </c>
      <c r="H1093" s="49" t="s">
        <v>1619</v>
      </c>
      <c r="I1093" s="49" t="s">
        <v>885</v>
      </c>
    </row>
    <row r="1094" customFormat="false" ht="25.5" hidden="false" customHeight="true" outlineLevel="0" collapsed="false">
      <c r="A1094" s="49" t="s">
        <v>1104</v>
      </c>
      <c r="B1094" s="49" t="s">
        <v>1009</v>
      </c>
      <c r="C1094" s="49" t="s">
        <v>1014</v>
      </c>
      <c r="D1094" s="49" t="s">
        <v>1011</v>
      </c>
      <c r="E1094" s="49" t="s">
        <v>1015</v>
      </c>
      <c r="F1094" s="49" t="s">
        <v>1016</v>
      </c>
      <c r="G1094" s="49" t="s">
        <v>772</v>
      </c>
      <c r="H1094" s="49" t="s">
        <v>1132</v>
      </c>
      <c r="I1094" s="49" t="s">
        <v>885</v>
      </c>
    </row>
    <row r="1095" customFormat="false" ht="25.5" hidden="false" customHeight="true" outlineLevel="0" collapsed="false">
      <c r="A1095" s="49" t="s">
        <v>1104</v>
      </c>
      <c r="B1095" s="49" t="s">
        <v>950</v>
      </c>
      <c r="C1095" s="49" t="s">
        <v>1106</v>
      </c>
      <c r="D1095" s="49" t="s">
        <v>929</v>
      </c>
      <c r="E1095" s="49" t="s">
        <v>1107</v>
      </c>
      <c r="F1095" s="49"/>
      <c r="G1095" s="49" t="s">
        <v>776</v>
      </c>
      <c r="H1095" s="49" t="s">
        <v>1619</v>
      </c>
      <c r="I1095" s="49" t="s">
        <v>885</v>
      </c>
    </row>
    <row r="1096" customFormat="false" ht="25.5" hidden="false" customHeight="true" outlineLevel="0" collapsed="false">
      <c r="A1096" s="49" t="s">
        <v>1104</v>
      </c>
      <c r="B1096" s="49" t="s">
        <v>950</v>
      </c>
      <c r="C1096" s="49" t="s">
        <v>951</v>
      </c>
      <c r="D1096" s="49"/>
      <c r="E1096" s="49" t="s">
        <v>217</v>
      </c>
      <c r="F1096" s="49" t="s">
        <v>952</v>
      </c>
      <c r="G1096" s="49" t="s">
        <v>776</v>
      </c>
      <c r="H1096" s="49" t="s">
        <v>1617</v>
      </c>
      <c r="I1096" s="49" t="s">
        <v>885</v>
      </c>
    </row>
    <row r="1097" customFormat="false" ht="25.5" hidden="false" customHeight="true" outlineLevel="0" collapsed="false">
      <c r="A1097" s="49" t="s">
        <v>1104</v>
      </c>
      <c r="B1097" s="49" t="s">
        <v>950</v>
      </c>
      <c r="C1097" s="49" t="s">
        <v>953</v>
      </c>
      <c r="D1097" s="49" t="s">
        <v>954</v>
      </c>
      <c r="E1097" s="49" t="s">
        <v>217</v>
      </c>
      <c r="F1097" s="49" t="s">
        <v>955</v>
      </c>
      <c r="G1097" s="49" t="s">
        <v>776</v>
      </c>
      <c r="H1097" s="49" t="s">
        <v>1617</v>
      </c>
      <c r="I1097" s="49" t="s">
        <v>885</v>
      </c>
    </row>
    <row r="1098" customFormat="false" ht="25.5" hidden="false" customHeight="true" outlineLevel="0" collapsed="false">
      <c r="A1098" s="49" t="s">
        <v>1104</v>
      </c>
      <c r="B1098" s="49" t="s">
        <v>950</v>
      </c>
      <c r="C1098" s="49" t="s">
        <v>956</v>
      </c>
      <c r="D1098" s="49" t="s">
        <v>954</v>
      </c>
      <c r="E1098" s="49" t="s">
        <v>957</v>
      </c>
      <c r="F1098" s="49" t="s">
        <v>958</v>
      </c>
      <c r="G1098" s="49" t="s">
        <v>776</v>
      </c>
      <c r="H1098" s="49" t="s">
        <v>1620</v>
      </c>
      <c r="I1098" s="49" t="s">
        <v>885</v>
      </c>
    </row>
    <row r="1099" customFormat="false" ht="25.5" hidden="false" customHeight="true" outlineLevel="0" collapsed="false">
      <c r="A1099" s="49" t="s">
        <v>1104</v>
      </c>
      <c r="B1099" s="49" t="s">
        <v>950</v>
      </c>
      <c r="C1099" s="49" t="s">
        <v>1024</v>
      </c>
      <c r="D1099" s="49" t="s">
        <v>1025</v>
      </c>
      <c r="E1099" s="49" t="s">
        <v>146</v>
      </c>
      <c r="F1099" s="49" t="s">
        <v>1026</v>
      </c>
      <c r="G1099" s="49" t="s">
        <v>772</v>
      </c>
      <c r="H1099" s="49" t="s">
        <v>1132</v>
      </c>
      <c r="I1099" s="49" t="s">
        <v>885</v>
      </c>
    </row>
    <row r="1100" customFormat="false" ht="25.5" hidden="false" customHeight="true" outlineLevel="0" collapsed="false">
      <c r="A1100" s="49" t="s">
        <v>1104</v>
      </c>
      <c r="B1100" s="49" t="s">
        <v>896</v>
      </c>
      <c r="C1100" s="49" t="s">
        <v>1028</v>
      </c>
      <c r="D1100" s="49" t="s">
        <v>1029</v>
      </c>
      <c r="E1100" s="49" t="s">
        <v>146</v>
      </c>
      <c r="F1100" s="49" t="s">
        <v>1030</v>
      </c>
      <c r="G1100" s="49" t="s">
        <v>772</v>
      </c>
      <c r="H1100" s="49" t="s">
        <v>1132</v>
      </c>
      <c r="I1100" s="49" t="s">
        <v>885</v>
      </c>
    </row>
    <row r="1101" customFormat="false" ht="25.5" hidden="false" customHeight="true" outlineLevel="0" collapsed="false">
      <c r="A1101" s="49" t="s">
        <v>1104</v>
      </c>
      <c r="B1101" s="49" t="s">
        <v>907</v>
      </c>
      <c r="C1101" s="49" t="s">
        <v>1507</v>
      </c>
      <c r="D1101" s="49" t="s">
        <v>1032</v>
      </c>
      <c r="E1101" s="49" t="s">
        <v>1142</v>
      </c>
      <c r="F1101" s="49" t="s">
        <v>1500</v>
      </c>
      <c r="G1101" s="49" t="s">
        <v>772</v>
      </c>
      <c r="H1101" s="49" t="s">
        <v>1132</v>
      </c>
      <c r="I1101" s="49" t="s">
        <v>885</v>
      </c>
    </row>
    <row r="1102" customFormat="false" ht="25.5" hidden="false" customHeight="true" outlineLevel="0" collapsed="false">
      <c r="A1102" s="49" t="s">
        <v>1104</v>
      </c>
      <c r="B1102" s="49" t="s">
        <v>907</v>
      </c>
      <c r="C1102" s="49" t="s">
        <v>1508</v>
      </c>
      <c r="D1102" s="49" t="s">
        <v>1034</v>
      </c>
      <c r="E1102" s="49" t="s">
        <v>1142</v>
      </c>
      <c r="F1102" s="49" t="s">
        <v>1500</v>
      </c>
      <c r="G1102" s="49" t="s">
        <v>772</v>
      </c>
      <c r="H1102" s="49" t="s">
        <v>1132</v>
      </c>
      <c r="I1102" s="49" t="s">
        <v>885</v>
      </c>
    </row>
    <row r="1103" customFormat="false" ht="25.5" hidden="false" customHeight="true" outlineLevel="0" collapsed="false">
      <c r="A1103" s="49" t="s">
        <v>1104</v>
      </c>
      <c r="B1103" s="49" t="s">
        <v>907</v>
      </c>
      <c r="C1103" s="49" t="s">
        <v>1509</v>
      </c>
      <c r="D1103" s="49" t="s">
        <v>1032</v>
      </c>
      <c r="E1103" s="49" t="s">
        <v>1189</v>
      </c>
      <c r="F1103" s="49" t="s">
        <v>1500</v>
      </c>
      <c r="G1103" s="49" t="s">
        <v>772</v>
      </c>
      <c r="H1103" s="49" t="s">
        <v>1132</v>
      </c>
      <c r="I1103" s="49" t="s">
        <v>885</v>
      </c>
    </row>
    <row r="1104" customFormat="false" ht="25.5" hidden="false" customHeight="true" outlineLevel="0" collapsed="false">
      <c r="A1104" s="49" t="s">
        <v>1104</v>
      </c>
      <c r="B1104" s="49" t="s">
        <v>907</v>
      </c>
      <c r="C1104" s="49" t="s">
        <v>1035</v>
      </c>
      <c r="D1104" s="49" t="s">
        <v>1034</v>
      </c>
      <c r="E1104" s="49" t="s">
        <v>1036</v>
      </c>
      <c r="F1104" s="49" t="s">
        <v>1037</v>
      </c>
      <c r="G1104" s="49" t="s">
        <v>772</v>
      </c>
      <c r="H1104" s="49" t="s">
        <v>1132</v>
      </c>
      <c r="I1104" s="49" t="s">
        <v>885</v>
      </c>
    </row>
    <row r="1105" customFormat="false" ht="25.5" hidden="false" customHeight="true" outlineLevel="0" collapsed="false">
      <c r="A1105" s="49" t="s">
        <v>1104</v>
      </c>
      <c r="B1105" s="49" t="s">
        <v>907</v>
      </c>
      <c r="C1105" s="49" t="s">
        <v>1510</v>
      </c>
      <c r="D1105" s="49"/>
      <c r="E1105" s="49" t="s">
        <v>1511</v>
      </c>
      <c r="F1105" s="49" t="s">
        <v>1512</v>
      </c>
      <c r="G1105" s="49" t="s">
        <v>772</v>
      </c>
      <c r="H1105" s="49" t="s">
        <v>1132</v>
      </c>
      <c r="I1105" s="49" t="s">
        <v>885</v>
      </c>
    </row>
    <row r="1106" customFormat="false" ht="25.5" hidden="false" customHeight="true" outlineLevel="0" collapsed="false">
      <c r="A1106" s="49" t="s">
        <v>1104</v>
      </c>
      <c r="B1106" s="49" t="s">
        <v>907</v>
      </c>
      <c r="C1106" s="49" t="s">
        <v>960</v>
      </c>
      <c r="D1106" s="49"/>
      <c r="E1106" s="49" t="s">
        <v>217</v>
      </c>
      <c r="F1106" s="49" t="s">
        <v>961</v>
      </c>
      <c r="G1106" s="49" t="s">
        <v>776</v>
      </c>
      <c r="H1106" s="49" t="s">
        <v>1617</v>
      </c>
      <c r="I1106" s="49" t="s">
        <v>885</v>
      </c>
    </row>
    <row r="1107" customFormat="false" ht="25.5" hidden="false" customHeight="true" outlineLevel="0" collapsed="false">
      <c r="A1107" s="49" t="s">
        <v>1104</v>
      </c>
      <c r="B1107" s="49" t="s">
        <v>915</v>
      </c>
      <c r="C1107" s="49" t="s">
        <v>1513</v>
      </c>
      <c r="D1107" s="49" t="s">
        <v>1029</v>
      </c>
      <c r="E1107" s="49" t="s">
        <v>1186</v>
      </c>
      <c r="F1107" s="49" t="s">
        <v>1514</v>
      </c>
      <c r="G1107" s="49" t="s">
        <v>772</v>
      </c>
      <c r="H1107" s="49" t="s">
        <v>1132</v>
      </c>
      <c r="I1107" s="49" t="s">
        <v>885</v>
      </c>
    </row>
    <row r="1108" customFormat="false" ht="25.5" hidden="false" customHeight="true" outlineLevel="0" collapsed="false">
      <c r="A1108" s="49" t="s">
        <v>1104</v>
      </c>
      <c r="B1108" s="49" t="s">
        <v>915</v>
      </c>
      <c r="C1108" s="49" t="s">
        <v>1515</v>
      </c>
      <c r="D1108" s="49" t="s">
        <v>929</v>
      </c>
      <c r="E1108" s="49" t="s">
        <v>1186</v>
      </c>
      <c r="F1108" s="49" t="s">
        <v>1516</v>
      </c>
      <c r="G1108" s="49" t="s">
        <v>772</v>
      </c>
      <c r="H1108" s="49" t="s">
        <v>1132</v>
      </c>
      <c r="I1108" s="49" t="s">
        <v>885</v>
      </c>
    </row>
    <row r="1109" customFormat="false" ht="25.5" hidden="false" customHeight="true" outlineLevel="0" collapsed="false">
      <c r="A1109" s="49" t="s">
        <v>1104</v>
      </c>
      <c r="B1109" s="49" t="s">
        <v>915</v>
      </c>
      <c r="C1109" s="49" t="s">
        <v>962</v>
      </c>
      <c r="D1109" s="49"/>
      <c r="E1109" s="49" t="s">
        <v>963</v>
      </c>
      <c r="F1109" s="49"/>
      <c r="G1109" s="49" t="s">
        <v>776</v>
      </c>
      <c r="H1109" s="49" t="s">
        <v>1617</v>
      </c>
      <c r="I1109" s="49" t="s">
        <v>885</v>
      </c>
    </row>
    <row r="1110" customFormat="false" ht="25.5" hidden="false" customHeight="true" outlineLevel="0" collapsed="false">
      <c r="A1110" s="49" t="s">
        <v>1104</v>
      </c>
      <c r="B1110" s="49" t="s">
        <v>915</v>
      </c>
      <c r="C1110" s="49" t="s">
        <v>1044</v>
      </c>
      <c r="D1110" s="49" t="s">
        <v>1045</v>
      </c>
      <c r="E1110" s="49" t="s">
        <v>146</v>
      </c>
      <c r="F1110" s="49" t="s">
        <v>1046</v>
      </c>
      <c r="G1110" s="49" t="s">
        <v>772</v>
      </c>
      <c r="H1110" s="49" t="s">
        <v>1132</v>
      </c>
      <c r="I1110" s="49" t="s">
        <v>885</v>
      </c>
    </row>
    <row r="1111" customFormat="false" ht="25.5" hidden="false" customHeight="true" outlineLevel="0" collapsed="false">
      <c r="A1111" s="49" t="s">
        <v>1104</v>
      </c>
      <c r="B1111" s="49" t="s">
        <v>1047</v>
      </c>
      <c r="C1111" s="49" t="s">
        <v>1517</v>
      </c>
      <c r="D1111" s="49" t="s">
        <v>965</v>
      </c>
      <c r="E1111" s="49" t="s">
        <v>1186</v>
      </c>
      <c r="F1111" s="49" t="s">
        <v>1518</v>
      </c>
      <c r="G1111" s="49" t="s">
        <v>772</v>
      </c>
      <c r="H1111" s="49" t="s">
        <v>1132</v>
      </c>
      <c r="I1111" s="49" t="s">
        <v>885</v>
      </c>
    </row>
    <row r="1112" customFormat="false" ht="25.5" hidden="false" customHeight="true" outlineLevel="0" collapsed="false">
      <c r="A1112" s="49" t="s">
        <v>1104</v>
      </c>
      <c r="B1112" s="49" t="s">
        <v>917</v>
      </c>
      <c r="C1112" s="49" t="s">
        <v>1519</v>
      </c>
      <c r="D1112" s="49" t="s">
        <v>968</v>
      </c>
      <c r="E1112" s="49" t="s">
        <v>1520</v>
      </c>
      <c r="F1112" s="49" t="s">
        <v>1352</v>
      </c>
      <c r="G1112" s="49" t="s">
        <v>772</v>
      </c>
      <c r="H1112" s="49" t="s">
        <v>1132</v>
      </c>
      <c r="I1112" s="49" t="s">
        <v>885</v>
      </c>
    </row>
    <row r="1113" customFormat="false" ht="25.5" hidden="false" customHeight="true" outlineLevel="0" collapsed="false">
      <c r="A1113" s="49" t="s">
        <v>1104</v>
      </c>
      <c r="B1113" s="49" t="s">
        <v>917</v>
      </c>
      <c r="C1113" s="49" t="s">
        <v>1521</v>
      </c>
      <c r="D1113" s="49" t="s">
        <v>1522</v>
      </c>
      <c r="E1113" s="49" t="s">
        <v>1186</v>
      </c>
      <c r="F1113" s="49" t="s">
        <v>1523</v>
      </c>
      <c r="G1113" s="49" t="s">
        <v>772</v>
      </c>
      <c r="H1113" s="49" t="s">
        <v>1132</v>
      </c>
      <c r="I1113" s="49" t="s">
        <v>885</v>
      </c>
    </row>
    <row r="1114" customFormat="false" ht="25.5" hidden="false" customHeight="true" outlineLevel="0" collapsed="false">
      <c r="A1114" s="49" t="s">
        <v>1104</v>
      </c>
      <c r="B1114" s="49" t="s">
        <v>917</v>
      </c>
      <c r="C1114" s="49" t="s">
        <v>1524</v>
      </c>
      <c r="D1114" s="49" t="s">
        <v>965</v>
      </c>
      <c r="E1114" s="49" t="s">
        <v>1520</v>
      </c>
      <c r="F1114" s="49" t="s">
        <v>1525</v>
      </c>
      <c r="G1114" s="49" t="s">
        <v>772</v>
      </c>
      <c r="H1114" s="49" t="s">
        <v>1132</v>
      </c>
      <c r="I1114" s="49" t="s">
        <v>885</v>
      </c>
    </row>
    <row r="1115" customFormat="false" ht="25.5" hidden="false" customHeight="true" outlineLevel="0" collapsed="false">
      <c r="A1115" s="49" t="s">
        <v>1104</v>
      </c>
      <c r="B1115" s="49" t="s">
        <v>917</v>
      </c>
      <c r="C1115" s="49" t="s">
        <v>1526</v>
      </c>
      <c r="D1115" s="49" t="s">
        <v>919</v>
      </c>
      <c r="E1115" s="49" t="s">
        <v>1527</v>
      </c>
      <c r="F1115" s="49" t="s">
        <v>1528</v>
      </c>
      <c r="G1115" s="49" t="s">
        <v>772</v>
      </c>
      <c r="H1115" s="49" t="s">
        <v>1132</v>
      </c>
      <c r="I1115" s="49" t="s">
        <v>885</v>
      </c>
    </row>
    <row r="1116" customFormat="false" ht="25.5" hidden="false" customHeight="true" outlineLevel="0" collapsed="false">
      <c r="A1116" s="49" t="s">
        <v>1104</v>
      </c>
      <c r="B1116" s="49" t="s">
        <v>917</v>
      </c>
      <c r="C1116" s="49" t="s">
        <v>964</v>
      </c>
      <c r="D1116" s="49" t="s">
        <v>965</v>
      </c>
      <c r="E1116" s="49" t="s">
        <v>217</v>
      </c>
      <c r="F1116" s="49" t="s">
        <v>966</v>
      </c>
      <c r="G1116" s="49" t="s">
        <v>776</v>
      </c>
      <c r="H1116" s="49" t="s">
        <v>1617</v>
      </c>
      <c r="I1116" s="49" t="s">
        <v>885</v>
      </c>
    </row>
    <row r="1117" customFormat="false" ht="25.5" hidden="false" customHeight="true" outlineLevel="0" collapsed="false">
      <c r="A1117" s="51" t="s">
        <v>1104</v>
      </c>
      <c r="B1117" s="51" t="s">
        <v>917</v>
      </c>
      <c r="C1117" s="51" t="s">
        <v>967</v>
      </c>
      <c r="D1117" s="51" t="s">
        <v>968</v>
      </c>
      <c r="E1117" s="51" t="s">
        <v>969</v>
      </c>
      <c r="F1117" s="51" t="s">
        <v>970</v>
      </c>
      <c r="G1117" s="52" t="s">
        <v>910</v>
      </c>
      <c r="H1117" s="51" t="s">
        <v>1621</v>
      </c>
      <c r="I1117" s="51" t="s">
        <v>912</v>
      </c>
    </row>
    <row r="1118" customFormat="false" ht="25.5" hidden="false" customHeight="true" outlineLevel="0" collapsed="false">
      <c r="A1118" s="49" t="s">
        <v>1104</v>
      </c>
      <c r="B1118" s="49" t="s">
        <v>917</v>
      </c>
      <c r="C1118" s="49" t="s">
        <v>1529</v>
      </c>
      <c r="D1118" s="49" t="s">
        <v>1530</v>
      </c>
      <c r="E1118" s="49" t="s">
        <v>1500</v>
      </c>
      <c r="F1118" s="49" t="s">
        <v>1531</v>
      </c>
      <c r="G1118" s="49" t="s">
        <v>772</v>
      </c>
      <c r="H1118" s="49" t="s">
        <v>1132</v>
      </c>
      <c r="I1118" s="49" t="s">
        <v>885</v>
      </c>
    </row>
    <row r="1119" customFormat="false" ht="25.5" hidden="false" customHeight="true" outlineLevel="0" collapsed="false">
      <c r="A1119" s="49" t="s">
        <v>1104</v>
      </c>
      <c r="B1119" s="49" t="s">
        <v>917</v>
      </c>
      <c r="C1119" s="49" t="s">
        <v>918</v>
      </c>
      <c r="D1119" s="49" t="s">
        <v>919</v>
      </c>
      <c r="E1119" s="49" t="s">
        <v>882</v>
      </c>
      <c r="F1119" s="49" t="s">
        <v>920</v>
      </c>
      <c r="G1119" s="49" t="s">
        <v>772</v>
      </c>
      <c r="H1119" s="49" t="s">
        <v>1132</v>
      </c>
      <c r="I1119" s="49" t="s">
        <v>885</v>
      </c>
    </row>
    <row r="1120" customFormat="false" ht="25.5" hidden="false" customHeight="true" outlineLevel="0" collapsed="false">
      <c r="A1120" s="49" t="s">
        <v>1104</v>
      </c>
      <c r="B1120" s="49" t="s">
        <v>917</v>
      </c>
      <c r="C1120" s="49" t="s">
        <v>921</v>
      </c>
      <c r="D1120" s="49" t="s">
        <v>922</v>
      </c>
      <c r="E1120" s="49" t="s">
        <v>882</v>
      </c>
      <c r="F1120" s="49" t="s">
        <v>923</v>
      </c>
      <c r="G1120" s="49" t="s">
        <v>772</v>
      </c>
      <c r="H1120" s="49" t="s">
        <v>1132</v>
      </c>
      <c r="I1120" s="49" t="s">
        <v>885</v>
      </c>
    </row>
    <row r="1121" customFormat="false" ht="25.5" hidden="false" customHeight="true" outlineLevel="0" collapsed="false">
      <c r="A1121" s="49" t="s">
        <v>1104</v>
      </c>
      <c r="B1121" s="49" t="s">
        <v>917</v>
      </c>
      <c r="C1121" s="49" t="s">
        <v>1532</v>
      </c>
      <c r="D1121" s="49" t="s">
        <v>919</v>
      </c>
      <c r="E1121" s="49" t="s">
        <v>1533</v>
      </c>
      <c r="F1121" s="49" t="s">
        <v>1534</v>
      </c>
      <c r="G1121" s="49" t="s">
        <v>772</v>
      </c>
      <c r="H1121" s="49" t="s">
        <v>1132</v>
      </c>
      <c r="I1121" s="49" t="s">
        <v>885</v>
      </c>
    </row>
    <row r="1122" customFormat="false" ht="25.5" hidden="false" customHeight="true" outlineLevel="0" collapsed="false">
      <c r="A1122" s="49" t="s">
        <v>1104</v>
      </c>
      <c r="B1122" s="49" t="s">
        <v>917</v>
      </c>
      <c r="C1122" s="49" t="s">
        <v>1052</v>
      </c>
      <c r="D1122" s="49" t="s">
        <v>968</v>
      </c>
      <c r="E1122" s="49" t="s">
        <v>146</v>
      </c>
      <c r="F1122" s="49" t="s">
        <v>1053</v>
      </c>
      <c r="G1122" s="49" t="s">
        <v>772</v>
      </c>
      <c r="H1122" s="49" t="s">
        <v>1132</v>
      </c>
      <c r="I1122" s="49" t="s">
        <v>885</v>
      </c>
    </row>
    <row r="1123" customFormat="false" ht="25.5" hidden="false" customHeight="true" outlineLevel="0" collapsed="false">
      <c r="A1123" s="49" t="s">
        <v>1104</v>
      </c>
      <c r="B1123" s="49" t="s">
        <v>917</v>
      </c>
      <c r="C1123" s="49" t="s">
        <v>1054</v>
      </c>
      <c r="D1123" s="49" t="s">
        <v>965</v>
      </c>
      <c r="E1123" s="49" t="s">
        <v>1055</v>
      </c>
      <c r="F1123" s="49" t="s">
        <v>1056</v>
      </c>
      <c r="G1123" s="49" t="s">
        <v>772</v>
      </c>
      <c r="H1123" s="49" t="s">
        <v>1132</v>
      </c>
      <c r="I1123" s="49" t="s">
        <v>885</v>
      </c>
    </row>
    <row r="1124" customFormat="false" ht="25.5" hidden="false" customHeight="true" outlineLevel="0" collapsed="false">
      <c r="A1124" s="49" t="s">
        <v>1104</v>
      </c>
      <c r="B1124" s="49" t="s">
        <v>917</v>
      </c>
      <c r="C1124" s="49" t="s">
        <v>1535</v>
      </c>
      <c r="D1124" s="49" t="s">
        <v>929</v>
      </c>
      <c r="E1124" s="49" t="s">
        <v>1536</v>
      </c>
      <c r="F1124" s="49" t="s">
        <v>1537</v>
      </c>
      <c r="G1124" s="49" t="s">
        <v>772</v>
      </c>
      <c r="H1124" s="49" t="s">
        <v>1132</v>
      </c>
      <c r="I1124" s="49" t="s">
        <v>885</v>
      </c>
    </row>
    <row r="1125" customFormat="false" ht="25.5" hidden="false" customHeight="true" outlineLevel="0" collapsed="false">
      <c r="A1125" s="49" t="s">
        <v>1104</v>
      </c>
      <c r="B1125" s="49" t="s">
        <v>917</v>
      </c>
      <c r="C1125" s="49" t="s">
        <v>1538</v>
      </c>
      <c r="D1125" s="49" t="s">
        <v>929</v>
      </c>
      <c r="E1125" s="49" t="s">
        <v>1536</v>
      </c>
      <c r="F1125" s="49" t="s">
        <v>1539</v>
      </c>
      <c r="G1125" s="49" t="s">
        <v>772</v>
      </c>
      <c r="H1125" s="49" t="s">
        <v>1132</v>
      </c>
      <c r="I1125" s="49" t="s">
        <v>885</v>
      </c>
    </row>
    <row r="1126" customFormat="false" ht="25.5" hidden="false" customHeight="true" outlineLevel="0" collapsed="false">
      <c r="A1126" s="49" t="s">
        <v>1104</v>
      </c>
      <c r="B1126" s="49" t="s">
        <v>917</v>
      </c>
      <c r="C1126" s="49" t="s">
        <v>1540</v>
      </c>
      <c r="D1126" s="49" t="s">
        <v>929</v>
      </c>
      <c r="E1126" s="49" t="s">
        <v>1541</v>
      </c>
      <c r="F1126" s="49" t="s">
        <v>1542</v>
      </c>
      <c r="G1126" s="49" t="s">
        <v>772</v>
      </c>
      <c r="H1126" s="49" t="s">
        <v>1132</v>
      </c>
      <c r="I1126" s="49" t="s">
        <v>885</v>
      </c>
    </row>
    <row r="1127" customFormat="false" ht="25.5" hidden="false" customHeight="true" outlineLevel="0" collapsed="false">
      <c r="A1127" s="49" t="s">
        <v>1104</v>
      </c>
      <c r="B1127" s="49" t="s">
        <v>925</v>
      </c>
      <c r="C1127" s="49" t="s">
        <v>1543</v>
      </c>
      <c r="D1127" s="49" t="s">
        <v>972</v>
      </c>
      <c r="E1127" s="49" t="s">
        <v>1186</v>
      </c>
      <c r="F1127" s="49" t="s">
        <v>1544</v>
      </c>
      <c r="G1127" s="49" t="s">
        <v>772</v>
      </c>
      <c r="H1127" s="49" t="s">
        <v>1132</v>
      </c>
      <c r="I1127" s="49" t="s">
        <v>885</v>
      </c>
    </row>
    <row r="1128" customFormat="false" ht="25.5" hidden="false" customHeight="true" outlineLevel="0" collapsed="false">
      <c r="A1128" s="49" t="s">
        <v>1104</v>
      </c>
      <c r="B1128" s="49" t="s">
        <v>925</v>
      </c>
      <c r="C1128" s="49" t="s">
        <v>971</v>
      </c>
      <c r="D1128" s="49" t="s">
        <v>972</v>
      </c>
      <c r="E1128" s="49" t="s">
        <v>217</v>
      </c>
      <c r="F1128" s="49"/>
      <c r="G1128" s="49" t="s">
        <v>776</v>
      </c>
      <c r="H1128" s="49" t="s">
        <v>1617</v>
      </c>
      <c r="I1128" s="49" t="s">
        <v>885</v>
      </c>
    </row>
    <row r="1129" customFormat="false" ht="25.5" hidden="false" customHeight="true" outlineLevel="0" collapsed="false">
      <c r="A1129" s="49" t="s">
        <v>1104</v>
      </c>
      <c r="B1129" s="49" t="s">
        <v>925</v>
      </c>
      <c r="C1129" s="49" t="s">
        <v>1057</v>
      </c>
      <c r="D1129" s="49" t="s">
        <v>968</v>
      </c>
      <c r="E1129" s="49" t="s">
        <v>146</v>
      </c>
      <c r="F1129" s="49" t="s">
        <v>1058</v>
      </c>
      <c r="G1129" s="49" t="s">
        <v>772</v>
      </c>
      <c r="H1129" s="49" t="s">
        <v>1132</v>
      </c>
      <c r="I1129" s="49" t="s">
        <v>885</v>
      </c>
    </row>
    <row r="1130" customFormat="false" ht="25.5" hidden="false" customHeight="true" outlineLevel="0" collapsed="false">
      <c r="A1130" s="49" t="s">
        <v>1104</v>
      </c>
      <c r="B1130" s="49" t="s">
        <v>925</v>
      </c>
      <c r="C1130" s="49" t="s">
        <v>1060</v>
      </c>
      <c r="D1130" s="49" t="s">
        <v>1061</v>
      </c>
      <c r="E1130" s="49" t="s">
        <v>146</v>
      </c>
      <c r="F1130" s="49" t="s">
        <v>1062</v>
      </c>
      <c r="G1130" s="49" t="s">
        <v>772</v>
      </c>
      <c r="H1130" s="49" t="s">
        <v>1132</v>
      </c>
      <c r="I1130" s="49" t="s">
        <v>885</v>
      </c>
    </row>
    <row r="1131" customFormat="false" ht="25.5" hidden="false" customHeight="true" outlineLevel="0" collapsed="false">
      <c r="A1131" s="49" t="s">
        <v>1104</v>
      </c>
      <c r="B1131" s="49" t="s">
        <v>925</v>
      </c>
      <c r="C1131" s="49" t="s">
        <v>1063</v>
      </c>
      <c r="D1131" s="49" t="s">
        <v>972</v>
      </c>
      <c r="E1131" s="49" t="s">
        <v>146</v>
      </c>
      <c r="F1131" s="49" t="s">
        <v>1058</v>
      </c>
      <c r="G1131" s="49" t="s">
        <v>772</v>
      </c>
      <c r="H1131" s="49" t="s">
        <v>1132</v>
      </c>
      <c r="I1131" s="49" t="s">
        <v>885</v>
      </c>
    </row>
    <row r="1132" customFormat="false" ht="25.5" hidden="false" customHeight="true" outlineLevel="0" collapsed="false">
      <c r="A1132" s="49" t="s">
        <v>1104</v>
      </c>
      <c r="B1132" s="49" t="s">
        <v>925</v>
      </c>
      <c r="C1132" s="49" t="s">
        <v>1064</v>
      </c>
      <c r="D1132" s="49" t="s">
        <v>972</v>
      </c>
      <c r="E1132" s="49" t="s">
        <v>146</v>
      </c>
      <c r="F1132" s="49" t="s">
        <v>1065</v>
      </c>
      <c r="G1132" s="49" t="s">
        <v>772</v>
      </c>
      <c r="H1132" s="49" t="s">
        <v>1132</v>
      </c>
      <c r="I1132" s="49" t="s">
        <v>885</v>
      </c>
    </row>
    <row r="1133" customFormat="false" ht="25.5" hidden="false" customHeight="true" outlineLevel="0" collapsed="false">
      <c r="A1133" s="51" t="s">
        <v>1104</v>
      </c>
      <c r="B1133" s="51" t="s">
        <v>925</v>
      </c>
      <c r="C1133" s="51" t="s">
        <v>973</v>
      </c>
      <c r="D1133" s="51" t="s">
        <v>968</v>
      </c>
      <c r="E1133" s="51" t="s">
        <v>974</v>
      </c>
      <c r="F1133" s="51" t="s">
        <v>975</v>
      </c>
      <c r="G1133" s="52" t="s">
        <v>910</v>
      </c>
      <c r="H1133" s="51" t="s">
        <v>1622</v>
      </c>
      <c r="I1133" s="51" t="s">
        <v>912</v>
      </c>
    </row>
    <row r="1134" customFormat="false" ht="25.5" hidden="false" customHeight="true" outlineLevel="0" collapsed="false">
      <c r="A1134" s="49" t="s">
        <v>1104</v>
      </c>
      <c r="B1134" s="49" t="s">
        <v>925</v>
      </c>
      <c r="C1134" s="49" t="s">
        <v>926</v>
      </c>
      <c r="D1134" s="49"/>
      <c r="E1134" s="49" t="s">
        <v>882</v>
      </c>
      <c r="F1134" s="49" t="s">
        <v>927</v>
      </c>
      <c r="G1134" s="49" t="s">
        <v>772</v>
      </c>
      <c r="H1134" s="49" t="s">
        <v>1132</v>
      </c>
      <c r="I1134" s="49" t="s">
        <v>885</v>
      </c>
    </row>
    <row r="1135" customFormat="false" ht="25.5" hidden="false" customHeight="true" outlineLevel="0" collapsed="false">
      <c r="A1135" s="49" t="s">
        <v>1104</v>
      </c>
      <c r="B1135" s="49" t="s">
        <v>925</v>
      </c>
      <c r="C1135" s="49" t="s">
        <v>976</v>
      </c>
      <c r="D1135" s="49"/>
      <c r="E1135" s="49" t="s">
        <v>217</v>
      </c>
      <c r="F1135" s="49" t="s">
        <v>927</v>
      </c>
      <c r="G1135" s="49" t="s">
        <v>776</v>
      </c>
      <c r="H1135" s="49" t="s">
        <v>1617</v>
      </c>
      <c r="I1135" s="49" t="s">
        <v>885</v>
      </c>
    </row>
    <row r="1136" customFormat="false" ht="25.5" hidden="false" customHeight="true" outlineLevel="0" collapsed="false">
      <c r="A1136" s="49" t="s">
        <v>1104</v>
      </c>
      <c r="B1136" s="49" t="s">
        <v>925</v>
      </c>
      <c r="C1136" s="49" t="s">
        <v>1070</v>
      </c>
      <c r="D1136" s="49" t="s">
        <v>929</v>
      </c>
      <c r="E1136" s="49" t="s">
        <v>146</v>
      </c>
      <c r="F1136" s="49" t="s">
        <v>1071</v>
      </c>
      <c r="G1136" s="49" t="s">
        <v>772</v>
      </c>
      <c r="H1136" s="49" t="s">
        <v>1132</v>
      </c>
      <c r="I1136" s="49" t="s">
        <v>885</v>
      </c>
    </row>
    <row r="1137" customFormat="false" ht="25.5" hidden="false" customHeight="true" outlineLevel="0" collapsed="false">
      <c r="A1137" s="49" t="s">
        <v>1104</v>
      </c>
      <c r="B1137" s="49" t="s">
        <v>977</v>
      </c>
      <c r="C1137" s="49" t="s">
        <v>978</v>
      </c>
      <c r="D1137" s="49"/>
      <c r="E1137" s="49" t="s">
        <v>217</v>
      </c>
      <c r="F1137" s="49"/>
      <c r="G1137" s="49" t="s">
        <v>776</v>
      </c>
      <c r="H1137" s="49" t="s">
        <v>1617</v>
      </c>
      <c r="I1137" s="49" t="s">
        <v>885</v>
      </c>
    </row>
    <row r="1138" customFormat="false" ht="25.5" hidden="false" customHeight="true" outlineLevel="0" collapsed="false">
      <c r="A1138" s="49" t="s">
        <v>1104</v>
      </c>
      <c r="B1138" s="49" t="s">
        <v>977</v>
      </c>
      <c r="C1138" s="49" t="s">
        <v>1546</v>
      </c>
      <c r="D1138" s="49" t="s">
        <v>1073</v>
      </c>
      <c r="E1138" s="49" t="s">
        <v>1547</v>
      </c>
      <c r="F1138" s="49" t="s">
        <v>1548</v>
      </c>
      <c r="G1138" s="49" t="s">
        <v>772</v>
      </c>
      <c r="H1138" s="49" t="s">
        <v>1132</v>
      </c>
      <c r="I1138" s="49" t="s">
        <v>885</v>
      </c>
    </row>
    <row r="1139" customFormat="false" ht="25.5" hidden="false" customHeight="true" outlineLevel="0" collapsed="false">
      <c r="A1139" s="49" t="s">
        <v>1104</v>
      </c>
      <c r="B1139" s="49" t="s">
        <v>977</v>
      </c>
      <c r="C1139" s="49" t="s">
        <v>1549</v>
      </c>
      <c r="D1139" s="49" t="s">
        <v>1073</v>
      </c>
      <c r="E1139" s="49" t="s">
        <v>1533</v>
      </c>
      <c r="F1139" s="49" t="s">
        <v>1550</v>
      </c>
      <c r="G1139" s="49" t="s">
        <v>772</v>
      </c>
      <c r="H1139" s="49" t="s">
        <v>1132</v>
      </c>
      <c r="I1139" s="49" t="s">
        <v>885</v>
      </c>
    </row>
    <row r="1140" customFormat="false" ht="25.5" hidden="false" customHeight="true" outlineLevel="0" collapsed="false">
      <c r="A1140" s="49" t="s">
        <v>1104</v>
      </c>
      <c r="B1140" s="49" t="s">
        <v>977</v>
      </c>
      <c r="C1140" s="49" t="s">
        <v>1074</v>
      </c>
      <c r="D1140" s="49" t="s">
        <v>1075</v>
      </c>
      <c r="E1140" s="49" t="s">
        <v>1076</v>
      </c>
      <c r="F1140" s="49"/>
      <c r="G1140" s="49" t="s">
        <v>776</v>
      </c>
      <c r="H1140" s="49" t="s">
        <v>1619</v>
      </c>
      <c r="I1140" s="49" t="s">
        <v>885</v>
      </c>
    </row>
    <row r="1141" customFormat="false" ht="25.5" hidden="false" customHeight="true" outlineLevel="0" collapsed="false">
      <c r="A1141" s="49" t="s">
        <v>1104</v>
      </c>
      <c r="B1141" s="49" t="s">
        <v>977</v>
      </c>
      <c r="C1141" s="49" t="s">
        <v>979</v>
      </c>
      <c r="D1141" s="49" t="s">
        <v>980</v>
      </c>
      <c r="E1141" s="49" t="s">
        <v>981</v>
      </c>
      <c r="F1141" s="49" t="s">
        <v>982</v>
      </c>
      <c r="G1141" s="49" t="s">
        <v>772</v>
      </c>
      <c r="H1141" s="49" t="s">
        <v>1623</v>
      </c>
      <c r="I1141" s="49" t="s">
        <v>885</v>
      </c>
    </row>
    <row r="1142" customFormat="false" ht="25.5" hidden="false" customHeight="true" outlineLevel="0" collapsed="false">
      <c r="A1142" s="49" t="s">
        <v>1104</v>
      </c>
      <c r="B1142" s="49" t="s">
        <v>977</v>
      </c>
      <c r="C1142" s="49" t="s">
        <v>1081</v>
      </c>
      <c r="D1142" s="49" t="s">
        <v>1073</v>
      </c>
      <c r="E1142" s="49" t="s">
        <v>1082</v>
      </c>
      <c r="F1142" s="49" t="s">
        <v>1083</v>
      </c>
      <c r="G1142" s="49" t="s">
        <v>772</v>
      </c>
      <c r="H1142" s="49" t="s">
        <v>1132</v>
      </c>
      <c r="I1142" s="49" t="s">
        <v>885</v>
      </c>
    </row>
    <row r="1143" customFormat="false" ht="25.5" hidden="false" customHeight="true" outlineLevel="0" collapsed="false">
      <c r="A1143" s="49" t="s">
        <v>1104</v>
      </c>
      <c r="B1143" s="49" t="s">
        <v>932</v>
      </c>
      <c r="C1143" s="49" t="s">
        <v>933</v>
      </c>
      <c r="D1143" s="49"/>
      <c r="E1143" s="49" t="s">
        <v>882</v>
      </c>
      <c r="F1143" s="49" t="s">
        <v>934</v>
      </c>
      <c r="G1143" s="49" t="s">
        <v>772</v>
      </c>
      <c r="H1143" s="49" t="s">
        <v>1132</v>
      </c>
      <c r="I1143" s="49" t="s">
        <v>885</v>
      </c>
    </row>
    <row r="1144" customFormat="false" ht="25.5" hidden="false" customHeight="true" outlineLevel="0" collapsed="false">
      <c r="A1144" s="49" t="s">
        <v>1104</v>
      </c>
      <c r="B1144" s="49" t="s">
        <v>932</v>
      </c>
      <c r="C1144" s="49" t="s">
        <v>1552</v>
      </c>
      <c r="D1144" s="49"/>
      <c r="E1144" s="49" t="s">
        <v>1553</v>
      </c>
      <c r="F1144" s="49" t="s">
        <v>1554</v>
      </c>
      <c r="G1144" s="49" t="s">
        <v>772</v>
      </c>
      <c r="H1144" s="49" t="s">
        <v>1132</v>
      </c>
      <c r="I1144" s="49" t="s">
        <v>885</v>
      </c>
    </row>
    <row r="1145" customFormat="false" ht="25.5" hidden="false" customHeight="true" outlineLevel="0" collapsed="false">
      <c r="A1145" s="49" t="s">
        <v>1104</v>
      </c>
      <c r="B1145" s="49" t="s">
        <v>932</v>
      </c>
      <c r="C1145" s="49" t="s">
        <v>1555</v>
      </c>
      <c r="D1145" s="49" t="s">
        <v>1090</v>
      </c>
      <c r="E1145" s="49" t="s">
        <v>1186</v>
      </c>
      <c r="F1145" s="49" t="s">
        <v>1556</v>
      </c>
      <c r="G1145" s="49" t="s">
        <v>772</v>
      </c>
      <c r="H1145" s="49" t="s">
        <v>1132</v>
      </c>
      <c r="I1145" s="49" t="s">
        <v>885</v>
      </c>
    </row>
    <row r="1146" customFormat="false" ht="25.5" hidden="false" customHeight="true" outlineLevel="0" collapsed="false">
      <c r="A1146" s="49" t="s">
        <v>1104</v>
      </c>
      <c r="B1146" s="49" t="s">
        <v>932</v>
      </c>
      <c r="C1146" s="49" t="s">
        <v>984</v>
      </c>
      <c r="D1146" s="49" t="s">
        <v>936</v>
      </c>
      <c r="E1146" s="49" t="s">
        <v>985</v>
      </c>
      <c r="F1146" s="49" t="s">
        <v>986</v>
      </c>
      <c r="G1146" s="49" t="s">
        <v>776</v>
      </c>
      <c r="H1146" s="49" t="s">
        <v>1617</v>
      </c>
      <c r="I1146" s="49" t="s">
        <v>885</v>
      </c>
    </row>
    <row r="1147" customFormat="false" ht="25.5" hidden="false" customHeight="true" outlineLevel="0" collapsed="false">
      <c r="A1147" s="49" t="s">
        <v>1104</v>
      </c>
      <c r="B1147" s="49" t="s">
        <v>932</v>
      </c>
      <c r="C1147" s="49" t="s">
        <v>1086</v>
      </c>
      <c r="D1147" s="49" t="s">
        <v>929</v>
      </c>
      <c r="E1147" s="49" t="s">
        <v>1087</v>
      </c>
      <c r="F1147" s="49" t="s">
        <v>1088</v>
      </c>
      <c r="G1147" s="49" t="s">
        <v>772</v>
      </c>
      <c r="H1147" s="49" t="s">
        <v>1132</v>
      </c>
      <c r="I1147" s="49" t="s">
        <v>885</v>
      </c>
    </row>
    <row r="1148" customFormat="false" ht="25.5" hidden="false" customHeight="true" outlineLevel="0" collapsed="false">
      <c r="A1148" s="49" t="s">
        <v>1104</v>
      </c>
      <c r="B1148" s="49" t="s">
        <v>932</v>
      </c>
      <c r="C1148" s="49" t="s">
        <v>1089</v>
      </c>
      <c r="D1148" s="49" t="s">
        <v>1090</v>
      </c>
      <c r="E1148" s="49" t="s">
        <v>1091</v>
      </c>
      <c r="F1148" s="49" t="s">
        <v>1092</v>
      </c>
      <c r="G1148" s="49" t="s">
        <v>772</v>
      </c>
      <c r="H1148" s="49" t="s">
        <v>1132</v>
      </c>
      <c r="I1148" s="49" t="s">
        <v>885</v>
      </c>
    </row>
    <row r="1149" customFormat="false" ht="25.5" hidden="false" customHeight="true" outlineLevel="0" collapsed="false">
      <c r="A1149" s="49" t="s">
        <v>1104</v>
      </c>
      <c r="B1149" s="49" t="s">
        <v>932</v>
      </c>
      <c r="C1149" s="49" t="s">
        <v>1093</v>
      </c>
      <c r="D1149" s="49" t="s">
        <v>936</v>
      </c>
      <c r="E1149" s="49" t="s">
        <v>146</v>
      </c>
      <c r="F1149" s="49" t="s">
        <v>1094</v>
      </c>
      <c r="G1149" s="49" t="s">
        <v>772</v>
      </c>
      <c r="H1149" s="49" t="s">
        <v>1132</v>
      </c>
      <c r="I1149" s="49" t="s">
        <v>885</v>
      </c>
    </row>
    <row r="1150" customFormat="false" ht="25.5" hidden="false" customHeight="true" outlineLevel="0" collapsed="false">
      <c r="A1150" s="49" t="s">
        <v>1104</v>
      </c>
      <c r="B1150" s="49" t="s">
        <v>932</v>
      </c>
      <c r="C1150" s="49" t="s">
        <v>935</v>
      </c>
      <c r="D1150" s="49" t="s">
        <v>936</v>
      </c>
      <c r="E1150" s="49" t="s">
        <v>882</v>
      </c>
      <c r="F1150" s="49" t="s">
        <v>937</v>
      </c>
      <c r="G1150" s="49" t="s">
        <v>772</v>
      </c>
      <c r="H1150" s="49" t="s">
        <v>1132</v>
      </c>
      <c r="I1150" s="49" t="s">
        <v>885</v>
      </c>
    </row>
    <row r="1151" customFormat="false" ht="25.5" hidden="false" customHeight="true" outlineLevel="0" collapsed="false">
      <c r="A1151" s="49" t="s">
        <v>1104</v>
      </c>
      <c r="B1151" s="49" t="s">
        <v>932</v>
      </c>
      <c r="C1151" s="49" t="s">
        <v>1096</v>
      </c>
      <c r="D1151" s="49" t="s">
        <v>936</v>
      </c>
      <c r="E1151" s="49" t="s">
        <v>1097</v>
      </c>
      <c r="F1151" s="49" t="s">
        <v>1098</v>
      </c>
      <c r="G1151" s="49" t="s">
        <v>772</v>
      </c>
      <c r="H1151" s="49" t="s">
        <v>1132</v>
      </c>
      <c r="I1151" s="49" t="s">
        <v>885</v>
      </c>
    </row>
    <row r="1152" customFormat="false" ht="25.5" hidden="false" customHeight="true" outlineLevel="0" collapsed="false">
      <c r="A1152" s="49" t="s">
        <v>1104</v>
      </c>
      <c r="B1152" s="49" t="s">
        <v>939</v>
      </c>
      <c r="C1152" s="49" t="s">
        <v>940</v>
      </c>
      <c r="D1152" s="49"/>
      <c r="E1152" s="49" t="s">
        <v>893</v>
      </c>
      <c r="F1152" s="49" t="s">
        <v>941</v>
      </c>
      <c r="G1152" s="49" t="s">
        <v>772</v>
      </c>
      <c r="H1152" s="49" t="s">
        <v>1132</v>
      </c>
      <c r="I1152" s="49" t="s">
        <v>885</v>
      </c>
    </row>
    <row r="1153" customFormat="false" ht="25.5" hidden="false" customHeight="true" outlineLevel="0" collapsed="false">
      <c r="A1153" s="49" t="s">
        <v>1104</v>
      </c>
      <c r="B1153" s="49" t="s">
        <v>939</v>
      </c>
      <c r="C1153" s="49" t="s">
        <v>1099</v>
      </c>
      <c r="D1153" s="49" t="s">
        <v>1100</v>
      </c>
      <c r="E1153" s="49" t="s">
        <v>1101</v>
      </c>
      <c r="F1153" s="49" t="s">
        <v>993</v>
      </c>
      <c r="G1153" s="49" t="s">
        <v>772</v>
      </c>
      <c r="H1153" s="49" t="s">
        <v>1132</v>
      </c>
      <c r="I1153" s="49" t="s">
        <v>885</v>
      </c>
    </row>
    <row r="1154" customFormat="false" ht="25.5" hidden="false" customHeight="true" outlineLevel="0" collapsed="false">
      <c r="A1154" s="49" t="s">
        <v>1104</v>
      </c>
      <c r="B1154" s="49" t="s">
        <v>939</v>
      </c>
      <c r="C1154" s="49" t="s">
        <v>1557</v>
      </c>
      <c r="D1154" s="49" t="s">
        <v>988</v>
      </c>
      <c r="E1154" s="49" t="s">
        <v>1186</v>
      </c>
      <c r="F1154" s="49" t="s">
        <v>993</v>
      </c>
      <c r="G1154" s="49" t="s">
        <v>772</v>
      </c>
      <c r="H1154" s="49" t="s">
        <v>1132</v>
      </c>
      <c r="I1154" s="49" t="s">
        <v>885</v>
      </c>
    </row>
    <row r="1155" customFormat="false" ht="25.5" hidden="false" customHeight="true" outlineLevel="0" collapsed="false">
      <c r="A1155" s="49" t="s">
        <v>1104</v>
      </c>
      <c r="B1155" s="49" t="s">
        <v>939</v>
      </c>
      <c r="C1155" s="49" t="s">
        <v>987</v>
      </c>
      <c r="D1155" s="49" t="s">
        <v>988</v>
      </c>
      <c r="E1155" s="49" t="s">
        <v>217</v>
      </c>
      <c r="F1155" s="49" t="s">
        <v>989</v>
      </c>
      <c r="G1155" s="49" t="s">
        <v>776</v>
      </c>
      <c r="H1155" s="49" t="s">
        <v>1617</v>
      </c>
      <c r="I1155" s="49" t="s">
        <v>885</v>
      </c>
    </row>
    <row r="1156" customFormat="false" ht="25.5" hidden="false" customHeight="true" outlineLevel="0" collapsed="false">
      <c r="A1156" s="49" t="s">
        <v>1104</v>
      </c>
      <c r="B1156" s="49" t="s">
        <v>939</v>
      </c>
      <c r="C1156" s="49" t="s">
        <v>1102</v>
      </c>
      <c r="D1156" s="49" t="s">
        <v>988</v>
      </c>
      <c r="E1156" s="49" t="s">
        <v>146</v>
      </c>
      <c r="F1156" s="49" t="s">
        <v>993</v>
      </c>
      <c r="G1156" s="49" t="s">
        <v>772</v>
      </c>
      <c r="H1156" s="49" t="s">
        <v>1132</v>
      </c>
      <c r="I1156" s="49" t="s">
        <v>885</v>
      </c>
    </row>
    <row r="1157" customFormat="false" ht="25.5" hidden="false" customHeight="true" outlineLevel="0" collapsed="false">
      <c r="A1157" s="49" t="s">
        <v>1104</v>
      </c>
      <c r="B1157" s="49" t="s">
        <v>939</v>
      </c>
      <c r="C1157" s="49" t="s">
        <v>1103</v>
      </c>
      <c r="D1157" s="49" t="s">
        <v>1100</v>
      </c>
      <c r="E1157" s="49" t="s">
        <v>146</v>
      </c>
      <c r="F1157" s="49" t="s">
        <v>993</v>
      </c>
      <c r="G1157" s="49" t="s">
        <v>772</v>
      </c>
      <c r="H1157" s="49" t="s">
        <v>1132</v>
      </c>
      <c r="I1157" s="49" t="s">
        <v>885</v>
      </c>
    </row>
    <row r="1158" customFormat="false" ht="25.5" hidden="false" customHeight="true" outlineLevel="0" collapsed="false">
      <c r="A1158" s="49" t="s">
        <v>1104</v>
      </c>
      <c r="B1158" s="49" t="s">
        <v>939</v>
      </c>
      <c r="C1158" s="49" t="s">
        <v>1558</v>
      </c>
      <c r="D1158" s="49" t="s">
        <v>1559</v>
      </c>
      <c r="E1158" s="49" t="s">
        <v>1533</v>
      </c>
      <c r="F1158" s="49" t="s">
        <v>1560</v>
      </c>
      <c r="G1158" s="49" t="s">
        <v>772</v>
      </c>
      <c r="H1158" s="49" t="s">
        <v>1132</v>
      </c>
      <c r="I1158" s="49" t="s">
        <v>885</v>
      </c>
    </row>
    <row r="1159" customFormat="false" ht="25.5" hidden="false" customHeight="true" outlineLevel="0" collapsed="false">
      <c r="A1159" s="49" t="s">
        <v>1104</v>
      </c>
      <c r="B1159" s="49" t="s">
        <v>939</v>
      </c>
      <c r="C1159" s="49" t="s">
        <v>1109</v>
      </c>
      <c r="D1159" s="49" t="s">
        <v>1110</v>
      </c>
      <c r="E1159" s="49" t="s">
        <v>1111</v>
      </c>
      <c r="F1159" s="49" t="s">
        <v>941</v>
      </c>
      <c r="G1159" s="49" t="s">
        <v>776</v>
      </c>
      <c r="H1159" s="49" t="s">
        <v>1619</v>
      </c>
      <c r="I1159" s="49" t="s">
        <v>885</v>
      </c>
    </row>
    <row r="1160" customFormat="false" ht="25.5" hidden="false" customHeight="true" outlineLevel="0" collapsed="false">
      <c r="A1160" s="49" t="s">
        <v>1104</v>
      </c>
      <c r="B1160" s="49" t="s">
        <v>939</v>
      </c>
      <c r="C1160" s="49" t="s">
        <v>1561</v>
      </c>
      <c r="D1160" s="49" t="s">
        <v>1110</v>
      </c>
      <c r="E1160" s="49" t="s">
        <v>1186</v>
      </c>
      <c r="F1160" s="49" t="s">
        <v>993</v>
      </c>
      <c r="G1160" s="49" t="s">
        <v>772</v>
      </c>
      <c r="H1160" s="49" t="s">
        <v>1132</v>
      </c>
      <c r="I1160" s="49" t="s">
        <v>885</v>
      </c>
    </row>
    <row r="1161" customFormat="false" ht="25.5" hidden="false" customHeight="true" outlineLevel="0" collapsed="false">
      <c r="A1161" s="51" t="s">
        <v>1104</v>
      </c>
      <c r="B1161" s="51" t="s">
        <v>939</v>
      </c>
      <c r="C1161" s="51" t="s">
        <v>990</v>
      </c>
      <c r="D1161" s="51" t="s">
        <v>991</v>
      </c>
      <c r="E1161" s="51" t="s">
        <v>992</v>
      </c>
      <c r="F1161" s="51" t="s">
        <v>993</v>
      </c>
      <c r="G1161" s="52" t="s">
        <v>910</v>
      </c>
      <c r="H1161" s="51" t="s">
        <v>1624</v>
      </c>
      <c r="I1161" s="51" t="s">
        <v>912</v>
      </c>
    </row>
    <row r="1162" customFormat="false" ht="25.5" hidden="false" customHeight="true" outlineLevel="0" collapsed="false">
      <c r="A1162" s="49" t="s">
        <v>1104</v>
      </c>
      <c r="B1162" s="49" t="s">
        <v>939</v>
      </c>
      <c r="C1162" s="49" t="s">
        <v>1112</v>
      </c>
      <c r="D1162" s="49" t="s">
        <v>991</v>
      </c>
      <c r="E1162" s="49" t="s">
        <v>1113</v>
      </c>
      <c r="F1162" s="49" t="s">
        <v>941</v>
      </c>
      <c r="G1162" s="49" t="s">
        <v>776</v>
      </c>
      <c r="H1162" s="49" t="s">
        <v>1619</v>
      </c>
      <c r="I1162" s="49" t="s">
        <v>885</v>
      </c>
    </row>
    <row r="1163" customFormat="false" ht="25.5" hidden="false" customHeight="true" outlineLevel="0" collapsed="false">
      <c r="A1163" s="49" t="s">
        <v>1114</v>
      </c>
      <c r="B1163" s="49" t="s">
        <v>1562</v>
      </c>
      <c r="C1163" s="49" t="s">
        <v>1563</v>
      </c>
      <c r="D1163" s="49" t="s">
        <v>1208</v>
      </c>
      <c r="E1163" s="49" t="s">
        <v>843</v>
      </c>
      <c r="F1163" s="49" t="s">
        <v>1564</v>
      </c>
      <c r="G1163" s="49" t="s">
        <v>772</v>
      </c>
      <c r="H1163" s="49" t="s">
        <v>1132</v>
      </c>
      <c r="I1163" s="49" t="s">
        <v>885</v>
      </c>
    </row>
    <row r="1164" customFormat="false" ht="25.5" hidden="false" customHeight="true" outlineLevel="0" collapsed="false">
      <c r="A1164" s="49" t="s">
        <v>1114</v>
      </c>
      <c r="B1164" s="49" t="s">
        <v>1562</v>
      </c>
      <c r="C1164" s="49" t="s">
        <v>1565</v>
      </c>
      <c r="D1164" s="49" t="s">
        <v>1199</v>
      </c>
      <c r="E1164" s="49" t="s">
        <v>1135</v>
      </c>
      <c r="F1164" s="49" t="s">
        <v>1566</v>
      </c>
      <c r="G1164" s="49" t="s">
        <v>772</v>
      </c>
      <c r="H1164" s="49" t="s">
        <v>1132</v>
      </c>
      <c r="I1164" s="49" t="s">
        <v>885</v>
      </c>
    </row>
    <row r="1165" customFormat="false" ht="25.5" hidden="false" customHeight="true" outlineLevel="0" collapsed="false">
      <c r="A1165" s="49" t="s">
        <v>1114</v>
      </c>
      <c r="B1165" s="49" t="s">
        <v>1562</v>
      </c>
      <c r="C1165" s="49" t="s">
        <v>1567</v>
      </c>
      <c r="D1165" s="49" t="s">
        <v>1218</v>
      </c>
      <c r="E1165" s="49" t="s">
        <v>1568</v>
      </c>
      <c r="F1165" s="49" t="s">
        <v>1569</v>
      </c>
      <c r="G1165" s="49" t="s">
        <v>772</v>
      </c>
      <c r="H1165" s="49" t="s">
        <v>1132</v>
      </c>
      <c r="I1165" s="49" t="s">
        <v>885</v>
      </c>
    </row>
    <row r="1166" customFormat="false" ht="25.5" hidden="false" customHeight="true" outlineLevel="0" collapsed="false">
      <c r="A1166" s="49" t="s">
        <v>1114</v>
      </c>
      <c r="B1166" s="49" t="s">
        <v>1562</v>
      </c>
      <c r="C1166" s="49" t="s">
        <v>1570</v>
      </c>
      <c r="D1166" s="49" t="s">
        <v>1208</v>
      </c>
      <c r="E1166" s="49" t="s">
        <v>1571</v>
      </c>
      <c r="F1166" s="49" t="s">
        <v>1572</v>
      </c>
      <c r="G1166" s="49" t="s">
        <v>772</v>
      </c>
      <c r="H1166" s="49" t="s">
        <v>1132</v>
      </c>
      <c r="I1166" s="49" t="s">
        <v>885</v>
      </c>
    </row>
    <row r="1167" customFormat="false" ht="25.5" hidden="false" customHeight="true" outlineLevel="0" collapsed="false">
      <c r="A1167" s="49" t="s">
        <v>1114</v>
      </c>
      <c r="B1167" s="49" t="s">
        <v>1562</v>
      </c>
      <c r="C1167" s="49" t="s">
        <v>1573</v>
      </c>
      <c r="D1167" s="49" t="s">
        <v>1151</v>
      </c>
      <c r="E1167" s="49" t="s">
        <v>1135</v>
      </c>
      <c r="F1167" s="49" t="s">
        <v>1574</v>
      </c>
      <c r="G1167" s="49" t="s">
        <v>772</v>
      </c>
      <c r="H1167" s="49" t="s">
        <v>1132</v>
      </c>
      <c r="I1167" s="49" t="s">
        <v>885</v>
      </c>
    </row>
    <row r="1168" customFormat="false" ht="25.5" hidden="false" customHeight="true" outlineLevel="0" collapsed="false">
      <c r="A1168" s="49" t="s">
        <v>1114</v>
      </c>
      <c r="B1168" s="49" t="s">
        <v>1562</v>
      </c>
      <c r="C1168" s="49" t="s">
        <v>1575</v>
      </c>
      <c r="D1168" s="49" t="s">
        <v>1218</v>
      </c>
      <c r="E1168" s="49" t="s">
        <v>1395</v>
      </c>
      <c r="F1168" s="49" t="s">
        <v>1533</v>
      </c>
      <c r="G1168" s="49" t="s">
        <v>772</v>
      </c>
      <c r="H1168" s="49" t="s">
        <v>1132</v>
      </c>
      <c r="I1168" s="49" t="s">
        <v>885</v>
      </c>
    </row>
    <row r="1169" customFormat="false" ht="25.5" hidden="false" customHeight="true" outlineLevel="0" collapsed="false">
      <c r="A1169" s="49" t="s">
        <v>1114</v>
      </c>
      <c r="B1169" s="49" t="s">
        <v>1562</v>
      </c>
      <c r="C1169" s="49" t="s">
        <v>1576</v>
      </c>
      <c r="D1169" s="49" t="s">
        <v>1199</v>
      </c>
      <c r="E1169" s="49" t="s">
        <v>1577</v>
      </c>
      <c r="F1169" s="49" t="s">
        <v>1578</v>
      </c>
      <c r="G1169" s="49" t="s">
        <v>772</v>
      </c>
      <c r="H1169" s="49" t="s">
        <v>1132</v>
      </c>
      <c r="I1169" s="49" t="s">
        <v>885</v>
      </c>
    </row>
    <row r="1170" customFormat="false" ht="25.5" hidden="false" customHeight="true" outlineLevel="0" collapsed="false">
      <c r="A1170" s="49" t="s">
        <v>1114</v>
      </c>
      <c r="B1170" s="49" t="s">
        <v>1562</v>
      </c>
      <c r="C1170" s="49" t="s">
        <v>1579</v>
      </c>
      <c r="D1170" s="49" t="s">
        <v>1208</v>
      </c>
      <c r="E1170" s="49" t="s">
        <v>146</v>
      </c>
      <c r="F1170" s="49" t="s">
        <v>1580</v>
      </c>
      <c r="G1170" s="49" t="s">
        <v>772</v>
      </c>
      <c r="H1170" s="49" t="s">
        <v>1132</v>
      </c>
      <c r="I1170" s="49" t="s">
        <v>885</v>
      </c>
    </row>
    <row r="1171" customFormat="false" ht="25.5" hidden="false" customHeight="true" outlineLevel="0" collapsed="false">
      <c r="A1171" s="49" t="s">
        <v>1114</v>
      </c>
      <c r="B1171" s="49" t="s">
        <v>1562</v>
      </c>
      <c r="C1171" s="49" t="s">
        <v>1581</v>
      </c>
      <c r="D1171" s="49" t="s">
        <v>1208</v>
      </c>
      <c r="E1171" s="49" t="s">
        <v>1226</v>
      </c>
      <c r="F1171" s="49" t="s">
        <v>1582</v>
      </c>
      <c r="G1171" s="49" t="s">
        <v>772</v>
      </c>
      <c r="H1171" s="49" t="s">
        <v>1132</v>
      </c>
      <c r="I1171" s="49" t="s">
        <v>885</v>
      </c>
    </row>
    <row r="1172" customFormat="false" ht="25.5" hidden="false" customHeight="true" outlineLevel="0" collapsed="false">
      <c r="A1172" s="49" t="s">
        <v>1114</v>
      </c>
      <c r="B1172" s="49" t="s">
        <v>1562</v>
      </c>
      <c r="C1172" s="49" t="s">
        <v>1583</v>
      </c>
      <c r="D1172" s="49" t="s">
        <v>1151</v>
      </c>
      <c r="E1172" s="49" t="s">
        <v>1395</v>
      </c>
      <c r="F1172" s="49" t="s">
        <v>1533</v>
      </c>
      <c r="G1172" s="49" t="s">
        <v>772</v>
      </c>
      <c r="H1172" s="49" t="s">
        <v>1132</v>
      </c>
      <c r="I1172" s="49" t="s">
        <v>885</v>
      </c>
    </row>
    <row r="1173" customFormat="false" ht="25.5" hidden="false" customHeight="true" outlineLevel="0" collapsed="false">
      <c r="A1173" s="49" t="s">
        <v>1114</v>
      </c>
      <c r="B1173" s="49" t="s">
        <v>1562</v>
      </c>
      <c r="C1173" s="49" t="s">
        <v>1584</v>
      </c>
      <c r="D1173" s="49" t="s">
        <v>1199</v>
      </c>
      <c r="E1173" s="49" t="s">
        <v>1186</v>
      </c>
      <c r="F1173" s="49" t="s">
        <v>1585</v>
      </c>
      <c r="G1173" s="49" t="s">
        <v>772</v>
      </c>
      <c r="H1173" s="49" t="s">
        <v>1132</v>
      </c>
      <c r="I1173" s="49" t="s">
        <v>885</v>
      </c>
    </row>
    <row r="1174" customFormat="false" ht="25.5" hidden="false" customHeight="true" outlineLevel="0" collapsed="false">
      <c r="A1174" s="49" t="s">
        <v>1114</v>
      </c>
      <c r="B1174" s="49" t="s">
        <v>1562</v>
      </c>
      <c r="C1174" s="49" t="s">
        <v>1586</v>
      </c>
      <c r="D1174" s="49" t="s">
        <v>1218</v>
      </c>
      <c r="E1174" s="49" t="s">
        <v>1135</v>
      </c>
      <c r="F1174" s="49" t="s">
        <v>1587</v>
      </c>
      <c r="G1174" s="49" t="s">
        <v>772</v>
      </c>
      <c r="H1174" s="49" t="s">
        <v>1132</v>
      </c>
      <c r="I1174" s="49" t="s">
        <v>885</v>
      </c>
    </row>
    <row r="1175" customFormat="false" ht="25.5" hidden="false" customHeight="true" outlineLevel="0" collapsed="false">
      <c r="A1175" s="49" t="s">
        <v>1114</v>
      </c>
      <c r="B1175" s="49" t="s">
        <v>1562</v>
      </c>
      <c r="C1175" s="49" t="s">
        <v>1171</v>
      </c>
      <c r="D1175" s="49" t="s">
        <v>1172</v>
      </c>
      <c r="E1175" s="49" t="s">
        <v>1173</v>
      </c>
      <c r="F1175" s="49" t="s">
        <v>1197</v>
      </c>
      <c r="G1175" s="49" t="s">
        <v>772</v>
      </c>
      <c r="H1175" s="49" t="s">
        <v>1132</v>
      </c>
      <c r="I1175" s="49" t="s">
        <v>885</v>
      </c>
    </row>
    <row r="1176" customFormat="false" ht="25.5" hidden="false" customHeight="true" outlineLevel="0" collapsed="false">
      <c r="A1176" s="49" t="s">
        <v>1114</v>
      </c>
      <c r="B1176" s="49" t="s">
        <v>1562</v>
      </c>
      <c r="C1176" s="49" t="s">
        <v>1588</v>
      </c>
      <c r="D1176" s="49" t="s">
        <v>1199</v>
      </c>
      <c r="E1176" s="49" t="s">
        <v>217</v>
      </c>
      <c r="F1176" s="49" t="s">
        <v>1589</v>
      </c>
      <c r="G1176" s="49" t="s">
        <v>772</v>
      </c>
      <c r="H1176" s="49" t="s">
        <v>1132</v>
      </c>
      <c r="I1176" s="49" t="s">
        <v>885</v>
      </c>
    </row>
    <row r="1177" customFormat="false" ht="25.5" hidden="false" customHeight="true" outlineLevel="0" collapsed="false">
      <c r="A1177" s="49" t="s">
        <v>1114</v>
      </c>
      <c r="B1177" s="49" t="s">
        <v>1562</v>
      </c>
      <c r="C1177" s="49" t="s">
        <v>1590</v>
      </c>
      <c r="D1177" s="49" t="s">
        <v>1151</v>
      </c>
      <c r="E1177" s="49" t="s">
        <v>1520</v>
      </c>
      <c r="F1177" s="49" t="s">
        <v>1591</v>
      </c>
      <c r="G1177" s="49" t="s">
        <v>772</v>
      </c>
      <c r="H1177" s="49" t="s">
        <v>1132</v>
      </c>
      <c r="I1177" s="49" t="s">
        <v>885</v>
      </c>
    </row>
    <row r="1178" customFormat="false" ht="25.5" hidden="false" customHeight="true" outlineLevel="0" collapsed="false">
      <c r="A1178" s="49" t="s">
        <v>1114</v>
      </c>
      <c r="B1178" s="49" t="s">
        <v>1562</v>
      </c>
      <c r="C1178" s="49" t="s">
        <v>1592</v>
      </c>
      <c r="D1178" s="49" t="s">
        <v>1148</v>
      </c>
      <c r="E1178" s="49" t="s">
        <v>217</v>
      </c>
      <c r="F1178" s="49" t="s">
        <v>1593</v>
      </c>
      <c r="G1178" s="49" t="s">
        <v>772</v>
      </c>
      <c r="H1178" s="49" t="s">
        <v>1132</v>
      </c>
      <c r="I1178" s="49" t="s">
        <v>885</v>
      </c>
    </row>
    <row r="1179" customFormat="false" ht="25.5" hidden="false" customHeight="true" outlineLevel="0" collapsed="false">
      <c r="A1179" s="49" t="s">
        <v>1114</v>
      </c>
      <c r="B1179" s="49" t="s">
        <v>1562</v>
      </c>
      <c r="C1179" s="49" t="s">
        <v>1594</v>
      </c>
      <c r="D1179" s="49" t="s">
        <v>1151</v>
      </c>
      <c r="E1179" s="49" t="s">
        <v>671</v>
      </c>
      <c r="F1179" s="49" t="s">
        <v>1595</v>
      </c>
      <c r="G1179" s="49" t="s">
        <v>772</v>
      </c>
      <c r="H1179" s="49" t="s">
        <v>1132</v>
      </c>
      <c r="I1179" s="49" t="s">
        <v>885</v>
      </c>
    </row>
    <row r="1180" customFormat="false" ht="25.5" hidden="false" customHeight="true" outlineLevel="0" collapsed="false">
      <c r="A1180" s="49" t="s">
        <v>1114</v>
      </c>
      <c r="B1180" s="49" t="s">
        <v>1127</v>
      </c>
      <c r="C1180" s="49" t="s">
        <v>1596</v>
      </c>
      <c r="D1180" s="49" t="s">
        <v>1218</v>
      </c>
      <c r="E1180" s="49" t="s">
        <v>1135</v>
      </c>
      <c r="F1180" s="49" t="s">
        <v>1216</v>
      </c>
      <c r="G1180" s="49" t="s">
        <v>772</v>
      </c>
      <c r="H1180" s="49" t="s">
        <v>1132</v>
      </c>
      <c r="I1180" s="49" t="s">
        <v>885</v>
      </c>
    </row>
    <row r="1181" customFormat="false" ht="25.5" hidden="false" customHeight="true" outlineLevel="0" collapsed="false">
      <c r="A1181" s="49" t="s">
        <v>1114</v>
      </c>
      <c r="B1181" s="49" t="s">
        <v>1127</v>
      </c>
      <c r="C1181" s="49" t="s">
        <v>1597</v>
      </c>
      <c r="D1181" s="49" t="s">
        <v>1218</v>
      </c>
      <c r="E1181" s="49" t="s">
        <v>1183</v>
      </c>
      <c r="F1181" s="49" t="s">
        <v>1598</v>
      </c>
      <c r="G1181" s="49" t="s">
        <v>772</v>
      </c>
      <c r="H1181" s="49" t="s">
        <v>1132</v>
      </c>
      <c r="I1181" s="49" t="s">
        <v>885</v>
      </c>
    </row>
    <row r="1182" customFormat="false" ht="25.5" hidden="false" customHeight="true" outlineLevel="0" collapsed="false">
      <c r="A1182" s="49" t="s">
        <v>1114</v>
      </c>
      <c r="B1182" s="49" t="s">
        <v>1127</v>
      </c>
      <c r="C1182" s="49" t="s">
        <v>1599</v>
      </c>
      <c r="D1182" s="49" t="s">
        <v>1151</v>
      </c>
      <c r="E1182" s="49" t="s">
        <v>1135</v>
      </c>
      <c r="F1182" s="49" t="s">
        <v>1600</v>
      </c>
      <c r="G1182" s="49" t="s">
        <v>772</v>
      </c>
      <c r="H1182" s="49" t="s">
        <v>1132</v>
      </c>
      <c r="I1182" s="49" t="s">
        <v>885</v>
      </c>
    </row>
    <row r="1183" customFormat="false" ht="25.5" hidden="false" customHeight="true" outlineLevel="0" collapsed="false">
      <c r="A1183" s="49" t="s">
        <v>1114</v>
      </c>
      <c r="B1183" s="49" t="s">
        <v>1127</v>
      </c>
      <c r="C1183" s="49" t="s">
        <v>1601</v>
      </c>
      <c r="D1183" s="49" t="s">
        <v>1218</v>
      </c>
      <c r="E1183" s="49" t="s">
        <v>893</v>
      </c>
      <c r="F1183" s="49" t="s">
        <v>1602</v>
      </c>
      <c r="G1183" s="49" t="s">
        <v>772</v>
      </c>
      <c r="H1183" s="49" t="s">
        <v>1132</v>
      </c>
      <c r="I1183" s="49" t="s">
        <v>885</v>
      </c>
    </row>
    <row r="1184" customFormat="false" ht="25.5" hidden="false" customHeight="true" outlineLevel="0" collapsed="false">
      <c r="A1184" s="49" t="s">
        <v>1114</v>
      </c>
      <c r="B1184" s="49" t="s">
        <v>1127</v>
      </c>
      <c r="C1184" s="49" t="s">
        <v>1603</v>
      </c>
      <c r="D1184" s="49" t="s">
        <v>1162</v>
      </c>
      <c r="E1184" s="49" t="s">
        <v>1163</v>
      </c>
      <c r="F1184" s="49" t="s">
        <v>1604</v>
      </c>
      <c r="G1184" s="49" t="s">
        <v>772</v>
      </c>
      <c r="H1184" s="49" t="s">
        <v>1132</v>
      </c>
      <c r="I1184" s="49" t="s">
        <v>885</v>
      </c>
    </row>
    <row r="1185" customFormat="false" ht="25.5" hidden="false" customHeight="true" outlineLevel="0" collapsed="false">
      <c r="A1185" s="49" t="s">
        <v>1114</v>
      </c>
      <c r="B1185" s="49" t="s">
        <v>1127</v>
      </c>
      <c r="C1185" s="49" t="s">
        <v>1605</v>
      </c>
      <c r="D1185" s="49" t="s">
        <v>1218</v>
      </c>
      <c r="E1185" s="49" t="s">
        <v>1135</v>
      </c>
      <c r="F1185" s="49" t="s">
        <v>1136</v>
      </c>
      <c r="G1185" s="49" t="s">
        <v>772</v>
      </c>
      <c r="H1185" s="49" t="s">
        <v>1132</v>
      </c>
      <c r="I1185" s="49" t="s">
        <v>885</v>
      </c>
    </row>
    <row r="1186" customFormat="false" ht="25.5" hidden="false" customHeight="true" outlineLevel="0" collapsed="false">
      <c r="A1186" s="49" t="s">
        <v>1114</v>
      </c>
      <c r="B1186" s="49" t="s">
        <v>1127</v>
      </c>
      <c r="C1186" s="49" t="s">
        <v>1606</v>
      </c>
      <c r="D1186" s="49" t="s">
        <v>1148</v>
      </c>
      <c r="E1186" s="49" t="s">
        <v>893</v>
      </c>
      <c r="F1186" s="49" t="s">
        <v>1607</v>
      </c>
      <c r="G1186" s="49" t="s">
        <v>772</v>
      </c>
      <c r="H1186" s="49" t="s">
        <v>1132</v>
      </c>
      <c r="I1186" s="49" t="s">
        <v>885</v>
      </c>
    </row>
    <row r="1187" customFormat="false" ht="25.5" hidden="false" customHeight="true" outlineLevel="0" collapsed="false">
      <c r="A1187" s="49" t="s">
        <v>1114</v>
      </c>
      <c r="B1187" s="49" t="s">
        <v>1127</v>
      </c>
      <c r="C1187" s="49" t="s">
        <v>1608</v>
      </c>
      <c r="D1187" s="49" t="s">
        <v>1218</v>
      </c>
      <c r="E1187" s="49" t="s">
        <v>1609</v>
      </c>
      <c r="F1187" s="49" t="s">
        <v>1610</v>
      </c>
      <c r="G1187" s="49" t="s">
        <v>772</v>
      </c>
      <c r="H1187" s="49" t="s">
        <v>1132</v>
      </c>
      <c r="I1187" s="49" t="s">
        <v>885</v>
      </c>
    </row>
    <row r="1188" customFormat="false" ht="25.5" hidden="false" customHeight="true" outlineLevel="0" collapsed="false">
      <c r="A1188" s="49" t="s">
        <v>1114</v>
      </c>
      <c r="B1188" s="49" t="s">
        <v>1127</v>
      </c>
      <c r="C1188" s="49" t="s">
        <v>1611</v>
      </c>
      <c r="D1188" s="49" t="s">
        <v>1151</v>
      </c>
      <c r="E1188" s="49" t="s">
        <v>1135</v>
      </c>
      <c r="F1188" s="49" t="s">
        <v>1600</v>
      </c>
      <c r="G1188" s="49" t="s">
        <v>772</v>
      </c>
      <c r="H1188" s="49" t="s">
        <v>1132</v>
      </c>
      <c r="I1188" s="49" t="s">
        <v>885</v>
      </c>
    </row>
    <row r="1189" customFormat="false" ht="25.5" hidden="false" customHeight="true" outlineLevel="0" collapsed="false">
      <c r="A1189" s="49" t="s">
        <v>1114</v>
      </c>
      <c r="B1189" s="49" t="s">
        <v>1127</v>
      </c>
      <c r="C1189" s="49" t="s">
        <v>1612</v>
      </c>
      <c r="D1189" s="49" t="s">
        <v>1218</v>
      </c>
      <c r="E1189" s="49" t="s">
        <v>1135</v>
      </c>
      <c r="F1189" s="49" t="s">
        <v>1170</v>
      </c>
      <c r="G1189" s="49" t="s">
        <v>772</v>
      </c>
      <c r="H1189" s="49" t="s">
        <v>1132</v>
      </c>
      <c r="I1189" s="49" t="s">
        <v>885</v>
      </c>
    </row>
    <row r="1190" customFormat="false" ht="25.5" hidden="false" customHeight="true" outlineLevel="0" collapsed="false">
      <c r="A1190" s="49" t="s">
        <v>1114</v>
      </c>
      <c r="B1190" s="49" t="s">
        <v>1127</v>
      </c>
      <c r="C1190" s="49" t="s">
        <v>1613</v>
      </c>
      <c r="D1190" s="49" t="s">
        <v>1208</v>
      </c>
      <c r="E1190" s="49" t="s">
        <v>1183</v>
      </c>
      <c r="F1190" s="49" t="s">
        <v>1614</v>
      </c>
      <c r="G1190" s="49" t="s">
        <v>772</v>
      </c>
      <c r="H1190" s="49" t="s">
        <v>1132</v>
      </c>
      <c r="I1190" s="49" t="s">
        <v>885</v>
      </c>
    </row>
    <row r="1191" customFormat="false" ht="25.5" hidden="false" customHeight="true" outlineLevel="0" collapsed="false">
      <c r="A1191" s="49" t="s">
        <v>1114</v>
      </c>
      <c r="B1191" s="49" t="s">
        <v>1127</v>
      </c>
      <c r="C1191" s="49" t="s">
        <v>1615</v>
      </c>
      <c r="D1191" s="49" t="s">
        <v>1129</v>
      </c>
      <c r="E1191" s="49" t="s">
        <v>1226</v>
      </c>
      <c r="F1191" s="49" t="s">
        <v>1616</v>
      </c>
      <c r="G1191" s="49" t="s">
        <v>772</v>
      </c>
      <c r="H1191" s="49" t="s">
        <v>1132</v>
      </c>
      <c r="I1191" s="49" t="s">
        <v>885</v>
      </c>
    </row>
    <row r="1192" customFormat="false" ht="25.5" hidden="false" customHeight="true" outlineLevel="0" collapsed="false">
      <c r="A1192" s="49" t="s">
        <v>1114</v>
      </c>
      <c r="B1192" s="49" t="s">
        <v>1127</v>
      </c>
      <c r="C1192" s="49" t="s">
        <v>1128</v>
      </c>
      <c r="D1192" s="49" t="s">
        <v>1129</v>
      </c>
      <c r="E1192" s="49" t="s">
        <v>1130</v>
      </c>
      <c r="F1192" s="49" t="s">
        <v>1131</v>
      </c>
      <c r="G1192" s="49" t="s">
        <v>772</v>
      </c>
      <c r="H1192" s="49" t="s">
        <v>1132</v>
      </c>
      <c r="I1192" s="49" t="s">
        <v>885</v>
      </c>
    </row>
    <row r="1193" customFormat="false" ht="25.5" hidden="false" customHeight="true" outlineLevel="0" collapsed="false">
      <c r="A1193" s="49" t="s">
        <v>1114</v>
      </c>
      <c r="B1193" s="49" t="s">
        <v>1127</v>
      </c>
      <c r="C1193" s="49" t="s">
        <v>1133</v>
      </c>
      <c r="D1193" s="49" t="s">
        <v>1134</v>
      </c>
      <c r="E1193" s="49" t="s">
        <v>1135</v>
      </c>
      <c r="F1193" s="49" t="s">
        <v>1136</v>
      </c>
      <c r="G1193" s="49" t="s">
        <v>772</v>
      </c>
      <c r="H1193" s="49" t="s">
        <v>1132</v>
      </c>
      <c r="I1193" s="49" t="s">
        <v>885</v>
      </c>
    </row>
    <row r="1194" customFormat="false" ht="25.5" hidden="false" customHeight="true" outlineLevel="0" collapsed="false">
      <c r="A1194" s="49" t="s">
        <v>1114</v>
      </c>
      <c r="B1194" s="49" t="s">
        <v>1127</v>
      </c>
      <c r="C1194" s="49" t="s">
        <v>1137</v>
      </c>
      <c r="D1194" s="49" t="s">
        <v>1129</v>
      </c>
      <c r="E1194" s="49" t="s">
        <v>1135</v>
      </c>
      <c r="F1194" s="49" t="s">
        <v>1138</v>
      </c>
      <c r="G1194" s="49" t="s">
        <v>772</v>
      </c>
      <c r="H1194" s="49" t="s">
        <v>1132</v>
      </c>
      <c r="I1194" s="49" t="s">
        <v>885</v>
      </c>
    </row>
    <row r="1195" customFormat="false" ht="25.5" hidden="false" customHeight="true" outlineLevel="0" collapsed="false">
      <c r="A1195" s="49" t="s">
        <v>1114</v>
      </c>
      <c r="B1195" s="49" t="s">
        <v>1127</v>
      </c>
      <c r="C1195" s="49" t="s">
        <v>1139</v>
      </c>
      <c r="D1195" s="49" t="s">
        <v>1134</v>
      </c>
      <c r="E1195" s="49" t="s">
        <v>1135</v>
      </c>
      <c r="F1195" s="49" t="s">
        <v>1136</v>
      </c>
      <c r="G1195" s="49" t="s">
        <v>772</v>
      </c>
      <c r="H1195" s="49" t="s">
        <v>1132</v>
      </c>
      <c r="I1195" s="49" t="s">
        <v>885</v>
      </c>
    </row>
    <row r="1196" customFormat="false" ht="25.5" hidden="false" customHeight="true" outlineLevel="0" collapsed="false">
      <c r="A1196" s="49" t="s">
        <v>1114</v>
      </c>
      <c r="B1196" s="49" t="s">
        <v>1127</v>
      </c>
      <c r="C1196" s="49" t="s">
        <v>1140</v>
      </c>
      <c r="D1196" s="49" t="s">
        <v>1141</v>
      </c>
      <c r="E1196" s="49" t="s">
        <v>1142</v>
      </c>
      <c r="F1196" s="49" t="s">
        <v>1143</v>
      </c>
      <c r="G1196" s="49" t="s">
        <v>772</v>
      </c>
      <c r="H1196" s="49" t="s">
        <v>1132</v>
      </c>
      <c r="I1196" s="49" t="s">
        <v>885</v>
      </c>
    </row>
    <row r="1197" customFormat="false" ht="25.5" hidden="false" customHeight="true" outlineLevel="0" collapsed="false">
      <c r="A1197" s="49" t="s">
        <v>1114</v>
      </c>
      <c r="B1197" s="49" t="s">
        <v>1127</v>
      </c>
      <c r="C1197" s="49" t="s">
        <v>1144</v>
      </c>
      <c r="D1197" s="49" t="s">
        <v>1134</v>
      </c>
      <c r="E1197" s="49" t="s">
        <v>1145</v>
      </c>
      <c r="F1197" s="49" t="s">
        <v>1146</v>
      </c>
      <c r="G1197" s="49" t="s">
        <v>772</v>
      </c>
      <c r="H1197" s="49" t="s">
        <v>1132</v>
      </c>
      <c r="I1197" s="49" t="s">
        <v>885</v>
      </c>
    </row>
    <row r="1198" customFormat="false" ht="25.5" hidden="false" customHeight="true" outlineLevel="0" collapsed="false">
      <c r="A1198" s="49" t="s">
        <v>1114</v>
      </c>
      <c r="B1198" s="49" t="s">
        <v>1127</v>
      </c>
      <c r="C1198" s="49" t="s">
        <v>1147</v>
      </c>
      <c r="D1198" s="49" t="s">
        <v>1148</v>
      </c>
      <c r="E1198" s="49" t="s">
        <v>1135</v>
      </c>
      <c r="F1198" s="49" t="s">
        <v>1136</v>
      </c>
      <c r="G1198" s="49" t="s">
        <v>772</v>
      </c>
      <c r="H1198" s="49" t="s">
        <v>1132</v>
      </c>
      <c r="I1198" s="49" t="s">
        <v>885</v>
      </c>
    </row>
    <row r="1199" customFormat="false" ht="25.5" hidden="false" customHeight="true" outlineLevel="0" collapsed="false">
      <c r="A1199" s="49" t="s">
        <v>1114</v>
      </c>
      <c r="B1199" s="49" t="s">
        <v>1127</v>
      </c>
      <c r="C1199" s="49" t="s">
        <v>1149</v>
      </c>
      <c r="D1199" s="49" t="s">
        <v>1134</v>
      </c>
      <c r="E1199" s="49" t="s">
        <v>1135</v>
      </c>
      <c r="F1199" s="49" t="s">
        <v>1136</v>
      </c>
      <c r="G1199" s="49" t="s">
        <v>772</v>
      </c>
      <c r="H1199" s="49" t="s">
        <v>1132</v>
      </c>
      <c r="I1199" s="49" t="s">
        <v>885</v>
      </c>
    </row>
    <row r="1200" customFormat="false" ht="25.5" hidden="false" customHeight="true" outlineLevel="0" collapsed="false">
      <c r="A1200" s="49" t="s">
        <v>1114</v>
      </c>
      <c r="B1200" s="49" t="s">
        <v>1127</v>
      </c>
      <c r="C1200" s="49" t="s">
        <v>1150</v>
      </c>
      <c r="D1200" s="49" t="s">
        <v>1151</v>
      </c>
      <c r="E1200" s="49" t="s">
        <v>1152</v>
      </c>
      <c r="F1200" s="49" t="s">
        <v>1153</v>
      </c>
      <c r="G1200" s="49" t="s">
        <v>772</v>
      </c>
      <c r="H1200" s="49" t="s">
        <v>1132</v>
      </c>
      <c r="I1200" s="49" t="s">
        <v>885</v>
      </c>
    </row>
    <row r="1201" customFormat="false" ht="25.5" hidden="false" customHeight="true" outlineLevel="0" collapsed="false">
      <c r="A1201" s="49" t="s">
        <v>1114</v>
      </c>
      <c r="B1201" s="49" t="s">
        <v>1127</v>
      </c>
      <c r="C1201" s="49" t="s">
        <v>1154</v>
      </c>
      <c r="D1201" s="49" t="s">
        <v>1134</v>
      </c>
      <c r="E1201" s="49" t="s">
        <v>1135</v>
      </c>
      <c r="F1201" s="49" t="s">
        <v>1136</v>
      </c>
      <c r="G1201" s="49" t="s">
        <v>772</v>
      </c>
      <c r="H1201" s="49" t="s">
        <v>1132</v>
      </c>
      <c r="I1201" s="49" t="s">
        <v>885</v>
      </c>
    </row>
    <row r="1202" customFormat="false" ht="25.5" hidden="false" customHeight="true" outlineLevel="0" collapsed="false">
      <c r="A1202" s="49" t="s">
        <v>1114</v>
      </c>
      <c r="B1202" s="49" t="s">
        <v>1127</v>
      </c>
      <c r="C1202" s="49" t="s">
        <v>1155</v>
      </c>
      <c r="D1202" s="49" t="s">
        <v>1156</v>
      </c>
      <c r="E1202" s="49" t="s">
        <v>1157</v>
      </c>
      <c r="F1202" s="49" t="s">
        <v>1158</v>
      </c>
      <c r="G1202" s="49" t="s">
        <v>772</v>
      </c>
      <c r="H1202" s="49" t="s">
        <v>1132</v>
      </c>
      <c r="I1202" s="49" t="s">
        <v>885</v>
      </c>
    </row>
    <row r="1203" customFormat="false" ht="25.5" hidden="false" customHeight="true" outlineLevel="0" collapsed="false">
      <c r="A1203" s="49" t="s">
        <v>1114</v>
      </c>
      <c r="B1203" s="49" t="s">
        <v>1127</v>
      </c>
      <c r="C1203" s="49" t="s">
        <v>1159</v>
      </c>
      <c r="D1203" s="49" t="s">
        <v>1148</v>
      </c>
      <c r="E1203" s="49" t="s">
        <v>1135</v>
      </c>
      <c r="F1203" s="49" t="s">
        <v>1136</v>
      </c>
      <c r="G1203" s="49" t="s">
        <v>772</v>
      </c>
      <c r="H1203" s="49" t="s">
        <v>1132</v>
      </c>
      <c r="I1203" s="49" t="s">
        <v>885</v>
      </c>
    </row>
    <row r="1204" customFormat="false" ht="25.5" hidden="false" customHeight="true" outlineLevel="0" collapsed="false">
      <c r="A1204" s="49" t="s">
        <v>1114</v>
      </c>
      <c r="B1204" s="49" t="s">
        <v>1127</v>
      </c>
      <c r="C1204" s="49" t="s">
        <v>1160</v>
      </c>
      <c r="D1204" s="49" t="s">
        <v>1134</v>
      </c>
      <c r="E1204" s="49" t="s">
        <v>1157</v>
      </c>
      <c r="F1204" s="49" t="s">
        <v>1158</v>
      </c>
      <c r="G1204" s="49" t="s">
        <v>772</v>
      </c>
      <c r="H1204" s="49" t="s">
        <v>1132</v>
      </c>
      <c r="I1204" s="49" t="s">
        <v>885</v>
      </c>
    </row>
    <row r="1205" customFormat="false" ht="25.5" hidden="false" customHeight="true" outlineLevel="0" collapsed="false">
      <c r="A1205" s="49" t="s">
        <v>1114</v>
      </c>
      <c r="B1205" s="49" t="s">
        <v>1127</v>
      </c>
      <c r="C1205" s="49" t="s">
        <v>1161</v>
      </c>
      <c r="D1205" s="49" t="s">
        <v>1162</v>
      </c>
      <c r="E1205" s="49" t="s">
        <v>1163</v>
      </c>
      <c r="F1205" s="49" t="s">
        <v>1164</v>
      </c>
      <c r="G1205" s="49" t="s">
        <v>772</v>
      </c>
      <c r="H1205" s="49" t="s">
        <v>1132</v>
      </c>
      <c r="I1205" s="49" t="s">
        <v>885</v>
      </c>
    </row>
    <row r="1206" customFormat="false" ht="25.5" hidden="false" customHeight="true" outlineLevel="0" collapsed="false">
      <c r="A1206" s="49" t="s">
        <v>1114</v>
      </c>
      <c r="B1206" s="49" t="s">
        <v>1127</v>
      </c>
      <c r="C1206" s="49" t="s">
        <v>1165</v>
      </c>
      <c r="D1206" s="49" t="s">
        <v>1156</v>
      </c>
      <c r="E1206" s="49" t="s">
        <v>146</v>
      </c>
      <c r="F1206" s="49" t="s">
        <v>1166</v>
      </c>
      <c r="G1206" s="49" t="s">
        <v>772</v>
      </c>
      <c r="H1206" s="49" t="s">
        <v>1132</v>
      </c>
      <c r="I1206" s="49" t="s">
        <v>885</v>
      </c>
    </row>
    <row r="1207" customFormat="false" ht="25.5" hidden="false" customHeight="true" outlineLevel="0" collapsed="false">
      <c r="A1207" s="49" t="s">
        <v>1114</v>
      </c>
      <c r="B1207" s="49" t="s">
        <v>1127</v>
      </c>
      <c r="C1207" s="49" t="s">
        <v>1167</v>
      </c>
      <c r="D1207" s="49" t="s">
        <v>1141</v>
      </c>
      <c r="E1207" s="49" t="s">
        <v>1135</v>
      </c>
      <c r="F1207" s="49" t="s">
        <v>1136</v>
      </c>
      <c r="G1207" s="49" t="s">
        <v>772</v>
      </c>
      <c r="H1207" s="49" t="s">
        <v>1132</v>
      </c>
      <c r="I1207" s="49" t="s">
        <v>885</v>
      </c>
    </row>
    <row r="1208" customFormat="false" ht="25.5" hidden="false" customHeight="true" outlineLevel="0" collapsed="false">
      <c r="A1208" s="49" t="s">
        <v>1114</v>
      </c>
      <c r="B1208" s="49" t="s">
        <v>1127</v>
      </c>
      <c r="C1208" s="49" t="s">
        <v>1168</v>
      </c>
      <c r="D1208" s="49" t="s">
        <v>1141</v>
      </c>
      <c r="E1208" s="49" t="s">
        <v>1145</v>
      </c>
      <c r="F1208" s="49" t="s">
        <v>1146</v>
      </c>
      <c r="G1208" s="49" t="s">
        <v>772</v>
      </c>
      <c r="H1208" s="49" t="s">
        <v>1132</v>
      </c>
      <c r="I1208" s="49" t="s">
        <v>885</v>
      </c>
    </row>
    <row r="1209" customFormat="false" ht="25.5" hidden="false" customHeight="true" outlineLevel="0" collapsed="false">
      <c r="A1209" s="49" t="s">
        <v>1114</v>
      </c>
      <c r="B1209" s="49" t="s">
        <v>1127</v>
      </c>
      <c r="C1209" s="49" t="s">
        <v>1169</v>
      </c>
      <c r="D1209" s="49" t="s">
        <v>1148</v>
      </c>
      <c r="E1209" s="49" t="s">
        <v>1135</v>
      </c>
      <c r="F1209" s="49" t="s">
        <v>1170</v>
      </c>
      <c r="G1209" s="49" t="s">
        <v>772</v>
      </c>
      <c r="H1209" s="49" t="s">
        <v>1132</v>
      </c>
      <c r="I1209" s="49" t="s">
        <v>885</v>
      </c>
    </row>
    <row r="1210" customFormat="false" ht="25.5" hidden="false" customHeight="true" outlineLevel="0" collapsed="false">
      <c r="A1210" s="49" t="s">
        <v>1114</v>
      </c>
      <c r="B1210" s="49" t="s">
        <v>1127</v>
      </c>
      <c r="C1210" s="49" t="s">
        <v>1171</v>
      </c>
      <c r="D1210" s="49" t="s">
        <v>1172</v>
      </c>
      <c r="E1210" s="49" t="s">
        <v>1173</v>
      </c>
      <c r="F1210" s="49" t="s">
        <v>1174</v>
      </c>
      <c r="G1210" s="49" t="s">
        <v>772</v>
      </c>
      <c r="H1210" s="49" t="s">
        <v>1132</v>
      </c>
      <c r="I1210" s="49" t="s">
        <v>885</v>
      </c>
    </row>
    <row r="1211" customFormat="false" ht="25.5" hidden="false" customHeight="true" outlineLevel="0" collapsed="false">
      <c r="A1211" s="49" t="s">
        <v>1114</v>
      </c>
      <c r="B1211" s="49" t="s">
        <v>1127</v>
      </c>
      <c r="C1211" s="49" t="s">
        <v>1175</v>
      </c>
      <c r="D1211" s="49" t="s">
        <v>1162</v>
      </c>
      <c r="E1211" s="49" t="s">
        <v>893</v>
      </c>
      <c r="F1211" s="49" t="s">
        <v>1176</v>
      </c>
      <c r="G1211" s="49" t="s">
        <v>772</v>
      </c>
      <c r="H1211" s="49" t="s">
        <v>1132</v>
      </c>
      <c r="I1211" s="49" t="s">
        <v>885</v>
      </c>
    </row>
    <row r="1212" customFormat="false" ht="25.5" hidden="false" customHeight="true" outlineLevel="0" collapsed="false">
      <c r="A1212" s="49" t="s">
        <v>1114</v>
      </c>
      <c r="B1212" s="49" t="s">
        <v>1127</v>
      </c>
      <c r="C1212" s="49" t="s">
        <v>1177</v>
      </c>
      <c r="D1212" s="49" t="s">
        <v>1148</v>
      </c>
      <c r="E1212" s="49" t="s">
        <v>217</v>
      </c>
      <c r="F1212" s="49" t="s">
        <v>1178</v>
      </c>
      <c r="G1212" s="49" t="s">
        <v>772</v>
      </c>
      <c r="H1212" s="49" t="s">
        <v>1132</v>
      </c>
      <c r="I1212" s="49" t="s">
        <v>885</v>
      </c>
    </row>
    <row r="1213" customFormat="false" ht="25.5" hidden="false" customHeight="true" outlineLevel="0" collapsed="false">
      <c r="A1213" s="49" t="s">
        <v>1114</v>
      </c>
      <c r="B1213" s="49" t="s">
        <v>1127</v>
      </c>
      <c r="C1213" s="49" t="s">
        <v>1179</v>
      </c>
      <c r="D1213" s="49" t="s">
        <v>1151</v>
      </c>
      <c r="E1213" s="49" t="s">
        <v>1180</v>
      </c>
      <c r="F1213" s="49" t="s">
        <v>1181</v>
      </c>
      <c r="G1213" s="49" t="s">
        <v>772</v>
      </c>
      <c r="H1213" s="49" t="s">
        <v>1132</v>
      </c>
      <c r="I1213" s="49" t="s">
        <v>885</v>
      </c>
    </row>
    <row r="1214" customFormat="false" ht="25.5" hidden="false" customHeight="true" outlineLevel="0" collapsed="false">
      <c r="A1214" s="49" t="s">
        <v>1114</v>
      </c>
      <c r="B1214" s="49" t="s">
        <v>1127</v>
      </c>
      <c r="C1214" s="49" t="s">
        <v>1182</v>
      </c>
      <c r="D1214" s="49" t="s">
        <v>1148</v>
      </c>
      <c r="E1214" s="49" t="s">
        <v>1183</v>
      </c>
      <c r="F1214" s="49" t="s">
        <v>1184</v>
      </c>
      <c r="G1214" s="49" t="s">
        <v>772</v>
      </c>
      <c r="H1214" s="49" t="s">
        <v>1132</v>
      </c>
      <c r="I1214" s="49" t="s">
        <v>885</v>
      </c>
    </row>
    <row r="1215" customFormat="false" ht="25.5" hidden="false" customHeight="true" outlineLevel="0" collapsed="false">
      <c r="A1215" s="49" t="s">
        <v>1114</v>
      </c>
      <c r="B1215" s="49" t="s">
        <v>1127</v>
      </c>
      <c r="C1215" s="49" t="s">
        <v>1185</v>
      </c>
      <c r="D1215" s="49" t="s">
        <v>1134</v>
      </c>
      <c r="E1215" s="49" t="s">
        <v>1186</v>
      </c>
      <c r="F1215" s="49" t="s">
        <v>1187</v>
      </c>
      <c r="G1215" s="49" t="s">
        <v>772</v>
      </c>
      <c r="H1215" s="49" t="s">
        <v>1132</v>
      </c>
      <c r="I1215" s="49" t="s">
        <v>885</v>
      </c>
    </row>
    <row r="1216" customFormat="false" ht="25.5" hidden="false" customHeight="true" outlineLevel="0" collapsed="false">
      <c r="A1216" s="49" t="s">
        <v>1114</v>
      </c>
      <c r="B1216" s="49" t="s">
        <v>1127</v>
      </c>
      <c r="C1216" s="49" t="s">
        <v>1188</v>
      </c>
      <c r="D1216" s="49" t="s">
        <v>1134</v>
      </c>
      <c r="E1216" s="49" t="s">
        <v>1189</v>
      </c>
      <c r="F1216" s="49" t="s">
        <v>1190</v>
      </c>
      <c r="G1216" s="49" t="s">
        <v>772</v>
      </c>
      <c r="H1216" s="49" t="s">
        <v>1132</v>
      </c>
      <c r="I1216" s="49" t="s">
        <v>885</v>
      </c>
    </row>
    <row r="1217" customFormat="false" ht="25.5" hidden="false" customHeight="true" outlineLevel="0" collapsed="false">
      <c r="A1217" s="49" t="s">
        <v>1114</v>
      </c>
      <c r="B1217" s="49" t="s">
        <v>1127</v>
      </c>
      <c r="C1217" s="49" t="s">
        <v>1191</v>
      </c>
      <c r="D1217" s="49" t="s">
        <v>1151</v>
      </c>
      <c r="E1217" s="49" t="s">
        <v>1142</v>
      </c>
      <c r="F1217" s="49" t="s">
        <v>1192</v>
      </c>
      <c r="G1217" s="49" t="s">
        <v>772</v>
      </c>
      <c r="H1217" s="49" t="s">
        <v>1132</v>
      </c>
      <c r="I1217" s="49" t="s">
        <v>885</v>
      </c>
    </row>
    <row r="1218" customFormat="false" ht="25.5" hidden="false" customHeight="true" outlineLevel="0" collapsed="false">
      <c r="A1218" s="49" t="s">
        <v>1114</v>
      </c>
      <c r="B1218" s="49" t="s">
        <v>1127</v>
      </c>
      <c r="C1218" s="49" t="s">
        <v>1193</v>
      </c>
      <c r="D1218" s="49" t="s">
        <v>1148</v>
      </c>
      <c r="E1218" s="49" t="s">
        <v>1194</v>
      </c>
      <c r="F1218" s="49" t="s">
        <v>1195</v>
      </c>
      <c r="G1218" s="49" t="s">
        <v>772</v>
      </c>
      <c r="H1218" s="49" t="s">
        <v>1132</v>
      </c>
      <c r="I1218" s="49" t="s">
        <v>885</v>
      </c>
    </row>
    <row r="1219" customFormat="false" ht="25.5" hidden="false" customHeight="true" outlineLevel="0" collapsed="false">
      <c r="A1219" s="49" t="s">
        <v>1114</v>
      </c>
      <c r="B1219" s="49" t="s">
        <v>1196</v>
      </c>
      <c r="C1219" s="49" t="s">
        <v>1171</v>
      </c>
      <c r="D1219" s="49" t="s">
        <v>1172</v>
      </c>
      <c r="E1219" s="49" t="s">
        <v>1173</v>
      </c>
      <c r="F1219" s="49" t="s">
        <v>1197</v>
      </c>
      <c r="G1219" s="49" t="s">
        <v>772</v>
      </c>
      <c r="H1219" s="49" t="s">
        <v>1132</v>
      </c>
      <c r="I1219" s="49" t="s">
        <v>885</v>
      </c>
    </row>
    <row r="1220" customFormat="false" ht="25.5" hidden="false" customHeight="true" outlineLevel="0" collapsed="false">
      <c r="A1220" s="49" t="s">
        <v>1114</v>
      </c>
      <c r="B1220" s="49" t="s">
        <v>1196</v>
      </c>
      <c r="C1220" s="49" t="s">
        <v>1198</v>
      </c>
      <c r="D1220" s="49" t="s">
        <v>1199</v>
      </c>
      <c r="E1220" s="49" t="s">
        <v>1200</v>
      </c>
      <c r="F1220" s="49" t="s">
        <v>1201</v>
      </c>
      <c r="G1220" s="49" t="s">
        <v>772</v>
      </c>
      <c r="H1220" s="49" t="s">
        <v>1132</v>
      </c>
      <c r="I1220" s="49" t="s">
        <v>885</v>
      </c>
    </row>
    <row r="1221" customFormat="false" ht="25.5" hidden="false" customHeight="true" outlineLevel="0" collapsed="false">
      <c r="A1221" s="49" t="s">
        <v>1114</v>
      </c>
      <c r="B1221" s="49" t="s">
        <v>1196</v>
      </c>
      <c r="C1221" s="49" t="s">
        <v>1202</v>
      </c>
      <c r="D1221" s="49" t="s">
        <v>1151</v>
      </c>
      <c r="E1221" s="49" t="s">
        <v>217</v>
      </c>
      <c r="F1221" s="49" t="s">
        <v>1203</v>
      </c>
      <c r="G1221" s="49" t="s">
        <v>772</v>
      </c>
      <c r="H1221" s="49" t="s">
        <v>1132</v>
      </c>
      <c r="I1221" s="49" t="s">
        <v>885</v>
      </c>
    </row>
    <row r="1222" customFormat="false" ht="25.5" hidden="false" customHeight="true" outlineLevel="0" collapsed="false">
      <c r="A1222" s="49" t="s">
        <v>1114</v>
      </c>
      <c r="B1222" s="49" t="s">
        <v>1196</v>
      </c>
      <c r="C1222" s="49" t="s">
        <v>1204</v>
      </c>
      <c r="D1222" s="49" t="s">
        <v>1151</v>
      </c>
      <c r="E1222" s="49" t="s">
        <v>1205</v>
      </c>
      <c r="F1222" s="49" t="s">
        <v>1206</v>
      </c>
      <c r="G1222" s="49" t="s">
        <v>772</v>
      </c>
      <c r="H1222" s="49" t="s">
        <v>1132</v>
      </c>
      <c r="I1222" s="49" t="s">
        <v>885</v>
      </c>
    </row>
    <row r="1223" customFormat="false" ht="25.5" hidden="false" customHeight="true" outlineLevel="0" collapsed="false">
      <c r="A1223" s="49" t="s">
        <v>1114</v>
      </c>
      <c r="B1223" s="49" t="s">
        <v>1196</v>
      </c>
      <c r="C1223" s="49" t="s">
        <v>1207</v>
      </c>
      <c r="D1223" s="49" t="s">
        <v>1208</v>
      </c>
      <c r="E1223" s="49" t="s">
        <v>1183</v>
      </c>
      <c r="F1223" s="49" t="s">
        <v>1209</v>
      </c>
      <c r="G1223" s="49" t="s">
        <v>772</v>
      </c>
      <c r="H1223" s="49" t="s">
        <v>1132</v>
      </c>
      <c r="I1223" s="49" t="s">
        <v>885</v>
      </c>
    </row>
    <row r="1224" customFormat="false" ht="25.5" hidden="false" customHeight="true" outlineLevel="0" collapsed="false">
      <c r="A1224" s="49" t="s">
        <v>1114</v>
      </c>
      <c r="B1224" s="49" t="s">
        <v>1196</v>
      </c>
      <c r="C1224" s="49" t="s">
        <v>1210</v>
      </c>
      <c r="D1224" s="49" t="s">
        <v>1141</v>
      </c>
      <c r="E1224" s="49" t="s">
        <v>1135</v>
      </c>
      <c r="F1224" s="49" t="s">
        <v>1211</v>
      </c>
      <c r="G1224" s="49" t="s">
        <v>772</v>
      </c>
      <c r="H1224" s="49" t="s">
        <v>1132</v>
      </c>
      <c r="I1224" s="49" t="s">
        <v>885</v>
      </c>
    </row>
    <row r="1225" customFormat="false" ht="25.5" hidden="false" customHeight="true" outlineLevel="0" collapsed="false">
      <c r="A1225" s="49" t="s">
        <v>1114</v>
      </c>
      <c r="B1225" s="49" t="s">
        <v>1196</v>
      </c>
      <c r="C1225" s="49" t="s">
        <v>1212</v>
      </c>
      <c r="D1225" s="49" t="s">
        <v>1156</v>
      </c>
      <c r="E1225" s="49" t="s">
        <v>1213</v>
      </c>
      <c r="F1225" s="49" t="s">
        <v>1214</v>
      </c>
      <c r="G1225" s="49" t="s">
        <v>772</v>
      </c>
      <c r="H1225" s="49" t="s">
        <v>1132</v>
      </c>
      <c r="I1225" s="49" t="s">
        <v>885</v>
      </c>
    </row>
    <row r="1226" customFormat="false" ht="25.5" hidden="false" customHeight="true" outlineLevel="0" collapsed="false">
      <c r="A1226" s="49" t="s">
        <v>1114</v>
      </c>
      <c r="B1226" s="49" t="s">
        <v>1196</v>
      </c>
      <c r="C1226" s="49" t="s">
        <v>1215</v>
      </c>
      <c r="D1226" s="49" t="s">
        <v>1151</v>
      </c>
      <c r="E1226" s="49" t="s">
        <v>1135</v>
      </c>
      <c r="F1226" s="49" t="s">
        <v>1216</v>
      </c>
      <c r="G1226" s="49" t="s">
        <v>772</v>
      </c>
      <c r="H1226" s="49" t="s">
        <v>1132</v>
      </c>
      <c r="I1226" s="49" t="s">
        <v>885</v>
      </c>
    </row>
    <row r="1227" customFormat="false" ht="25.5" hidden="false" customHeight="true" outlineLevel="0" collapsed="false">
      <c r="A1227" s="49" t="s">
        <v>1114</v>
      </c>
      <c r="B1227" s="49" t="s">
        <v>1196</v>
      </c>
      <c r="C1227" s="49" t="s">
        <v>1217</v>
      </c>
      <c r="D1227" s="49" t="s">
        <v>1218</v>
      </c>
      <c r="E1227" s="49" t="s">
        <v>146</v>
      </c>
      <c r="F1227" s="49" t="s">
        <v>1219</v>
      </c>
      <c r="G1227" s="49" t="s">
        <v>772</v>
      </c>
      <c r="H1227" s="49" t="s">
        <v>1132</v>
      </c>
      <c r="I1227" s="49" t="s">
        <v>885</v>
      </c>
    </row>
    <row r="1228" customFormat="false" ht="25.5" hidden="false" customHeight="true" outlineLevel="0" collapsed="false">
      <c r="A1228" s="49" t="s">
        <v>1114</v>
      </c>
      <c r="B1228" s="49" t="s">
        <v>1196</v>
      </c>
      <c r="C1228" s="49" t="s">
        <v>1220</v>
      </c>
      <c r="D1228" s="49" t="s">
        <v>1129</v>
      </c>
      <c r="E1228" s="49" t="s">
        <v>1183</v>
      </c>
      <c r="F1228" s="49" t="s">
        <v>1221</v>
      </c>
      <c r="G1228" s="49" t="s">
        <v>772</v>
      </c>
      <c r="H1228" s="49" t="s">
        <v>1132</v>
      </c>
      <c r="I1228" s="49" t="s">
        <v>885</v>
      </c>
    </row>
    <row r="1229" customFormat="false" ht="25.5" hidden="false" customHeight="true" outlineLevel="0" collapsed="false">
      <c r="A1229" s="49" t="s">
        <v>1114</v>
      </c>
      <c r="B1229" s="49" t="s">
        <v>1196</v>
      </c>
      <c r="C1229" s="49" t="s">
        <v>1222</v>
      </c>
      <c r="D1229" s="49" t="s">
        <v>1141</v>
      </c>
      <c r="E1229" s="49" t="s">
        <v>1223</v>
      </c>
      <c r="F1229" s="49" t="s">
        <v>1224</v>
      </c>
      <c r="G1229" s="49" t="s">
        <v>772</v>
      </c>
      <c r="H1229" s="49" t="s">
        <v>1132</v>
      </c>
      <c r="I1229" s="49" t="s">
        <v>885</v>
      </c>
    </row>
    <row r="1230" customFormat="false" ht="25.5" hidden="false" customHeight="true" outlineLevel="0" collapsed="false">
      <c r="A1230" s="49" t="s">
        <v>1114</v>
      </c>
      <c r="B1230" s="49" t="s">
        <v>1196</v>
      </c>
      <c r="C1230" s="49" t="s">
        <v>1225</v>
      </c>
      <c r="D1230" s="49" t="s">
        <v>1141</v>
      </c>
      <c r="E1230" s="49" t="s">
        <v>1226</v>
      </c>
      <c r="F1230" s="49" t="s">
        <v>1227</v>
      </c>
      <c r="G1230" s="49" t="s">
        <v>772</v>
      </c>
      <c r="H1230" s="49" t="s">
        <v>1132</v>
      </c>
      <c r="I1230" s="49" t="s">
        <v>885</v>
      </c>
    </row>
    <row r="1231" customFormat="false" ht="25.5" hidden="false" customHeight="true" outlineLevel="0" collapsed="false">
      <c r="A1231" s="49" t="s">
        <v>1114</v>
      </c>
      <c r="B1231" s="49" t="s">
        <v>1196</v>
      </c>
      <c r="C1231" s="49" t="s">
        <v>1228</v>
      </c>
      <c r="D1231" s="49" t="s">
        <v>1199</v>
      </c>
      <c r="E1231" s="49" t="s">
        <v>1135</v>
      </c>
      <c r="F1231" s="49" t="s">
        <v>1229</v>
      </c>
      <c r="G1231" s="49" t="s">
        <v>772</v>
      </c>
      <c r="H1231" s="49" t="s">
        <v>1132</v>
      </c>
      <c r="I1231" s="49" t="s">
        <v>885</v>
      </c>
    </row>
    <row r="1232" customFormat="false" ht="25.5" hidden="false" customHeight="true" outlineLevel="0" collapsed="false">
      <c r="A1232" s="49" t="s">
        <v>1114</v>
      </c>
      <c r="B1232" s="49" t="s">
        <v>1196</v>
      </c>
      <c r="C1232" s="49" t="s">
        <v>1230</v>
      </c>
      <c r="D1232" s="49" t="s">
        <v>1208</v>
      </c>
      <c r="E1232" s="49" t="s">
        <v>1183</v>
      </c>
      <c r="F1232" s="49" t="s">
        <v>1231</v>
      </c>
      <c r="G1232" s="49" t="s">
        <v>772</v>
      </c>
      <c r="H1232" s="49" t="s">
        <v>1132</v>
      </c>
      <c r="I1232" s="49" t="s">
        <v>885</v>
      </c>
    </row>
    <row r="1233" customFormat="false" ht="25.5" hidden="false" customHeight="true" outlineLevel="0" collapsed="false">
      <c r="A1233" s="49" t="s">
        <v>1114</v>
      </c>
      <c r="B1233" s="49" t="s">
        <v>1196</v>
      </c>
      <c r="C1233" s="49" t="s">
        <v>1232</v>
      </c>
      <c r="D1233" s="49" t="s">
        <v>1208</v>
      </c>
      <c r="E1233" s="49" t="s">
        <v>1135</v>
      </c>
      <c r="F1233" s="49" t="s">
        <v>1229</v>
      </c>
      <c r="G1233" s="49" t="s">
        <v>772</v>
      </c>
      <c r="H1233" s="49" t="s">
        <v>1132</v>
      </c>
      <c r="I1233" s="49" t="s">
        <v>885</v>
      </c>
    </row>
    <row r="1234" customFormat="false" ht="25.5" hidden="false" customHeight="true" outlineLevel="0" collapsed="false">
      <c r="A1234" s="49" t="s">
        <v>1114</v>
      </c>
      <c r="B1234" s="49" t="s">
        <v>1196</v>
      </c>
      <c r="C1234" s="49" t="s">
        <v>1233</v>
      </c>
      <c r="D1234" s="49" t="s">
        <v>1129</v>
      </c>
      <c r="E1234" s="49" t="s">
        <v>1234</v>
      </c>
      <c r="F1234" s="49" t="s">
        <v>1235</v>
      </c>
      <c r="G1234" s="49" t="s">
        <v>772</v>
      </c>
      <c r="H1234" s="49" t="s">
        <v>1132</v>
      </c>
      <c r="I1234" s="49" t="s">
        <v>885</v>
      </c>
    </row>
    <row r="1235" customFormat="false" ht="25.5" hidden="false" customHeight="true" outlineLevel="0" collapsed="false">
      <c r="A1235" s="49" t="s">
        <v>1114</v>
      </c>
      <c r="B1235" s="49" t="s">
        <v>1196</v>
      </c>
      <c r="C1235" s="49" t="s">
        <v>1236</v>
      </c>
      <c r="D1235" s="49" t="s">
        <v>1199</v>
      </c>
      <c r="E1235" s="49" t="s">
        <v>1237</v>
      </c>
      <c r="F1235" s="49" t="s">
        <v>1238</v>
      </c>
      <c r="G1235" s="49" t="s">
        <v>772</v>
      </c>
      <c r="H1235" s="49" t="s">
        <v>1132</v>
      </c>
      <c r="I1235" s="49" t="s">
        <v>885</v>
      </c>
    </row>
    <row r="1236" customFormat="false" ht="25.5" hidden="false" customHeight="true" outlineLevel="0" collapsed="false">
      <c r="A1236" s="49" t="s">
        <v>1114</v>
      </c>
      <c r="B1236" s="49" t="s">
        <v>1196</v>
      </c>
      <c r="C1236" s="49" t="s">
        <v>1239</v>
      </c>
      <c r="D1236" s="49" t="s">
        <v>1134</v>
      </c>
      <c r="E1236" s="49" t="s">
        <v>1240</v>
      </c>
      <c r="F1236" s="49" t="s">
        <v>1241</v>
      </c>
      <c r="G1236" s="49" t="s">
        <v>772</v>
      </c>
      <c r="H1236" s="49" t="s">
        <v>1132</v>
      </c>
      <c r="I1236" s="49" t="s">
        <v>885</v>
      </c>
    </row>
    <row r="1237" customFormat="false" ht="25.5" hidden="false" customHeight="true" outlineLevel="0" collapsed="false">
      <c r="A1237" s="49" t="s">
        <v>1114</v>
      </c>
      <c r="B1237" s="49" t="s">
        <v>1196</v>
      </c>
      <c r="C1237" s="49" t="s">
        <v>1236</v>
      </c>
      <c r="D1237" s="49" t="s">
        <v>1199</v>
      </c>
      <c r="E1237" s="49" t="s">
        <v>1237</v>
      </c>
      <c r="F1237" s="49" t="s">
        <v>1242</v>
      </c>
      <c r="G1237" s="49" t="s">
        <v>772</v>
      </c>
      <c r="H1237" s="49" t="s">
        <v>1132</v>
      </c>
      <c r="I1237" s="49" t="s">
        <v>885</v>
      </c>
    </row>
    <row r="1238" customFormat="false" ht="25.5" hidden="false" customHeight="true" outlineLevel="0" collapsed="false">
      <c r="A1238" s="49" t="s">
        <v>1114</v>
      </c>
      <c r="B1238" s="49" t="s">
        <v>1196</v>
      </c>
      <c r="C1238" s="49" t="s">
        <v>1243</v>
      </c>
      <c r="D1238" s="49" t="s">
        <v>1151</v>
      </c>
      <c r="E1238" s="49" t="s">
        <v>217</v>
      </c>
      <c r="F1238" s="49" t="s">
        <v>1244</v>
      </c>
      <c r="G1238" s="49" t="s">
        <v>772</v>
      </c>
      <c r="H1238" s="49" t="s">
        <v>1132</v>
      </c>
      <c r="I1238" s="49" t="s">
        <v>885</v>
      </c>
    </row>
    <row r="1239" customFormat="false" ht="25.5" hidden="false" customHeight="true" outlineLevel="0" collapsed="false">
      <c r="A1239" s="49" t="s">
        <v>1114</v>
      </c>
      <c r="B1239" s="49" t="s">
        <v>1196</v>
      </c>
      <c r="C1239" s="49" t="s">
        <v>1245</v>
      </c>
      <c r="D1239" s="49" t="s">
        <v>1151</v>
      </c>
      <c r="E1239" s="49" t="s">
        <v>1183</v>
      </c>
      <c r="F1239" s="49" t="s">
        <v>1246</v>
      </c>
      <c r="G1239" s="49" t="s">
        <v>772</v>
      </c>
      <c r="H1239" s="49" t="s">
        <v>1132</v>
      </c>
      <c r="I1239" s="49" t="s">
        <v>885</v>
      </c>
    </row>
    <row r="1240" customFormat="false" ht="25.5" hidden="false" customHeight="true" outlineLevel="0" collapsed="false">
      <c r="A1240" s="49" t="s">
        <v>1114</v>
      </c>
      <c r="B1240" s="49" t="s">
        <v>1247</v>
      </c>
      <c r="C1240" s="49" t="s">
        <v>1171</v>
      </c>
      <c r="D1240" s="49" t="s">
        <v>1172</v>
      </c>
      <c r="E1240" s="49" t="s">
        <v>1173</v>
      </c>
      <c r="F1240" s="49" t="s">
        <v>1248</v>
      </c>
      <c r="G1240" s="49" t="s">
        <v>772</v>
      </c>
      <c r="H1240" s="49" t="s">
        <v>1132</v>
      </c>
      <c r="I1240" s="49" t="s">
        <v>885</v>
      </c>
    </row>
    <row r="1241" customFormat="false" ht="25.5" hidden="false" customHeight="true" outlineLevel="0" collapsed="false">
      <c r="A1241" s="49" t="s">
        <v>1114</v>
      </c>
      <c r="B1241" s="49" t="s">
        <v>1247</v>
      </c>
      <c r="C1241" s="49" t="s">
        <v>1249</v>
      </c>
      <c r="D1241" s="49" t="s">
        <v>1218</v>
      </c>
      <c r="E1241" s="49" t="s">
        <v>1250</v>
      </c>
      <c r="F1241" s="49" t="s">
        <v>1251</v>
      </c>
      <c r="G1241" s="49" t="s">
        <v>772</v>
      </c>
      <c r="H1241" s="49" t="s">
        <v>1132</v>
      </c>
      <c r="I1241" s="49" t="s">
        <v>885</v>
      </c>
    </row>
    <row r="1242" customFormat="false" ht="25.5" hidden="false" customHeight="true" outlineLevel="0" collapsed="false">
      <c r="A1242" s="49" t="s">
        <v>1114</v>
      </c>
      <c r="B1242" s="49" t="s">
        <v>1247</v>
      </c>
      <c r="C1242" s="49" t="s">
        <v>1252</v>
      </c>
      <c r="D1242" s="49" t="s">
        <v>1148</v>
      </c>
      <c r="E1242" s="49" t="s">
        <v>1183</v>
      </c>
      <c r="F1242" s="49" t="s">
        <v>1253</v>
      </c>
      <c r="G1242" s="49" t="s">
        <v>772</v>
      </c>
      <c r="H1242" s="49" t="s">
        <v>1132</v>
      </c>
      <c r="I1242" s="49" t="s">
        <v>885</v>
      </c>
    </row>
    <row r="1243" customFormat="false" ht="25.5" hidden="false" customHeight="true" outlineLevel="0" collapsed="false">
      <c r="A1243" s="49" t="s">
        <v>1114</v>
      </c>
      <c r="B1243" s="49" t="s">
        <v>1247</v>
      </c>
      <c r="C1243" s="49" t="s">
        <v>1254</v>
      </c>
      <c r="D1243" s="49" t="s">
        <v>1141</v>
      </c>
      <c r="E1243" s="49" t="s">
        <v>1135</v>
      </c>
      <c r="F1243" s="49" t="s">
        <v>1255</v>
      </c>
      <c r="G1243" s="49" t="s">
        <v>772</v>
      </c>
      <c r="H1243" s="49" t="s">
        <v>1132</v>
      </c>
      <c r="I1243" s="49" t="s">
        <v>885</v>
      </c>
    </row>
    <row r="1244" customFormat="false" ht="25.5" hidden="false" customHeight="true" outlineLevel="0" collapsed="false">
      <c r="A1244" s="49" t="s">
        <v>1114</v>
      </c>
      <c r="B1244" s="49" t="s">
        <v>1247</v>
      </c>
      <c r="C1244" s="49" t="s">
        <v>1256</v>
      </c>
      <c r="D1244" s="49" t="s">
        <v>1218</v>
      </c>
      <c r="E1244" s="49" t="s">
        <v>1135</v>
      </c>
      <c r="F1244" s="49" t="s">
        <v>1257</v>
      </c>
      <c r="G1244" s="49" t="s">
        <v>772</v>
      </c>
      <c r="H1244" s="49" t="s">
        <v>1132</v>
      </c>
      <c r="I1244" s="49" t="s">
        <v>885</v>
      </c>
    </row>
    <row r="1245" customFormat="false" ht="25.5" hidden="false" customHeight="true" outlineLevel="0" collapsed="false">
      <c r="A1245" s="49" t="s">
        <v>1114</v>
      </c>
      <c r="B1245" s="49" t="s">
        <v>1247</v>
      </c>
      <c r="C1245" s="49" t="s">
        <v>1258</v>
      </c>
      <c r="D1245" s="49" t="s">
        <v>1156</v>
      </c>
      <c r="E1245" s="49" t="s">
        <v>217</v>
      </c>
      <c r="F1245" s="49" t="s">
        <v>1259</v>
      </c>
      <c r="G1245" s="49" t="s">
        <v>772</v>
      </c>
      <c r="H1245" s="49" t="s">
        <v>1132</v>
      </c>
      <c r="I1245" s="49" t="s">
        <v>885</v>
      </c>
    </row>
    <row r="1246" customFormat="false" ht="25.5" hidden="false" customHeight="true" outlineLevel="0" collapsed="false">
      <c r="A1246" s="49" t="s">
        <v>1114</v>
      </c>
      <c r="B1246" s="49" t="s">
        <v>1247</v>
      </c>
      <c r="C1246" s="49" t="s">
        <v>1260</v>
      </c>
      <c r="D1246" s="49" t="s">
        <v>1208</v>
      </c>
      <c r="E1246" s="49" t="s">
        <v>1183</v>
      </c>
      <c r="F1246" s="49" t="s">
        <v>1261</v>
      </c>
      <c r="G1246" s="49" t="s">
        <v>772</v>
      </c>
      <c r="H1246" s="49" t="s">
        <v>1132</v>
      </c>
      <c r="I1246" s="49" t="s">
        <v>885</v>
      </c>
    </row>
    <row r="1247" customFormat="false" ht="25.5" hidden="false" customHeight="true" outlineLevel="0" collapsed="false">
      <c r="A1247" s="49" t="s">
        <v>1114</v>
      </c>
      <c r="B1247" s="49" t="s">
        <v>1247</v>
      </c>
      <c r="C1247" s="49" t="s">
        <v>1262</v>
      </c>
      <c r="D1247" s="49" t="s">
        <v>1162</v>
      </c>
      <c r="E1247" s="49" t="s">
        <v>217</v>
      </c>
      <c r="F1247" s="49" t="s">
        <v>1263</v>
      </c>
      <c r="G1247" s="49" t="s">
        <v>772</v>
      </c>
      <c r="H1247" s="49" t="s">
        <v>1132</v>
      </c>
      <c r="I1247" s="49" t="s">
        <v>885</v>
      </c>
    </row>
    <row r="1248" customFormat="false" ht="25.5" hidden="false" customHeight="true" outlineLevel="0" collapsed="false">
      <c r="A1248" s="49" t="s">
        <v>1114</v>
      </c>
      <c r="B1248" s="49" t="s">
        <v>1247</v>
      </c>
      <c r="C1248" s="49" t="s">
        <v>1264</v>
      </c>
      <c r="D1248" s="49" t="s">
        <v>1134</v>
      </c>
      <c r="E1248" s="49" t="s">
        <v>1265</v>
      </c>
      <c r="F1248" s="49" t="s">
        <v>1266</v>
      </c>
      <c r="G1248" s="49" t="s">
        <v>772</v>
      </c>
      <c r="H1248" s="49" t="s">
        <v>1132</v>
      </c>
      <c r="I1248" s="49" t="s">
        <v>885</v>
      </c>
    </row>
    <row r="1249" customFormat="false" ht="25.5" hidden="false" customHeight="true" outlineLevel="0" collapsed="false">
      <c r="A1249" s="49" t="s">
        <v>1114</v>
      </c>
      <c r="B1249" s="49" t="s">
        <v>1247</v>
      </c>
      <c r="C1249" s="49" t="s">
        <v>1267</v>
      </c>
      <c r="D1249" s="49" t="s">
        <v>1141</v>
      </c>
      <c r="E1249" s="49" t="s">
        <v>1268</v>
      </c>
      <c r="F1249" s="49" t="s">
        <v>1269</v>
      </c>
      <c r="G1249" s="49" t="s">
        <v>772</v>
      </c>
      <c r="H1249" s="49" t="s">
        <v>1132</v>
      </c>
      <c r="I1249" s="49" t="s">
        <v>885</v>
      </c>
    </row>
    <row r="1250" customFormat="false" ht="25.5" hidden="false" customHeight="true" outlineLevel="0" collapsed="false">
      <c r="A1250" s="49" t="s">
        <v>1114</v>
      </c>
      <c r="B1250" s="49" t="s">
        <v>1247</v>
      </c>
      <c r="C1250" s="49" t="s">
        <v>1270</v>
      </c>
      <c r="D1250" s="49" t="s">
        <v>1208</v>
      </c>
      <c r="E1250" s="49" t="s">
        <v>1271</v>
      </c>
      <c r="F1250" s="49" t="s">
        <v>1272</v>
      </c>
      <c r="G1250" s="49" t="s">
        <v>772</v>
      </c>
      <c r="H1250" s="49" t="s">
        <v>1132</v>
      </c>
      <c r="I1250" s="49" t="s">
        <v>885</v>
      </c>
    </row>
    <row r="1251" customFormat="false" ht="25.5" hidden="false" customHeight="true" outlineLevel="0" collapsed="false">
      <c r="A1251" s="49" t="s">
        <v>1114</v>
      </c>
      <c r="B1251" s="49" t="s">
        <v>1247</v>
      </c>
      <c r="C1251" s="49" t="s">
        <v>1273</v>
      </c>
      <c r="D1251" s="49" t="s">
        <v>1218</v>
      </c>
      <c r="E1251" s="49" t="s">
        <v>893</v>
      </c>
      <c r="F1251" s="49" t="s">
        <v>1274</v>
      </c>
      <c r="G1251" s="49" t="s">
        <v>772</v>
      </c>
      <c r="H1251" s="49" t="s">
        <v>1132</v>
      </c>
      <c r="I1251" s="49" t="s">
        <v>885</v>
      </c>
    </row>
    <row r="1252" customFormat="false" ht="25.5" hidden="false" customHeight="true" outlineLevel="0" collapsed="false">
      <c r="A1252" s="49" t="s">
        <v>1114</v>
      </c>
      <c r="B1252" s="49" t="s">
        <v>1247</v>
      </c>
      <c r="C1252" s="49" t="s">
        <v>1275</v>
      </c>
      <c r="D1252" s="49" t="s">
        <v>1156</v>
      </c>
      <c r="E1252" s="49" t="s">
        <v>893</v>
      </c>
      <c r="F1252" s="49" t="s">
        <v>1274</v>
      </c>
      <c r="G1252" s="49" t="s">
        <v>772</v>
      </c>
      <c r="H1252" s="49" t="s">
        <v>1132</v>
      </c>
      <c r="I1252" s="49" t="s">
        <v>885</v>
      </c>
    </row>
    <row r="1253" customFormat="false" ht="25.5" hidden="false" customHeight="true" outlineLevel="0" collapsed="false">
      <c r="A1253" s="49" t="s">
        <v>1114</v>
      </c>
      <c r="B1253" s="49" t="s">
        <v>1247</v>
      </c>
      <c r="C1253" s="49" t="s">
        <v>1276</v>
      </c>
      <c r="D1253" s="49" t="s">
        <v>1134</v>
      </c>
      <c r="E1253" s="49" t="s">
        <v>1183</v>
      </c>
      <c r="F1253" s="49" t="s">
        <v>1277</v>
      </c>
      <c r="G1253" s="49" t="s">
        <v>772</v>
      </c>
      <c r="H1253" s="49" t="s">
        <v>1132</v>
      </c>
      <c r="I1253" s="49" t="s">
        <v>885</v>
      </c>
    </row>
    <row r="1254" customFormat="false" ht="25.5" hidden="false" customHeight="true" outlineLevel="0" collapsed="false">
      <c r="A1254" s="49" t="s">
        <v>1114</v>
      </c>
      <c r="B1254" s="49" t="s">
        <v>1247</v>
      </c>
      <c r="C1254" s="49" t="s">
        <v>1278</v>
      </c>
      <c r="D1254" s="49" t="s">
        <v>1208</v>
      </c>
      <c r="E1254" s="49" t="s">
        <v>1279</v>
      </c>
      <c r="F1254" s="49" t="s">
        <v>1280</v>
      </c>
      <c r="G1254" s="49" t="s">
        <v>772</v>
      </c>
      <c r="H1254" s="49" t="s">
        <v>1132</v>
      </c>
      <c r="I1254" s="49" t="s">
        <v>885</v>
      </c>
    </row>
    <row r="1255" customFormat="false" ht="25.5" hidden="false" customHeight="true" outlineLevel="0" collapsed="false">
      <c r="A1255" s="49" t="s">
        <v>1114</v>
      </c>
      <c r="B1255" s="49" t="s">
        <v>1247</v>
      </c>
      <c r="C1255" s="49" t="s">
        <v>1281</v>
      </c>
      <c r="D1255" s="49" t="s">
        <v>1162</v>
      </c>
      <c r="E1255" s="49" t="s">
        <v>1163</v>
      </c>
      <c r="F1255" s="49" t="s">
        <v>1282</v>
      </c>
      <c r="G1255" s="49" t="s">
        <v>772</v>
      </c>
      <c r="H1255" s="49" t="s">
        <v>1132</v>
      </c>
      <c r="I1255" s="49" t="s">
        <v>885</v>
      </c>
    </row>
    <row r="1256" customFormat="false" ht="25.5" hidden="false" customHeight="true" outlineLevel="0" collapsed="false">
      <c r="A1256" s="49" t="s">
        <v>1114</v>
      </c>
      <c r="B1256" s="49" t="s">
        <v>1247</v>
      </c>
      <c r="C1256" s="49" t="s">
        <v>1283</v>
      </c>
      <c r="D1256" s="49" t="s">
        <v>1199</v>
      </c>
      <c r="E1256" s="49" t="s">
        <v>1284</v>
      </c>
      <c r="F1256" s="49" t="s">
        <v>1285</v>
      </c>
      <c r="G1256" s="49" t="s">
        <v>772</v>
      </c>
      <c r="H1256" s="49" t="s">
        <v>1132</v>
      </c>
      <c r="I1256" s="49" t="s">
        <v>885</v>
      </c>
    </row>
    <row r="1257" customFormat="false" ht="25.5" hidden="false" customHeight="true" outlineLevel="0" collapsed="false">
      <c r="A1257" s="49" t="s">
        <v>1114</v>
      </c>
      <c r="B1257" s="49" t="s">
        <v>1247</v>
      </c>
      <c r="C1257" s="49" t="s">
        <v>1286</v>
      </c>
      <c r="D1257" s="49" t="s">
        <v>1208</v>
      </c>
      <c r="E1257" s="49" t="s">
        <v>217</v>
      </c>
      <c r="F1257" s="49" t="s">
        <v>1287</v>
      </c>
      <c r="G1257" s="49" t="s">
        <v>772</v>
      </c>
      <c r="H1257" s="49" t="s">
        <v>1132</v>
      </c>
      <c r="I1257" s="49" t="s">
        <v>885</v>
      </c>
    </row>
    <row r="1258" customFormat="false" ht="25.5" hidden="false" customHeight="true" outlineLevel="0" collapsed="false">
      <c r="A1258" s="49" t="s">
        <v>1114</v>
      </c>
      <c r="B1258" s="49" t="s">
        <v>1247</v>
      </c>
      <c r="C1258" s="49" t="s">
        <v>1288</v>
      </c>
      <c r="D1258" s="49" t="s">
        <v>1218</v>
      </c>
      <c r="E1258" s="49" t="s">
        <v>1289</v>
      </c>
      <c r="F1258" s="49" t="s">
        <v>1290</v>
      </c>
      <c r="G1258" s="49" t="s">
        <v>772</v>
      </c>
      <c r="H1258" s="49" t="s">
        <v>1132</v>
      </c>
      <c r="I1258" s="49" t="s">
        <v>885</v>
      </c>
    </row>
    <row r="1259" customFormat="false" ht="25.5" hidden="false" customHeight="true" outlineLevel="0" collapsed="false">
      <c r="A1259" s="49" t="s">
        <v>1114</v>
      </c>
      <c r="B1259" s="49" t="s">
        <v>1247</v>
      </c>
      <c r="C1259" s="49" t="s">
        <v>1291</v>
      </c>
      <c r="D1259" s="49" t="s">
        <v>1292</v>
      </c>
      <c r="E1259" s="49" t="s">
        <v>1157</v>
      </c>
      <c r="F1259" s="49" t="s">
        <v>1293</v>
      </c>
      <c r="G1259" s="49" t="s">
        <v>772</v>
      </c>
      <c r="H1259" s="49" t="s">
        <v>1132</v>
      </c>
      <c r="I1259" s="49" t="s">
        <v>885</v>
      </c>
    </row>
    <row r="1260" customFormat="false" ht="25.5" hidden="false" customHeight="true" outlineLevel="0" collapsed="false">
      <c r="A1260" s="49" t="s">
        <v>1114</v>
      </c>
      <c r="B1260" s="49" t="s">
        <v>1294</v>
      </c>
      <c r="C1260" s="49" t="s">
        <v>1171</v>
      </c>
      <c r="D1260" s="49" t="s">
        <v>1172</v>
      </c>
      <c r="E1260" s="49" t="s">
        <v>1173</v>
      </c>
      <c r="F1260" s="49" t="s">
        <v>1174</v>
      </c>
      <c r="G1260" s="49" t="s">
        <v>772</v>
      </c>
      <c r="H1260" s="49" t="s">
        <v>1132</v>
      </c>
      <c r="I1260" s="49" t="s">
        <v>885</v>
      </c>
    </row>
    <row r="1261" customFormat="false" ht="25.5" hidden="false" customHeight="true" outlineLevel="0" collapsed="false">
      <c r="A1261" s="49" t="s">
        <v>1114</v>
      </c>
      <c r="B1261" s="49" t="s">
        <v>1294</v>
      </c>
      <c r="C1261" s="49" t="s">
        <v>1295</v>
      </c>
      <c r="D1261" s="49" t="s">
        <v>1292</v>
      </c>
      <c r="E1261" s="49" t="s">
        <v>1296</v>
      </c>
      <c r="F1261" s="49" t="s">
        <v>1297</v>
      </c>
      <c r="G1261" s="49" t="s">
        <v>772</v>
      </c>
      <c r="H1261" s="49" t="s">
        <v>1132</v>
      </c>
      <c r="I1261" s="49" t="s">
        <v>885</v>
      </c>
    </row>
    <row r="1262" customFormat="false" ht="25.5" hidden="false" customHeight="true" outlineLevel="0" collapsed="false">
      <c r="A1262" s="49" t="s">
        <v>1114</v>
      </c>
      <c r="B1262" s="49" t="s">
        <v>1294</v>
      </c>
      <c r="C1262" s="49" t="s">
        <v>1298</v>
      </c>
      <c r="D1262" s="49" t="s">
        <v>1141</v>
      </c>
      <c r="E1262" s="49" t="s">
        <v>1183</v>
      </c>
      <c r="F1262" s="49" t="s">
        <v>1299</v>
      </c>
      <c r="G1262" s="49" t="s">
        <v>772</v>
      </c>
      <c r="H1262" s="49" t="s">
        <v>1132</v>
      </c>
      <c r="I1262" s="49" t="s">
        <v>885</v>
      </c>
    </row>
    <row r="1263" customFormat="false" ht="25.5" hidden="false" customHeight="true" outlineLevel="0" collapsed="false">
      <c r="A1263" s="49" t="s">
        <v>1114</v>
      </c>
      <c r="B1263" s="49" t="s">
        <v>1294</v>
      </c>
      <c r="C1263" s="49" t="s">
        <v>1300</v>
      </c>
      <c r="D1263" s="49" t="s">
        <v>1218</v>
      </c>
      <c r="E1263" s="49" t="s">
        <v>1183</v>
      </c>
      <c r="F1263" s="49" t="s">
        <v>1301</v>
      </c>
      <c r="G1263" s="49" t="s">
        <v>772</v>
      </c>
      <c r="H1263" s="49" t="s">
        <v>1132</v>
      </c>
      <c r="I1263" s="49" t="s">
        <v>885</v>
      </c>
    </row>
    <row r="1264" customFormat="false" ht="25.5" hidden="false" customHeight="true" outlineLevel="0" collapsed="false">
      <c r="A1264" s="49" t="s">
        <v>1114</v>
      </c>
      <c r="B1264" s="49" t="s">
        <v>1294</v>
      </c>
      <c r="C1264" s="49" t="s">
        <v>1302</v>
      </c>
      <c r="D1264" s="49" t="s">
        <v>1199</v>
      </c>
      <c r="E1264" s="49" t="s">
        <v>1183</v>
      </c>
      <c r="F1264" s="49" t="s">
        <v>1303</v>
      </c>
      <c r="G1264" s="49" t="s">
        <v>772</v>
      </c>
      <c r="H1264" s="49" t="s">
        <v>1132</v>
      </c>
      <c r="I1264" s="49" t="s">
        <v>885</v>
      </c>
    </row>
    <row r="1265" customFormat="false" ht="25.5" hidden="false" customHeight="true" outlineLevel="0" collapsed="false">
      <c r="A1265" s="49" t="s">
        <v>1114</v>
      </c>
      <c r="B1265" s="49" t="s">
        <v>1294</v>
      </c>
      <c r="C1265" s="49" t="s">
        <v>1304</v>
      </c>
      <c r="D1265" s="49" t="s">
        <v>1156</v>
      </c>
      <c r="E1265" s="49" t="s">
        <v>1265</v>
      </c>
      <c r="F1265" s="49" t="s">
        <v>1305</v>
      </c>
      <c r="G1265" s="49" t="s">
        <v>772</v>
      </c>
      <c r="H1265" s="49" t="s">
        <v>1132</v>
      </c>
      <c r="I1265" s="49" t="s">
        <v>885</v>
      </c>
    </row>
    <row r="1266" customFormat="false" ht="25.5" hidden="false" customHeight="true" outlineLevel="0" collapsed="false">
      <c r="A1266" s="49" t="s">
        <v>1114</v>
      </c>
      <c r="B1266" s="49" t="s">
        <v>1294</v>
      </c>
      <c r="C1266" s="49" t="s">
        <v>1306</v>
      </c>
      <c r="D1266" s="49" t="s">
        <v>1148</v>
      </c>
      <c r="E1266" s="49" t="s">
        <v>1226</v>
      </c>
      <c r="F1266" s="49" t="s">
        <v>1307</v>
      </c>
      <c r="G1266" s="49" t="s">
        <v>772</v>
      </c>
      <c r="H1266" s="49" t="s">
        <v>1132</v>
      </c>
      <c r="I1266" s="49" t="s">
        <v>885</v>
      </c>
    </row>
    <row r="1267" customFormat="false" ht="25.5" hidden="false" customHeight="true" outlineLevel="0" collapsed="false">
      <c r="A1267" s="49" t="s">
        <v>1114</v>
      </c>
      <c r="B1267" s="49" t="s">
        <v>1294</v>
      </c>
      <c r="C1267" s="49" t="s">
        <v>1308</v>
      </c>
      <c r="D1267" s="49" t="s">
        <v>1156</v>
      </c>
      <c r="E1267" s="49" t="s">
        <v>1309</v>
      </c>
      <c r="F1267" s="49" t="s">
        <v>1310</v>
      </c>
      <c r="G1267" s="49" t="s">
        <v>772</v>
      </c>
      <c r="H1267" s="49" t="s">
        <v>1132</v>
      </c>
      <c r="I1267" s="49" t="s">
        <v>885</v>
      </c>
    </row>
    <row r="1268" customFormat="false" ht="25.5" hidden="false" customHeight="true" outlineLevel="0" collapsed="false">
      <c r="A1268" s="49" t="s">
        <v>1114</v>
      </c>
      <c r="B1268" s="49" t="s">
        <v>1294</v>
      </c>
      <c r="C1268" s="49" t="s">
        <v>1311</v>
      </c>
      <c r="D1268" s="49" t="s">
        <v>1199</v>
      </c>
      <c r="E1268" s="49" t="s">
        <v>217</v>
      </c>
      <c r="F1268" s="49" t="s">
        <v>1312</v>
      </c>
      <c r="G1268" s="49" t="s">
        <v>772</v>
      </c>
      <c r="H1268" s="49" t="s">
        <v>1132</v>
      </c>
      <c r="I1268" s="49" t="s">
        <v>885</v>
      </c>
    </row>
    <row r="1269" customFormat="false" ht="25.5" hidden="false" customHeight="true" outlineLevel="0" collapsed="false">
      <c r="A1269" s="49" t="s">
        <v>1114</v>
      </c>
      <c r="B1269" s="49" t="s">
        <v>1294</v>
      </c>
      <c r="C1269" s="49" t="s">
        <v>1313</v>
      </c>
      <c r="D1269" s="49" t="s">
        <v>1208</v>
      </c>
      <c r="E1269" s="49" t="s">
        <v>1183</v>
      </c>
      <c r="F1269" s="49" t="s">
        <v>1314</v>
      </c>
      <c r="G1269" s="49" t="s">
        <v>772</v>
      </c>
      <c r="H1269" s="49" t="s">
        <v>1132</v>
      </c>
      <c r="I1269" s="49" t="s">
        <v>885</v>
      </c>
    </row>
    <row r="1270" customFormat="false" ht="25.5" hidden="false" customHeight="true" outlineLevel="0" collapsed="false">
      <c r="A1270" s="49" t="s">
        <v>1114</v>
      </c>
      <c r="B1270" s="49" t="s">
        <v>1294</v>
      </c>
      <c r="C1270" s="49" t="s">
        <v>1315</v>
      </c>
      <c r="D1270" s="49" t="s">
        <v>1208</v>
      </c>
      <c r="E1270" s="49" t="s">
        <v>1186</v>
      </c>
      <c r="F1270" s="49" t="s">
        <v>1316</v>
      </c>
      <c r="G1270" s="49" t="s">
        <v>772</v>
      </c>
      <c r="H1270" s="49" t="s">
        <v>1132</v>
      </c>
      <c r="I1270" s="49" t="s">
        <v>885</v>
      </c>
    </row>
    <row r="1271" customFormat="false" ht="25.5" hidden="false" customHeight="true" outlineLevel="0" collapsed="false">
      <c r="A1271" s="49" t="s">
        <v>1114</v>
      </c>
      <c r="B1271" s="49" t="s">
        <v>1294</v>
      </c>
      <c r="C1271" s="49" t="s">
        <v>1317</v>
      </c>
      <c r="D1271" s="49" t="s">
        <v>1151</v>
      </c>
      <c r="E1271" s="49" t="s">
        <v>1265</v>
      </c>
      <c r="F1271" s="49" t="s">
        <v>1318</v>
      </c>
      <c r="G1271" s="49" t="s">
        <v>772</v>
      </c>
      <c r="H1271" s="49" t="s">
        <v>1132</v>
      </c>
      <c r="I1271" s="49" t="s">
        <v>885</v>
      </c>
    </row>
    <row r="1272" customFormat="false" ht="25.5" hidden="false" customHeight="true" outlineLevel="0" collapsed="false">
      <c r="A1272" s="49" t="s">
        <v>1114</v>
      </c>
      <c r="B1272" s="49" t="s">
        <v>1294</v>
      </c>
      <c r="C1272" s="49" t="s">
        <v>1319</v>
      </c>
      <c r="D1272" s="49" t="s">
        <v>1156</v>
      </c>
      <c r="E1272" s="49" t="s">
        <v>1183</v>
      </c>
      <c r="F1272" s="49" t="s">
        <v>1320</v>
      </c>
      <c r="G1272" s="49" t="s">
        <v>772</v>
      </c>
      <c r="H1272" s="49" t="s">
        <v>1132</v>
      </c>
      <c r="I1272" s="49" t="s">
        <v>885</v>
      </c>
    </row>
    <row r="1273" customFormat="false" ht="25.5" hidden="false" customHeight="true" outlineLevel="0" collapsed="false">
      <c r="A1273" s="49" t="s">
        <v>1114</v>
      </c>
      <c r="B1273" s="49" t="s">
        <v>1294</v>
      </c>
      <c r="C1273" s="49" t="s">
        <v>1321</v>
      </c>
      <c r="D1273" s="49" t="s">
        <v>1151</v>
      </c>
      <c r="E1273" s="49" t="s">
        <v>1265</v>
      </c>
      <c r="F1273" s="49" t="s">
        <v>1227</v>
      </c>
      <c r="G1273" s="49" t="s">
        <v>772</v>
      </c>
      <c r="H1273" s="49" t="s">
        <v>1132</v>
      </c>
      <c r="I1273" s="49" t="s">
        <v>885</v>
      </c>
    </row>
    <row r="1274" customFormat="false" ht="25.5" hidden="false" customHeight="true" outlineLevel="0" collapsed="false">
      <c r="A1274" s="49" t="s">
        <v>1114</v>
      </c>
      <c r="B1274" s="49" t="s">
        <v>1294</v>
      </c>
      <c r="C1274" s="49" t="s">
        <v>1322</v>
      </c>
      <c r="D1274" s="49" t="s">
        <v>1208</v>
      </c>
      <c r="E1274" s="49" t="s">
        <v>1183</v>
      </c>
      <c r="F1274" s="49" t="s">
        <v>1323</v>
      </c>
      <c r="G1274" s="49" t="s">
        <v>772</v>
      </c>
      <c r="H1274" s="49" t="s">
        <v>1132</v>
      </c>
      <c r="I1274" s="49" t="s">
        <v>885</v>
      </c>
    </row>
    <row r="1275" customFormat="false" ht="25.5" hidden="false" customHeight="true" outlineLevel="0" collapsed="false">
      <c r="A1275" s="49" t="s">
        <v>1114</v>
      </c>
      <c r="B1275" s="49" t="s">
        <v>1294</v>
      </c>
      <c r="C1275" s="49" t="s">
        <v>1324</v>
      </c>
      <c r="D1275" s="49" t="s">
        <v>1129</v>
      </c>
      <c r="E1275" s="49" t="s">
        <v>1183</v>
      </c>
      <c r="F1275" s="49" t="s">
        <v>1325</v>
      </c>
      <c r="G1275" s="49" t="s">
        <v>772</v>
      </c>
      <c r="H1275" s="49" t="s">
        <v>1132</v>
      </c>
      <c r="I1275" s="49" t="s">
        <v>885</v>
      </c>
    </row>
    <row r="1276" customFormat="false" ht="25.5" hidden="false" customHeight="true" outlineLevel="0" collapsed="false">
      <c r="A1276" s="49" t="s">
        <v>1114</v>
      </c>
      <c r="B1276" s="49" t="s">
        <v>1294</v>
      </c>
      <c r="C1276" s="49" t="s">
        <v>1326</v>
      </c>
      <c r="D1276" s="49" t="s">
        <v>1129</v>
      </c>
      <c r="E1276" s="49" t="s">
        <v>893</v>
      </c>
      <c r="F1276" s="49" t="s">
        <v>1327</v>
      </c>
      <c r="G1276" s="49" t="s">
        <v>772</v>
      </c>
      <c r="H1276" s="49" t="s">
        <v>1132</v>
      </c>
      <c r="I1276" s="49" t="s">
        <v>885</v>
      </c>
    </row>
    <row r="1277" customFormat="false" ht="25.5" hidden="false" customHeight="true" outlineLevel="0" collapsed="false">
      <c r="A1277" s="49" t="s">
        <v>1114</v>
      </c>
      <c r="B1277" s="49" t="s">
        <v>1294</v>
      </c>
      <c r="C1277" s="49" t="s">
        <v>1328</v>
      </c>
      <c r="D1277" s="49" t="s">
        <v>1129</v>
      </c>
      <c r="E1277" s="49" t="s">
        <v>1183</v>
      </c>
      <c r="F1277" s="49" t="s">
        <v>1329</v>
      </c>
      <c r="G1277" s="49" t="s">
        <v>772</v>
      </c>
      <c r="H1277" s="49" t="s">
        <v>1132</v>
      </c>
      <c r="I1277" s="49" t="s">
        <v>885</v>
      </c>
    </row>
    <row r="1278" customFormat="false" ht="25.5" hidden="false" customHeight="true" outlineLevel="0" collapsed="false">
      <c r="A1278" s="49" t="s">
        <v>1114</v>
      </c>
      <c r="B1278" s="49" t="s">
        <v>1294</v>
      </c>
      <c r="C1278" s="49" t="s">
        <v>1330</v>
      </c>
      <c r="D1278" s="49" t="s">
        <v>1134</v>
      </c>
      <c r="E1278" s="49" t="s">
        <v>1183</v>
      </c>
      <c r="F1278" s="49" t="s">
        <v>1331</v>
      </c>
      <c r="G1278" s="49" t="s">
        <v>772</v>
      </c>
      <c r="H1278" s="49" t="s">
        <v>1132</v>
      </c>
      <c r="I1278" s="49" t="s">
        <v>885</v>
      </c>
    </row>
    <row r="1279" customFormat="false" ht="25.5" hidden="false" customHeight="true" outlineLevel="0" collapsed="false">
      <c r="A1279" s="49" t="s">
        <v>1114</v>
      </c>
      <c r="B1279" s="49" t="s">
        <v>1294</v>
      </c>
      <c r="C1279" s="49" t="s">
        <v>1332</v>
      </c>
      <c r="D1279" s="49" t="s">
        <v>1156</v>
      </c>
      <c r="E1279" s="49" t="s">
        <v>1333</v>
      </c>
      <c r="F1279" s="49" t="s">
        <v>1334</v>
      </c>
      <c r="G1279" s="49" t="s">
        <v>772</v>
      </c>
      <c r="H1279" s="49" t="s">
        <v>1132</v>
      </c>
      <c r="I1279" s="49" t="s">
        <v>885</v>
      </c>
    </row>
    <row r="1280" customFormat="false" ht="25.5" hidden="false" customHeight="true" outlineLevel="0" collapsed="false">
      <c r="A1280" s="49" t="s">
        <v>1114</v>
      </c>
      <c r="B1280" s="49" t="s">
        <v>1294</v>
      </c>
      <c r="C1280" s="49" t="s">
        <v>1335</v>
      </c>
      <c r="D1280" s="49" t="s">
        <v>1199</v>
      </c>
      <c r="E1280" s="49" t="s">
        <v>1183</v>
      </c>
      <c r="F1280" s="49" t="s">
        <v>1336</v>
      </c>
      <c r="G1280" s="49" t="s">
        <v>772</v>
      </c>
      <c r="H1280" s="49" t="s">
        <v>1132</v>
      </c>
      <c r="I1280" s="49" t="s">
        <v>885</v>
      </c>
    </row>
    <row r="1281" customFormat="false" ht="25.5" hidden="false" customHeight="true" outlineLevel="0" collapsed="false">
      <c r="A1281" s="49" t="s">
        <v>1114</v>
      </c>
      <c r="B1281" s="49" t="s">
        <v>1294</v>
      </c>
      <c r="C1281" s="49" t="s">
        <v>1337</v>
      </c>
      <c r="D1281" s="49" t="s">
        <v>1134</v>
      </c>
      <c r="E1281" s="49" t="s">
        <v>217</v>
      </c>
      <c r="F1281" s="49" t="s">
        <v>1338</v>
      </c>
      <c r="G1281" s="49" t="s">
        <v>772</v>
      </c>
      <c r="H1281" s="49" t="s">
        <v>1132</v>
      </c>
      <c r="I1281" s="49" t="s">
        <v>885</v>
      </c>
    </row>
    <row r="1282" customFormat="false" ht="25.5" hidden="false" customHeight="true" outlineLevel="0" collapsed="false">
      <c r="A1282" s="49" t="s">
        <v>1114</v>
      </c>
      <c r="B1282" s="49" t="s">
        <v>1294</v>
      </c>
      <c r="C1282" s="49" t="s">
        <v>1339</v>
      </c>
      <c r="D1282" s="49" t="s">
        <v>1208</v>
      </c>
      <c r="E1282" s="49" t="s">
        <v>40</v>
      </c>
      <c r="F1282" s="49" t="s">
        <v>1340</v>
      </c>
      <c r="G1282" s="49" t="s">
        <v>772</v>
      </c>
      <c r="H1282" s="49" t="s">
        <v>1132</v>
      </c>
      <c r="I1282" s="49" t="s">
        <v>885</v>
      </c>
    </row>
    <row r="1283" customFormat="false" ht="25.5" hidden="false" customHeight="true" outlineLevel="0" collapsed="false">
      <c r="A1283" s="49" t="s">
        <v>1114</v>
      </c>
      <c r="B1283" s="49" t="s">
        <v>1341</v>
      </c>
      <c r="C1283" s="49" t="s">
        <v>1171</v>
      </c>
      <c r="D1283" s="49" t="s">
        <v>1172</v>
      </c>
      <c r="E1283" s="49" t="s">
        <v>1173</v>
      </c>
      <c r="F1283" s="49" t="s">
        <v>1174</v>
      </c>
      <c r="G1283" s="49" t="s">
        <v>772</v>
      </c>
      <c r="H1283" s="49" t="s">
        <v>1132</v>
      </c>
      <c r="I1283" s="49" t="s">
        <v>885</v>
      </c>
    </row>
    <row r="1284" customFormat="false" ht="25.5" hidden="false" customHeight="true" outlineLevel="0" collapsed="false">
      <c r="A1284" s="49" t="s">
        <v>1114</v>
      </c>
      <c r="B1284" s="49" t="s">
        <v>1341</v>
      </c>
      <c r="C1284" s="49" t="s">
        <v>1342</v>
      </c>
      <c r="D1284" s="49" t="s">
        <v>1292</v>
      </c>
      <c r="E1284" s="49" t="s">
        <v>1113</v>
      </c>
      <c r="F1284" s="49" t="s">
        <v>1343</v>
      </c>
      <c r="G1284" s="49" t="s">
        <v>772</v>
      </c>
      <c r="H1284" s="49" t="s">
        <v>1132</v>
      </c>
      <c r="I1284" s="49" t="s">
        <v>885</v>
      </c>
    </row>
    <row r="1285" customFormat="false" ht="25.5" hidden="false" customHeight="true" outlineLevel="0" collapsed="false">
      <c r="A1285" s="49" t="s">
        <v>1114</v>
      </c>
      <c r="B1285" s="49" t="s">
        <v>1341</v>
      </c>
      <c r="C1285" s="49" t="s">
        <v>1344</v>
      </c>
      <c r="D1285" s="49" t="s">
        <v>1208</v>
      </c>
      <c r="E1285" s="49" t="s">
        <v>1183</v>
      </c>
      <c r="F1285" s="49" t="s">
        <v>1345</v>
      </c>
      <c r="G1285" s="49" t="s">
        <v>772</v>
      </c>
      <c r="H1285" s="49" t="s">
        <v>1132</v>
      </c>
      <c r="I1285" s="49" t="s">
        <v>885</v>
      </c>
    </row>
    <row r="1286" customFormat="false" ht="25.5" hidden="false" customHeight="true" outlineLevel="0" collapsed="false">
      <c r="A1286" s="49" t="s">
        <v>1114</v>
      </c>
      <c r="B1286" s="49" t="s">
        <v>1341</v>
      </c>
      <c r="C1286" s="49" t="s">
        <v>1346</v>
      </c>
      <c r="D1286" s="49" t="s">
        <v>1218</v>
      </c>
      <c r="E1286" s="49" t="s">
        <v>1347</v>
      </c>
      <c r="F1286" s="49" t="s">
        <v>1348</v>
      </c>
      <c r="G1286" s="49" t="s">
        <v>772</v>
      </c>
      <c r="H1286" s="49" t="s">
        <v>1132</v>
      </c>
      <c r="I1286" s="49" t="s">
        <v>885</v>
      </c>
    </row>
    <row r="1287" customFormat="false" ht="25.5" hidden="false" customHeight="true" outlineLevel="0" collapsed="false">
      <c r="A1287" s="49" t="s">
        <v>1114</v>
      </c>
      <c r="B1287" s="49" t="s">
        <v>1341</v>
      </c>
      <c r="C1287" s="49" t="s">
        <v>1349</v>
      </c>
      <c r="D1287" s="49" t="s">
        <v>1218</v>
      </c>
      <c r="E1287" s="49" t="s">
        <v>1183</v>
      </c>
      <c r="F1287" s="49" t="s">
        <v>1350</v>
      </c>
      <c r="G1287" s="49" t="s">
        <v>772</v>
      </c>
      <c r="H1287" s="49" t="s">
        <v>1132</v>
      </c>
      <c r="I1287" s="49" t="s">
        <v>885</v>
      </c>
    </row>
    <row r="1288" customFormat="false" ht="25.5" hidden="false" customHeight="true" outlineLevel="0" collapsed="false">
      <c r="A1288" s="49" t="s">
        <v>1114</v>
      </c>
      <c r="B1288" s="49" t="s">
        <v>1341</v>
      </c>
      <c r="C1288" s="49" t="s">
        <v>1351</v>
      </c>
      <c r="D1288" s="49" t="s">
        <v>1134</v>
      </c>
      <c r="E1288" s="49" t="s">
        <v>1055</v>
      </c>
      <c r="F1288" s="49" t="s">
        <v>1352</v>
      </c>
      <c r="G1288" s="49" t="s">
        <v>772</v>
      </c>
      <c r="H1288" s="49" t="s">
        <v>1132</v>
      </c>
      <c r="I1288" s="49" t="s">
        <v>885</v>
      </c>
    </row>
    <row r="1289" customFormat="false" ht="25.5" hidden="false" customHeight="true" outlineLevel="0" collapsed="false">
      <c r="A1289" s="49" t="s">
        <v>1114</v>
      </c>
      <c r="B1289" s="49" t="s">
        <v>1341</v>
      </c>
      <c r="C1289" s="49" t="s">
        <v>1353</v>
      </c>
      <c r="D1289" s="49" t="s">
        <v>1134</v>
      </c>
      <c r="E1289" s="49" t="s">
        <v>1226</v>
      </c>
      <c r="F1289" s="49" t="s">
        <v>1354</v>
      </c>
      <c r="G1289" s="49" t="s">
        <v>772</v>
      </c>
      <c r="H1289" s="49" t="s">
        <v>1132</v>
      </c>
      <c r="I1289" s="49" t="s">
        <v>885</v>
      </c>
    </row>
    <row r="1290" customFormat="false" ht="25.5" hidden="false" customHeight="true" outlineLevel="0" collapsed="false">
      <c r="A1290" s="49" t="s">
        <v>1114</v>
      </c>
      <c r="B1290" s="49" t="s">
        <v>1341</v>
      </c>
      <c r="C1290" s="49" t="s">
        <v>1355</v>
      </c>
      <c r="D1290" s="49" t="s">
        <v>1148</v>
      </c>
      <c r="E1290" s="49" t="s">
        <v>1356</v>
      </c>
      <c r="F1290" s="49" t="s">
        <v>1357</v>
      </c>
      <c r="G1290" s="49" t="s">
        <v>772</v>
      </c>
      <c r="H1290" s="49" t="s">
        <v>1132</v>
      </c>
      <c r="I1290" s="49" t="s">
        <v>885</v>
      </c>
    </row>
    <row r="1291" customFormat="false" ht="25.5" hidden="false" customHeight="true" outlineLevel="0" collapsed="false">
      <c r="A1291" s="49" t="s">
        <v>1114</v>
      </c>
      <c r="B1291" s="49" t="s">
        <v>1341</v>
      </c>
      <c r="C1291" s="49" t="s">
        <v>1358</v>
      </c>
      <c r="D1291" s="49" t="s">
        <v>1218</v>
      </c>
      <c r="E1291" s="49" t="s">
        <v>1359</v>
      </c>
      <c r="F1291" s="49" t="s">
        <v>1360</v>
      </c>
      <c r="G1291" s="49" t="s">
        <v>772</v>
      </c>
      <c r="H1291" s="49" t="s">
        <v>1132</v>
      </c>
      <c r="I1291" s="49" t="s">
        <v>885</v>
      </c>
    </row>
    <row r="1292" customFormat="false" ht="25.5" hidden="false" customHeight="true" outlineLevel="0" collapsed="false">
      <c r="A1292" s="49" t="s">
        <v>1114</v>
      </c>
      <c r="B1292" s="49" t="s">
        <v>1341</v>
      </c>
      <c r="C1292" s="49" t="s">
        <v>1361</v>
      </c>
      <c r="D1292" s="49" t="s">
        <v>1148</v>
      </c>
      <c r="E1292" s="49" t="s">
        <v>1183</v>
      </c>
      <c r="F1292" s="49" t="s">
        <v>1362</v>
      </c>
      <c r="G1292" s="49" t="s">
        <v>772</v>
      </c>
      <c r="H1292" s="49" t="s">
        <v>1132</v>
      </c>
      <c r="I1292" s="49" t="s">
        <v>885</v>
      </c>
    </row>
    <row r="1293" customFormat="false" ht="25.5" hidden="false" customHeight="true" outlineLevel="0" collapsed="false">
      <c r="A1293" s="49" t="s">
        <v>1114</v>
      </c>
      <c r="B1293" s="49" t="s">
        <v>1341</v>
      </c>
      <c r="C1293" s="49" t="s">
        <v>1363</v>
      </c>
      <c r="D1293" s="49" t="s">
        <v>1148</v>
      </c>
      <c r="E1293" s="49" t="s">
        <v>1364</v>
      </c>
      <c r="F1293" s="49" t="s">
        <v>1365</v>
      </c>
      <c r="G1293" s="49" t="s">
        <v>772</v>
      </c>
      <c r="H1293" s="49" t="s">
        <v>1132</v>
      </c>
      <c r="I1293" s="49" t="s">
        <v>885</v>
      </c>
    </row>
    <row r="1294" customFormat="false" ht="25.5" hidden="false" customHeight="true" outlineLevel="0" collapsed="false">
      <c r="A1294" s="49" t="s">
        <v>1114</v>
      </c>
      <c r="B1294" s="49" t="s">
        <v>1341</v>
      </c>
      <c r="C1294" s="49" t="s">
        <v>1366</v>
      </c>
      <c r="D1294" s="49" t="s">
        <v>1148</v>
      </c>
      <c r="E1294" s="49" t="s">
        <v>1183</v>
      </c>
      <c r="F1294" s="49" t="s">
        <v>1367</v>
      </c>
      <c r="G1294" s="49" t="s">
        <v>772</v>
      </c>
      <c r="H1294" s="49" t="s">
        <v>1132</v>
      </c>
      <c r="I1294" s="49" t="s">
        <v>885</v>
      </c>
    </row>
    <row r="1295" customFormat="false" ht="25.5" hidden="false" customHeight="true" outlineLevel="0" collapsed="false">
      <c r="A1295" s="49" t="s">
        <v>1114</v>
      </c>
      <c r="B1295" s="49" t="s">
        <v>1341</v>
      </c>
      <c r="C1295" s="49" t="s">
        <v>1368</v>
      </c>
      <c r="D1295" s="49" t="s">
        <v>1218</v>
      </c>
      <c r="E1295" s="49" t="s">
        <v>217</v>
      </c>
      <c r="F1295" s="49" t="s">
        <v>1369</v>
      </c>
      <c r="G1295" s="49" t="s">
        <v>772</v>
      </c>
      <c r="H1295" s="49" t="s">
        <v>1132</v>
      </c>
      <c r="I1295" s="49" t="s">
        <v>885</v>
      </c>
    </row>
    <row r="1296" customFormat="false" ht="25.5" hidden="false" customHeight="true" outlineLevel="0" collapsed="false">
      <c r="A1296" s="49" t="s">
        <v>1114</v>
      </c>
      <c r="B1296" s="49" t="s">
        <v>1341</v>
      </c>
      <c r="C1296" s="49" t="s">
        <v>1370</v>
      </c>
      <c r="D1296" s="49" t="s">
        <v>1208</v>
      </c>
      <c r="E1296" s="49" t="s">
        <v>893</v>
      </c>
      <c r="F1296" s="49" t="s">
        <v>1371</v>
      </c>
      <c r="G1296" s="49" t="s">
        <v>772</v>
      </c>
      <c r="H1296" s="49" t="s">
        <v>1132</v>
      </c>
      <c r="I1296" s="49" t="s">
        <v>885</v>
      </c>
    </row>
    <row r="1297" customFormat="false" ht="25.5" hidden="false" customHeight="true" outlineLevel="0" collapsed="false">
      <c r="A1297" s="49" t="s">
        <v>1114</v>
      </c>
      <c r="B1297" s="49" t="s">
        <v>1341</v>
      </c>
      <c r="C1297" s="49" t="s">
        <v>1372</v>
      </c>
      <c r="D1297" s="49" t="s">
        <v>1199</v>
      </c>
      <c r="E1297" s="49" t="s">
        <v>1135</v>
      </c>
      <c r="F1297" s="49" t="s">
        <v>1373</v>
      </c>
      <c r="G1297" s="49" t="s">
        <v>772</v>
      </c>
      <c r="H1297" s="49" t="s">
        <v>1132</v>
      </c>
      <c r="I1297" s="49" t="s">
        <v>885</v>
      </c>
    </row>
    <row r="1298" customFormat="false" ht="25.5" hidden="false" customHeight="true" outlineLevel="0" collapsed="false">
      <c r="A1298" s="49" t="s">
        <v>1114</v>
      </c>
      <c r="B1298" s="49" t="s">
        <v>1341</v>
      </c>
      <c r="C1298" s="49" t="s">
        <v>1374</v>
      </c>
      <c r="D1298" s="49" t="s">
        <v>1208</v>
      </c>
      <c r="E1298" s="49" t="s">
        <v>1183</v>
      </c>
      <c r="F1298" s="49" t="s">
        <v>1375</v>
      </c>
      <c r="G1298" s="49" t="s">
        <v>772</v>
      </c>
      <c r="H1298" s="49" t="s">
        <v>1132</v>
      </c>
      <c r="I1298" s="49" t="s">
        <v>885</v>
      </c>
    </row>
    <row r="1299" customFormat="false" ht="25.5" hidden="false" customHeight="true" outlineLevel="0" collapsed="false">
      <c r="A1299" s="49" t="s">
        <v>1114</v>
      </c>
      <c r="B1299" s="49" t="s">
        <v>1341</v>
      </c>
      <c r="C1299" s="49" t="s">
        <v>1376</v>
      </c>
      <c r="D1299" s="49" t="s">
        <v>1208</v>
      </c>
      <c r="E1299" s="49" t="s">
        <v>1377</v>
      </c>
      <c r="F1299" s="49" t="s">
        <v>1378</v>
      </c>
      <c r="G1299" s="49" t="s">
        <v>772</v>
      </c>
      <c r="H1299" s="49" t="s">
        <v>1132</v>
      </c>
      <c r="I1299" s="49" t="s">
        <v>885</v>
      </c>
    </row>
    <row r="1300" customFormat="false" ht="25.5" hidden="false" customHeight="true" outlineLevel="0" collapsed="false">
      <c r="A1300" s="49" t="s">
        <v>1114</v>
      </c>
      <c r="B1300" s="49" t="s">
        <v>1341</v>
      </c>
      <c r="C1300" s="49" t="s">
        <v>1379</v>
      </c>
      <c r="D1300" s="49" t="s">
        <v>1199</v>
      </c>
      <c r="E1300" s="49" t="s">
        <v>1183</v>
      </c>
      <c r="F1300" s="49" t="s">
        <v>1380</v>
      </c>
      <c r="G1300" s="49" t="s">
        <v>772</v>
      </c>
      <c r="H1300" s="49" t="s">
        <v>1132</v>
      </c>
      <c r="I1300" s="49" t="s">
        <v>885</v>
      </c>
    </row>
    <row r="1301" customFormat="false" ht="25.5" hidden="false" customHeight="true" outlineLevel="0" collapsed="false">
      <c r="A1301" s="49" t="s">
        <v>1114</v>
      </c>
      <c r="B1301" s="49" t="s">
        <v>1341</v>
      </c>
      <c r="C1301" s="49" t="s">
        <v>1381</v>
      </c>
      <c r="D1301" s="49" t="s">
        <v>1162</v>
      </c>
      <c r="E1301" s="49" t="s">
        <v>1382</v>
      </c>
      <c r="F1301" s="49" t="s">
        <v>1383</v>
      </c>
      <c r="G1301" s="49" t="s">
        <v>772</v>
      </c>
      <c r="H1301" s="49" t="s">
        <v>1132</v>
      </c>
      <c r="I1301" s="49" t="s">
        <v>885</v>
      </c>
    </row>
    <row r="1302" customFormat="false" ht="25.5" hidden="false" customHeight="true" outlineLevel="0" collapsed="false">
      <c r="A1302" s="49" t="s">
        <v>1114</v>
      </c>
      <c r="B1302" s="49" t="s">
        <v>1341</v>
      </c>
      <c r="C1302" s="49" t="s">
        <v>1384</v>
      </c>
      <c r="D1302" s="49" t="s">
        <v>1292</v>
      </c>
      <c r="E1302" s="49" t="s">
        <v>1189</v>
      </c>
      <c r="F1302" s="49" t="s">
        <v>1385</v>
      </c>
      <c r="G1302" s="49" t="s">
        <v>772</v>
      </c>
      <c r="H1302" s="49" t="s">
        <v>1132</v>
      </c>
      <c r="I1302" s="49" t="s">
        <v>885</v>
      </c>
    </row>
    <row r="1303" customFormat="false" ht="25.5" hidden="false" customHeight="true" outlineLevel="0" collapsed="false">
      <c r="A1303" s="49" t="s">
        <v>1114</v>
      </c>
      <c r="B1303" s="49" t="s">
        <v>1341</v>
      </c>
      <c r="C1303" s="49" t="s">
        <v>1386</v>
      </c>
      <c r="D1303" s="49" t="s">
        <v>1156</v>
      </c>
      <c r="E1303" s="49" t="s">
        <v>1183</v>
      </c>
      <c r="F1303" s="49" t="s">
        <v>1387</v>
      </c>
      <c r="G1303" s="49" t="s">
        <v>772</v>
      </c>
      <c r="H1303" s="49" t="s">
        <v>1132</v>
      </c>
      <c r="I1303" s="49" t="s">
        <v>885</v>
      </c>
    </row>
    <row r="1304" customFormat="false" ht="25.5" hidden="false" customHeight="true" outlineLevel="0" collapsed="false">
      <c r="A1304" s="49" t="s">
        <v>1114</v>
      </c>
      <c r="B1304" s="49" t="s">
        <v>1341</v>
      </c>
      <c r="C1304" s="49" t="s">
        <v>1388</v>
      </c>
      <c r="D1304" s="49" t="s">
        <v>1162</v>
      </c>
      <c r="E1304" s="49" t="s">
        <v>1163</v>
      </c>
      <c r="F1304" s="49" t="s">
        <v>1389</v>
      </c>
      <c r="G1304" s="49" t="s">
        <v>772</v>
      </c>
      <c r="H1304" s="49" t="s">
        <v>1132</v>
      </c>
      <c r="I1304" s="49" t="s">
        <v>885</v>
      </c>
    </row>
    <row r="1305" customFormat="false" ht="25.5" hidden="false" customHeight="true" outlineLevel="0" collapsed="false">
      <c r="A1305" s="49" t="s">
        <v>1114</v>
      </c>
      <c r="B1305" s="49" t="s">
        <v>1341</v>
      </c>
      <c r="C1305" s="49" t="s">
        <v>1390</v>
      </c>
      <c r="D1305" s="49" t="s">
        <v>1162</v>
      </c>
      <c r="E1305" s="49" t="s">
        <v>1163</v>
      </c>
      <c r="F1305" s="49" t="s">
        <v>1391</v>
      </c>
      <c r="G1305" s="49" t="s">
        <v>772</v>
      </c>
      <c r="H1305" s="49" t="s">
        <v>1132</v>
      </c>
      <c r="I1305" s="49" t="s">
        <v>885</v>
      </c>
    </row>
    <row r="1306" customFormat="false" ht="25.5" hidden="false" customHeight="true" outlineLevel="0" collapsed="false">
      <c r="A1306" s="49" t="s">
        <v>1114</v>
      </c>
      <c r="B1306" s="49" t="s">
        <v>1341</v>
      </c>
      <c r="C1306" s="49" t="s">
        <v>1392</v>
      </c>
      <c r="D1306" s="49" t="s">
        <v>1162</v>
      </c>
      <c r="E1306" s="49" t="s">
        <v>1163</v>
      </c>
      <c r="F1306" s="49" t="s">
        <v>952</v>
      </c>
      <c r="G1306" s="49" t="s">
        <v>772</v>
      </c>
      <c r="H1306" s="49" t="s">
        <v>1132</v>
      </c>
      <c r="I1306" s="49" t="s">
        <v>885</v>
      </c>
    </row>
    <row r="1307" customFormat="false" ht="25.5" hidden="false" customHeight="true" outlineLevel="0" collapsed="false">
      <c r="A1307" s="49" t="s">
        <v>1114</v>
      </c>
      <c r="B1307" s="49" t="s">
        <v>1341</v>
      </c>
      <c r="C1307" s="49" t="s">
        <v>1372</v>
      </c>
      <c r="D1307" s="49" t="s">
        <v>1199</v>
      </c>
      <c r="E1307" s="49" t="s">
        <v>217</v>
      </c>
      <c r="F1307" s="49" t="s">
        <v>1393</v>
      </c>
      <c r="G1307" s="49" t="s">
        <v>772</v>
      </c>
      <c r="H1307" s="49" t="s">
        <v>1132</v>
      </c>
      <c r="I1307" s="49" t="s">
        <v>885</v>
      </c>
    </row>
    <row r="1308" customFormat="false" ht="25.5" hidden="false" customHeight="true" outlineLevel="0" collapsed="false">
      <c r="A1308" s="49" t="s">
        <v>1114</v>
      </c>
      <c r="B1308" s="49" t="s">
        <v>1341</v>
      </c>
      <c r="C1308" s="49" t="s">
        <v>1394</v>
      </c>
      <c r="D1308" s="49" t="s">
        <v>1129</v>
      </c>
      <c r="E1308" s="49" t="s">
        <v>1395</v>
      </c>
      <c r="F1308" s="49" t="s">
        <v>1396</v>
      </c>
      <c r="G1308" s="49" t="s">
        <v>772</v>
      </c>
      <c r="H1308" s="49" t="s">
        <v>1132</v>
      </c>
      <c r="I1308" s="49" t="s">
        <v>885</v>
      </c>
    </row>
    <row r="1309" customFormat="false" ht="25.5" hidden="false" customHeight="true" outlineLevel="0" collapsed="false">
      <c r="A1309" s="49" t="s">
        <v>1114</v>
      </c>
      <c r="B1309" s="49" t="s">
        <v>1341</v>
      </c>
      <c r="C1309" s="49" t="s">
        <v>1397</v>
      </c>
      <c r="D1309" s="49" t="s">
        <v>1148</v>
      </c>
      <c r="E1309" s="49" t="s">
        <v>1395</v>
      </c>
      <c r="F1309" s="49" t="s">
        <v>1398</v>
      </c>
      <c r="G1309" s="49" t="s">
        <v>772</v>
      </c>
      <c r="H1309" s="49" t="s">
        <v>1132</v>
      </c>
      <c r="I1309" s="49" t="s">
        <v>885</v>
      </c>
    </row>
    <row r="1310" customFormat="false" ht="25.5" hidden="false" customHeight="true" outlineLevel="0" collapsed="false">
      <c r="A1310" s="49" t="s">
        <v>1114</v>
      </c>
      <c r="B1310" s="49" t="s">
        <v>1341</v>
      </c>
      <c r="C1310" s="49" t="s">
        <v>1399</v>
      </c>
      <c r="D1310" s="49" t="s">
        <v>1199</v>
      </c>
      <c r="E1310" s="49" t="s">
        <v>217</v>
      </c>
      <c r="F1310" s="49" t="s">
        <v>1400</v>
      </c>
      <c r="G1310" s="49" t="s">
        <v>772</v>
      </c>
      <c r="H1310" s="49" t="s">
        <v>1132</v>
      </c>
      <c r="I1310" s="49" t="s">
        <v>885</v>
      </c>
    </row>
    <row r="1311" customFormat="false" ht="25.5" hidden="false" customHeight="true" outlineLevel="0" collapsed="false">
      <c r="A1311" s="49" t="s">
        <v>1114</v>
      </c>
      <c r="B1311" s="49" t="s">
        <v>1341</v>
      </c>
      <c r="C1311" s="49" t="s">
        <v>1401</v>
      </c>
      <c r="D1311" s="49" t="s">
        <v>1199</v>
      </c>
      <c r="E1311" s="49" t="s">
        <v>146</v>
      </c>
      <c r="F1311" s="49" t="s">
        <v>1402</v>
      </c>
      <c r="G1311" s="49" t="s">
        <v>772</v>
      </c>
      <c r="H1311" s="49" t="s">
        <v>1132</v>
      </c>
      <c r="I1311" s="49" t="s">
        <v>885</v>
      </c>
    </row>
    <row r="1312" customFormat="false" ht="25.5" hidden="false" customHeight="true" outlineLevel="0" collapsed="false">
      <c r="A1312" s="49" t="s">
        <v>1114</v>
      </c>
      <c r="B1312" s="49" t="s">
        <v>1403</v>
      </c>
      <c r="C1312" s="49" t="s">
        <v>1171</v>
      </c>
      <c r="D1312" s="49" t="s">
        <v>1172</v>
      </c>
      <c r="E1312" s="49" t="s">
        <v>1173</v>
      </c>
      <c r="F1312" s="49" t="s">
        <v>1174</v>
      </c>
      <c r="G1312" s="49" t="s">
        <v>772</v>
      </c>
      <c r="H1312" s="49" t="s">
        <v>1132</v>
      </c>
      <c r="I1312" s="49" t="s">
        <v>885</v>
      </c>
    </row>
    <row r="1313" customFormat="false" ht="25.5" hidden="false" customHeight="true" outlineLevel="0" collapsed="false">
      <c r="A1313" s="49" t="s">
        <v>1114</v>
      </c>
      <c r="B1313" s="49" t="s">
        <v>1403</v>
      </c>
      <c r="C1313" s="49" t="s">
        <v>1404</v>
      </c>
      <c r="D1313" s="49" t="s">
        <v>1151</v>
      </c>
      <c r="E1313" s="49" t="s">
        <v>1405</v>
      </c>
      <c r="F1313" s="49" t="s">
        <v>1406</v>
      </c>
      <c r="G1313" s="49" t="s">
        <v>772</v>
      </c>
      <c r="H1313" s="49" t="s">
        <v>1132</v>
      </c>
      <c r="I1313" s="49" t="s">
        <v>885</v>
      </c>
    </row>
    <row r="1314" customFormat="false" ht="25.5" hidden="false" customHeight="true" outlineLevel="0" collapsed="false">
      <c r="A1314" s="49" t="s">
        <v>1114</v>
      </c>
      <c r="B1314" s="49" t="s">
        <v>1403</v>
      </c>
      <c r="C1314" s="49" t="s">
        <v>1407</v>
      </c>
      <c r="D1314" s="49" t="s">
        <v>1141</v>
      </c>
      <c r="E1314" s="49" t="s">
        <v>1183</v>
      </c>
      <c r="F1314" s="49" t="s">
        <v>1408</v>
      </c>
      <c r="G1314" s="49" t="s">
        <v>772</v>
      </c>
      <c r="H1314" s="49" t="s">
        <v>1132</v>
      </c>
      <c r="I1314" s="49" t="s">
        <v>885</v>
      </c>
    </row>
    <row r="1315" customFormat="false" ht="25.5" hidden="false" customHeight="true" outlineLevel="0" collapsed="false">
      <c r="A1315" s="49" t="s">
        <v>1114</v>
      </c>
      <c r="B1315" s="49" t="s">
        <v>1403</v>
      </c>
      <c r="C1315" s="49" t="s">
        <v>1409</v>
      </c>
      <c r="D1315" s="49" t="s">
        <v>1208</v>
      </c>
      <c r="E1315" s="49" t="s">
        <v>1410</v>
      </c>
      <c r="F1315" s="49" t="s">
        <v>1411</v>
      </c>
      <c r="G1315" s="49" t="s">
        <v>772</v>
      </c>
      <c r="H1315" s="49" t="s">
        <v>1132</v>
      </c>
      <c r="I1315" s="49" t="s">
        <v>885</v>
      </c>
    </row>
    <row r="1316" customFormat="false" ht="25.5" hidden="false" customHeight="true" outlineLevel="0" collapsed="false">
      <c r="A1316" s="49" t="s">
        <v>1114</v>
      </c>
      <c r="B1316" s="49" t="s">
        <v>1403</v>
      </c>
      <c r="C1316" s="49" t="s">
        <v>1412</v>
      </c>
      <c r="D1316" s="49" t="s">
        <v>1199</v>
      </c>
      <c r="E1316" s="49" t="s">
        <v>1183</v>
      </c>
      <c r="F1316" s="49" t="s">
        <v>1413</v>
      </c>
      <c r="G1316" s="49" t="s">
        <v>772</v>
      </c>
      <c r="H1316" s="49" t="s">
        <v>1132</v>
      </c>
      <c r="I1316" s="49" t="s">
        <v>885</v>
      </c>
    </row>
    <row r="1317" customFormat="false" ht="25.5" hidden="false" customHeight="true" outlineLevel="0" collapsed="false">
      <c r="A1317" s="49" t="s">
        <v>1114</v>
      </c>
      <c r="B1317" s="49" t="s">
        <v>1403</v>
      </c>
      <c r="C1317" s="49" t="s">
        <v>1414</v>
      </c>
      <c r="D1317" s="49" t="s">
        <v>1156</v>
      </c>
      <c r="E1317" s="49" t="s">
        <v>1183</v>
      </c>
      <c r="F1317" s="49" t="s">
        <v>1415</v>
      </c>
      <c r="G1317" s="49" t="s">
        <v>772</v>
      </c>
      <c r="H1317" s="49" t="s">
        <v>1132</v>
      </c>
      <c r="I1317" s="49" t="s">
        <v>885</v>
      </c>
    </row>
    <row r="1318" customFormat="false" ht="25.5" hidden="false" customHeight="true" outlineLevel="0" collapsed="false">
      <c r="A1318" s="49" t="s">
        <v>1114</v>
      </c>
      <c r="B1318" s="49" t="s">
        <v>1403</v>
      </c>
      <c r="C1318" s="49" t="s">
        <v>1416</v>
      </c>
      <c r="D1318" s="49" t="s">
        <v>1134</v>
      </c>
      <c r="E1318" s="49" t="s">
        <v>1226</v>
      </c>
      <c r="F1318" s="49" t="s">
        <v>1417</v>
      </c>
      <c r="G1318" s="49" t="s">
        <v>772</v>
      </c>
      <c r="H1318" s="49" t="s">
        <v>1132</v>
      </c>
      <c r="I1318" s="49" t="s">
        <v>885</v>
      </c>
    </row>
    <row r="1319" customFormat="false" ht="25.5" hidden="false" customHeight="true" outlineLevel="0" collapsed="false">
      <c r="A1319" s="49" t="s">
        <v>1114</v>
      </c>
      <c r="B1319" s="49" t="s">
        <v>1403</v>
      </c>
      <c r="C1319" s="49" t="s">
        <v>1418</v>
      </c>
      <c r="D1319" s="49" t="s">
        <v>1129</v>
      </c>
      <c r="E1319" s="49" t="s">
        <v>1183</v>
      </c>
      <c r="F1319" s="49" t="s">
        <v>1419</v>
      </c>
      <c r="G1319" s="49" t="s">
        <v>772</v>
      </c>
      <c r="H1319" s="49" t="s">
        <v>1132</v>
      </c>
      <c r="I1319" s="49" t="s">
        <v>885</v>
      </c>
    </row>
    <row r="1320" customFormat="false" ht="25.5" hidden="false" customHeight="true" outlineLevel="0" collapsed="false">
      <c r="A1320" s="49" t="s">
        <v>1114</v>
      </c>
      <c r="B1320" s="49" t="s">
        <v>1403</v>
      </c>
      <c r="C1320" s="49" t="s">
        <v>1420</v>
      </c>
      <c r="D1320" s="49" t="s">
        <v>1129</v>
      </c>
      <c r="E1320" s="49" t="s">
        <v>146</v>
      </c>
      <c r="F1320" s="49" t="s">
        <v>1421</v>
      </c>
      <c r="G1320" s="49" t="s">
        <v>772</v>
      </c>
      <c r="H1320" s="49" t="s">
        <v>1132</v>
      </c>
      <c r="I1320" s="49" t="s">
        <v>885</v>
      </c>
    </row>
    <row r="1321" customFormat="false" ht="25.5" hidden="false" customHeight="true" outlineLevel="0" collapsed="false">
      <c r="A1321" s="49" t="s">
        <v>1114</v>
      </c>
      <c r="B1321" s="49" t="s">
        <v>1403</v>
      </c>
      <c r="C1321" s="49" t="s">
        <v>1422</v>
      </c>
      <c r="D1321" s="49" t="s">
        <v>1292</v>
      </c>
      <c r="E1321" s="49" t="s">
        <v>1135</v>
      </c>
      <c r="F1321" s="49" t="s">
        <v>1423</v>
      </c>
      <c r="G1321" s="49" t="s">
        <v>772</v>
      </c>
      <c r="H1321" s="49" t="s">
        <v>1132</v>
      </c>
      <c r="I1321" s="49" t="s">
        <v>885</v>
      </c>
    </row>
    <row r="1322" customFormat="false" ht="25.5" hidden="false" customHeight="true" outlineLevel="0" collapsed="false">
      <c r="A1322" s="49" t="s">
        <v>1114</v>
      </c>
      <c r="B1322" s="49" t="s">
        <v>1403</v>
      </c>
      <c r="C1322" s="49" t="s">
        <v>1424</v>
      </c>
      <c r="D1322" s="49" t="s">
        <v>1148</v>
      </c>
      <c r="E1322" s="49" t="s">
        <v>1135</v>
      </c>
      <c r="F1322" s="49" t="s">
        <v>1423</v>
      </c>
      <c r="G1322" s="49" t="s">
        <v>772</v>
      </c>
      <c r="H1322" s="49" t="s">
        <v>1132</v>
      </c>
      <c r="I1322" s="49" t="s">
        <v>885</v>
      </c>
    </row>
    <row r="1323" customFormat="false" ht="25.5" hidden="false" customHeight="true" outlineLevel="0" collapsed="false">
      <c r="A1323" s="49" t="s">
        <v>1114</v>
      </c>
      <c r="B1323" s="49" t="s">
        <v>1403</v>
      </c>
      <c r="C1323" s="49" t="s">
        <v>1425</v>
      </c>
      <c r="D1323" s="49" t="s">
        <v>1199</v>
      </c>
      <c r="E1323" s="49" t="s">
        <v>1183</v>
      </c>
      <c r="F1323" s="49" t="s">
        <v>1415</v>
      </c>
      <c r="G1323" s="49" t="s">
        <v>772</v>
      </c>
      <c r="H1323" s="49" t="s">
        <v>1132</v>
      </c>
      <c r="I1323" s="49" t="s">
        <v>885</v>
      </c>
    </row>
    <row r="1324" customFormat="false" ht="25.5" hidden="false" customHeight="true" outlineLevel="0" collapsed="false">
      <c r="A1324" s="49" t="s">
        <v>1114</v>
      </c>
      <c r="B1324" s="49" t="s">
        <v>1403</v>
      </c>
      <c r="C1324" s="49" t="s">
        <v>1426</v>
      </c>
      <c r="D1324" s="49" t="s">
        <v>1208</v>
      </c>
      <c r="E1324" s="49" t="s">
        <v>1427</v>
      </c>
      <c r="F1324" s="49" t="s">
        <v>1428</v>
      </c>
      <c r="G1324" s="49" t="s">
        <v>772</v>
      </c>
      <c r="H1324" s="49" t="s">
        <v>1132</v>
      </c>
      <c r="I1324" s="49" t="s">
        <v>885</v>
      </c>
    </row>
    <row r="1325" customFormat="false" ht="25.5" hidden="false" customHeight="true" outlineLevel="0" collapsed="false">
      <c r="A1325" s="49" t="s">
        <v>1114</v>
      </c>
      <c r="B1325" s="49" t="s">
        <v>1403</v>
      </c>
      <c r="C1325" s="49" t="s">
        <v>1429</v>
      </c>
      <c r="D1325" s="49" t="s">
        <v>1129</v>
      </c>
      <c r="E1325" s="49" t="s">
        <v>1223</v>
      </c>
      <c r="F1325" s="49" t="s">
        <v>1430</v>
      </c>
      <c r="G1325" s="49" t="s">
        <v>772</v>
      </c>
      <c r="H1325" s="49" t="s">
        <v>1132</v>
      </c>
      <c r="I1325" s="49" t="s">
        <v>885</v>
      </c>
    </row>
    <row r="1326" customFormat="false" ht="25.5" hidden="false" customHeight="true" outlineLevel="0" collapsed="false">
      <c r="A1326" s="49" t="s">
        <v>1114</v>
      </c>
      <c r="B1326" s="49" t="s">
        <v>1403</v>
      </c>
      <c r="C1326" s="49" t="s">
        <v>1431</v>
      </c>
      <c r="D1326" s="49" t="s">
        <v>1208</v>
      </c>
      <c r="E1326" s="49" t="s">
        <v>1432</v>
      </c>
      <c r="F1326" s="49" t="s">
        <v>1433</v>
      </c>
      <c r="G1326" s="49" t="s">
        <v>772</v>
      </c>
      <c r="H1326" s="49" t="s">
        <v>1132</v>
      </c>
      <c r="I1326" s="49" t="s">
        <v>885</v>
      </c>
    </row>
    <row r="1327" customFormat="false" ht="25.5" hidden="false" customHeight="true" outlineLevel="0" collapsed="false">
      <c r="A1327" s="49" t="s">
        <v>1114</v>
      </c>
      <c r="B1327" s="49" t="s">
        <v>1403</v>
      </c>
      <c r="C1327" s="49" t="s">
        <v>1434</v>
      </c>
      <c r="D1327" s="49" t="s">
        <v>1162</v>
      </c>
      <c r="E1327" s="49" t="s">
        <v>1163</v>
      </c>
      <c r="F1327" s="49" t="s">
        <v>1435</v>
      </c>
      <c r="G1327" s="49" t="s">
        <v>772</v>
      </c>
      <c r="H1327" s="49" t="s">
        <v>1132</v>
      </c>
      <c r="I1327" s="49" t="s">
        <v>885</v>
      </c>
    </row>
    <row r="1328" customFormat="false" ht="25.5" hidden="false" customHeight="true" outlineLevel="0" collapsed="false">
      <c r="A1328" s="49" t="s">
        <v>1114</v>
      </c>
      <c r="B1328" s="49" t="s">
        <v>1403</v>
      </c>
      <c r="C1328" s="49" t="s">
        <v>1436</v>
      </c>
      <c r="D1328" s="49" t="s">
        <v>1199</v>
      </c>
      <c r="E1328" s="49" t="s">
        <v>146</v>
      </c>
      <c r="F1328" s="49" t="s">
        <v>1437</v>
      </c>
      <c r="G1328" s="49" t="s">
        <v>772</v>
      </c>
      <c r="H1328" s="49" t="s">
        <v>1132</v>
      </c>
      <c r="I1328" s="49" t="s">
        <v>885</v>
      </c>
    </row>
    <row r="1329" customFormat="false" ht="25.5" hidden="false" customHeight="true" outlineLevel="0" collapsed="false">
      <c r="A1329" s="49" t="s">
        <v>1114</v>
      </c>
      <c r="B1329" s="49" t="s">
        <v>1403</v>
      </c>
      <c r="C1329" s="49" t="s">
        <v>1438</v>
      </c>
      <c r="D1329" s="49" t="s">
        <v>1151</v>
      </c>
      <c r="E1329" s="49" t="s">
        <v>1183</v>
      </c>
      <c r="F1329" s="49" t="s">
        <v>1439</v>
      </c>
      <c r="G1329" s="49" t="s">
        <v>772</v>
      </c>
      <c r="H1329" s="49" t="s">
        <v>1132</v>
      </c>
      <c r="I1329" s="49" t="s">
        <v>885</v>
      </c>
    </row>
    <row r="1330" customFormat="false" ht="25.5" hidden="false" customHeight="true" outlineLevel="0" collapsed="false">
      <c r="A1330" s="49" t="s">
        <v>1114</v>
      </c>
      <c r="B1330" s="49" t="s">
        <v>1403</v>
      </c>
      <c r="C1330" s="49" t="s">
        <v>1440</v>
      </c>
      <c r="D1330" s="49" t="s">
        <v>1134</v>
      </c>
      <c r="E1330" s="49" t="s">
        <v>217</v>
      </c>
      <c r="F1330" s="49" t="s">
        <v>1441</v>
      </c>
      <c r="G1330" s="49" t="s">
        <v>772</v>
      </c>
      <c r="H1330" s="49" t="s">
        <v>1132</v>
      </c>
      <c r="I1330" s="49" t="s">
        <v>885</v>
      </c>
    </row>
    <row r="1331" customFormat="false" ht="25.5" hidden="false" customHeight="true" outlineLevel="0" collapsed="false">
      <c r="A1331" s="49" t="s">
        <v>1114</v>
      </c>
      <c r="B1331" s="49" t="s">
        <v>1403</v>
      </c>
      <c r="C1331" s="49" t="s">
        <v>1442</v>
      </c>
      <c r="D1331" s="49" t="s">
        <v>1151</v>
      </c>
      <c r="E1331" s="49" t="s">
        <v>1443</v>
      </c>
      <c r="F1331" s="49" t="s">
        <v>1444</v>
      </c>
      <c r="G1331" s="49" t="s">
        <v>772</v>
      </c>
      <c r="H1331" s="49" t="s">
        <v>1132</v>
      </c>
      <c r="I1331" s="49" t="s">
        <v>885</v>
      </c>
    </row>
    <row r="1332" customFormat="false" ht="25.5" hidden="false" customHeight="true" outlineLevel="0" collapsed="false">
      <c r="A1332" s="49" t="s">
        <v>1114</v>
      </c>
      <c r="B1332" s="49" t="s">
        <v>1403</v>
      </c>
      <c r="C1332" s="49" t="s">
        <v>1445</v>
      </c>
      <c r="D1332" s="49" t="s">
        <v>1199</v>
      </c>
      <c r="E1332" s="49" t="s">
        <v>1183</v>
      </c>
      <c r="F1332" s="49" t="s">
        <v>1446</v>
      </c>
      <c r="G1332" s="49" t="s">
        <v>772</v>
      </c>
      <c r="H1332" s="49" t="s">
        <v>1132</v>
      </c>
      <c r="I1332" s="49" t="s">
        <v>885</v>
      </c>
    </row>
    <row r="1333" customFormat="false" ht="25.5" hidden="false" customHeight="true" outlineLevel="0" collapsed="false">
      <c r="A1333" s="49" t="s">
        <v>1114</v>
      </c>
      <c r="B1333" s="49" t="s">
        <v>1447</v>
      </c>
      <c r="C1333" s="49" t="s">
        <v>1171</v>
      </c>
      <c r="D1333" s="49" t="s">
        <v>1172</v>
      </c>
      <c r="E1333" s="49" t="s">
        <v>1173</v>
      </c>
      <c r="F1333" s="49" t="s">
        <v>1174</v>
      </c>
      <c r="G1333" s="49" t="s">
        <v>772</v>
      </c>
      <c r="H1333" s="49" t="s">
        <v>1132</v>
      </c>
      <c r="I1333" s="49" t="s">
        <v>885</v>
      </c>
    </row>
    <row r="1334" customFormat="false" ht="25.5" hidden="false" customHeight="true" outlineLevel="0" collapsed="false">
      <c r="A1334" s="49" t="s">
        <v>1114</v>
      </c>
      <c r="B1334" s="49" t="s">
        <v>1447</v>
      </c>
      <c r="C1334" s="49" t="s">
        <v>1448</v>
      </c>
      <c r="D1334" s="49" t="s">
        <v>1141</v>
      </c>
      <c r="E1334" s="49" t="s">
        <v>1449</v>
      </c>
      <c r="F1334" s="49" t="s">
        <v>1450</v>
      </c>
      <c r="G1334" s="49" t="s">
        <v>772</v>
      </c>
      <c r="H1334" s="49" t="s">
        <v>1132</v>
      </c>
      <c r="I1334" s="49" t="s">
        <v>885</v>
      </c>
    </row>
    <row r="1335" customFormat="false" ht="25.5" hidden="false" customHeight="true" outlineLevel="0" collapsed="false">
      <c r="A1335" s="49" t="s">
        <v>1114</v>
      </c>
      <c r="B1335" s="49" t="s">
        <v>1447</v>
      </c>
      <c r="C1335" s="49" t="s">
        <v>1451</v>
      </c>
      <c r="D1335" s="49" t="s">
        <v>1129</v>
      </c>
      <c r="E1335" s="49" t="s">
        <v>1452</v>
      </c>
      <c r="F1335" s="49" t="s">
        <v>1453</v>
      </c>
      <c r="G1335" s="49" t="s">
        <v>772</v>
      </c>
      <c r="H1335" s="49" t="s">
        <v>1132</v>
      </c>
      <c r="I1335" s="49" t="s">
        <v>885</v>
      </c>
    </row>
    <row r="1336" customFormat="false" ht="25.5" hidden="false" customHeight="true" outlineLevel="0" collapsed="false">
      <c r="A1336" s="49" t="s">
        <v>1114</v>
      </c>
      <c r="B1336" s="49" t="s">
        <v>1447</v>
      </c>
      <c r="C1336" s="49" t="s">
        <v>1454</v>
      </c>
      <c r="D1336" s="49" t="s">
        <v>1156</v>
      </c>
      <c r="E1336" s="49" t="s">
        <v>1455</v>
      </c>
      <c r="F1336" s="49" t="s">
        <v>1456</v>
      </c>
      <c r="G1336" s="49" t="s">
        <v>772</v>
      </c>
      <c r="H1336" s="49" t="s">
        <v>1132</v>
      </c>
      <c r="I1336" s="49" t="s">
        <v>885</v>
      </c>
    </row>
    <row r="1337" customFormat="false" ht="25.5" hidden="false" customHeight="true" outlineLevel="0" collapsed="false">
      <c r="A1337" s="49" t="s">
        <v>1114</v>
      </c>
      <c r="B1337" s="49" t="s">
        <v>1447</v>
      </c>
      <c r="C1337" s="49" t="s">
        <v>1457</v>
      </c>
      <c r="D1337" s="49" t="s">
        <v>1156</v>
      </c>
      <c r="E1337" s="49" t="s">
        <v>1455</v>
      </c>
      <c r="F1337" s="49" t="s">
        <v>1456</v>
      </c>
      <c r="G1337" s="49" t="s">
        <v>772</v>
      </c>
      <c r="H1337" s="49" t="s">
        <v>1132</v>
      </c>
      <c r="I1337" s="49" t="s">
        <v>885</v>
      </c>
    </row>
    <row r="1338" customFormat="false" ht="25.5" hidden="false" customHeight="true" outlineLevel="0" collapsed="false">
      <c r="A1338" s="49" t="s">
        <v>1114</v>
      </c>
      <c r="B1338" s="49" t="s">
        <v>1447</v>
      </c>
      <c r="C1338" s="49" t="s">
        <v>1458</v>
      </c>
      <c r="D1338" s="49" t="s">
        <v>1208</v>
      </c>
      <c r="E1338" s="49" t="s">
        <v>1183</v>
      </c>
      <c r="F1338" s="49" t="s">
        <v>1459</v>
      </c>
      <c r="G1338" s="49" t="s">
        <v>772</v>
      </c>
      <c r="H1338" s="49" t="s">
        <v>1132</v>
      </c>
      <c r="I1338" s="49" t="s">
        <v>885</v>
      </c>
    </row>
    <row r="1339" customFormat="false" ht="25.5" hidden="false" customHeight="true" outlineLevel="0" collapsed="false">
      <c r="A1339" s="49" t="s">
        <v>1114</v>
      </c>
      <c r="B1339" s="49" t="s">
        <v>1447</v>
      </c>
      <c r="C1339" s="49" t="s">
        <v>1460</v>
      </c>
      <c r="D1339" s="49" t="s">
        <v>1141</v>
      </c>
      <c r="E1339" s="49" t="s">
        <v>1183</v>
      </c>
      <c r="F1339" s="49" t="s">
        <v>1461</v>
      </c>
      <c r="G1339" s="49" t="s">
        <v>772</v>
      </c>
      <c r="H1339" s="49" t="s">
        <v>1132</v>
      </c>
      <c r="I1339" s="49" t="s">
        <v>885</v>
      </c>
    </row>
    <row r="1340" customFormat="false" ht="25.5" hidden="false" customHeight="true" outlineLevel="0" collapsed="false">
      <c r="A1340" s="49" t="s">
        <v>1114</v>
      </c>
      <c r="B1340" s="49" t="s">
        <v>1447</v>
      </c>
      <c r="C1340" s="49" t="s">
        <v>1462</v>
      </c>
      <c r="D1340" s="49" t="s">
        <v>1156</v>
      </c>
      <c r="E1340" s="49" t="s">
        <v>1183</v>
      </c>
      <c r="F1340" s="49" t="s">
        <v>1463</v>
      </c>
      <c r="G1340" s="49" t="s">
        <v>772</v>
      </c>
      <c r="H1340" s="49" t="s">
        <v>1132</v>
      </c>
      <c r="I1340" s="49" t="s">
        <v>885</v>
      </c>
    </row>
    <row r="1341" customFormat="false" ht="25.5" hidden="false" customHeight="true" outlineLevel="0" collapsed="false">
      <c r="A1341" s="49" t="s">
        <v>1114</v>
      </c>
      <c r="B1341" s="49" t="s">
        <v>1447</v>
      </c>
      <c r="C1341" s="49" t="s">
        <v>1464</v>
      </c>
      <c r="D1341" s="49" t="s">
        <v>1218</v>
      </c>
      <c r="E1341" s="49" t="s">
        <v>1183</v>
      </c>
      <c r="F1341" s="49" t="s">
        <v>1465</v>
      </c>
      <c r="G1341" s="49" t="s">
        <v>772</v>
      </c>
      <c r="H1341" s="49" t="s">
        <v>1132</v>
      </c>
      <c r="I1341" s="49" t="s">
        <v>885</v>
      </c>
    </row>
    <row r="1342" customFormat="false" ht="25.5" hidden="false" customHeight="true" outlineLevel="0" collapsed="false">
      <c r="A1342" s="49" t="s">
        <v>1114</v>
      </c>
      <c r="B1342" s="49" t="s">
        <v>1447</v>
      </c>
      <c r="C1342" s="49" t="s">
        <v>1466</v>
      </c>
      <c r="D1342" s="49" t="s">
        <v>1141</v>
      </c>
      <c r="E1342" s="49" t="s">
        <v>1183</v>
      </c>
      <c r="F1342" s="49" t="s">
        <v>1467</v>
      </c>
      <c r="G1342" s="49" t="s">
        <v>772</v>
      </c>
      <c r="H1342" s="49" t="s">
        <v>1132</v>
      </c>
      <c r="I1342" s="49" t="s">
        <v>885</v>
      </c>
    </row>
    <row r="1343" customFormat="false" ht="25.5" hidden="false" customHeight="true" outlineLevel="0" collapsed="false">
      <c r="A1343" s="49" t="s">
        <v>1114</v>
      </c>
      <c r="B1343" s="49" t="s">
        <v>1447</v>
      </c>
      <c r="C1343" s="49" t="s">
        <v>1468</v>
      </c>
      <c r="D1343" s="49" t="s">
        <v>1292</v>
      </c>
      <c r="E1343" s="49" t="s">
        <v>1183</v>
      </c>
      <c r="F1343" s="49" t="s">
        <v>1469</v>
      </c>
      <c r="G1343" s="49" t="s">
        <v>772</v>
      </c>
      <c r="H1343" s="49" t="s">
        <v>1132</v>
      </c>
      <c r="I1343" s="49" t="s">
        <v>885</v>
      </c>
    </row>
    <row r="1344" customFormat="false" ht="25.5" hidden="false" customHeight="true" outlineLevel="0" collapsed="false">
      <c r="A1344" s="49" t="s">
        <v>1114</v>
      </c>
      <c r="B1344" s="49" t="s">
        <v>1447</v>
      </c>
      <c r="C1344" s="49" t="s">
        <v>1470</v>
      </c>
      <c r="D1344" s="49" t="s">
        <v>1218</v>
      </c>
      <c r="E1344" s="49" t="s">
        <v>1183</v>
      </c>
      <c r="F1344" s="49" t="s">
        <v>1471</v>
      </c>
      <c r="G1344" s="49" t="s">
        <v>772</v>
      </c>
      <c r="H1344" s="49" t="s">
        <v>1132</v>
      </c>
      <c r="I1344" s="49" t="s">
        <v>885</v>
      </c>
    </row>
    <row r="1345" customFormat="false" ht="25.5" hidden="false" customHeight="true" outlineLevel="0" collapsed="false">
      <c r="A1345" s="49" t="s">
        <v>1114</v>
      </c>
      <c r="B1345" s="49" t="s">
        <v>1447</v>
      </c>
      <c r="C1345" s="49" t="s">
        <v>1472</v>
      </c>
      <c r="D1345" s="49" t="s">
        <v>1134</v>
      </c>
      <c r="E1345" s="49" t="s">
        <v>1405</v>
      </c>
      <c r="F1345" s="49" t="s">
        <v>1473</v>
      </c>
      <c r="G1345" s="49" t="s">
        <v>772</v>
      </c>
      <c r="H1345" s="49" t="s">
        <v>1132</v>
      </c>
      <c r="I1345" s="49" t="s">
        <v>885</v>
      </c>
    </row>
    <row r="1346" customFormat="false" ht="25.5" hidden="false" customHeight="true" outlineLevel="0" collapsed="false">
      <c r="A1346" s="49" t="s">
        <v>1114</v>
      </c>
      <c r="B1346" s="49" t="s">
        <v>1447</v>
      </c>
      <c r="C1346" s="49" t="s">
        <v>1474</v>
      </c>
      <c r="D1346" s="49" t="s">
        <v>1208</v>
      </c>
      <c r="E1346" s="49" t="s">
        <v>1475</v>
      </c>
      <c r="F1346" s="49" t="s">
        <v>1476</v>
      </c>
      <c r="G1346" s="49" t="s">
        <v>772</v>
      </c>
      <c r="H1346" s="49" t="s">
        <v>1132</v>
      </c>
      <c r="I1346" s="49" t="s">
        <v>885</v>
      </c>
    </row>
    <row r="1347" customFormat="false" ht="25.5" hidden="false" customHeight="true" outlineLevel="0" collapsed="false">
      <c r="A1347" s="49" t="s">
        <v>1114</v>
      </c>
      <c r="B1347" s="49" t="s">
        <v>1447</v>
      </c>
      <c r="C1347" s="49" t="s">
        <v>1477</v>
      </c>
      <c r="D1347" s="49" t="s">
        <v>1162</v>
      </c>
      <c r="E1347" s="49" t="s">
        <v>1478</v>
      </c>
      <c r="F1347" s="49" t="s">
        <v>1479</v>
      </c>
      <c r="G1347" s="49" t="s">
        <v>772</v>
      </c>
      <c r="H1347" s="49" t="s">
        <v>1132</v>
      </c>
      <c r="I1347" s="49" t="s">
        <v>885</v>
      </c>
    </row>
    <row r="1348" customFormat="false" ht="25.5" hidden="false" customHeight="true" outlineLevel="0" collapsed="false">
      <c r="A1348" s="49" t="s">
        <v>1114</v>
      </c>
      <c r="B1348" s="49" t="s">
        <v>1447</v>
      </c>
      <c r="C1348" s="49" t="s">
        <v>1480</v>
      </c>
      <c r="D1348" s="49" t="s">
        <v>1199</v>
      </c>
      <c r="E1348" s="49" t="s">
        <v>1135</v>
      </c>
      <c r="F1348" s="49" t="s">
        <v>1473</v>
      </c>
      <c r="G1348" s="49" t="s">
        <v>772</v>
      </c>
      <c r="H1348" s="49" t="s">
        <v>1132</v>
      </c>
      <c r="I1348" s="49" t="s">
        <v>885</v>
      </c>
    </row>
    <row r="1349" customFormat="false" ht="25.5" hidden="false" customHeight="true" outlineLevel="0" collapsed="false">
      <c r="A1349" s="49" t="s">
        <v>1114</v>
      </c>
      <c r="B1349" s="49" t="s">
        <v>1447</v>
      </c>
      <c r="C1349" s="49" t="s">
        <v>1481</v>
      </c>
      <c r="D1349" s="49" t="s">
        <v>1292</v>
      </c>
      <c r="E1349" s="49" t="s">
        <v>1135</v>
      </c>
      <c r="F1349" s="49" t="s">
        <v>1473</v>
      </c>
      <c r="G1349" s="49" t="s">
        <v>772</v>
      </c>
      <c r="H1349" s="49" t="s">
        <v>1132</v>
      </c>
      <c r="I1349" s="49" t="s">
        <v>885</v>
      </c>
    </row>
    <row r="1350" customFormat="false" ht="25.5" hidden="false" customHeight="true" outlineLevel="0" collapsed="false">
      <c r="A1350" s="49" t="s">
        <v>1114</v>
      </c>
      <c r="B1350" s="49" t="s">
        <v>1447</v>
      </c>
      <c r="C1350" s="49" t="s">
        <v>1482</v>
      </c>
      <c r="D1350" s="49" t="s">
        <v>1199</v>
      </c>
      <c r="E1350" s="49" t="s">
        <v>1483</v>
      </c>
      <c r="F1350" s="49" t="s">
        <v>1484</v>
      </c>
      <c r="G1350" s="49" t="s">
        <v>772</v>
      </c>
      <c r="H1350" s="49" t="s">
        <v>1132</v>
      </c>
      <c r="I1350" s="49" t="s">
        <v>885</v>
      </c>
    </row>
    <row r="1351" customFormat="false" ht="25.5" hidden="false" customHeight="true" outlineLevel="0" collapsed="false">
      <c r="A1351" s="49" t="s">
        <v>1114</v>
      </c>
      <c r="B1351" s="49" t="s">
        <v>1447</v>
      </c>
      <c r="C1351" s="49" t="s">
        <v>1485</v>
      </c>
      <c r="D1351" s="49" t="s">
        <v>1151</v>
      </c>
      <c r="E1351" s="49" t="s">
        <v>1135</v>
      </c>
      <c r="F1351" s="49" t="s">
        <v>1473</v>
      </c>
      <c r="G1351" s="49" t="s">
        <v>772</v>
      </c>
      <c r="H1351" s="49" t="s">
        <v>1132</v>
      </c>
      <c r="I1351" s="49" t="s">
        <v>885</v>
      </c>
    </row>
    <row r="1352" customFormat="false" ht="25.5" hidden="false" customHeight="true" outlineLevel="0" collapsed="false">
      <c r="A1352" s="49" t="s">
        <v>1114</v>
      </c>
      <c r="B1352" s="49" t="s">
        <v>1447</v>
      </c>
      <c r="C1352" s="49" t="s">
        <v>1486</v>
      </c>
      <c r="D1352" s="49" t="s">
        <v>1199</v>
      </c>
      <c r="E1352" s="49" t="s">
        <v>1135</v>
      </c>
      <c r="F1352" s="49" t="s">
        <v>1473</v>
      </c>
      <c r="G1352" s="49" t="s">
        <v>772</v>
      </c>
      <c r="H1352" s="49" t="s">
        <v>1132</v>
      </c>
      <c r="I1352" s="49" t="s">
        <v>885</v>
      </c>
    </row>
    <row r="1353" customFormat="false" ht="25.5" hidden="false" customHeight="true" outlineLevel="0" collapsed="false">
      <c r="A1353" s="49" t="s">
        <v>1114</v>
      </c>
      <c r="B1353" s="49" t="s">
        <v>1447</v>
      </c>
      <c r="C1353" s="49" t="s">
        <v>1487</v>
      </c>
      <c r="D1353" s="49" t="s">
        <v>1148</v>
      </c>
      <c r="E1353" s="49" t="s">
        <v>1135</v>
      </c>
      <c r="F1353" s="49" t="s">
        <v>1473</v>
      </c>
      <c r="G1353" s="49" t="s">
        <v>772</v>
      </c>
      <c r="H1353" s="49" t="s">
        <v>1132</v>
      </c>
      <c r="I1353" s="49" t="s">
        <v>885</v>
      </c>
    </row>
    <row r="1354" customFormat="false" ht="25.5" hidden="false" customHeight="true" outlineLevel="0" collapsed="false">
      <c r="A1354" s="49" t="s">
        <v>1114</v>
      </c>
      <c r="B1354" s="49" t="s">
        <v>1447</v>
      </c>
      <c r="C1354" s="49" t="s">
        <v>1488</v>
      </c>
      <c r="D1354" s="49" t="s">
        <v>1151</v>
      </c>
      <c r="E1354" s="49" t="s">
        <v>1135</v>
      </c>
      <c r="F1354" s="49" t="s">
        <v>1473</v>
      </c>
      <c r="G1354" s="49" t="s">
        <v>772</v>
      </c>
      <c r="H1354" s="49" t="s">
        <v>1132</v>
      </c>
      <c r="I1354" s="49" t="s">
        <v>885</v>
      </c>
    </row>
    <row r="1355" customFormat="false" ht="25.5" hidden="false" customHeight="true" outlineLevel="0" collapsed="false">
      <c r="A1355" s="49" t="s">
        <v>1114</v>
      </c>
      <c r="B1355" s="49" t="s">
        <v>1447</v>
      </c>
      <c r="C1355" s="49" t="s">
        <v>1489</v>
      </c>
      <c r="D1355" s="49" t="s">
        <v>1151</v>
      </c>
      <c r="E1355" s="49" t="s">
        <v>1135</v>
      </c>
      <c r="F1355" s="49" t="s">
        <v>1473</v>
      </c>
      <c r="G1355" s="49" t="s">
        <v>772</v>
      </c>
      <c r="H1355" s="49" t="s">
        <v>1132</v>
      </c>
      <c r="I1355" s="49" t="s">
        <v>885</v>
      </c>
    </row>
    <row r="1356" customFormat="false" ht="25.5" hidden="false" customHeight="true" outlineLevel="0" collapsed="false">
      <c r="A1356" s="49" t="s">
        <v>1114</v>
      </c>
      <c r="B1356" s="49" t="s">
        <v>1447</v>
      </c>
      <c r="C1356" s="49" t="s">
        <v>1490</v>
      </c>
      <c r="D1356" s="49" t="s">
        <v>1141</v>
      </c>
      <c r="E1356" s="49" t="s">
        <v>1135</v>
      </c>
      <c r="F1356" s="49" t="s">
        <v>1473</v>
      </c>
      <c r="G1356" s="49" t="s">
        <v>772</v>
      </c>
      <c r="H1356" s="49" t="s">
        <v>1132</v>
      </c>
      <c r="I1356" s="49" t="s">
        <v>885</v>
      </c>
    </row>
    <row r="1357" customFormat="false" ht="25.5" hidden="false" customHeight="true" outlineLevel="0" collapsed="false">
      <c r="A1357" s="49" t="s">
        <v>1114</v>
      </c>
      <c r="B1357" s="49" t="s">
        <v>1447</v>
      </c>
      <c r="C1357" s="49" t="s">
        <v>1491</v>
      </c>
      <c r="D1357" s="49" t="s">
        <v>1218</v>
      </c>
      <c r="E1357" s="49" t="s">
        <v>1135</v>
      </c>
      <c r="F1357" s="49" t="s">
        <v>1473</v>
      </c>
      <c r="G1357" s="49" t="s">
        <v>772</v>
      </c>
      <c r="H1357" s="49" t="s">
        <v>1132</v>
      </c>
      <c r="I1357" s="49" t="s">
        <v>885</v>
      </c>
    </row>
    <row r="1358" customFormat="false" ht="25.5" hidden="false" customHeight="true" outlineLevel="0" collapsed="false">
      <c r="A1358" s="49" t="s">
        <v>1114</v>
      </c>
      <c r="B1358" s="49" t="s">
        <v>1447</v>
      </c>
      <c r="C1358" s="49" t="s">
        <v>1492</v>
      </c>
      <c r="D1358" s="49" t="s">
        <v>1156</v>
      </c>
      <c r="E1358" s="49" t="s">
        <v>1135</v>
      </c>
      <c r="F1358" s="49" t="s">
        <v>1473</v>
      </c>
      <c r="G1358" s="49" t="s">
        <v>772</v>
      </c>
      <c r="H1358" s="49" t="s">
        <v>1132</v>
      </c>
      <c r="I1358" s="49" t="s">
        <v>885</v>
      </c>
    </row>
    <row r="1359" customFormat="false" ht="25.5" hidden="false" customHeight="true" outlineLevel="0" collapsed="false">
      <c r="A1359" s="49" t="s">
        <v>1114</v>
      </c>
      <c r="B1359" s="49" t="s">
        <v>1447</v>
      </c>
      <c r="C1359" s="49" t="s">
        <v>1493</v>
      </c>
      <c r="D1359" s="49" t="s">
        <v>1134</v>
      </c>
      <c r="E1359" s="49" t="s">
        <v>1183</v>
      </c>
      <c r="F1359" s="49" t="s">
        <v>1408</v>
      </c>
      <c r="G1359" s="49" t="s">
        <v>772</v>
      </c>
      <c r="H1359" s="49" t="s">
        <v>1132</v>
      </c>
      <c r="I1359" s="49" t="s">
        <v>885</v>
      </c>
    </row>
    <row r="1360" customFormat="false" ht="25.5" hidden="false" customHeight="true" outlineLevel="0" collapsed="false">
      <c r="A1360" s="49" t="s">
        <v>1114</v>
      </c>
      <c r="B1360" s="49" t="s">
        <v>1447</v>
      </c>
      <c r="C1360" s="49" t="s">
        <v>1494</v>
      </c>
      <c r="D1360" s="49" t="s">
        <v>1151</v>
      </c>
      <c r="E1360" s="49" t="s">
        <v>1135</v>
      </c>
      <c r="F1360" s="49" t="s">
        <v>1473</v>
      </c>
      <c r="G1360" s="49" t="s">
        <v>772</v>
      </c>
      <c r="H1360" s="49" t="s">
        <v>1132</v>
      </c>
      <c r="I1360" s="49" t="s">
        <v>885</v>
      </c>
    </row>
    <row r="1361" customFormat="false" ht="25.5" hidden="false" customHeight="true" outlineLevel="0" collapsed="false">
      <c r="A1361" s="49" t="s">
        <v>1114</v>
      </c>
      <c r="B1361" s="49" t="s">
        <v>879</v>
      </c>
      <c r="C1361" s="49" t="s">
        <v>880</v>
      </c>
      <c r="D1361" s="49" t="s">
        <v>881</v>
      </c>
      <c r="E1361" s="49" t="s">
        <v>882</v>
      </c>
      <c r="F1361" s="49" t="s">
        <v>883</v>
      </c>
      <c r="G1361" s="49" t="s">
        <v>776</v>
      </c>
      <c r="H1361" s="49" t="s">
        <v>1625</v>
      </c>
      <c r="I1361" s="49" t="s">
        <v>885</v>
      </c>
    </row>
    <row r="1362" customFormat="false" ht="25.5" hidden="false" customHeight="true" outlineLevel="0" collapsed="false">
      <c r="A1362" s="51" t="s">
        <v>1114</v>
      </c>
      <c r="B1362" s="51" t="s">
        <v>879</v>
      </c>
      <c r="C1362" s="51" t="s">
        <v>943</v>
      </c>
      <c r="D1362" s="51" t="s">
        <v>944</v>
      </c>
      <c r="E1362" s="51" t="s">
        <v>843</v>
      </c>
      <c r="F1362" s="51" t="s">
        <v>945</v>
      </c>
      <c r="G1362" s="52" t="s">
        <v>910</v>
      </c>
      <c r="H1362" s="51" t="s">
        <v>1626</v>
      </c>
      <c r="I1362" s="51" t="s">
        <v>912</v>
      </c>
    </row>
    <row r="1363" customFormat="false" ht="25.5" hidden="false" customHeight="true" outlineLevel="0" collapsed="false">
      <c r="A1363" s="51" t="s">
        <v>1114</v>
      </c>
      <c r="B1363" s="51" t="s">
        <v>879</v>
      </c>
      <c r="C1363" s="51" t="s">
        <v>949</v>
      </c>
      <c r="D1363" s="51"/>
      <c r="E1363" s="51" t="s">
        <v>811</v>
      </c>
      <c r="F1363" s="51"/>
      <c r="G1363" s="52" t="s">
        <v>910</v>
      </c>
      <c r="H1363" s="51" t="s">
        <v>1626</v>
      </c>
      <c r="I1363" s="51" t="s">
        <v>912</v>
      </c>
    </row>
    <row r="1364" customFormat="false" ht="25.5" hidden="false" customHeight="true" outlineLevel="0" collapsed="false">
      <c r="A1364" s="51" t="s">
        <v>1114</v>
      </c>
      <c r="B1364" s="51" t="s">
        <v>879</v>
      </c>
      <c r="C1364" s="51" t="s">
        <v>998</v>
      </c>
      <c r="D1364" s="51" t="s">
        <v>881</v>
      </c>
      <c r="E1364" s="51" t="s">
        <v>146</v>
      </c>
      <c r="F1364" s="51"/>
      <c r="G1364" s="52" t="s">
        <v>910</v>
      </c>
      <c r="H1364" s="51" t="s">
        <v>1626</v>
      </c>
      <c r="I1364" s="51" t="s">
        <v>912</v>
      </c>
    </row>
    <row r="1365" customFormat="false" ht="25.5" hidden="false" customHeight="true" outlineLevel="0" collapsed="false">
      <c r="A1365" s="51" t="s">
        <v>1114</v>
      </c>
      <c r="B1365" s="51" t="s">
        <v>879</v>
      </c>
      <c r="C1365" s="51" t="s">
        <v>999</v>
      </c>
      <c r="D1365" s="51" t="s">
        <v>890</v>
      </c>
      <c r="E1365" s="51" t="s">
        <v>146</v>
      </c>
      <c r="F1365" s="51" t="s">
        <v>1000</v>
      </c>
      <c r="G1365" s="52" t="s">
        <v>910</v>
      </c>
      <c r="H1365" s="51" t="s">
        <v>1626</v>
      </c>
      <c r="I1365" s="51" t="s">
        <v>912</v>
      </c>
    </row>
    <row r="1366" customFormat="false" ht="25.5" hidden="false" customHeight="true" outlineLevel="0" collapsed="false">
      <c r="A1366" s="51" t="s">
        <v>1114</v>
      </c>
      <c r="B1366" s="51" t="s">
        <v>879</v>
      </c>
      <c r="C1366" s="51" t="s">
        <v>1001</v>
      </c>
      <c r="D1366" s="51"/>
      <c r="E1366" s="51" t="s">
        <v>146</v>
      </c>
      <c r="F1366" s="51"/>
      <c r="G1366" s="52" t="s">
        <v>910</v>
      </c>
      <c r="H1366" s="51" t="s">
        <v>1626</v>
      </c>
      <c r="I1366" s="51" t="s">
        <v>912</v>
      </c>
    </row>
    <row r="1367" customFormat="false" ht="25.5" hidden="false" customHeight="true" outlineLevel="0" collapsed="false">
      <c r="A1367" s="49" t="s">
        <v>1114</v>
      </c>
      <c r="B1367" s="49" t="s">
        <v>879</v>
      </c>
      <c r="C1367" s="49" t="s">
        <v>886</v>
      </c>
      <c r="D1367" s="49" t="s">
        <v>887</v>
      </c>
      <c r="E1367" s="49" t="s">
        <v>882</v>
      </c>
      <c r="F1367" s="49"/>
      <c r="G1367" s="49" t="s">
        <v>776</v>
      </c>
      <c r="H1367" s="49" t="s">
        <v>1625</v>
      </c>
      <c r="I1367" s="49" t="s">
        <v>885</v>
      </c>
    </row>
    <row r="1368" customFormat="false" ht="25.5" hidden="false" customHeight="true" outlineLevel="0" collapsed="false">
      <c r="A1368" s="49" t="s">
        <v>1114</v>
      </c>
      <c r="B1368" s="49" t="s">
        <v>879</v>
      </c>
      <c r="C1368" s="49" t="s">
        <v>888</v>
      </c>
      <c r="D1368" s="49" t="s">
        <v>887</v>
      </c>
      <c r="E1368" s="49" t="s">
        <v>882</v>
      </c>
      <c r="F1368" s="49"/>
      <c r="G1368" s="49" t="s">
        <v>776</v>
      </c>
      <c r="H1368" s="49" t="s">
        <v>1625</v>
      </c>
      <c r="I1368" s="49" t="s">
        <v>885</v>
      </c>
    </row>
    <row r="1369" customFormat="false" ht="25.5" hidden="false" customHeight="true" outlineLevel="0" collapsed="false">
      <c r="A1369" s="49" t="s">
        <v>1114</v>
      </c>
      <c r="B1369" s="49" t="s">
        <v>879</v>
      </c>
      <c r="C1369" s="49" t="s">
        <v>889</v>
      </c>
      <c r="D1369" s="49" t="s">
        <v>890</v>
      </c>
      <c r="E1369" s="49" t="s">
        <v>882</v>
      </c>
      <c r="F1369" s="49"/>
      <c r="G1369" s="49" t="s">
        <v>776</v>
      </c>
      <c r="H1369" s="49" t="s">
        <v>1625</v>
      </c>
      <c r="I1369" s="49" t="s">
        <v>885</v>
      </c>
    </row>
    <row r="1370" customFormat="false" ht="25.5" hidden="false" customHeight="true" outlineLevel="0" collapsed="false">
      <c r="A1370" s="49" t="s">
        <v>1114</v>
      </c>
      <c r="B1370" s="49" t="s">
        <v>891</v>
      </c>
      <c r="C1370" s="49" t="s">
        <v>1498</v>
      </c>
      <c r="D1370" s="49" t="s">
        <v>1499</v>
      </c>
      <c r="E1370" s="49" t="s">
        <v>1142</v>
      </c>
      <c r="F1370" s="49" t="s">
        <v>1500</v>
      </c>
      <c r="G1370" s="49" t="s">
        <v>772</v>
      </c>
      <c r="H1370" s="49" t="s">
        <v>1132</v>
      </c>
      <c r="I1370" s="49" t="s">
        <v>885</v>
      </c>
    </row>
    <row r="1371" customFormat="false" ht="25.5" hidden="false" customHeight="true" outlineLevel="0" collapsed="false">
      <c r="A1371" s="51" t="s">
        <v>1114</v>
      </c>
      <c r="B1371" s="51" t="s">
        <v>891</v>
      </c>
      <c r="C1371" s="51" t="s">
        <v>1002</v>
      </c>
      <c r="D1371" s="51" t="s">
        <v>898</v>
      </c>
      <c r="E1371" s="51" t="s">
        <v>146</v>
      </c>
      <c r="F1371" s="51"/>
      <c r="G1371" s="52" t="s">
        <v>910</v>
      </c>
      <c r="H1371" s="51" t="s">
        <v>1626</v>
      </c>
      <c r="I1371" s="51" t="s">
        <v>912</v>
      </c>
    </row>
    <row r="1372" customFormat="false" ht="25.5" hidden="false" customHeight="true" outlineLevel="0" collapsed="false">
      <c r="A1372" s="49" t="s">
        <v>1114</v>
      </c>
      <c r="B1372" s="49" t="s">
        <v>891</v>
      </c>
      <c r="C1372" s="49" t="s">
        <v>1501</v>
      </c>
      <c r="D1372" s="49" t="s">
        <v>1004</v>
      </c>
      <c r="E1372" s="49" t="s">
        <v>1502</v>
      </c>
      <c r="F1372" s="49" t="s">
        <v>1008</v>
      </c>
      <c r="G1372" s="49" t="s">
        <v>772</v>
      </c>
      <c r="H1372" s="49" t="s">
        <v>1132</v>
      </c>
      <c r="I1372" s="49" t="s">
        <v>885</v>
      </c>
    </row>
    <row r="1373" customFormat="false" ht="25.5" hidden="false" customHeight="true" outlineLevel="0" collapsed="false">
      <c r="A1373" s="51" t="s">
        <v>1114</v>
      </c>
      <c r="B1373" s="51" t="s">
        <v>891</v>
      </c>
      <c r="C1373" s="51" t="s">
        <v>1003</v>
      </c>
      <c r="D1373" s="51" t="s">
        <v>1004</v>
      </c>
      <c r="E1373" s="51" t="s">
        <v>146</v>
      </c>
      <c r="F1373" s="51"/>
      <c r="G1373" s="52" t="s">
        <v>910</v>
      </c>
      <c r="H1373" s="51" t="s">
        <v>1626</v>
      </c>
      <c r="I1373" s="51" t="s">
        <v>912</v>
      </c>
    </row>
    <row r="1374" customFormat="false" ht="25.5" hidden="false" customHeight="true" outlineLevel="0" collapsed="false">
      <c r="A1374" s="51" t="s">
        <v>1114</v>
      </c>
      <c r="B1374" s="51" t="s">
        <v>891</v>
      </c>
      <c r="C1374" s="51" t="s">
        <v>892</v>
      </c>
      <c r="D1374" s="51"/>
      <c r="E1374" s="51" t="s">
        <v>893</v>
      </c>
      <c r="F1374" s="51" t="s">
        <v>894</v>
      </c>
      <c r="G1374" s="52" t="s">
        <v>910</v>
      </c>
      <c r="H1374" s="51" t="s">
        <v>1627</v>
      </c>
      <c r="I1374" s="51" t="s">
        <v>912</v>
      </c>
    </row>
    <row r="1375" customFormat="false" ht="25.5" hidden="false" customHeight="true" outlineLevel="0" collapsed="false">
      <c r="A1375" s="51" t="s">
        <v>1114</v>
      </c>
      <c r="B1375" s="51" t="s">
        <v>891</v>
      </c>
      <c r="C1375" s="51" t="s">
        <v>1006</v>
      </c>
      <c r="D1375" s="51" t="s">
        <v>1007</v>
      </c>
      <c r="E1375" s="51" t="s">
        <v>146</v>
      </c>
      <c r="F1375" s="51" t="s">
        <v>1008</v>
      </c>
      <c r="G1375" s="52" t="s">
        <v>910</v>
      </c>
      <c r="H1375" s="51" t="s">
        <v>1626</v>
      </c>
      <c r="I1375" s="51" t="s">
        <v>912</v>
      </c>
    </row>
    <row r="1376" customFormat="false" ht="25.5" hidden="false" customHeight="true" outlineLevel="0" collapsed="false">
      <c r="A1376" s="49" t="s">
        <v>1114</v>
      </c>
      <c r="B1376" s="49" t="s">
        <v>1009</v>
      </c>
      <c r="C1376" s="49" t="s">
        <v>1504</v>
      </c>
      <c r="D1376" s="49" t="s">
        <v>1011</v>
      </c>
      <c r="E1376" s="49" t="s">
        <v>1189</v>
      </c>
      <c r="F1376" s="49" t="s">
        <v>1505</v>
      </c>
      <c r="G1376" s="49" t="s">
        <v>772</v>
      </c>
      <c r="H1376" s="49" t="s">
        <v>1132</v>
      </c>
      <c r="I1376" s="49" t="s">
        <v>885</v>
      </c>
    </row>
    <row r="1377" customFormat="false" ht="25.5" hidden="false" customHeight="true" outlineLevel="0" collapsed="false">
      <c r="A1377" s="51" t="s">
        <v>1114</v>
      </c>
      <c r="B1377" s="51" t="s">
        <v>1009</v>
      </c>
      <c r="C1377" s="51" t="s">
        <v>1010</v>
      </c>
      <c r="D1377" s="51" t="s">
        <v>1011</v>
      </c>
      <c r="E1377" s="51" t="s">
        <v>146</v>
      </c>
      <c r="F1377" s="51"/>
      <c r="G1377" s="52" t="s">
        <v>910</v>
      </c>
      <c r="H1377" s="51" t="s">
        <v>1626</v>
      </c>
      <c r="I1377" s="51" t="s">
        <v>912</v>
      </c>
    </row>
    <row r="1378" customFormat="false" ht="25.5" hidden="false" customHeight="true" outlineLevel="0" collapsed="false">
      <c r="A1378" s="51" t="s">
        <v>1114</v>
      </c>
      <c r="B1378" s="51" t="s">
        <v>1009</v>
      </c>
      <c r="C1378" s="51" t="s">
        <v>1012</v>
      </c>
      <c r="D1378" s="51" t="s">
        <v>1011</v>
      </c>
      <c r="E1378" s="51" t="s">
        <v>1013</v>
      </c>
      <c r="F1378" s="51"/>
      <c r="G1378" s="52" t="s">
        <v>910</v>
      </c>
      <c r="H1378" s="51" t="s">
        <v>1626</v>
      </c>
      <c r="I1378" s="51" t="s">
        <v>912</v>
      </c>
    </row>
    <row r="1379" customFormat="false" ht="25.5" hidden="false" customHeight="true" outlineLevel="0" collapsed="false">
      <c r="A1379" s="51" t="s">
        <v>1114</v>
      </c>
      <c r="B1379" s="51" t="s">
        <v>1009</v>
      </c>
      <c r="C1379" s="51" t="s">
        <v>1014</v>
      </c>
      <c r="D1379" s="51" t="s">
        <v>1011</v>
      </c>
      <c r="E1379" s="51" t="s">
        <v>1015</v>
      </c>
      <c r="F1379" s="51" t="s">
        <v>1016</v>
      </c>
      <c r="G1379" s="52" t="s">
        <v>910</v>
      </c>
      <c r="H1379" s="51" t="s">
        <v>1626</v>
      </c>
      <c r="I1379" s="51" t="s">
        <v>912</v>
      </c>
    </row>
    <row r="1380" customFormat="false" ht="25.5" hidden="false" customHeight="true" outlineLevel="0" collapsed="false">
      <c r="A1380" s="51" t="s">
        <v>1114</v>
      </c>
      <c r="B1380" s="51" t="s">
        <v>1009</v>
      </c>
      <c r="C1380" s="51" t="s">
        <v>1017</v>
      </c>
      <c r="D1380" s="51" t="s">
        <v>1011</v>
      </c>
      <c r="E1380" s="51" t="s">
        <v>146</v>
      </c>
      <c r="F1380" s="51"/>
      <c r="G1380" s="52" t="s">
        <v>910</v>
      </c>
      <c r="H1380" s="51" t="s">
        <v>1626</v>
      </c>
      <c r="I1380" s="51" t="s">
        <v>912</v>
      </c>
    </row>
    <row r="1381" customFormat="false" ht="25.5" hidden="false" customHeight="true" outlineLevel="0" collapsed="false">
      <c r="A1381" s="51" t="s">
        <v>1114</v>
      </c>
      <c r="B1381" s="51" t="s">
        <v>950</v>
      </c>
      <c r="C1381" s="51" t="s">
        <v>1018</v>
      </c>
      <c r="D1381" s="51" t="s">
        <v>1019</v>
      </c>
      <c r="E1381" s="51" t="s">
        <v>1020</v>
      </c>
      <c r="F1381" s="51"/>
      <c r="G1381" s="52" t="s">
        <v>910</v>
      </c>
      <c r="H1381" s="51" t="s">
        <v>1626</v>
      </c>
      <c r="I1381" s="51" t="s">
        <v>912</v>
      </c>
    </row>
    <row r="1382" customFormat="false" ht="25.5" hidden="false" customHeight="true" outlineLevel="0" collapsed="false">
      <c r="A1382" s="49" t="s">
        <v>1114</v>
      </c>
      <c r="B1382" s="49" t="s">
        <v>950</v>
      </c>
      <c r="C1382" s="49" t="s">
        <v>951</v>
      </c>
      <c r="D1382" s="49"/>
      <c r="E1382" s="49" t="s">
        <v>217</v>
      </c>
      <c r="F1382" s="49" t="s">
        <v>952</v>
      </c>
      <c r="G1382" s="49" t="s">
        <v>772</v>
      </c>
      <c r="H1382" s="49" t="s">
        <v>1132</v>
      </c>
      <c r="I1382" s="49" t="s">
        <v>885</v>
      </c>
    </row>
    <row r="1383" customFormat="false" ht="25.5" hidden="false" customHeight="true" outlineLevel="0" collapsed="false">
      <c r="A1383" s="49" t="s">
        <v>1114</v>
      </c>
      <c r="B1383" s="49" t="s">
        <v>950</v>
      </c>
      <c r="C1383" s="49" t="s">
        <v>953</v>
      </c>
      <c r="D1383" s="49" t="s">
        <v>954</v>
      </c>
      <c r="E1383" s="49" t="s">
        <v>217</v>
      </c>
      <c r="F1383" s="49" t="s">
        <v>955</v>
      </c>
      <c r="G1383" s="49" t="s">
        <v>772</v>
      </c>
      <c r="H1383" s="49" t="s">
        <v>1132</v>
      </c>
      <c r="I1383" s="49" t="s">
        <v>885</v>
      </c>
    </row>
    <row r="1384" customFormat="false" ht="25.5" hidden="false" customHeight="true" outlineLevel="0" collapsed="false">
      <c r="A1384" s="51" t="s">
        <v>1114</v>
      </c>
      <c r="B1384" s="51" t="s">
        <v>950</v>
      </c>
      <c r="C1384" s="51" t="s">
        <v>1021</v>
      </c>
      <c r="D1384" s="51" t="s">
        <v>954</v>
      </c>
      <c r="E1384" s="51" t="s">
        <v>146</v>
      </c>
      <c r="F1384" s="51"/>
      <c r="G1384" s="52" t="s">
        <v>910</v>
      </c>
      <c r="H1384" s="51" t="s">
        <v>1626</v>
      </c>
      <c r="I1384" s="51" t="s">
        <v>912</v>
      </c>
    </row>
    <row r="1385" customFormat="false" ht="25.5" hidden="false" customHeight="true" outlineLevel="0" collapsed="false">
      <c r="A1385" s="51" t="s">
        <v>1114</v>
      </c>
      <c r="B1385" s="51" t="s">
        <v>950</v>
      </c>
      <c r="C1385" s="51" t="s">
        <v>1022</v>
      </c>
      <c r="D1385" s="51" t="s">
        <v>1019</v>
      </c>
      <c r="E1385" s="51" t="s">
        <v>1023</v>
      </c>
      <c r="F1385" s="51"/>
      <c r="G1385" s="52" t="s">
        <v>910</v>
      </c>
      <c r="H1385" s="51" t="s">
        <v>1626</v>
      </c>
      <c r="I1385" s="51" t="s">
        <v>912</v>
      </c>
    </row>
    <row r="1386" customFormat="false" ht="25.5" hidden="false" customHeight="true" outlineLevel="0" collapsed="false">
      <c r="A1386" s="51" t="s">
        <v>1114</v>
      </c>
      <c r="B1386" s="51" t="s">
        <v>950</v>
      </c>
      <c r="C1386" s="51" t="s">
        <v>956</v>
      </c>
      <c r="D1386" s="51" t="s">
        <v>954</v>
      </c>
      <c r="E1386" s="51" t="s">
        <v>957</v>
      </c>
      <c r="F1386" s="51" t="s">
        <v>958</v>
      </c>
      <c r="G1386" s="52" t="s">
        <v>910</v>
      </c>
      <c r="H1386" s="51" t="s">
        <v>1626</v>
      </c>
      <c r="I1386" s="51" t="s">
        <v>912</v>
      </c>
    </row>
    <row r="1387" customFormat="false" ht="25.5" hidden="false" customHeight="true" outlineLevel="0" collapsed="false">
      <c r="A1387" s="51" t="s">
        <v>1114</v>
      </c>
      <c r="B1387" s="51" t="s">
        <v>950</v>
      </c>
      <c r="C1387" s="51" t="s">
        <v>1024</v>
      </c>
      <c r="D1387" s="51" t="s">
        <v>1025</v>
      </c>
      <c r="E1387" s="51" t="s">
        <v>146</v>
      </c>
      <c r="F1387" s="51" t="s">
        <v>1026</v>
      </c>
      <c r="G1387" s="52" t="s">
        <v>910</v>
      </c>
      <c r="H1387" s="51" t="s">
        <v>1626</v>
      </c>
      <c r="I1387" s="51" t="s">
        <v>912</v>
      </c>
    </row>
    <row r="1388" customFormat="false" ht="25.5" hidden="false" customHeight="true" outlineLevel="0" collapsed="false">
      <c r="A1388" s="51" t="s">
        <v>1114</v>
      </c>
      <c r="B1388" s="51" t="s">
        <v>950</v>
      </c>
      <c r="C1388" s="51" t="s">
        <v>1027</v>
      </c>
      <c r="D1388" s="51" t="s">
        <v>1025</v>
      </c>
      <c r="E1388" s="51" t="s">
        <v>146</v>
      </c>
      <c r="F1388" s="51"/>
      <c r="G1388" s="52" t="s">
        <v>910</v>
      </c>
      <c r="H1388" s="51" t="s">
        <v>1626</v>
      </c>
      <c r="I1388" s="51" t="s">
        <v>912</v>
      </c>
    </row>
    <row r="1389" customFormat="false" ht="25.5" hidden="false" customHeight="true" outlineLevel="0" collapsed="false">
      <c r="A1389" s="51" t="s">
        <v>1114</v>
      </c>
      <c r="B1389" s="51" t="s">
        <v>896</v>
      </c>
      <c r="C1389" s="51" t="s">
        <v>1028</v>
      </c>
      <c r="D1389" s="51" t="s">
        <v>1029</v>
      </c>
      <c r="E1389" s="51" t="s">
        <v>146</v>
      </c>
      <c r="F1389" s="51" t="s">
        <v>1030</v>
      </c>
      <c r="G1389" s="52" t="s">
        <v>910</v>
      </c>
      <c r="H1389" s="51" t="s">
        <v>1626</v>
      </c>
      <c r="I1389" s="51" t="s">
        <v>912</v>
      </c>
    </row>
    <row r="1390" customFormat="false" ht="25.5" hidden="false" customHeight="true" outlineLevel="0" collapsed="false">
      <c r="A1390" s="51" t="s">
        <v>1114</v>
      </c>
      <c r="B1390" s="51" t="s">
        <v>896</v>
      </c>
      <c r="C1390" s="51" t="s">
        <v>897</v>
      </c>
      <c r="D1390" s="51" t="s">
        <v>898</v>
      </c>
      <c r="E1390" s="51" t="s">
        <v>899</v>
      </c>
      <c r="F1390" s="51"/>
      <c r="G1390" s="52" t="s">
        <v>910</v>
      </c>
      <c r="H1390" s="51" t="s">
        <v>1627</v>
      </c>
      <c r="I1390" s="51" t="s">
        <v>912</v>
      </c>
    </row>
    <row r="1391" customFormat="false" ht="25.5" hidden="false" customHeight="true" outlineLevel="0" collapsed="false">
      <c r="A1391" s="51" t="s">
        <v>1114</v>
      </c>
      <c r="B1391" s="51" t="s">
        <v>896</v>
      </c>
      <c r="C1391" s="51" t="s">
        <v>900</v>
      </c>
      <c r="D1391" s="51" t="s">
        <v>898</v>
      </c>
      <c r="E1391" s="51" t="s">
        <v>893</v>
      </c>
      <c r="F1391" s="51"/>
      <c r="G1391" s="52" t="s">
        <v>910</v>
      </c>
      <c r="H1391" s="51" t="s">
        <v>1627</v>
      </c>
      <c r="I1391" s="51" t="s">
        <v>912</v>
      </c>
    </row>
    <row r="1392" customFormat="false" ht="25.5" hidden="false" customHeight="true" outlineLevel="0" collapsed="false">
      <c r="A1392" s="51" t="s">
        <v>1114</v>
      </c>
      <c r="B1392" s="51" t="s">
        <v>896</v>
      </c>
      <c r="C1392" s="51" t="s">
        <v>901</v>
      </c>
      <c r="D1392" s="51" t="s">
        <v>898</v>
      </c>
      <c r="E1392" s="51" t="s">
        <v>893</v>
      </c>
      <c r="F1392" s="51"/>
      <c r="G1392" s="52" t="s">
        <v>910</v>
      </c>
      <c r="H1392" s="51" t="s">
        <v>1627</v>
      </c>
      <c r="I1392" s="51" t="s">
        <v>912</v>
      </c>
    </row>
    <row r="1393" customFormat="false" ht="25.5" hidden="false" customHeight="true" outlineLevel="0" collapsed="false">
      <c r="A1393" s="51" t="s">
        <v>1114</v>
      </c>
      <c r="B1393" s="51" t="s">
        <v>896</v>
      </c>
      <c r="C1393" s="51" t="s">
        <v>902</v>
      </c>
      <c r="D1393" s="51" t="s">
        <v>903</v>
      </c>
      <c r="E1393" s="51" t="s">
        <v>893</v>
      </c>
      <c r="F1393" s="51"/>
      <c r="G1393" s="52" t="s">
        <v>910</v>
      </c>
      <c r="H1393" s="51" t="s">
        <v>1627</v>
      </c>
      <c r="I1393" s="51" t="s">
        <v>912</v>
      </c>
    </row>
    <row r="1394" customFormat="false" ht="25.5" hidden="false" customHeight="true" outlineLevel="0" collapsed="false">
      <c r="A1394" s="51" t="s">
        <v>1114</v>
      </c>
      <c r="B1394" s="51" t="s">
        <v>896</v>
      </c>
      <c r="C1394" s="51" t="s">
        <v>904</v>
      </c>
      <c r="D1394" s="51"/>
      <c r="E1394" s="51" t="s">
        <v>893</v>
      </c>
      <c r="F1394" s="51"/>
      <c r="G1394" s="52" t="s">
        <v>910</v>
      </c>
      <c r="H1394" s="51" t="s">
        <v>1627</v>
      </c>
      <c r="I1394" s="51" t="s">
        <v>912</v>
      </c>
    </row>
    <row r="1395" customFormat="false" ht="25.5" hidden="false" customHeight="true" outlineLevel="0" collapsed="false">
      <c r="A1395" s="51" t="s">
        <v>1114</v>
      </c>
      <c r="B1395" s="51" t="s">
        <v>896</v>
      </c>
      <c r="C1395" s="51" t="s">
        <v>905</v>
      </c>
      <c r="D1395" s="51"/>
      <c r="E1395" s="51" t="s">
        <v>893</v>
      </c>
      <c r="F1395" s="51"/>
      <c r="G1395" s="52" t="s">
        <v>910</v>
      </c>
      <c r="H1395" s="51" t="s">
        <v>1627</v>
      </c>
      <c r="I1395" s="51" t="s">
        <v>912</v>
      </c>
    </row>
    <row r="1396" customFormat="false" ht="25.5" hidden="false" customHeight="true" outlineLevel="0" collapsed="false">
      <c r="A1396" s="51" t="s">
        <v>1114</v>
      </c>
      <c r="B1396" s="51" t="s">
        <v>896</v>
      </c>
      <c r="C1396" s="51" t="s">
        <v>906</v>
      </c>
      <c r="D1396" s="51"/>
      <c r="E1396" s="51" t="s">
        <v>893</v>
      </c>
      <c r="F1396" s="51"/>
      <c r="G1396" s="52" t="s">
        <v>910</v>
      </c>
      <c r="H1396" s="51" t="s">
        <v>1627</v>
      </c>
      <c r="I1396" s="51" t="s">
        <v>912</v>
      </c>
    </row>
    <row r="1397" customFormat="false" ht="25.5" hidden="false" customHeight="true" outlineLevel="0" collapsed="false">
      <c r="A1397" s="49" t="s">
        <v>1114</v>
      </c>
      <c r="B1397" s="49" t="s">
        <v>907</v>
      </c>
      <c r="C1397" s="49" t="s">
        <v>1507</v>
      </c>
      <c r="D1397" s="49" t="s">
        <v>1032</v>
      </c>
      <c r="E1397" s="49" t="s">
        <v>1142</v>
      </c>
      <c r="F1397" s="49" t="s">
        <v>1500</v>
      </c>
      <c r="G1397" s="49" t="s">
        <v>772</v>
      </c>
      <c r="H1397" s="49" t="s">
        <v>1132</v>
      </c>
      <c r="I1397" s="49" t="s">
        <v>885</v>
      </c>
    </row>
    <row r="1398" customFormat="false" ht="25.5" hidden="false" customHeight="true" outlineLevel="0" collapsed="false">
      <c r="A1398" s="49" t="s">
        <v>1114</v>
      </c>
      <c r="B1398" s="49" t="s">
        <v>907</v>
      </c>
      <c r="C1398" s="49" t="s">
        <v>1508</v>
      </c>
      <c r="D1398" s="49" t="s">
        <v>1034</v>
      </c>
      <c r="E1398" s="49" t="s">
        <v>1142</v>
      </c>
      <c r="F1398" s="49" t="s">
        <v>1500</v>
      </c>
      <c r="G1398" s="49" t="s">
        <v>772</v>
      </c>
      <c r="H1398" s="49" t="s">
        <v>1132</v>
      </c>
      <c r="I1398" s="49" t="s">
        <v>885</v>
      </c>
    </row>
    <row r="1399" customFormat="false" ht="25.5" hidden="false" customHeight="true" outlineLevel="0" collapsed="false">
      <c r="A1399" s="49" t="s">
        <v>1114</v>
      </c>
      <c r="B1399" s="49" t="s">
        <v>907</v>
      </c>
      <c r="C1399" s="49" t="s">
        <v>1509</v>
      </c>
      <c r="D1399" s="49" t="s">
        <v>1032</v>
      </c>
      <c r="E1399" s="49" t="s">
        <v>1189</v>
      </c>
      <c r="F1399" s="49" t="s">
        <v>1500</v>
      </c>
      <c r="G1399" s="49" t="s">
        <v>772</v>
      </c>
      <c r="H1399" s="49" t="s">
        <v>1132</v>
      </c>
      <c r="I1399" s="49" t="s">
        <v>885</v>
      </c>
    </row>
    <row r="1400" customFormat="false" ht="25.5" hidden="false" customHeight="true" outlineLevel="0" collapsed="false">
      <c r="A1400" s="51" t="s">
        <v>1114</v>
      </c>
      <c r="B1400" s="51" t="s">
        <v>907</v>
      </c>
      <c r="C1400" s="51" t="s">
        <v>1031</v>
      </c>
      <c r="D1400" s="51" t="s">
        <v>1032</v>
      </c>
      <c r="E1400" s="51" t="s">
        <v>146</v>
      </c>
      <c r="F1400" s="51"/>
      <c r="G1400" s="52" t="s">
        <v>910</v>
      </c>
      <c r="H1400" s="51" t="s">
        <v>1626</v>
      </c>
      <c r="I1400" s="51" t="s">
        <v>912</v>
      </c>
    </row>
    <row r="1401" customFormat="false" ht="25.5" hidden="false" customHeight="true" outlineLevel="0" collapsed="false">
      <c r="A1401" s="51" t="s">
        <v>1114</v>
      </c>
      <c r="B1401" s="51" t="s">
        <v>907</v>
      </c>
      <c r="C1401" s="51" t="s">
        <v>1033</v>
      </c>
      <c r="D1401" s="51" t="s">
        <v>1034</v>
      </c>
      <c r="E1401" s="51" t="s">
        <v>146</v>
      </c>
      <c r="F1401" s="51"/>
      <c r="G1401" s="52" t="s">
        <v>910</v>
      </c>
      <c r="H1401" s="51" t="s">
        <v>1626</v>
      </c>
      <c r="I1401" s="51" t="s">
        <v>912</v>
      </c>
    </row>
    <row r="1402" customFormat="false" ht="25.5" hidden="false" customHeight="true" outlineLevel="0" collapsed="false">
      <c r="A1402" s="51" t="s">
        <v>1114</v>
      </c>
      <c r="B1402" s="51" t="s">
        <v>907</v>
      </c>
      <c r="C1402" s="51" t="s">
        <v>1035</v>
      </c>
      <c r="D1402" s="51" t="s">
        <v>1034</v>
      </c>
      <c r="E1402" s="51" t="s">
        <v>1036</v>
      </c>
      <c r="F1402" s="51" t="s">
        <v>1037</v>
      </c>
      <c r="G1402" s="52" t="s">
        <v>910</v>
      </c>
      <c r="H1402" s="51" t="s">
        <v>1626</v>
      </c>
      <c r="I1402" s="51" t="s">
        <v>912</v>
      </c>
    </row>
    <row r="1403" customFormat="false" ht="25.5" hidden="false" customHeight="true" outlineLevel="0" collapsed="false">
      <c r="A1403" s="51" t="s">
        <v>1114</v>
      </c>
      <c r="B1403" s="51" t="s">
        <v>907</v>
      </c>
      <c r="C1403" s="51" t="s">
        <v>1038</v>
      </c>
      <c r="D1403" s="51" t="s">
        <v>1039</v>
      </c>
      <c r="E1403" s="51" t="s">
        <v>146</v>
      </c>
      <c r="F1403" s="51"/>
      <c r="G1403" s="52" t="s">
        <v>910</v>
      </c>
      <c r="H1403" s="51" t="s">
        <v>1626</v>
      </c>
      <c r="I1403" s="51" t="s">
        <v>912</v>
      </c>
    </row>
    <row r="1404" customFormat="false" ht="25.5" hidden="false" customHeight="true" outlineLevel="0" collapsed="false">
      <c r="A1404" s="51" t="s">
        <v>1114</v>
      </c>
      <c r="B1404" s="51" t="s">
        <v>907</v>
      </c>
      <c r="C1404" s="51" t="s">
        <v>908</v>
      </c>
      <c r="D1404" s="51"/>
      <c r="E1404" s="51" t="s">
        <v>909</v>
      </c>
      <c r="F1404" s="51"/>
      <c r="G1404" s="52" t="s">
        <v>910</v>
      </c>
      <c r="H1404" s="51" t="s">
        <v>1626</v>
      </c>
      <c r="I1404" s="51" t="s">
        <v>912</v>
      </c>
    </row>
    <row r="1405" customFormat="false" ht="25.5" hidden="false" customHeight="true" outlineLevel="0" collapsed="false">
      <c r="A1405" s="51" t="s">
        <v>1114</v>
      </c>
      <c r="B1405" s="51" t="s">
        <v>907</v>
      </c>
      <c r="C1405" s="51" t="s">
        <v>913</v>
      </c>
      <c r="D1405" s="51"/>
      <c r="E1405" s="51" t="s">
        <v>893</v>
      </c>
      <c r="F1405" s="51"/>
      <c r="G1405" s="52" t="s">
        <v>910</v>
      </c>
      <c r="H1405" s="51" t="s">
        <v>1627</v>
      </c>
      <c r="I1405" s="51" t="s">
        <v>912</v>
      </c>
    </row>
    <row r="1406" customFormat="false" ht="25.5" hidden="false" customHeight="true" outlineLevel="0" collapsed="false">
      <c r="A1406" s="51" t="s">
        <v>1114</v>
      </c>
      <c r="B1406" s="51" t="s">
        <v>907</v>
      </c>
      <c r="C1406" s="51" t="s">
        <v>914</v>
      </c>
      <c r="D1406" s="51"/>
      <c r="E1406" s="51" t="s">
        <v>893</v>
      </c>
      <c r="F1406" s="51"/>
      <c r="G1406" s="52" t="s">
        <v>910</v>
      </c>
      <c r="H1406" s="51" t="s">
        <v>1627</v>
      </c>
      <c r="I1406" s="51" t="s">
        <v>912</v>
      </c>
    </row>
    <row r="1407" customFormat="false" ht="25.5" hidden="false" customHeight="true" outlineLevel="0" collapsed="false">
      <c r="A1407" s="51" t="s">
        <v>1114</v>
      </c>
      <c r="B1407" s="51" t="s">
        <v>907</v>
      </c>
      <c r="C1407" s="51" t="s">
        <v>1040</v>
      </c>
      <c r="D1407" s="51" t="s">
        <v>1039</v>
      </c>
      <c r="E1407" s="51" t="s">
        <v>146</v>
      </c>
      <c r="F1407" s="51"/>
      <c r="G1407" s="52" t="s">
        <v>910</v>
      </c>
      <c r="H1407" s="51" t="s">
        <v>1626</v>
      </c>
      <c r="I1407" s="51" t="s">
        <v>912</v>
      </c>
    </row>
    <row r="1408" customFormat="false" ht="25.5" hidden="false" customHeight="true" outlineLevel="0" collapsed="false">
      <c r="A1408" s="49" t="s">
        <v>1114</v>
      </c>
      <c r="B1408" s="49" t="s">
        <v>907</v>
      </c>
      <c r="C1408" s="49" t="s">
        <v>1510</v>
      </c>
      <c r="D1408" s="49"/>
      <c r="E1408" s="49" t="s">
        <v>1511</v>
      </c>
      <c r="F1408" s="49" t="s">
        <v>1512</v>
      </c>
      <c r="G1408" s="49" t="s">
        <v>772</v>
      </c>
      <c r="H1408" s="49" t="s">
        <v>1132</v>
      </c>
      <c r="I1408" s="49" t="s">
        <v>885</v>
      </c>
    </row>
    <row r="1409" customFormat="false" ht="25.5" hidden="false" customHeight="true" outlineLevel="0" collapsed="false">
      <c r="A1409" s="49" t="s">
        <v>1114</v>
      </c>
      <c r="B1409" s="49" t="s">
        <v>907</v>
      </c>
      <c r="C1409" s="49" t="s">
        <v>960</v>
      </c>
      <c r="D1409" s="49"/>
      <c r="E1409" s="49" t="s">
        <v>217</v>
      </c>
      <c r="F1409" s="49" t="s">
        <v>961</v>
      </c>
      <c r="G1409" s="49" t="s">
        <v>772</v>
      </c>
      <c r="H1409" s="49" t="s">
        <v>1132</v>
      </c>
      <c r="I1409" s="49" t="s">
        <v>885</v>
      </c>
    </row>
    <row r="1410" customFormat="false" ht="25.5" hidden="false" customHeight="true" outlineLevel="0" collapsed="false">
      <c r="A1410" s="49" t="s">
        <v>1114</v>
      </c>
      <c r="B1410" s="49" t="s">
        <v>915</v>
      </c>
      <c r="C1410" s="49" t="s">
        <v>1513</v>
      </c>
      <c r="D1410" s="49" t="s">
        <v>1029</v>
      </c>
      <c r="E1410" s="49" t="s">
        <v>1186</v>
      </c>
      <c r="F1410" s="49" t="s">
        <v>1514</v>
      </c>
      <c r="G1410" s="49" t="s">
        <v>772</v>
      </c>
      <c r="H1410" s="49" t="s">
        <v>1132</v>
      </c>
      <c r="I1410" s="49" t="s">
        <v>885</v>
      </c>
    </row>
    <row r="1411" customFormat="false" ht="25.5" hidden="false" customHeight="true" outlineLevel="0" collapsed="false">
      <c r="A1411" s="49" t="s">
        <v>1114</v>
      </c>
      <c r="B1411" s="49" t="s">
        <v>915</v>
      </c>
      <c r="C1411" s="49" t="s">
        <v>1515</v>
      </c>
      <c r="D1411" s="49" t="s">
        <v>929</v>
      </c>
      <c r="E1411" s="49" t="s">
        <v>1186</v>
      </c>
      <c r="F1411" s="49" t="s">
        <v>1516</v>
      </c>
      <c r="G1411" s="49" t="s">
        <v>772</v>
      </c>
      <c r="H1411" s="49" t="s">
        <v>1132</v>
      </c>
      <c r="I1411" s="49" t="s">
        <v>885</v>
      </c>
    </row>
    <row r="1412" customFormat="false" ht="25.5" hidden="false" customHeight="true" outlineLevel="0" collapsed="false">
      <c r="A1412" s="51" t="s">
        <v>1114</v>
      </c>
      <c r="B1412" s="51" t="s">
        <v>915</v>
      </c>
      <c r="C1412" s="51" t="s">
        <v>1041</v>
      </c>
      <c r="D1412" s="51" t="s">
        <v>1034</v>
      </c>
      <c r="E1412" s="51" t="s">
        <v>146</v>
      </c>
      <c r="F1412" s="51"/>
      <c r="G1412" s="52" t="s">
        <v>910</v>
      </c>
      <c r="H1412" s="51" t="s">
        <v>1626</v>
      </c>
      <c r="I1412" s="51" t="s">
        <v>912</v>
      </c>
    </row>
    <row r="1413" customFormat="false" ht="25.5" hidden="false" customHeight="true" outlineLevel="0" collapsed="false">
      <c r="A1413" s="51" t="s">
        <v>1114</v>
      </c>
      <c r="B1413" s="51" t="s">
        <v>915</v>
      </c>
      <c r="C1413" s="51" t="s">
        <v>1042</v>
      </c>
      <c r="D1413" s="51" t="s">
        <v>1034</v>
      </c>
      <c r="E1413" s="51" t="s">
        <v>146</v>
      </c>
      <c r="F1413" s="51"/>
      <c r="G1413" s="52" t="s">
        <v>910</v>
      </c>
      <c r="H1413" s="51" t="s">
        <v>1626</v>
      </c>
      <c r="I1413" s="51" t="s">
        <v>912</v>
      </c>
    </row>
    <row r="1414" customFormat="false" ht="25.5" hidden="false" customHeight="true" outlineLevel="0" collapsed="false">
      <c r="A1414" s="51" t="s">
        <v>1114</v>
      </c>
      <c r="B1414" s="51" t="s">
        <v>915</v>
      </c>
      <c r="C1414" s="51" t="s">
        <v>1043</v>
      </c>
      <c r="D1414" s="51" t="s">
        <v>903</v>
      </c>
      <c r="E1414" s="51" t="s">
        <v>146</v>
      </c>
      <c r="F1414" s="51"/>
      <c r="G1414" s="52" t="s">
        <v>910</v>
      </c>
      <c r="H1414" s="51" t="s">
        <v>1626</v>
      </c>
      <c r="I1414" s="51" t="s">
        <v>912</v>
      </c>
    </row>
    <row r="1415" customFormat="false" ht="25.5" hidden="false" customHeight="true" outlineLevel="0" collapsed="false">
      <c r="A1415" s="51" t="s">
        <v>1114</v>
      </c>
      <c r="B1415" s="51" t="s">
        <v>915</v>
      </c>
      <c r="C1415" s="51" t="s">
        <v>916</v>
      </c>
      <c r="D1415" s="51"/>
      <c r="E1415" s="51" t="s">
        <v>893</v>
      </c>
      <c r="F1415" s="51"/>
      <c r="G1415" s="52" t="s">
        <v>910</v>
      </c>
      <c r="H1415" s="51" t="s">
        <v>1627</v>
      </c>
      <c r="I1415" s="51" t="s">
        <v>912</v>
      </c>
    </row>
    <row r="1416" customFormat="false" ht="25.5" hidden="false" customHeight="true" outlineLevel="0" collapsed="false">
      <c r="A1416" s="51" t="s">
        <v>1114</v>
      </c>
      <c r="B1416" s="51" t="s">
        <v>915</v>
      </c>
      <c r="C1416" s="51" t="s">
        <v>1044</v>
      </c>
      <c r="D1416" s="51" t="s">
        <v>1045</v>
      </c>
      <c r="E1416" s="51" t="s">
        <v>146</v>
      </c>
      <c r="F1416" s="51" t="s">
        <v>1046</v>
      </c>
      <c r="G1416" s="52" t="s">
        <v>910</v>
      </c>
      <c r="H1416" s="51" t="s">
        <v>1626</v>
      </c>
      <c r="I1416" s="51" t="s">
        <v>912</v>
      </c>
    </row>
    <row r="1417" customFormat="false" ht="25.5" hidden="false" customHeight="true" outlineLevel="0" collapsed="false">
      <c r="A1417" s="49" t="s">
        <v>1114</v>
      </c>
      <c r="B1417" s="49" t="s">
        <v>1047</v>
      </c>
      <c r="C1417" s="49" t="s">
        <v>1517</v>
      </c>
      <c r="D1417" s="49" t="s">
        <v>965</v>
      </c>
      <c r="E1417" s="49" t="s">
        <v>1186</v>
      </c>
      <c r="F1417" s="49" t="s">
        <v>1518</v>
      </c>
      <c r="G1417" s="49" t="s">
        <v>772</v>
      </c>
      <c r="H1417" s="49" t="s">
        <v>1132</v>
      </c>
      <c r="I1417" s="49" t="s">
        <v>885</v>
      </c>
    </row>
    <row r="1418" customFormat="false" ht="25.5" hidden="false" customHeight="true" outlineLevel="0" collapsed="false">
      <c r="A1418" s="51" t="s">
        <v>1114</v>
      </c>
      <c r="B1418" s="51" t="s">
        <v>1047</v>
      </c>
      <c r="C1418" s="51" t="s">
        <v>1048</v>
      </c>
      <c r="D1418" s="51" t="s">
        <v>1049</v>
      </c>
      <c r="E1418" s="51" t="s">
        <v>146</v>
      </c>
      <c r="F1418" s="51"/>
      <c r="G1418" s="52" t="s">
        <v>910</v>
      </c>
      <c r="H1418" s="51" t="s">
        <v>1626</v>
      </c>
      <c r="I1418" s="51" t="s">
        <v>912</v>
      </c>
    </row>
    <row r="1419" customFormat="false" ht="25.5" hidden="false" customHeight="true" outlineLevel="0" collapsed="false">
      <c r="A1419" s="51" t="s">
        <v>1114</v>
      </c>
      <c r="B1419" s="51" t="s">
        <v>1047</v>
      </c>
      <c r="C1419" s="51" t="s">
        <v>1050</v>
      </c>
      <c r="D1419" s="51" t="s">
        <v>991</v>
      </c>
      <c r="E1419" s="51" t="s">
        <v>146</v>
      </c>
      <c r="F1419" s="51"/>
      <c r="G1419" s="52" t="s">
        <v>910</v>
      </c>
      <c r="H1419" s="51" t="s">
        <v>1626</v>
      </c>
      <c r="I1419" s="51" t="s">
        <v>912</v>
      </c>
    </row>
    <row r="1420" customFormat="false" ht="25.5" hidden="false" customHeight="true" outlineLevel="0" collapsed="false">
      <c r="A1420" s="51" t="s">
        <v>1114</v>
      </c>
      <c r="B1420" s="51" t="s">
        <v>1047</v>
      </c>
      <c r="C1420" s="51" t="s">
        <v>1051</v>
      </c>
      <c r="D1420" s="51" t="s">
        <v>991</v>
      </c>
      <c r="E1420" s="51" t="s">
        <v>146</v>
      </c>
      <c r="F1420" s="51"/>
      <c r="G1420" s="52" t="s">
        <v>910</v>
      </c>
      <c r="H1420" s="51" t="s">
        <v>1626</v>
      </c>
      <c r="I1420" s="51" t="s">
        <v>912</v>
      </c>
    </row>
    <row r="1421" customFormat="false" ht="25.5" hidden="false" customHeight="true" outlineLevel="0" collapsed="false">
      <c r="A1421" s="49" t="s">
        <v>1114</v>
      </c>
      <c r="B1421" s="49" t="s">
        <v>917</v>
      </c>
      <c r="C1421" s="49" t="s">
        <v>1519</v>
      </c>
      <c r="D1421" s="49" t="s">
        <v>968</v>
      </c>
      <c r="E1421" s="49" t="s">
        <v>1520</v>
      </c>
      <c r="F1421" s="49" t="s">
        <v>1352</v>
      </c>
      <c r="G1421" s="49" t="s">
        <v>772</v>
      </c>
      <c r="H1421" s="49" t="s">
        <v>1132</v>
      </c>
      <c r="I1421" s="49" t="s">
        <v>885</v>
      </c>
    </row>
    <row r="1422" customFormat="false" ht="25.5" hidden="false" customHeight="true" outlineLevel="0" collapsed="false">
      <c r="A1422" s="49" t="s">
        <v>1114</v>
      </c>
      <c r="B1422" s="49" t="s">
        <v>917</v>
      </c>
      <c r="C1422" s="49" t="s">
        <v>1521</v>
      </c>
      <c r="D1422" s="49" t="s">
        <v>1522</v>
      </c>
      <c r="E1422" s="49" t="s">
        <v>1186</v>
      </c>
      <c r="F1422" s="49" t="s">
        <v>1523</v>
      </c>
      <c r="G1422" s="49" t="s">
        <v>772</v>
      </c>
      <c r="H1422" s="49" t="s">
        <v>1132</v>
      </c>
      <c r="I1422" s="49" t="s">
        <v>885</v>
      </c>
    </row>
    <row r="1423" customFormat="false" ht="25.5" hidden="false" customHeight="true" outlineLevel="0" collapsed="false">
      <c r="A1423" s="49" t="s">
        <v>1114</v>
      </c>
      <c r="B1423" s="49" t="s">
        <v>917</v>
      </c>
      <c r="C1423" s="49" t="s">
        <v>1524</v>
      </c>
      <c r="D1423" s="49" t="s">
        <v>965</v>
      </c>
      <c r="E1423" s="49" t="s">
        <v>1520</v>
      </c>
      <c r="F1423" s="49" t="s">
        <v>1525</v>
      </c>
      <c r="G1423" s="49" t="s">
        <v>772</v>
      </c>
      <c r="H1423" s="49" t="s">
        <v>1132</v>
      </c>
      <c r="I1423" s="49" t="s">
        <v>885</v>
      </c>
    </row>
    <row r="1424" customFormat="false" ht="25.5" hidden="false" customHeight="true" outlineLevel="0" collapsed="false">
      <c r="A1424" s="49" t="s">
        <v>1114</v>
      </c>
      <c r="B1424" s="49" t="s">
        <v>917</v>
      </c>
      <c r="C1424" s="49" t="s">
        <v>1526</v>
      </c>
      <c r="D1424" s="49" t="s">
        <v>919</v>
      </c>
      <c r="E1424" s="49" t="s">
        <v>1527</v>
      </c>
      <c r="F1424" s="49" t="s">
        <v>1528</v>
      </c>
      <c r="G1424" s="49" t="s">
        <v>772</v>
      </c>
      <c r="H1424" s="49" t="s">
        <v>1132</v>
      </c>
      <c r="I1424" s="49" t="s">
        <v>885</v>
      </c>
    </row>
    <row r="1425" customFormat="false" ht="25.5" hidden="false" customHeight="true" outlineLevel="0" collapsed="false">
      <c r="A1425" s="49" t="s">
        <v>1114</v>
      </c>
      <c r="B1425" s="49" t="s">
        <v>917</v>
      </c>
      <c r="C1425" s="49" t="s">
        <v>964</v>
      </c>
      <c r="D1425" s="49" t="s">
        <v>965</v>
      </c>
      <c r="E1425" s="49" t="s">
        <v>217</v>
      </c>
      <c r="F1425" s="49" t="s">
        <v>966</v>
      </c>
      <c r="G1425" s="49" t="s">
        <v>772</v>
      </c>
      <c r="H1425" s="49" t="s">
        <v>1132</v>
      </c>
      <c r="I1425" s="49" t="s">
        <v>885</v>
      </c>
    </row>
    <row r="1426" customFormat="false" ht="25.5" hidden="false" customHeight="true" outlineLevel="0" collapsed="false">
      <c r="A1426" s="49" t="s">
        <v>1114</v>
      </c>
      <c r="B1426" s="49" t="s">
        <v>917</v>
      </c>
      <c r="C1426" s="49" t="s">
        <v>967</v>
      </c>
      <c r="D1426" s="49" t="s">
        <v>968</v>
      </c>
      <c r="E1426" s="49" t="s">
        <v>969</v>
      </c>
      <c r="F1426" s="49" t="s">
        <v>970</v>
      </c>
      <c r="G1426" s="49" t="s">
        <v>772</v>
      </c>
      <c r="H1426" s="49" t="s">
        <v>1132</v>
      </c>
      <c r="I1426" s="49" t="s">
        <v>885</v>
      </c>
    </row>
    <row r="1427" customFormat="false" ht="25.5" hidden="false" customHeight="true" outlineLevel="0" collapsed="false">
      <c r="A1427" s="49" t="s">
        <v>1114</v>
      </c>
      <c r="B1427" s="49" t="s">
        <v>917</v>
      </c>
      <c r="C1427" s="49" t="s">
        <v>1529</v>
      </c>
      <c r="D1427" s="49" t="s">
        <v>1530</v>
      </c>
      <c r="E1427" s="49" t="s">
        <v>1500</v>
      </c>
      <c r="F1427" s="49" t="s">
        <v>1531</v>
      </c>
      <c r="G1427" s="49" t="s">
        <v>772</v>
      </c>
      <c r="H1427" s="49" t="s">
        <v>1132</v>
      </c>
      <c r="I1427" s="49" t="s">
        <v>885</v>
      </c>
    </row>
    <row r="1428" customFormat="false" ht="25.5" hidden="false" customHeight="true" outlineLevel="0" collapsed="false">
      <c r="A1428" s="49" t="s">
        <v>1114</v>
      </c>
      <c r="B1428" s="49" t="s">
        <v>917</v>
      </c>
      <c r="C1428" s="49" t="s">
        <v>918</v>
      </c>
      <c r="D1428" s="49" t="s">
        <v>919</v>
      </c>
      <c r="E1428" s="49" t="s">
        <v>882</v>
      </c>
      <c r="F1428" s="49" t="s">
        <v>920</v>
      </c>
      <c r="G1428" s="49" t="s">
        <v>776</v>
      </c>
      <c r="H1428" s="49" t="s">
        <v>1625</v>
      </c>
      <c r="I1428" s="49" t="s">
        <v>885</v>
      </c>
    </row>
    <row r="1429" customFormat="false" ht="25.5" hidden="false" customHeight="true" outlineLevel="0" collapsed="false">
      <c r="A1429" s="49" t="s">
        <v>1114</v>
      </c>
      <c r="B1429" s="49" t="s">
        <v>917</v>
      </c>
      <c r="C1429" s="49" t="s">
        <v>921</v>
      </c>
      <c r="D1429" s="49" t="s">
        <v>922</v>
      </c>
      <c r="E1429" s="49" t="s">
        <v>882</v>
      </c>
      <c r="F1429" s="49" t="s">
        <v>923</v>
      </c>
      <c r="G1429" s="49" t="s">
        <v>776</v>
      </c>
      <c r="H1429" s="49" t="s">
        <v>1625</v>
      </c>
      <c r="I1429" s="49" t="s">
        <v>885</v>
      </c>
    </row>
    <row r="1430" customFormat="false" ht="25.5" hidden="false" customHeight="true" outlineLevel="0" collapsed="false">
      <c r="A1430" s="49" t="s">
        <v>1114</v>
      </c>
      <c r="B1430" s="49" t="s">
        <v>917</v>
      </c>
      <c r="C1430" s="49" t="s">
        <v>1532</v>
      </c>
      <c r="D1430" s="49" t="s">
        <v>919</v>
      </c>
      <c r="E1430" s="49" t="s">
        <v>1533</v>
      </c>
      <c r="F1430" s="49" t="s">
        <v>1534</v>
      </c>
      <c r="G1430" s="49" t="s">
        <v>772</v>
      </c>
      <c r="H1430" s="49" t="s">
        <v>1132</v>
      </c>
      <c r="I1430" s="49" t="s">
        <v>885</v>
      </c>
    </row>
    <row r="1431" customFormat="false" ht="25.5" hidden="false" customHeight="true" outlineLevel="0" collapsed="false">
      <c r="A1431" s="51" t="s">
        <v>1114</v>
      </c>
      <c r="B1431" s="51" t="s">
        <v>917</v>
      </c>
      <c r="C1431" s="51" t="s">
        <v>1052</v>
      </c>
      <c r="D1431" s="51" t="s">
        <v>968</v>
      </c>
      <c r="E1431" s="51" t="s">
        <v>146</v>
      </c>
      <c r="F1431" s="51" t="s">
        <v>1053</v>
      </c>
      <c r="G1431" s="52" t="s">
        <v>910</v>
      </c>
      <c r="H1431" s="51" t="s">
        <v>1626</v>
      </c>
      <c r="I1431" s="51" t="s">
        <v>912</v>
      </c>
    </row>
    <row r="1432" customFormat="false" ht="25.5" hidden="false" customHeight="true" outlineLevel="0" collapsed="false">
      <c r="A1432" s="51" t="s">
        <v>1114</v>
      </c>
      <c r="B1432" s="51" t="s">
        <v>917</v>
      </c>
      <c r="C1432" s="51" t="s">
        <v>1054</v>
      </c>
      <c r="D1432" s="51" t="s">
        <v>965</v>
      </c>
      <c r="E1432" s="51" t="s">
        <v>1055</v>
      </c>
      <c r="F1432" s="51" t="s">
        <v>1056</v>
      </c>
      <c r="G1432" s="52" t="s">
        <v>910</v>
      </c>
      <c r="H1432" s="51" t="s">
        <v>1626</v>
      </c>
      <c r="I1432" s="51" t="s">
        <v>912</v>
      </c>
    </row>
    <row r="1433" customFormat="false" ht="25.5" hidden="false" customHeight="true" outlineLevel="0" collapsed="false">
      <c r="A1433" s="51" t="s">
        <v>1114</v>
      </c>
      <c r="B1433" s="51" t="s">
        <v>917</v>
      </c>
      <c r="C1433" s="51" t="s">
        <v>924</v>
      </c>
      <c r="D1433" s="51"/>
      <c r="E1433" s="51" t="s">
        <v>893</v>
      </c>
      <c r="F1433" s="51"/>
      <c r="G1433" s="52" t="s">
        <v>910</v>
      </c>
      <c r="H1433" s="51" t="s">
        <v>1627</v>
      </c>
      <c r="I1433" s="51" t="s">
        <v>912</v>
      </c>
    </row>
    <row r="1434" customFormat="false" ht="25.5" hidden="false" customHeight="true" outlineLevel="0" collapsed="false">
      <c r="A1434" s="49" t="s">
        <v>1114</v>
      </c>
      <c r="B1434" s="49" t="s">
        <v>917</v>
      </c>
      <c r="C1434" s="49" t="s">
        <v>1535</v>
      </c>
      <c r="D1434" s="49" t="s">
        <v>929</v>
      </c>
      <c r="E1434" s="49" t="s">
        <v>1536</v>
      </c>
      <c r="F1434" s="49" t="s">
        <v>1537</v>
      </c>
      <c r="G1434" s="49" t="s">
        <v>772</v>
      </c>
      <c r="H1434" s="49" t="s">
        <v>1132</v>
      </c>
      <c r="I1434" s="49" t="s">
        <v>885</v>
      </c>
    </row>
    <row r="1435" customFormat="false" ht="25.5" hidden="false" customHeight="true" outlineLevel="0" collapsed="false">
      <c r="A1435" s="49" t="s">
        <v>1114</v>
      </c>
      <c r="B1435" s="49" t="s">
        <v>917</v>
      </c>
      <c r="C1435" s="49" t="s">
        <v>1538</v>
      </c>
      <c r="D1435" s="49" t="s">
        <v>929</v>
      </c>
      <c r="E1435" s="49" t="s">
        <v>1536</v>
      </c>
      <c r="F1435" s="49" t="s">
        <v>1539</v>
      </c>
      <c r="G1435" s="49" t="s">
        <v>772</v>
      </c>
      <c r="H1435" s="49" t="s">
        <v>1132</v>
      </c>
      <c r="I1435" s="49" t="s">
        <v>885</v>
      </c>
    </row>
    <row r="1436" customFormat="false" ht="25.5" hidden="false" customHeight="true" outlineLevel="0" collapsed="false">
      <c r="A1436" s="49" t="s">
        <v>1114</v>
      </c>
      <c r="B1436" s="49" t="s">
        <v>917</v>
      </c>
      <c r="C1436" s="49" t="s">
        <v>1540</v>
      </c>
      <c r="D1436" s="49" t="s">
        <v>929</v>
      </c>
      <c r="E1436" s="49" t="s">
        <v>1541</v>
      </c>
      <c r="F1436" s="49" t="s">
        <v>1542</v>
      </c>
      <c r="G1436" s="49" t="s">
        <v>772</v>
      </c>
      <c r="H1436" s="49" t="s">
        <v>1132</v>
      </c>
      <c r="I1436" s="49" t="s">
        <v>885</v>
      </c>
    </row>
    <row r="1437" customFormat="false" ht="25.5" hidden="false" customHeight="true" outlineLevel="0" collapsed="false">
      <c r="A1437" s="49" t="s">
        <v>1114</v>
      </c>
      <c r="B1437" s="49" t="s">
        <v>925</v>
      </c>
      <c r="C1437" s="49" t="s">
        <v>1543</v>
      </c>
      <c r="D1437" s="49" t="s">
        <v>972</v>
      </c>
      <c r="E1437" s="49" t="s">
        <v>1186</v>
      </c>
      <c r="F1437" s="49" t="s">
        <v>1544</v>
      </c>
      <c r="G1437" s="49" t="s">
        <v>772</v>
      </c>
      <c r="H1437" s="49" t="s">
        <v>1132</v>
      </c>
      <c r="I1437" s="49" t="s">
        <v>885</v>
      </c>
    </row>
    <row r="1438" customFormat="false" ht="25.5" hidden="false" customHeight="true" outlineLevel="0" collapsed="false">
      <c r="A1438" s="51" t="s">
        <v>1114</v>
      </c>
      <c r="B1438" s="51" t="s">
        <v>925</v>
      </c>
      <c r="C1438" s="51" t="s">
        <v>1057</v>
      </c>
      <c r="D1438" s="51" t="s">
        <v>968</v>
      </c>
      <c r="E1438" s="51" t="s">
        <v>146</v>
      </c>
      <c r="F1438" s="51" t="s">
        <v>1058</v>
      </c>
      <c r="G1438" s="52" t="s">
        <v>910</v>
      </c>
      <c r="H1438" s="51" t="s">
        <v>1626</v>
      </c>
      <c r="I1438" s="51" t="s">
        <v>912</v>
      </c>
    </row>
    <row r="1439" customFormat="false" ht="25.5" hidden="false" customHeight="true" outlineLevel="0" collapsed="false">
      <c r="A1439" s="51" t="s">
        <v>1114</v>
      </c>
      <c r="B1439" s="51" t="s">
        <v>925</v>
      </c>
      <c r="C1439" s="51" t="s">
        <v>1059</v>
      </c>
      <c r="D1439" s="51" t="s">
        <v>968</v>
      </c>
      <c r="E1439" s="51" t="s">
        <v>146</v>
      </c>
      <c r="F1439" s="51"/>
      <c r="G1439" s="52" t="s">
        <v>910</v>
      </c>
      <c r="H1439" s="51" t="s">
        <v>1626</v>
      </c>
      <c r="I1439" s="51" t="s">
        <v>912</v>
      </c>
    </row>
    <row r="1440" customFormat="false" ht="25.5" hidden="false" customHeight="true" outlineLevel="0" collapsed="false">
      <c r="A1440" s="51" t="s">
        <v>1114</v>
      </c>
      <c r="B1440" s="51" t="s">
        <v>925</v>
      </c>
      <c r="C1440" s="51" t="s">
        <v>1060</v>
      </c>
      <c r="D1440" s="51" t="s">
        <v>1061</v>
      </c>
      <c r="E1440" s="51" t="s">
        <v>146</v>
      </c>
      <c r="F1440" s="51" t="s">
        <v>1062</v>
      </c>
      <c r="G1440" s="52" t="s">
        <v>910</v>
      </c>
      <c r="H1440" s="51" t="s">
        <v>1626</v>
      </c>
      <c r="I1440" s="51" t="s">
        <v>912</v>
      </c>
    </row>
    <row r="1441" customFormat="false" ht="25.5" hidden="false" customHeight="true" outlineLevel="0" collapsed="false">
      <c r="A1441" s="51" t="s">
        <v>1114</v>
      </c>
      <c r="B1441" s="51" t="s">
        <v>925</v>
      </c>
      <c r="C1441" s="51" t="s">
        <v>1063</v>
      </c>
      <c r="D1441" s="51" t="s">
        <v>972</v>
      </c>
      <c r="E1441" s="51" t="s">
        <v>146</v>
      </c>
      <c r="F1441" s="51" t="s">
        <v>1058</v>
      </c>
      <c r="G1441" s="52" t="s">
        <v>910</v>
      </c>
      <c r="H1441" s="51" t="s">
        <v>1626</v>
      </c>
      <c r="I1441" s="51" t="s">
        <v>912</v>
      </c>
    </row>
    <row r="1442" customFormat="false" ht="25.5" hidden="false" customHeight="true" outlineLevel="0" collapsed="false">
      <c r="A1442" s="51" t="s">
        <v>1114</v>
      </c>
      <c r="B1442" s="51" t="s">
        <v>925</v>
      </c>
      <c r="C1442" s="51" t="s">
        <v>1064</v>
      </c>
      <c r="D1442" s="51" t="s">
        <v>972</v>
      </c>
      <c r="E1442" s="51" t="s">
        <v>146</v>
      </c>
      <c r="F1442" s="51" t="s">
        <v>1065</v>
      </c>
      <c r="G1442" s="52" t="s">
        <v>910</v>
      </c>
      <c r="H1442" s="51" t="s">
        <v>1626</v>
      </c>
      <c r="I1442" s="51" t="s">
        <v>912</v>
      </c>
    </row>
    <row r="1443" customFormat="false" ht="25.5" hidden="false" customHeight="true" outlineLevel="0" collapsed="false">
      <c r="A1443" s="51" t="s">
        <v>1114</v>
      </c>
      <c r="B1443" s="51" t="s">
        <v>925</v>
      </c>
      <c r="C1443" s="51" t="s">
        <v>973</v>
      </c>
      <c r="D1443" s="51" t="s">
        <v>968</v>
      </c>
      <c r="E1443" s="51" t="s">
        <v>974</v>
      </c>
      <c r="F1443" s="51" t="s">
        <v>975</v>
      </c>
      <c r="G1443" s="52" t="s">
        <v>910</v>
      </c>
      <c r="H1443" s="51" t="s">
        <v>1626</v>
      </c>
      <c r="I1443" s="51" t="s">
        <v>912</v>
      </c>
    </row>
    <row r="1444" customFormat="false" ht="25.5" hidden="false" customHeight="true" outlineLevel="0" collapsed="false">
      <c r="A1444" s="51" t="s">
        <v>1114</v>
      </c>
      <c r="B1444" s="51" t="s">
        <v>925</v>
      </c>
      <c r="C1444" s="51" t="s">
        <v>1067</v>
      </c>
      <c r="D1444" s="51" t="s">
        <v>1068</v>
      </c>
      <c r="E1444" s="51" t="s">
        <v>1069</v>
      </c>
      <c r="F1444" s="51"/>
      <c r="G1444" s="52" t="s">
        <v>910</v>
      </c>
      <c r="H1444" s="51" t="s">
        <v>1626</v>
      </c>
      <c r="I1444" s="51" t="s">
        <v>912</v>
      </c>
    </row>
    <row r="1445" customFormat="false" ht="25.5" hidden="false" customHeight="true" outlineLevel="0" collapsed="false">
      <c r="A1445" s="49" t="s">
        <v>1114</v>
      </c>
      <c r="B1445" s="49" t="s">
        <v>925</v>
      </c>
      <c r="C1445" s="49" t="s">
        <v>926</v>
      </c>
      <c r="D1445" s="49"/>
      <c r="E1445" s="49" t="s">
        <v>882</v>
      </c>
      <c r="F1445" s="49" t="s">
        <v>927</v>
      </c>
      <c r="G1445" s="49" t="s">
        <v>776</v>
      </c>
      <c r="H1445" s="49" t="s">
        <v>1625</v>
      </c>
      <c r="I1445" s="49" t="s">
        <v>885</v>
      </c>
    </row>
    <row r="1446" customFormat="false" ht="25.5" hidden="false" customHeight="true" outlineLevel="0" collapsed="false">
      <c r="A1446" s="49" t="s">
        <v>1114</v>
      </c>
      <c r="B1446" s="49" t="s">
        <v>925</v>
      </c>
      <c r="C1446" s="49" t="s">
        <v>976</v>
      </c>
      <c r="D1446" s="49"/>
      <c r="E1446" s="49" t="s">
        <v>217</v>
      </c>
      <c r="F1446" s="49" t="s">
        <v>927</v>
      </c>
      <c r="G1446" s="49" t="s">
        <v>772</v>
      </c>
      <c r="H1446" s="49" t="s">
        <v>1132</v>
      </c>
      <c r="I1446" s="49" t="s">
        <v>885</v>
      </c>
    </row>
    <row r="1447" customFormat="false" ht="25.5" hidden="false" customHeight="true" outlineLevel="0" collapsed="false">
      <c r="A1447" s="51" t="s">
        <v>1114</v>
      </c>
      <c r="B1447" s="51" t="s">
        <v>925</v>
      </c>
      <c r="C1447" s="51" t="s">
        <v>1070</v>
      </c>
      <c r="D1447" s="51" t="s">
        <v>929</v>
      </c>
      <c r="E1447" s="51" t="s">
        <v>146</v>
      </c>
      <c r="F1447" s="51" t="s">
        <v>1071</v>
      </c>
      <c r="G1447" s="52" t="s">
        <v>910</v>
      </c>
      <c r="H1447" s="51" t="s">
        <v>1626</v>
      </c>
      <c r="I1447" s="51" t="s">
        <v>912</v>
      </c>
    </row>
    <row r="1448" customFormat="false" ht="25.5" hidden="false" customHeight="true" outlineLevel="0" collapsed="false">
      <c r="A1448" s="49" t="s">
        <v>1114</v>
      </c>
      <c r="B1448" s="49" t="s">
        <v>925</v>
      </c>
      <c r="C1448" s="49" t="s">
        <v>928</v>
      </c>
      <c r="D1448" s="49" t="s">
        <v>929</v>
      </c>
      <c r="E1448" s="49" t="s">
        <v>930</v>
      </c>
      <c r="F1448" s="49"/>
      <c r="G1448" s="49" t="s">
        <v>776</v>
      </c>
      <c r="H1448" s="49" t="s">
        <v>1628</v>
      </c>
      <c r="I1448" s="49" t="s">
        <v>885</v>
      </c>
    </row>
    <row r="1449" customFormat="false" ht="25.5" hidden="false" customHeight="true" outlineLevel="0" collapsed="false">
      <c r="A1449" s="49" t="s">
        <v>1114</v>
      </c>
      <c r="B1449" s="49" t="s">
        <v>977</v>
      </c>
      <c r="C1449" s="49" t="s">
        <v>1546</v>
      </c>
      <c r="D1449" s="49" t="s">
        <v>1073</v>
      </c>
      <c r="E1449" s="49" t="s">
        <v>1547</v>
      </c>
      <c r="F1449" s="49" t="s">
        <v>1548</v>
      </c>
      <c r="G1449" s="49" t="s">
        <v>772</v>
      </c>
      <c r="H1449" s="49" t="s">
        <v>1132</v>
      </c>
      <c r="I1449" s="49" t="s">
        <v>885</v>
      </c>
    </row>
    <row r="1450" customFormat="false" ht="25.5" hidden="false" customHeight="true" outlineLevel="0" collapsed="false">
      <c r="A1450" s="51" t="s">
        <v>1114</v>
      </c>
      <c r="B1450" s="51" t="s">
        <v>977</v>
      </c>
      <c r="C1450" s="51" t="s">
        <v>1072</v>
      </c>
      <c r="D1450" s="51" t="s">
        <v>1073</v>
      </c>
      <c r="E1450" s="51" t="s">
        <v>146</v>
      </c>
      <c r="F1450" s="51"/>
      <c r="G1450" s="52" t="s">
        <v>910</v>
      </c>
      <c r="H1450" s="51" t="s">
        <v>1626</v>
      </c>
      <c r="I1450" s="51" t="s">
        <v>912</v>
      </c>
    </row>
    <row r="1451" customFormat="false" ht="25.5" hidden="false" customHeight="true" outlineLevel="0" collapsed="false">
      <c r="A1451" s="49" t="s">
        <v>1114</v>
      </c>
      <c r="B1451" s="49" t="s">
        <v>977</v>
      </c>
      <c r="C1451" s="49" t="s">
        <v>1549</v>
      </c>
      <c r="D1451" s="49" t="s">
        <v>1073</v>
      </c>
      <c r="E1451" s="49" t="s">
        <v>1533</v>
      </c>
      <c r="F1451" s="49" t="s">
        <v>1550</v>
      </c>
      <c r="G1451" s="49" t="s">
        <v>772</v>
      </c>
      <c r="H1451" s="49" t="s">
        <v>1132</v>
      </c>
      <c r="I1451" s="49" t="s">
        <v>885</v>
      </c>
    </row>
    <row r="1452" customFormat="false" ht="25.5" hidden="false" customHeight="true" outlineLevel="0" collapsed="false">
      <c r="A1452" s="51" t="s">
        <v>1114</v>
      </c>
      <c r="B1452" s="51" t="s">
        <v>977</v>
      </c>
      <c r="C1452" s="51" t="s">
        <v>1074</v>
      </c>
      <c r="D1452" s="51" t="s">
        <v>1075</v>
      </c>
      <c r="E1452" s="51" t="s">
        <v>1076</v>
      </c>
      <c r="F1452" s="51"/>
      <c r="G1452" s="52" t="s">
        <v>910</v>
      </c>
      <c r="H1452" s="51" t="s">
        <v>1626</v>
      </c>
      <c r="I1452" s="51" t="s">
        <v>912</v>
      </c>
    </row>
    <row r="1453" customFormat="false" ht="25.5" hidden="false" customHeight="true" outlineLevel="0" collapsed="false">
      <c r="A1453" s="51" t="s">
        <v>1114</v>
      </c>
      <c r="B1453" s="51" t="s">
        <v>977</v>
      </c>
      <c r="C1453" s="51" t="s">
        <v>979</v>
      </c>
      <c r="D1453" s="51" t="s">
        <v>980</v>
      </c>
      <c r="E1453" s="51" t="s">
        <v>981</v>
      </c>
      <c r="F1453" s="51" t="s">
        <v>982</v>
      </c>
      <c r="G1453" s="52" t="s">
        <v>910</v>
      </c>
      <c r="H1453" s="51" t="s">
        <v>1626</v>
      </c>
      <c r="I1453" s="51" t="s">
        <v>912</v>
      </c>
    </row>
    <row r="1454" customFormat="false" ht="25.5" hidden="false" customHeight="true" outlineLevel="0" collapsed="false">
      <c r="A1454" s="51" t="s">
        <v>1114</v>
      </c>
      <c r="B1454" s="51" t="s">
        <v>977</v>
      </c>
      <c r="C1454" s="51" t="s">
        <v>1077</v>
      </c>
      <c r="D1454" s="51" t="s">
        <v>980</v>
      </c>
      <c r="E1454" s="51" t="s">
        <v>1078</v>
      </c>
      <c r="F1454" s="51"/>
      <c r="G1454" s="52" t="s">
        <v>910</v>
      </c>
      <c r="H1454" s="51" t="s">
        <v>1626</v>
      </c>
      <c r="I1454" s="51" t="s">
        <v>912</v>
      </c>
    </row>
    <row r="1455" customFormat="false" ht="25.5" hidden="false" customHeight="true" outlineLevel="0" collapsed="false">
      <c r="A1455" s="51" t="s">
        <v>1114</v>
      </c>
      <c r="B1455" s="51" t="s">
        <v>977</v>
      </c>
      <c r="C1455" s="51" t="s">
        <v>1079</v>
      </c>
      <c r="D1455" s="51" t="s">
        <v>1073</v>
      </c>
      <c r="E1455" s="51" t="s">
        <v>1080</v>
      </c>
      <c r="F1455" s="51"/>
      <c r="G1455" s="52" t="s">
        <v>910</v>
      </c>
      <c r="H1455" s="51" t="s">
        <v>1626</v>
      </c>
      <c r="I1455" s="51" t="s">
        <v>912</v>
      </c>
    </row>
    <row r="1456" customFormat="false" ht="25.5" hidden="false" customHeight="true" outlineLevel="0" collapsed="false">
      <c r="A1456" s="51" t="s">
        <v>1114</v>
      </c>
      <c r="B1456" s="51" t="s">
        <v>977</v>
      </c>
      <c r="C1456" s="51" t="s">
        <v>1081</v>
      </c>
      <c r="D1456" s="51" t="s">
        <v>1073</v>
      </c>
      <c r="E1456" s="51" t="s">
        <v>1082</v>
      </c>
      <c r="F1456" s="51" t="s">
        <v>1083</v>
      </c>
      <c r="G1456" s="52" t="s">
        <v>910</v>
      </c>
      <c r="H1456" s="51" t="s">
        <v>1626</v>
      </c>
      <c r="I1456" s="51" t="s">
        <v>912</v>
      </c>
    </row>
    <row r="1457" customFormat="false" ht="25.5" hidden="false" customHeight="true" outlineLevel="0" collapsed="false">
      <c r="A1457" s="51" t="s">
        <v>1114</v>
      </c>
      <c r="B1457" s="51" t="s">
        <v>977</v>
      </c>
      <c r="C1457" s="51" t="s">
        <v>1084</v>
      </c>
      <c r="D1457" s="51" t="s">
        <v>1073</v>
      </c>
      <c r="E1457" s="51" t="s">
        <v>1085</v>
      </c>
      <c r="F1457" s="51"/>
      <c r="G1457" s="52" t="s">
        <v>910</v>
      </c>
      <c r="H1457" s="51" t="s">
        <v>1626</v>
      </c>
      <c r="I1457" s="51" t="s">
        <v>912</v>
      </c>
    </row>
    <row r="1458" customFormat="false" ht="25.5" hidden="false" customHeight="true" outlineLevel="0" collapsed="false">
      <c r="A1458" s="49" t="s">
        <v>1114</v>
      </c>
      <c r="B1458" s="49" t="s">
        <v>932</v>
      </c>
      <c r="C1458" s="49" t="s">
        <v>933</v>
      </c>
      <c r="D1458" s="49"/>
      <c r="E1458" s="49" t="s">
        <v>882</v>
      </c>
      <c r="F1458" s="49" t="s">
        <v>934</v>
      </c>
      <c r="G1458" s="49" t="s">
        <v>776</v>
      </c>
      <c r="H1458" s="49" t="s">
        <v>1625</v>
      </c>
      <c r="I1458" s="49" t="s">
        <v>885</v>
      </c>
    </row>
    <row r="1459" customFormat="false" ht="25.5" hidden="false" customHeight="true" outlineLevel="0" collapsed="false">
      <c r="A1459" s="49" t="s">
        <v>1114</v>
      </c>
      <c r="B1459" s="49" t="s">
        <v>932</v>
      </c>
      <c r="C1459" s="49" t="s">
        <v>1552</v>
      </c>
      <c r="D1459" s="49"/>
      <c r="E1459" s="49" t="s">
        <v>1553</v>
      </c>
      <c r="F1459" s="49" t="s">
        <v>1554</v>
      </c>
      <c r="G1459" s="49" t="s">
        <v>772</v>
      </c>
      <c r="H1459" s="49" t="s">
        <v>1132</v>
      </c>
      <c r="I1459" s="49" t="s">
        <v>885</v>
      </c>
    </row>
    <row r="1460" customFormat="false" ht="25.5" hidden="false" customHeight="true" outlineLevel="0" collapsed="false">
      <c r="A1460" s="49" t="s">
        <v>1114</v>
      </c>
      <c r="B1460" s="49" t="s">
        <v>932</v>
      </c>
      <c r="C1460" s="49" t="s">
        <v>1555</v>
      </c>
      <c r="D1460" s="49" t="s">
        <v>1090</v>
      </c>
      <c r="E1460" s="49" t="s">
        <v>1186</v>
      </c>
      <c r="F1460" s="49" t="s">
        <v>1556</v>
      </c>
      <c r="G1460" s="49" t="s">
        <v>772</v>
      </c>
      <c r="H1460" s="49" t="s">
        <v>1132</v>
      </c>
      <c r="I1460" s="49" t="s">
        <v>885</v>
      </c>
    </row>
    <row r="1461" customFormat="false" ht="25.5" hidden="false" customHeight="true" outlineLevel="0" collapsed="false">
      <c r="A1461" s="51" t="s">
        <v>1114</v>
      </c>
      <c r="B1461" s="51" t="s">
        <v>932</v>
      </c>
      <c r="C1461" s="51" t="s">
        <v>984</v>
      </c>
      <c r="D1461" s="51" t="s">
        <v>936</v>
      </c>
      <c r="E1461" s="51" t="s">
        <v>985</v>
      </c>
      <c r="F1461" s="51" t="s">
        <v>986</v>
      </c>
      <c r="G1461" s="52" t="s">
        <v>910</v>
      </c>
      <c r="H1461" s="51" t="s">
        <v>1626</v>
      </c>
      <c r="I1461" s="51" t="s">
        <v>912</v>
      </c>
    </row>
    <row r="1462" customFormat="false" ht="25.5" hidden="false" customHeight="true" outlineLevel="0" collapsed="false">
      <c r="A1462" s="51" t="s">
        <v>1114</v>
      </c>
      <c r="B1462" s="51" t="s">
        <v>932</v>
      </c>
      <c r="C1462" s="51" t="s">
        <v>1086</v>
      </c>
      <c r="D1462" s="51" t="s">
        <v>929</v>
      </c>
      <c r="E1462" s="51" t="s">
        <v>1087</v>
      </c>
      <c r="F1462" s="51" t="s">
        <v>1088</v>
      </c>
      <c r="G1462" s="52" t="s">
        <v>910</v>
      </c>
      <c r="H1462" s="51" t="s">
        <v>1626</v>
      </c>
      <c r="I1462" s="51" t="s">
        <v>912</v>
      </c>
    </row>
    <row r="1463" customFormat="false" ht="25.5" hidden="false" customHeight="true" outlineLevel="0" collapsed="false">
      <c r="A1463" s="51" t="s">
        <v>1114</v>
      </c>
      <c r="B1463" s="51" t="s">
        <v>932</v>
      </c>
      <c r="C1463" s="51" t="s">
        <v>1089</v>
      </c>
      <c r="D1463" s="51" t="s">
        <v>1090</v>
      </c>
      <c r="E1463" s="51" t="s">
        <v>1091</v>
      </c>
      <c r="F1463" s="51" t="s">
        <v>1092</v>
      </c>
      <c r="G1463" s="52" t="s">
        <v>910</v>
      </c>
      <c r="H1463" s="51" t="s">
        <v>1626</v>
      </c>
      <c r="I1463" s="51" t="s">
        <v>912</v>
      </c>
    </row>
    <row r="1464" customFormat="false" ht="25.5" hidden="false" customHeight="true" outlineLevel="0" collapsed="false">
      <c r="A1464" s="51" t="s">
        <v>1114</v>
      </c>
      <c r="B1464" s="51" t="s">
        <v>932</v>
      </c>
      <c r="C1464" s="51" t="s">
        <v>1093</v>
      </c>
      <c r="D1464" s="51" t="s">
        <v>936</v>
      </c>
      <c r="E1464" s="51" t="s">
        <v>146</v>
      </c>
      <c r="F1464" s="51" t="s">
        <v>1094</v>
      </c>
      <c r="G1464" s="52" t="s">
        <v>910</v>
      </c>
      <c r="H1464" s="51" t="s">
        <v>1626</v>
      </c>
      <c r="I1464" s="51" t="s">
        <v>912</v>
      </c>
    </row>
    <row r="1465" customFormat="false" ht="25.5" hidden="false" customHeight="true" outlineLevel="0" collapsed="false">
      <c r="A1465" s="49" t="s">
        <v>1114</v>
      </c>
      <c r="B1465" s="49" t="s">
        <v>932</v>
      </c>
      <c r="C1465" s="49" t="s">
        <v>935</v>
      </c>
      <c r="D1465" s="49" t="s">
        <v>936</v>
      </c>
      <c r="E1465" s="49" t="s">
        <v>882</v>
      </c>
      <c r="F1465" s="49" t="s">
        <v>937</v>
      </c>
      <c r="G1465" s="49" t="s">
        <v>776</v>
      </c>
      <c r="H1465" s="49" t="s">
        <v>1625</v>
      </c>
      <c r="I1465" s="49" t="s">
        <v>885</v>
      </c>
    </row>
    <row r="1466" customFormat="false" ht="25.5" hidden="false" customHeight="true" outlineLevel="0" collapsed="false">
      <c r="A1466" s="51" t="s">
        <v>1114</v>
      </c>
      <c r="B1466" s="51" t="s">
        <v>932</v>
      </c>
      <c r="C1466" s="51" t="s">
        <v>938</v>
      </c>
      <c r="D1466" s="51"/>
      <c r="E1466" s="51" t="s">
        <v>893</v>
      </c>
      <c r="F1466" s="51"/>
      <c r="G1466" s="52" t="s">
        <v>910</v>
      </c>
      <c r="H1466" s="51" t="s">
        <v>1627</v>
      </c>
      <c r="I1466" s="51" t="s">
        <v>912</v>
      </c>
    </row>
    <row r="1467" customFormat="false" ht="25.5" hidden="false" customHeight="true" outlineLevel="0" collapsed="false">
      <c r="A1467" s="51" t="s">
        <v>1114</v>
      </c>
      <c r="B1467" s="51" t="s">
        <v>932</v>
      </c>
      <c r="C1467" s="51" t="s">
        <v>1095</v>
      </c>
      <c r="D1467" s="51"/>
      <c r="E1467" s="51" t="s">
        <v>146</v>
      </c>
      <c r="F1467" s="51"/>
      <c r="G1467" s="52" t="s">
        <v>910</v>
      </c>
      <c r="H1467" s="51" t="s">
        <v>1626</v>
      </c>
      <c r="I1467" s="51" t="s">
        <v>912</v>
      </c>
    </row>
    <row r="1468" customFormat="false" ht="25.5" hidden="false" customHeight="true" outlineLevel="0" collapsed="false">
      <c r="A1468" s="51" t="s">
        <v>1114</v>
      </c>
      <c r="B1468" s="51" t="s">
        <v>932</v>
      </c>
      <c r="C1468" s="51" t="s">
        <v>1096</v>
      </c>
      <c r="D1468" s="51" t="s">
        <v>936</v>
      </c>
      <c r="E1468" s="51" t="s">
        <v>1097</v>
      </c>
      <c r="F1468" s="51" t="s">
        <v>1098</v>
      </c>
      <c r="G1468" s="52" t="s">
        <v>910</v>
      </c>
      <c r="H1468" s="51" t="s">
        <v>1626</v>
      </c>
      <c r="I1468" s="51" t="s">
        <v>912</v>
      </c>
    </row>
    <row r="1469" customFormat="false" ht="25.5" hidden="false" customHeight="true" outlineLevel="0" collapsed="false">
      <c r="A1469" s="51" t="s">
        <v>1114</v>
      </c>
      <c r="B1469" s="51" t="s">
        <v>939</v>
      </c>
      <c r="C1469" s="51" t="s">
        <v>940</v>
      </c>
      <c r="D1469" s="51"/>
      <c r="E1469" s="51" t="s">
        <v>893</v>
      </c>
      <c r="F1469" s="51" t="s">
        <v>941</v>
      </c>
      <c r="G1469" s="52" t="s">
        <v>910</v>
      </c>
      <c r="H1469" s="51" t="s">
        <v>1627</v>
      </c>
      <c r="I1469" s="51" t="s">
        <v>912</v>
      </c>
    </row>
    <row r="1470" customFormat="false" ht="25.5" hidden="false" customHeight="true" outlineLevel="0" collapsed="false">
      <c r="A1470" s="51" t="s">
        <v>1114</v>
      </c>
      <c r="B1470" s="51" t="s">
        <v>939</v>
      </c>
      <c r="C1470" s="51" t="s">
        <v>1099</v>
      </c>
      <c r="D1470" s="51" t="s">
        <v>1100</v>
      </c>
      <c r="E1470" s="51" t="s">
        <v>1101</v>
      </c>
      <c r="F1470" s="51" t="s">
        <v>993</v>
      </c>
      <c r="G1470" s="52" t="s">
        <v>910</v>
      </c>
      <c r="H1470" s="51" t="s">
        <v>1626</v>
      </c>
      <c r="I1470" s="51" t="s">
        <v>912</v>
      </c>
    </row>
    <row r="1471" customFormat="false" ht="25.5" hidden="false" customHeight="true" outlineLevel="0" collapsed="false">
      <c r="A1471" s="49" t="s">
        <v>1114</v>
      </c>
      <c r="B1471" s="49" t="s">
        <v>939</v>
      </c>
      <c r="C1471" s="49" t="s">
        <v>1557</v>
      </c>
      <c r="D1471" s="49" t="s">
        <v>988</v>
      </c>
      <c r="E1471" s="49" t="s">
        <v>1186</v>
      </c>
      <c r="F1471" s="49" t="s">
        <v>993</v>
      </c>
      <c r="G1471" s="49" t="s">
        <v>772</v>
      </c>
      <c r="H1471" s="49" t="s">
        <v>1132</v>
      </c>
      <c r="I1471" s="49" t="s">
        <v>885</v>
      </c>
    </row>
    <row r="1472" customFormat="false" ht="25.5" hidden="false" customHeight="true" outlineLevel="0" collapsed="false">
      <c r="A1472" s="49" t="s">
        <v>1114</v>
      </c>
      <c r="B1472" s="49" t="s">
        <v>939</v>
      </c>
      <c r="C1472" s="49" t="s">
        <v>987</v>
      </c>
      <c r="D1472" s="49" t="s">
        <v>988</v>
      </c>
      <c r="E1472" s="49" t="s">
        <v>217</v>
      </c>
      <c r="F1472" s="49" t="s">
        <v>989</v>
      </c>
      <c r="G1472" s="49" t="s">
        <v>772</v>
      </c>
      <c r="H1472" s="49" t="s">
        <v>1132</v>
      </c>
      <c r="I1472" s="49" t="s">
        <v>885</v>
      </c>
    </row>
    <row r="1473" customFormat="false" ht="25.5" hidden="false" customHeight="true" outlineLevel="0" collapsed="false">
      <c r="A1473" s="51" t="s">
        <v>1114</v>
      </c>
      <c r="B1473" s="51" t="s">
        <v>939</v>
      </c>
      <c r="C1473" s="51" t="s">
        <v>1102</v>
      </c>
      <c r="D1473" s="51" t="s">
        <v>988</v>
      </c>
      <c r="E1473" s="51" t="s">
        <v>146</v>
      </c>
      <c r="F1473" s="51" t="s">
        <v>993</v>
      </c>
      <c r="G1473" s="52" t="s">
        <v>910</v>
      </c>
      <c r="H1473" s="51" t="s">
        <v>1626</v>
      </c>
      <c r="I1473" s="51" t="s">
        <v>912</v>
      </c>
    </row>
    <row r="1474" customFormat="false" ht="25.5" hidden="false" customHeight="true" outlineLevel="0" collapsed="false">
      <c r="A1474" s="51" t="s">
        <v>1114</v>
      </c>
      <c r="B1474" s="51" t="s">
        <v>939</v>
      </c>
      <c r="C1474" s="51" t="s">
        <v>1103</v>
      </c>
      <c r="D1474" s="51" t="s">
        <v>1100</v>
      </c>
      <c r="E1474" s="51" t="s">
        <v>146</v>
      </c>
      <c r="F1474" s="51" t="s">
        <v>993</v>
      </c>
      <c r="G1474" s="52" t="s">
        <v>910</v>
      </c>
      <c r="H1474" s="51" t="s">
        <v>1626</v>
      </c>
      <c r="I1474" s="51" t="s">
        <v>912</v>
      </c>
    </row>
    <row r="1475" customFormat="false" ht="25.5" hidden="false" customHeight="true" outlineLevel="0" collapsed="false">
      <c r="A1475" s="49" t="s">
        <v>1114</v>
      </c>
      <c r="B1475" s="49" t="s">
        <v>939</v>
      </c>
      <c r="C1475" s="49" t="s">
        <v>1558</v>
      </c>
      <c r="D1475" s="49" t="s">
        <v>1559</v>
      </c>
      <c r="E1475" s="49" t="s">
        <v>1533</v>
      </c>
      <c r="F1475" s="49" t="s">
        <v>1560</v>
      </c>
      <c r="G1475" s="49" t="s">
        <v>772</v>
      </c>
      <c r="H1475" s="49" t="s">
        <v>1132</v>
      </c>
      <c r="I1475" s="49" t="s">
        <v>885</v>
      </c>
    </row>
    <row r="1476" customFormat="false" ht="25.5" hidden="false" customHeight="true" outlineLevel="0" collapsed="false">
      <c r="A1476" s="49" t="s">
        <v>1114</v>
      </c>
      <c r="B1476" s="49" t="s">
        <v>939</v>
      </c>
      <c r="C1476" s="49" t="s">
        <v>1109</v>
      </c>
      <c r="D1476" s="49" t="s">
        <v>1110</v>
      </c>
      <c r="E1476" s="49" t="s">
        <v>1111</v>
      </c>
      <c r="F1476" s="49" t="s">
        <v>941</v>
      </c>
      <c r="G1476" s="49" t="s">
        <v>772</v>
      </c>
      <c r="H1476" s="49" t="s">
        <v>1132</v>
      </c>
      <c r="I1476" s="49" t="s">
        <v>885</v>
      </c>
    </row>
    <row r="1477" customFormat="false" ht="25.5" hidden="false" customHeight="true" outlineLevel="0" collapsed="false">
      <c r="A1477" s="49" t="s">
        <v>1114</v>
      </c>
      <c r="B1477" s="49" t="s">
        <v>939</v>
      </c>
      <c r="C1477" s="49" t="s">
        <v>1561</v>
      </c>
      <c r="D1477" s="49" t="s">
        <v>1110</v>
      </c>
      <c r="E1477" s="49" t="s">
        <v>1186</v>
      </c>
      <c r="F1477" s="49" t="s">
        <v>993</v>
      </c>
      <c r="G1477" s="49" t="s">
        <v>772</v>
      </c>
      <c r="H1477" s="49" t="s">
        <v>1132</v>
      </c>
      <c r="I1477" s="49" t="s">
        <v>885</v>
      </c>
    </row>
    <row r="1478" customFormat="false" ht="25.5" hidden="false" customHeight="true" outlineLevel="0" collapsed="false">
      <c r="A1478" s="49" t="s">
        <v>1114</v>
      </c>
      <c r="B1478" s="49" t="s">
        <v>939</v>
      </c>
      <c r="C1478" s="49" t="s">
        <v>990</v>
      </c>
      <c r="D1478" s="49" t="s">
        <v>991</v>
      </c>
      <c r="E1478" s="49" t="s">
        <v>992</v>
      </c>
      <c r="F1478" s="49" t="s">
        <v>993</v>
      </c>
      <c r="G1478" s="49" t="s">
        <v>772</v>
      </c>
      <c r="H1478" s="49" t="s">
        <v>1132</v>
      </c>
      <c r="I1478" s="49" t="s">
        <v>885</v>
      </c>
    </row>
    <row r="1479" customFormat="false" ht="25.5" hidden="false" customHeight="true" outlineLevel="0" collapsed="false">
      <c r="A1479" s="49" t="s">
        <v>1114</v>
      </c>
      <c r="B1479" s="49" t="s">
        <v>939</v>
      </c>
      <c r="C1479" s="49" t="s">
        <v>1112</v>
      </c>
      <c r="D1479" s="49" t="s">
        <v>991</v>
      </c>
      <c r="E1479" s="49" t="s">
        <v>1113</v>
      </c>
      <c r="F1479" s="49" t="s">
        <v>941</v>
      </c>
      <c r="G1479" s="49" t="s">
        <v>772</v>
      </c>
      <c r="H1479" s="49" t="s">
        <v>1132</v>
      </c>
      <c r="I1479" s="49" t="s">
        <v>885</v>
      </c>
    </row>
    <row r="1480" customFormat="false" ht="25.5" hidden="false" customHeight="true" outlineLevel="0" collapsed="false">
      <c r="A1480" s="49" t="s">
        <v>1115</v>
      </c>
      <c r="B1480" s="49" t="s">
        <v>1562</v>
      </c>
      <c r="C1480" s="49" t="s">
        <v>1563</v>
      </c>
      <c r="D1480" s="49" t="s">
        <v>1208</v>
      </c>
      <c r="E1480" s="49" t="s">
        <v>843</v>
      </c>
      <c r="F1480" s="49" t="s">
        <v>1564</v>
      </c>
      <c r="G1480" s="49" t="s">
        <v>772</v>
      </c>
      <c r="H1480" s="49" t="s">
        <v>1132</v>
      </c>
      <c r="I1480" s="49" t="s">
        <v>885</v>
      </c>
    </row>
    <row r="1481" customFormat="false" ht="25.5" hidden="false" customHeight="true" outlineLevel="0" collapsed="false">
      <c r="A1481" s="49" t="s">
        <v>1115</v>
      </c>
      <c r="B1481" s="49" t="s">
        <v>1562</v>
      </c>
      <c r="C1481" s="49" t="s">
        <v>1565</v>
      </c>
      <c r="D1481" s="49" t="s">
        <v>1199</v>
      </c>
      <c r="E1481" s="49" t="s">
        <v>1135</v>
      </c>
      <c r="F1481" s="49" t="s">
        <v>1566</v>
      </c>
      <c r="G1481" s="49" t="s">
        <v>772</v>
      </c>
      <c r="H1481" s="49" t="s">
        <v>1132</v>
      </c>
      <c r="I1481" s="49" t="s">
        <v>885</v>
      </c>
    </row>
    <row r="1482" customFormat="false" ht="25.5" hidden="false" customHeight="true" outlineLevel="0" collapsed="false">
      <c r="A1482" s="49" t="s">
        <v>1115</v>
      </c>
      <c r="B1482" s="49" t="s">
        <v>1562</v>
      </c>
      <c r="C1482" s="49" t="s">
        <v>1567</v>
      </c>
      <c r="D1482" s="49" t="s">
        <v>1218</v>
      </c>
      <c r="E1482" s="49" t="s">
        <v>1568</v>
      </c>
      <c r="F1482" s="49" t="s">
        <v>1569</v>
      </c>
      <c r="G1482" s="49" t="s">
        <v>772</v>
      </c>
      <c r="H1482" s="49" t="s">
        <v>1132</v>
      </c>
      <c r="I1482" s="49" t="s">
        <v>885</v>
      </c>
    </row>
    <row r="1483" customFormat="false" ht="25.5" hidden="false" customHeight="true" outlineLevel="0" collapsed="false">
      <c r="A1483" s="49" t="s">
        <v>1115</v>
      </c>
      <c r="B1483" s="49" t="s">
        <v>1562</v>
      </c>
      <c r="C1483" s="49" t="s">
        <v>1570</v>
      </c>
      <c r="D1483" s="49" t="s">
        <v>1208</v>
      </c>
      <c r="E1483" s="49" t="s">
        <v>1571</v>
      </c>
      <c r="F1483" s="49" t="s">
        <v>1572</v>
      </c>
      <c r="G1483" s="49" t="s">
        <v>772</v>
      </c>
      <c r="H1483" s="49" t="s">
        <v>1132</v>
      </c>
      <c r="I1483" s="49" t="s">
        <v>885</v>
      </c>
    </row>
    <row r="1484" customFormat="false" ht="25.5" hidden="false" customHeight="true" outlineLevel="0" collapsed="false">
      <c r="A1484" s="49" t="s">
        <v>1115</v>
      </c>
      <c r="B1484" s="49" t="s">
        <v>1562</v>
      </c>
      <c r="C1484" s="49" t="s">
        <v>1573</v>
      </c>
      <c r="D1484" s="49" t="s">
        <v>1151</v>
      </c>
      <c r="E1484" s="49" t="s">
        <v>1135</v>
      </c>
      <c r="F1484" s="49" t="s">
        <v>1574</v>
      </c>
      <c r="G1484" s="49" t="s">
        <v>772</v>
      </c>
      <c r="H1484" s="49" t="s">
        <v>1132</v>
      </c>
      <c r="I1484" s="49" t="s">
        <v>885</v>
      </c>
    </row>
    <row r="1485" customFormat="false" ht="25.5" hidden="false" customHeight="true" outlineLevel="0" collapsed="false">
      <c r="A1485" s="49" t="s">
        <v>1115</v>
      </c>
      <c r="B1485" s="49" t="s">
        <v>1562</v>
      </c>
      <c r="C1485" s="49" t="s">
        <v>1575</v>
      </c>
      <c r="D1485" s="49" t="s">
        <v>1218</v>
      </c>
      <c r="E1485" s="49" t="s">
        <v>1395</v>
      </c>
      <c r="F1485" s="49" t="s">
        <v>1533</v>
      </c>
      <c r="G1485" s="49" t="s">
        <v>772</v>
      </c>
      <c r="H1485" s="49" t="s">
        <v>1132</v>
      </c>
      <c r="I1485" s="49" t="s">
        <v>885</v>
      </c>
    </row>
    <row r="1486" customFormat="false" ht="25.5" hidden="false" customHeight="true" outlineLevel="0" collapsed="false">
      <c r="A1486" s="49" t="s">
        <v>1115</v>
      </c>
      <c r="B1486" s="49" t="s">
        <v>1562</v>
      </c>
      <c r="C1486" s="49" t="s">
        <v>1576</v>
      </c>
      <c r="D1486" s="49" t="s">
        <v>1199</v>
      </c>
      <c r="E1486" s="49" t="s">
        <v>1577</v>
      </c>
      <c r="F1486" s="49" t="s">
        <v>1578</v>
      </c>
      <c r="G1486" s="49" t="s">
        <v>772</v>
      </c>
      <c r="H1486" s="49" t="s">
        <v>1132</v>
      </c>
      <c r="I1486" s="49" t="s">
        <v>885</v>
      </c>
    </row>
    <row r="1487" customFormat="false" ht="25.5" hidden="false" customHeight="true" outlineLevel="0" collapsed="false">
      <c r="A1487" s="49" t="s">
        <v>1115</v>
      </c>
      <c r="B1487" s="49" t="s">
        <v>1562</v>
      </c>
      <c r="C1487" s="49" t="s">
        <v>1579</v>
      </c>
      <c r="D1487" s="49" t="s">
        <v>1208</v>
      </c>
      <c r="E1487" s="49" t="s">
        <v>146</v>
      </c>
      <c r="F1487" s="49" t="s">
        <v>1580</v>
      </c>
      <c r="G1487" s="49" t="s">
        <v>772</v>
      </c>
      <c r="H1487" s="49" t="s">
        <v>1132</v>
      </c>
      <c r="I1487" s="49" t="s">
        <v>885</v>
      </c>
    </row>
    <row r="1488" customFormat="false" ht="25.5" hidden="false" customHeight="true" outlineLevel="0" collapsed="false">
      <c r="A1488" s="49" t="s">
        <v>1115</v>
      </c>
      <c r="B1488" s="49" t="s">
        <v>1562</v>
      </c>
      <c r="C1488" s="49" t="s">
        <v>1581</v>
      </c>
      <c r="D1488" s="49" t="s">
        <v>1208</v>
      </c>
      <c r="E1488" s="49" t="s">
        <v>1226</v>
      </c>
      <c r="F1488" s="49" t="s">
        <v>1582</v>
      </c>
      <c r="G1488" s="49" t="s">
        <v>772</v>
      </c>
      <c r="H1488" s="49" t="s">
        <v>1132</v>
      </c>
      <c r="I1488" s="49" t="s">
        <v>885</v>
      </c>
    </row>
    <row r="1489" customFormat="false" ht="25.5" hidden="false" customHeight="true" outlineLevel="0" collapsed="false">
      <c r="A1489" s="49" t="s">
        <v>1115</v>
      </c>
      <c r="B1489" s="49" t="s">
        <v>1562</v>
      </c>
      <c r="C1489" s="49" t="s">
        <v>1583</v>
      </c>
      <c r="D1489" s="49" t="s">
        <v>1151</v>
      </c>
      <c r="E1489" s="49" t="s">
        <v>1395</v>
      </c>
      <c r="F1489" s="49" t="s">
        <v>1533</v>
      </c>
      <c r="G1489" s="49" t="s">
        <v>772</v>
      </c>
      <c r="H1489" s="49" t="s">
        <v>1132</v>
      </c>
      <c r="I1489" s="49" t="s">
        <v>885</v>
      </c>
    </row>
    <row r="1490" customFormat="false" ht="25.5" hidden="false" customHeight="true" outlineLevel="0" collapsed="false">
      <c r="A1490" s="49" t="s">
        <v>1115</v>
      </c>
      <c r="B1490" s="49" t="s">
        <v>1562</v>
      </c>
      <c r="C1490" s="49" t="s">
        <v>1584</v>
      </c>
      <c r="D1490" s="49" t="s">
        <v>1199</v>
      </c>
      <c r="E1490" s="49" t="s">
        <v>1186</v>
      </c>
      <c r="F1490" s="49" t="s">
        <v>1585</v>
      </c>
      <c r="G1490" s="49" t="s">
        <v>772</v>
      </c>
      <c r="H1490" s="49" t="s">
        <v>1132</v>
      </c>
      <c r="I1490" s="49" t="s">
        <v>885</v>
      </c>
    </row>
    <row r="1491" customFormat="false" ht="25.5" hidden="false" customHeight="true" outlineLevel="0" collapsed="false">
      <c r="A1491" s="49" t="s">
        <v>1115</v>
      </c>
      <c r="B1491" s="49" t="s">
        <v>1562</v>
      </c>
      <c r="C1491" s="49" t="s">
        <v>1586</v>
      </c>
      <c r="D1491" s="49" t="s">
        <v>1218</v>
      </c>
      <c r="E1491" s="49" t="s">
        <v>1135</v>
      </c>
      <c r="F1491" s="49" t="s">
        <v>1587</v>
      </c>
      <c r="G1491" s="49" t="s">
        <v>772</v>
      </c>
      <c r="H1491" s="49" t="s">
        <v>1132</v>
      </c>
      <c r="I1491" s="49" t="s">
        <v>885</v>
      </c>
    </row>
    <row r="1492" customFormat="false" ht="25.5" hidden="false" customHeight="true" outlineLevel="0" collapsed="false">
      <c r="A1492" s="49" t="s">
        <v>1115</v>
      </c>
      <c r="B1492" s="49" t="s">
        <v>1562</v>
      </c>
      <c r="C1492" s="49" t="s">
        <v>1171</v>
      </c>
      <c r="D1492" s="49" t="s">
        <v>1172</v>
      </c>
      <c r="E1492" s="49" t="s">
        <v>1173</v>
      </c>
      <c r="F1492" s="49" t="s">
        <v>1197</v>
      </c>
      <c r="G1492" s="49" t="s">
        <v>772</v>
      </c>
      <c r="H1492" s="49" t="s">
        <v>1132</v>
      </c>
      <c r="I1492" s="49" t="s">
        <v>885</v>
      </c>
    </row>
    <row r="1493" customFormat="false" ht="25.5" hidden="false" customHeight="true" outlineLevel="0" collapsed="false">
      <c r="A1493" s="49" t="s">
        <v>1115</v>
      </c>
      <c r="B1493" s="49" t="s">
        <v>1562</v>
      </c>
      <c r="C1493" s="49" t="s">
        <v>1588</v>
      </c>
      <c r="D1493" s="49" t="s">
        <v>1199</v>
      </c>
      <c r="E1493" s="49" t="s">
        <v>217</v>
      </c>
      <c r="F1493" s="49" t="s">
        <v>1589</v>
      </c>
      <c r="G1493" s="49" t="s">
        <v>772</v>
      </c>
      <c r="H1493" s="49" t="s">
        <v>1132</v>
      </c>
      <c r="I1493" s="49" t="s">
        <v>885</v>
      </c>
    </row>
    <row r="1494" customFormat="false" ht="25.5" hidden="false" customHeight="true" outlineLevel="0" collapsed="false">
      <c r="A1494" s="49" t="s">
        <v>1115</v>
      </c>
      <c r="B1494" s="49" t="s">
        <v>1562</v>
      </c>
      <c r="C1494" s="49" t="s">
        <v>1590</v>
      </c>
      <c r="D1494" s="49" t="s">
        <v>1151</v>
      </c>
      <c r="E1494" s="49" t="s">
        <v>1520</v>
      </c>
      <c r="F1494" s="49" t="s">
        <v>1591</v>
      </c>
      <c r="G1494" s="49" t="s">
        <v>772</v>
      </c>
      <c r="H1494" s="49" t="s">
        <v>1132</v>
      </c>
      <c r="I1494" s="49" t="s">
        <v>885</v>
      </c>
    </row>
    <row r="1495" customFormat="false" ht="25.5" hidden="false" customHeight="true" outlineLevel="0" collapsed="false">
      <c r="A1495" s="49" t="s">
        <v>1115</v>
      </c>
      <c r="B1495" s="49" t="s">
        <v>1562</v>
      </c>
      <c r="C1495" s="49" t="s">
        <v>1592</v>
      </c>
      <c r="D1495" s="49" t="s">
        <v>1148</v>
      </c>
      <c r="E1495" s="49" t="s">
        <v>217</v>
      </c>
      <c r="F1495" s="49" t="s">
        <v>1593</v>
      </c>
      <c r="G1495" s="49" t="s">
        <v>772</v>
      </c>
      <c r="H1495" s="49" t="s">
        <v>1132</v>
      </c>
      <c r="I1495" s="49" t="s">
        <v>885</v>
      </c>
    </row>
    <row r="1496" customFormat="false" ht="25.5" hidden="false" customHeight="true" outlineLevel="0" collapsed="false">
      <c r="A1496" s="49" t="s">
        <v>1115</v>
      </c>
      <c r="B1496" s="49" t="s">
        <v>1562</v>
      </c>
      <c r="C1496" s="49" t="s">
        <v>1594</v>
      </c>
      <c r="D1496" s="49" t="s">
        <v>1151</v>
      </c>
      <c r="E1496" s="49" t="s">
        <v>671</v>
      </c>
      <c r="F1496" s="49" t="s">
        <v>1595</v>
      </c>
      <c r="G1496" s="49" t="s">
        <v>772</v>
      </c>
      <c r="H1496" s="49" t="s">
        <v>1132</v>
      </c>
      <c r="I1496" s="49" t="s">
        <v>885</v>
      </c>
    </row>
    <row r="1497" customFormat="false" ht="25.5" hidden="false" customHeight="true" outlineLevel="0" collapsed="false">
      <c r="A1497" s="49" t="s">
        <v>1115</v>
      </c>
      <c r="B1497" s="49" t="s">
        <v>1127</v>
      </c>
      <c r="C1497" s="49" t="s">
        <v>1596</v>
      </c>
      <c r="D1497" s="49" t="s">
        <v>1218</v>
      </c>
      <c r="E1497" s="49" t="s">
        <v>1135</v>
      </c>
      <c r="F1497" s="49" t="s">
        <v>1216</v>
      </c>
      <c r="G1497" s="49" t="s">
        <v>772</v>
      </c>
      <c r="H1497" s="49" t="s">
        <v>1132</v>
      </c>
      <c r="I1497" s="49" t="s">
        <v>885</v>
      </c>
    </row>
    <row r="1498" customFormat="false" ht="25.5" hidden="false" customHeight="true" outlineLevel="0" collapsed="false">
      <c r="A1498" s="49" t="s">
        <v>1115</v>
      </c>
      <c r="B1498" s="49" t="s">
        <v>1127</v>
      </c>
      <c r="C1498" s="49" t="s">
        <v>1597</v>
      </c>
      <c r="D1498" s="49" t="s">
        <v>1218</v>
      </c>
      <c r="E1498" s="49" t="s">
        <v>1183</v>
      </c>
      <c r="F1498" s="49" t="s">
        <v>1598</v>
      </c>
      <c r="G1498" s="49" t="s">
        <v>772</v>
      </c>
      <c r="H1498" s="49" t="s">
        <v>1132</v>
      </c>
      <c r="I1498" s="49" t="s">
        <v>885</v>
      </c>
    </row>
    <row r="1499" customFormat="false" ht="25.5" hidden="false" customHeight="true" outlineLevel="0" collapsed="false">
      <c r="A1499" s="49" t="s">
        <v>1115</v>
      </c>
      <c r="B1499" s="49" t="s">
        <v>1127</v>
      </c>
      <c r="C1499" s="49" t="s">
        <v>1599</v>
      </c>
      <c r="D1499" s="49" t="s">
        <v>1151</v>
      </c>
      <c r="E1499" s="49" t="s">
        <v>1135</v>
      </c>
      <c r="F1499" s="49" t="s">
        <v>1600</v>
      </c>
      <c r="G1499" s="49" t="s">
        <v>772</v>
      </c>
      <c r="H1499" s="49" t="s">
        <v>1132</v>
      </c>
      <c r="I1499" s="49" t="s">
        <v>885</v>
      </c>
    </row>
    <row r="1500" customFormat="false" ht="25.5" hidden="false" customHeight="true" outlineLevel="0" collapsed="false">
      <c r="A1500" s="49" t="s">
        <v>1115</v>
      </c>
      <c r="B1500" s="49" t="s">
        <v>1127</v>
      </c>
      <c r="C1500" s="49" t="s">
        <v>1601</v>
      </c>
      <c r="D1500" s="49" t="s">
        <v>1218</v>
      </c>
      <c r="E1500" s="49" t="s">
        <v>893</v>
      </c>
      <c r="F1500" s="49" t="s">
        <v>1602</v>
      </c>
      <c r="G1500" s="49" t="s">
        <v>772</v>
      </c>
      <c r="H1500" s="49" t="s">
        <v>1132</v>
      </c>
      <c r="I1500" s="49" t="s">
        <v>885</v>
      </c>
    </row>
    <row r="1501" customFormat="false" ht="25.5" hidden="false" customHeight="true" outlineLevel="0" collapsed="false">
      <c r="A1501" s="49" t="s">
        <v>1115</v>
      </c>
      <c r="B1501" s="49" t="s">
        <v>1127</v>
      </c>
      <c r="C1501" s="49" t="s">
        <v>1603</v>
      </c>
      <c r="D1501" s="49" t="s">
        <v>1162</v>
      </c>
      <c r="E1501" s="49" t="s">
        <v>1163</v>
      </c>
      <c r="F1501" s="49" t="s">
        <v>1604</v>
      </c>
      <c r="G1501" s="49" t="s">
        <v>772</v>
      </c>
      <c r="H1501" s="49" t="s">
        <v>1132</v>
      </c>
      <c r="I1501" s="49" t="s">
        <v>885</v>
      </c>
    </row>
    <row r="1502" customFormat="false" ht="25.5" hidden="false" customHeight="true" outlineLevel="0" collapsed="false">
      <c r="A1502" s="49" t="s">
        <v>1115</v>
      </c>
      <c r="B1502" s="49" t="s">
        <v>1127</v>
      </c>
      <c r="C1502" s="49" t="s">
        <v>1605</v>
      </c>
      <c r="D1502" s="49" t="s">
        <v>1218</v>
      </c>
      <c r="E1502" s="49" t="s">
        <v>1135</v>
      </c>
      <c r="F1502" s="49" t="s">
        <v>1136</v>
      </c>
      <c r="G1502" s="49" t="s">
        <v>772</v>
      </c>
      <c r="H1502" s="49" t="s">
        <v>1132</v>
      </c>
      <c r="I1502" s="49" t="s">
        <v>885</v>
      </c>
    </row>
    <row r="1503" customFormat="false" ht="25.5" hidden="false" customHeight="true" outlineLevel="0" collapsed="false">
      <c r="A1503" s="49" t="s">
        <v>1115</v>
      </c>
      <c r="B1503" s="49" t="s">
        <v>1127</v>
      </c>
      <c r="C1503" s="49" t="s">
        <v>1606</v>
      </c>
      <c r="D1503" s="49" t="s">
        <v>1148</v>
      </c>
      <c r="E1503" s="49" t="s">
        <v>893</v>
      </c>
      <c r="F1503" s="49" t="s">
        <v>1607</v>
      </c>
      <c r="G1503" s="49" t="s">
        <v>772</v>
      </c>
      <c r="H1503" s="49" t="s">
        <v>1132</v>
      </c>
      <c r="I1503" s="49" t="s">
        <v>885</v>
      </c>
    </row>
    <row r="1504" customFormat="false" ht="25.5" hidden="false" customHeight="true" outlineLevel="0" collapsed="false">
      <c r="A1504" s="49" t="s">
        <v>1115</v>
      </c>
      <c r="B1504" s="49" t="s">
        <v>1127</v>
      </c>
      <c r="C1504" s="49" t="s">
        <v>1608</v>
      </c>
      <c r="D1504" s="49" t="s">
        <v>1218</v>
      </c>
      <c r="E1504" s="49" t="s">
        <v>1609</v>
      </c>
      <c r="F1504" s="49" t="s">
        <v>1610</v>
      </c>
      <c r="G1504" s="49" t="s">
        <v>772</v>
      </c>
      <c r="H1504" s="49" t="s">
        <v>1132</v>
      </c>
      <c r="I1504" s="49" t="s">
        <v>885</v>
      </c>
    </row>
    <row r="1505" customFormat="false" ht="25.5" hidden="false" customHeight="true" outlineLevel="0" collapsed="false">
      <c r="A1505" s="49" t="s">
        <v>1115</v>
      </c>
      <c r="B1505" s="49" t="s">
        <v>1127</v>
      </c>
      <c r="C1505" s="49" t="s">
        <v>1611</v>
      </c>
      <c r="D1505" s="49" t="s">
        <v>1151</v>
      </c>
      <c r="E1505" s="49" t="s">
        <v>1135</v>
      </c>
      <c r="F1505" s="49" t="s">
        <v>1600</v>
      </c>
      <c r="G1505" s="49" t="s">
        <v>772</v>
      </c>
      <c r="H1505" s="49" t="s">
        <v>1132</v>
      </c>
      <c r="I1505" s="49" t="s">
        <v>885</v>
      </c>
    </row>
    <row r="1506" customFormat="false" ht="25.5" hidden="false" customHeight="true" outlineLevel="0" collapsed="false">
      <c r="A1506" s="49" t="s">
        <v>1115</v>
      </c>
      <c r="B1506" s="49" t="s">
        <v>1127</v>
      </c>
      <c r="C1506" s="49" t="s">
        <v>1612</v>
      </c>
      <c r="D1506" s="49" t="s">
        <v>1218</v>
      </c>
      <c r="E1506" s="49" t="s">
        <v>1135</v>
      </c>
      <c r="F1506" s="49" t="s">
        <v>1170</v>
      </c>
      <c r="G1506" s="49" t="s">
        <v>772</v>
      </c>
      <c r="H1506" s="49" t="s">
        <v>1132</v>
      </c>
      <c r="I1506" s="49" t="s">
        <v>885</v>
      </c>
    </row>
    <row r="1507" customFormat="false" ht="25.5" hidden="false" customHeight="true" outlineLevel="0" collapsed="false">
      <c r="A1507" s="49" t="s">
        <v>1115</v>
      </c>
      <c r="B1507" s="49" t="s">
        <v>1127</v>
      </c>
      <c r="C1507" s="49" t="s">
        <v>1613</v>
      </c>
      <c r="D1507" s="49" t="s">
        <v>1208</v>
      </c>
      <c r="E1507" s="49" t="s">
        <v>1183</v>
      </c>
      <c r="F1507" s="49" t="s">
        <v>1614</v>
      </c>
      <c r="G1507" s="49" t="s">
        <v>772</v>
      </c>
      <c r="H1507" s="49" t="s">
        <v>1132</v>
      </c>
      <c r="I1507" s="49" t="s">
        <v>885</v>
      </c>
    </row>
    <row r="1508" customFormat="false" ht="25.5" hidden="false" customHeight="true" outlineLevel="0" collapsed="false">
      <c r="A1508" s="49" t="s">
        <v>1115</v>
      </c>
      <c r="B1508" s="49" t="s">
        <v>1127</v>
      </c>
      <c r="C1508" s="49" t="s">
        <v>1615</v>
      </c>
      <c r="D1508" s="49" t="s">
        <v>1129</v>
      </c>
      <c r="E1508" s="49" t="s">
        <v>1226</v>
      </c>
      <c r="F1508" s="49" t="s">
        <v>1616</v>
      </c>
      <c r="G1508" s="49" t="s">
        <v>772</v>
      </c>
      <c r="H1508" s="49" t="s">
        <v>1132</v>
      </c>
      <c r="I1508" s="49" t="s">
        <v>885</v>
      </c>
    </row>
    <row r="1509" customFormat="false" ht="25.5" hidden="false" customHeight="true" outlineLevel="0" collapsed="false">
      <c r="A1509" s="49" t="s">
        <v>1115</v>
      </c>
      <c r="B1509" s="49" t="s">
        <v>1127</v>
      </c>
      <c r="C1509" s="49" t="s">
        <v>1128</v>
      </c>
      <c r="D1509" s="49" t="s">
        <v>1129</v>
      </c>
      <c r="E1509" s="49" t="s">
        <v>1130</v>
      </c>
      <c r="F1509" s="49" t="s">
        <v>1131</v>
      </c>
      <c r="G1509" s="49" t="s">
        <v>772</v>
      </c>
      <c r="H1509" s="49" t="s">
        <v>1132</v>
      </c>
      <c r="I1509" s="49" t="s">
        <v>885</v>
      </c>
    </row>
    <row r="1510" customFormat="false" ht="25.5" hidden="false" customHeight="true" outlineLevel="0" collapsed="false">
      <c r="A1510" s="49" t="s">
        <v>1115</v>
      </c>
      <c r="B1510" s="49" t="s">
        <v>1127</v>
      </c>
      <c r="C1510" s="49" t="s">
        <v>1133</v>
      </c>
      <c r="D1510" s="49" t="s">
        <v>1134</v>
      </c>
      <c r="E1510" s="49" t="s">
        <v>1135</v>
      </c>
      <c r="F1510" s="49" t="s">
        <v>1136</v>
      </c>
      <c r="G1510" s="49" t="s">
        <v>772</v>
      </c>
      <c r="H1510" s="49" t="s">
        <v>1132</v>
      </c>
      <c r="I1510" s="49" t="s">
        <v>885</v>
      </c>
    </row>
    <row r="1511" customFormat="false" ht="25.5" hidden="false" customHeight="true" outlineLevel="0" collapsed="false">
      <c r="A1511" s="49" t="s">
        <v>1115</v>
      </c>
      <c r="B1511" s="49" t="s">
        <v>1127</v>
      </c>
      <c r="C1511" s="49" t="s">
        <v>1137</v>
      </c>
      <c r="D1511" s="49" t="s">
        <v>1129</v>
      </c>
      <c r="E1511" s="49" t="s">
        <v>1135</v>
      </c>
      <c r="F1511" s="49" t="s">
        <v>1138</v>
      </c>
      <c r="G1511" s="49" t="s">
        <v>772</v>
      </c>
      <c r="H1511" s="49" t="s">
        <v>1132</v>
      </c>
      <c r="I1511" s="49" t="s">
        <v>885</v>
      </c>
    </row>
    <row r="1512" customFormat="false" ht="25.5" hidden="false" customHeight="true" outlineLevel="0" collapsed="false">
      <c r="A1512" s="49" t="s">
        <v>1115</v>
      </c>
      <c r="B1512" s="49" t="s">
        <v>1127</v>
      </c>
      <c r="C1512" s="49" t="s">
        <v>1139</v>
      </c>
      <c r="D1512" s="49" t="s">
        <v>1134</v>
      </c>
      <c r="E1512" s="49" t="s">
        <v>1135</v>
      </c>
      <c r="F1512" s="49" t="s">
        <v>1136</v>
      </c>
      <c r="G1512" s="49" t="s">
        <v>772</v>
      </c>
      <c r="H1512" s="49" t="s">
        <v>1132</v>
      </c>
      <c r="I1512" s="49" t="s">
        <v>885</v>
      </c>
    </row>
    <row r="1513" customFormat="false" ht="25.5" hidden="false" customHeight="true" outlineLevel="0" collapsed="false">
      <c r="A1513" s="49" t="s">
        <v>1115</v>
      </c>
      <c r="B1513" s="49" t="s">
        <v>1127</v>
      </c>
      <c r="C1513" s="49" t="s">
        <v>1140</v>
      </c>
      <c r="D1513" s="49" t="s">
        <v>1141</v>
      </c>
      <c r="E1513" s="49" t="s">
        <v>1142</v>
      </c>
      <c r="F1513" s="49" t="s">
        <v>1143</v>
      </c>
      <c r="G1513" s="49" t="s">
        <v>772</v>
      </c>
      <c r="H1513" s="49" t="s">
        <v>1132</v>
      </c>
      <c r="I1513" s="49" t="s">
        <v>885</v>
      </c>
    </row>
    <row r="1514" customFormat="false" ht="25.5" hidden="false" customHeight="true" outlineLevel="0" collapsed="false">
      <c r="A1514" s="49" t="s">
        <v>1115</v>
      </c>
      <c r="B1514" s="49" t="s">
        <v>1127</v>
      </c>
      <c r="C1514" s="49" t="s">
        <v>1144</v>
      </c>
      <c r="D1514" s="49" t="s">
        <v>1134</v>
      </c>
      <c r="E1514" s="49" t="s">
        <v>1145</v>
      </c>
      <c r="F1514" s="49" t="s">
        <v>1146</v>
      </c>
      <c r="G1514" s="49" t="s">
        <v>772</v>
      </c>
      <c r="H1514" s="49" t="s">
        <v>1132</v>
      </c>
      <c r="I1514" s="49" t="s">
        <v>885</v>
      </c>
    </row>
    <row r="1515" customFormat="false" ht="25.5" hidden="false" customHeight="true" outlineLevel="0" collapsed="false">
      <c r="A1515" s="49" t="s">
        <v>1115</v>
      </c>
      <c r="B1515" s="49" t="s">
        <v>1127</v>
      </c>
      <c r="C1515" s="49" t="s">
        <v>1147</v>
      </c>
      <c r="D1515" s="49" t="s">
        <v>1148</v>
      </c>
      <c r="E1515" s="49" t="s">
        <v>1135</v>
      </c>
      <c r="F1515" s="49" t="s">
        <v>1136</v>
      </c>
      <c r="G1515" s="49" t="s">
        <v>772</v>
      </c>
      <c r="H1515" s="49" t="s">
        <v>1132</v>
      </c>
      <c r="I1515" s="49" t="s">
        <v>885</v>
      </c>
    </row>
    <row r="1516" customFormat="false" ht="25.5" hidden="false" customHeight="true" outlineLevel="0" collapsed="false">
      <c r="A1516" s="49" t="s">
        <v>1115</v>
      </c>
      <c r="B1516" s="49" t="s">
        <v>1127</v>
      </c>
      <c r="C1516" s="49" t="s">
        <v>1149</v>
      </c>
      <c r="D1516" s="49" t="s">
        <v>1134</v>
      </c>
      <c r="E1516" s="49" t="s">
        <v>1135</v>
      </c>
      <c r="F1516" s="49" t="s">
        <v>1136</v>
      </c>
      <c r="G1516" s="49" t="s">
        <v>772</v>
      </c>
      <c r="H1516" s="49" t="s">
        <v>1132</v>
      </c>
      <c r="I1516" s="49" t="s">
        <v>885</v>
      </c>
    </row>
    <row r="1517" customFormat="false" ht="25.5" hidden="false" customHeight="true" outlineLevel="0" collapsed="false">
      <c r="A1517" s="49" t="s">
        <v>1115</v>
      </c>
      <c r="B1517" s="49" t="s">
        <v>1127</v>
      </c>
      <c r="C1517" s="49" t="s">
        <v>1150</v>
      </c>
      <c r="D1517" s="49" t="s">
        <v>1151</v>
      </c>
      <c r="E1517" s="49" t="s">
        <v>1152</v>
      </c>
      <c r="F1517" s="49" t="s">
        <v>1153</v>
      </c>
      <c r="G1517" s="49" t="s">
        <v>772</v>
      </c>
      <c r="H1517" s="49" t="s">
        <v>1132</v>
      </c>
      <c r="I1517" s="49" t="s">
        <v>885</v>
      </c>
    </row>
    <row r="1518" customFormat="false" ht="25.5" hidden="false" customHeight="true" outlineLevel="0" collapsed="false">
      <c r="A1518" s="49" t="s">
        <v>1115</v>
      </c>
      <c r="B1518" s="49" t="s">
        <v>1127</v>
      </c>
      <c r="C1518" s="49" t="s">
        <v>1154</v>
      </c>
      <c r="D1518" s="49" t="s">
        <v>1134</v>
      </c>
      <c r="E1518" s="49" t="s">
        <v>1135</v>
      </c>
      <c r="F1518" s="49" t="s">
        <v>1136</v>
      </c>
      <c r="G1518" s="49" t="s">
        <v>772</v>
      </c>
      <c r="H1518" s="49" t="s">
        <v>1132</v>
      </c>
      <c r="I1518" s="49" t="s">
        <v>885</v>
      </c>
    </row>
    <row r="1519" customFormat="false" ht="25.5" hidden="false" customHeight="true" outlineLevel="0" collapsed="false">
      <c r="A1519" s="49" t="s">
        <v>1115</v>
      </c>
      <c r="B1519" s="49" t="s">
        <v>1127</v>
      </c>
      <c r="C1519" s="49" t="s">
        <v>1155</v>
      </c>
      <c r="D1519" s="49" t="s">
        <v>1156</v>
      </c>
      <c r="E1519" s="49" t="s">
        <v>1157</v>
      </c>
      <c r="F1519" s="49" t="s">
        <v>1158</v>
      </c>
      <c r="G1519" s="49" t="s">
        <v>772</v>
      </c>
      <c r="H1519" s="49" t="s">
        <v>1132</v>
      </c>
      <c r="I1519" s="49" t="s">
        <v>885</v>
      </c>
    </row>
    <row r="1520" customFormat="false" ht="25.5" hidden="false" customHeight="true" outlineLevel="0" collapsed="false">
      <c r="A1520" s="49" t="s">
        <v>1115</v>
      </c>
      <c r="B1520" s="49" t="s">
        <v>1127</v>
      </c>
      <c r="C1520" s="49" t="s">
        <v>1159</v>
      </c>
      <c r="D1520" s="49" t="s">
        <v>1148</v>
      </c>
      <c r="E1520" s="49" t="s">
        <v>1135</v>
      </c>
      <c r="F1520" s="49" t="s">
        <v>1136</v>
      </c>
      <c r="G1520" s="49" t="s">
        <v>772</v>
      </c>
      <c r="H1520" s="49" t="s">
        <v>1132</v>
      </c>
      <c r="I1520" s="49" t="s">
        <v>885</v>
      </c>
    </row>
    <row r="1521" customFormat="false" ht="25.5" hidden="false" customHeight="true" outlineLevel="0" collapsed="false">
      <c r="A1521" s="49" t="s">
        <v>1115</v>
      </c>
      <c r="B1521" s="49" t="s">
        <v>1127</v>
      </c>
      <c r="C1521" s="49" t="s">
        <v>1160</v>
      </c>
      <c r="D1521" s="49" t="s">
        <v>1134</v>
      </c>
      <c r="E1521" s="49" t="s">
        <v>1157</v>
      </c>
      <c r="F1521" s="49" t="s">
        <v>1158</v>
      </c>
      <c r="G1521" s="49" t="s">
        <v>772</v>
      </c>
      <c r="H1521" s="49" t="s">
        <v>1132</v>
      </c>
      <c r="I1521" s="49" t="s">
        <v>885</v>
      </c>
    </row>
    <row r="1522" customFormat="false" ht="25.5" hidden="false" customHeight="true" outlineLevel="0" collapsed="false">
      <c r="A1522" s="49" t="s">
        <v>1115</v>
      </c>
      <c r="B1522" s="49" t="s">
        <v>1127</v>
      </c>
      <c r="C1522" s="49" t="s">
        <v>1161</v>
      </c>
      <c r="D1522" s="49" t="s">
        <v>1162</v>
      </c>
      <c r="E1522" s="49" t="s">
        <v>1163</v>
      </c>
      <c r="F1522" s="49" t="s">
        <v>1164</v>
      </c>
      <c r="G1522" s="49" t="s">
        <v>772</v>
      </c>
      <c r="H1522" s="49" t="s">
        <v>1132</v>
      </c>
      <c r="I1522" s="49" t="s">
        <v>885</v>
      </c>
    </row>
    <row r="1523" customFormat="false" ht="25.5" hidden="false" customHeight="true" outlineLevel="0" collapsed="false">
      <c r="A1523" s="49" t="s">
        <v>1115</v>
      </c>
      <c r="B1523" s="49" t="s">
        <v>1127</v>
      </c>
      <c r="C1523" s="49" t="s">
        <v>1165</v>
      </c>
      <c r="D1523" s="49" t="s">
        <v>1156</v>
      </c>
      <c r="E1523" s="49" t="s">
        <v>146</v>
      </c>
      <c r="F1523" s="49" t="s">
        <v>1166</v>
      </c>
      <c r="G1523" s="49" t="s">
        <v>772</v>
      </c>
      <c r="H1523" s="49" t="s">
        <v>1132</v>
      </c>
      <c r="I1523" s="49" t="s">
        <v>885</v>
      </c>
    </row>
    <row r="1524" customFormat="false" ht="25.5" hidden="false" customHeight="true" outlineLevel="0" collapsed="false">
      <c r="A1524" s="49" t="s">
        <v>1115</v>
      </c>
      <c r="B1524" s="49" t="s">
        <v>1127</v>
      </c>
      <c r="C1524" s="49" t="s">
        <v>1167</v>
      </c>
      <c r="D1524" s="49" t="s">
        <v>1141</v>
      </c>
      <c r="E1524" s="49" t="s">
        <v>1135</v>
      </c>
      <c r="F1524" s="49" t="s">
        <v>1136</v>
      </c>
      <c r="G1524" s="49" t="s">
        <v>772</v>
      </c>
      <c r="H1524" s="49" t="s">
        <v>1132</v>
      </c>
      <c r="I1524" s="49" t="s">
        <v>885</v>
      </c>
    </row>
    <row r="1525" customFormat="false" ht="25.5" hidden="false" customHeight="true" outlineLevel="0" collapsed="false">
      <c r="A1525" s="49" t="s">
        <v>1115</v>
      </c>
      <c r="B1525" s="49" t="s">
        <v>1127</v>
      </c>
      <c r="C1525" s="49" t="s">
        <v>1168</v>
      </c>
      <c r="D1525" s="49" t="s">
        <v>1141</v>
      </c>
      <c r="E1525" s="49" t="s">
        <v>1145</v>
      </c>
      <c r="F1525" s="49" t="s">
        <v>1146</v>
      </c>
      <c r="G1525" s="49" t="s">
        <v>772</v>
      </c>
      <c r="H1525" s="49" t="s">
        <v>1132</v>
      </c>
      <c r="I1525" s="49" t="s">
        <v>885</v>
      </c>
    </row>
    <row r="1526" customFormat="false" ht="25.5" hidden="false" customHeight="true" outlineLevel="0" collapsed="false">
      <c r="A1526" s="49" t="s">
        <v>1115</v>
      </c>
      <c r="B1526" s="49" t="s">
        <v>1127</v>
      </c>
      <c r="C1526" s="49" t="s">
        <v>1169</v>
      </c>
      <c r="D1526" s="49" t="s">
        <v>1148</v>
      </c>
      <c r="E1526" s="49" t="s">
        <v>1135</v>
      </c>
      <c r="F1526" s="49" t="s">
        <v>1170</v>
      </c>
      <c r="G1526" s="49" t="s">
        <v>772</v>
      </c>
      <c r="H1526" s="49" t="s">
        <v>1132</v>
      </c>
      <c r="I1526" s="49" t="s">
        <v>885</v>
      </c>
    </row>
    <row r="1527" customFormat="false" ht="25.5" hidden="false" customHeight="true" outlineLevel="0" collapsed="false">
      <c r="A1527" s="49" t="s">
        <v>1115</v>
      </c>
      <c r="B1527" s="49" t="s">
        <v>1127</v>
      </c>
      <c r="C1527" s="49" t="s">
        <v>1171</v>
      </c>
      <c r="D1527" s="49" t="s">
        <v>1172</v>
      </c>
      <c r="E1527" s="49" t="s">
        <v>1173</v>
      </c>
      <c r="F1527" s="49" t="s">
        <v>1174</v>
      </c>
      <c r="G1527" s="49" t="s">
        <v>772</v>
      </c>
      <c r="H1527" s="49" t="s">
        <v>1132</v>
      </c>
      <c r="I1527" s="49" t="s">
        <v>885</v>
      </c>
    </row>
    <row r="1528" customFormat="false" ht="25.5" hidden="false" customHeight="true" outlineLevel="0" collapsed="false">
      <c r="A1528" s="49" t="s">
        <v>1115</v>
      </c>
      <c r="B1528" s="49" t="s">
        <v>1127</v>
      </c>
      <c r="C1528" s="49" t="s">
        <v>1175</v>
      </c>
      <c r="D1528" s="49" t="s">
        <v>1162</v>
      </c>
      <c r="E1528" s="49" t="s">
        <v>893</v>
      </c>
      <c r="F1528" s="49" t="s">
        <v>1176</v>
      </c>
      <c r="G1528" s="49" t="s">
        <v>772</v>
      </c>
      <c r="H1528" s="49" t="s">
        <v>1132</v>
      </c>
      <c r="I1528" s="49" t="s">
        <v>885</v>
      </c>
    </row>
    <row r="1529" customFormat="false" ht="25.5" hidden="false" customHeight="true" outlineLevel="0" collapsed="false">
      <c r="A1529" s="49" t="s">
        <v>1115</v>
      </c>
      <c r="B1529" s="49" t="s">
        <v>1127</v>
      </c>
      <c r="C1529" s="49" t="s">
        <v>1177</v>
      </c>
      <c r="D1529" s="49" t="s">
        <v>1148</v>
      </c>
      <c r="E1529" s="49" t="s">
        <v>217</v>
      </c>
      <c r="F1529" s="49" t="s">
        <v>1178</v>
      </c>
      <c r="G1529" s="49" t="s">
        <v>772</v>
      </c>
      <c r="H1529" s="49" t="s">
        <v>1132</v>
      </c>
      <c r="I1529" s="49" t="s">
        <v>885</v>
      </c>
    </row>
    <row r="1530" customFormat="false" ht="25.5" hidden="false" customHeight="true" outlineLevel="0" collapsed="false">
      <c r="A1530" s="49" t="s">
        <v>1115</v>
      </c>
      <c r="B1530" s="49" t="s">
        <v>1127</v>
      </c>
      <c r="C1530" s="49" t="s">
        <v>1179</v>
      </c>
      <c r="D1530" s="49" t="s">
        <v>1151</v>
      </c>
      <c r="E1530" s="49" t="s">
        <v>1180</v>
      </c>
      <c r="F1530" s="49" t="s">
        <v>1181</v>
      </c>
      <c r="G1530" s="49" t="s">
        <v>772</v>
      </c>
      <c r="H1530" s="49" t="s">
        <v>1132</v>
      </c>
      <c r="I1530" s="49" t="s">
        <v>885</v>
      </c>
    </row>
    <row r="1531" customFormat="false" ht="25.5" hidden="false" customHeight="true" outlineLevel="0" collapsed="false">
      <c r="A1531" s="49" t="s">
        <v>1115</v>
      </c>
      <c r="B1531" s="49" t="s">
        <v>1127</v>
      </c>
      <c r="C1531" s="49" t="s">
        <v>1182</v>
      </c>
      <c r="D1531" s="49" t="s">
        <v>1148</v>
      </c>
      <c r="E1531" s="49" t="s">
        <v>1183</v>
      </c>
      <c r="F1531" s="49" t="s">
        <v>1184</v>
      </c>
      <c r="G1531" s="49" t="s">
        <v>772</v>
      </c>
      <c r="H1531" s="49" t="s">
        <v>1132</v>
      </c>
      <c r="I1531" s="49" t="s">
        <v>885</v>
      </c>
    </row>
    <row r="1532" customFormat="false" ht="25.5" hidden="false" customHeight="true" outlineLevel="0" collapsed="false">
      <c r="A1532" s="49" t="s">
        <v>1115</v>
      </c>
      <c r="B1532" s="49" t="s">
        <v>1127</v>
      </c>
      <c r="C1532" s="49" t="s">
        <v>1185</v>
      </c>
      <c r="D1532" s="49" t="s">
        <v>1134</v>
      </c>
      <c r="E1532" s="49" t="s">
        <v>1186</v>
      </c>
      <c r="F1532" s="49" t="s">
        <v>1187</v>
      </c>
      <c r="G1532" s="49" t="s">
        <v>772</v>
      </c>
      <c r="H1532" s="49" t="s">
        <v>1132</v>
      </c>
      <c r="I1532" s="49" t="s">
        <v>885</v>
      </c>
    </row>
    <row r="1533" customFormat="false" ht="25.5" hidden="false" customHeight="true" outlineLevel="0" collapsed="false">
      <c r="A1533" s="49" t="s">
        <v>1115</v>
      </c>
      <c r="B1533" s="49" t="s">
        <v>1127</v>
      </c>
      <c r="C1533" s="49" t="s">
        <v>1188</v>
      </c>
      <c r="D1533" s="49" t="s">
        <v>1134</v>
      </c>
      <c r="E1533" s="49" t="s">
        <v>1189</v>
      </c>
      <c r="F1533" s="49" t="s">
        <v>1190</v>
      </c>
      <c r="G1533" s="49" t="s">
        <v>772</v>
      </c>
      <c r="H1533" s="49" t="s">
        <v>1132</v>
      </c>
      <c r="I1533" s="49" t="s">
        <v>885</v>
      </c>
    </row>
    <row r="1534" customFormat="false" ht="25.5" hidden="false" customHeight="true" outlineLevel="0" collapsed="false">
      <c r="A1534" s="49" t="s">
        <v>1115</v>
      </c>
      <c r="B1534" s="49" t="s">
        <v>1127</v>
      </c>
      <c r="C1534" s="49" t="s">
        <v>1191</v>
      </c>
      <c r="D1534" s="49" t="s">
        <v>1151</v>
      </c>
      <c r="E1534" s="49" t="s">
        <v>1142</v>
      </c>
      <c r="F1534" s="49" t="s">
        <v>1192</v>
      </c>
      <c r="G1534" s="49" t="s">
        <v>772</v>
      </c>
      <c r="H1534" s="49" t="s">
        <v>1132</v>
      </c>
      <c r="I1534" s="49" t="s">
        <v>885</v>
      </c>
    </row>
    <row r="1535" customFormat="false" ht="25.5" hidden="false" customHeight="true" outlineLevel="0" collapsed="false">
      <c r="A1535" s="49" t="s">
        <v>1115</v>
      </c>
      <c r="B1535" s="49" t="s">
        <v>1127</v>
      </c>
      <c r="C1535" s="49" t="s">
        <v>1193</v>
      </c>
      <c r="D1535" s="49" t="s">
        <v>1148</v>
      </c>
      <c r="E1535" s="49" t="s">
        <v>1194</v>
      </c>
      <c r="F1535" s="49" t="s">
        <v>1195</v>
      </c>
      <c r="G1535" s="49" t="s">
        <v>772</v>
      </c>
      <c r="H1535" s="49" t="s">
        <v>1132</v>
      </c>
      <c r="I1535" s="49" t="s">
        <v>885</v>
      </c>
    </row>
    <row r="1536" customFormat="false" ht="25.5" hidden="false" customHeight="true" outlineLevel="0" collapsed="false">
      <c r="A1536" s="49" t="s">
        <v>1115</v>
      </c>
      <c r="B1536" s="49" t="s">
        <v>1196</v>
      </c>
      <c r="C1536" s="49" t="s">
        <v>1171</v>
      </c>
      <c r="D1536" s="49" t="s">
        <v>1172</v>
      </c>
      <c r="E1536" s="49" t="s">
        <v>1173</v>
      </c>
      <c r="F1536" s="49" t="s">
        <v>1197</v>
      </c>
      <c r="G1536" s="49" t="s">
        <v>772</v>
      </c>
      <c r="H1536" s="49" t="s">
        <v>1132</v>
      </c>
      <c r="I1536" s="49" t="s">
        <v>885</v>
      </c>
    </row>
    <row r="1537" customFormat="false" ht="25.5" hidden="false" customHeight="true" outlineLevel="0" collapsed="false">
      <c r="A1537" s="49" t="s">
        <v>1115</v>
      </c>
      <c r="B1537" s="49" t="s">
        <v>1196</v>
      </c>
      <c r="C1537" s="49" t="s">
        <v>1198</v>
      </c>
      <c r="D1537" s="49" t="s">
        <v>1199</v>
      </c>
      <c r="E1537" s="49" t="s">
        <v>1200</v>
      </c>
      <c r="F1537" s="49" t="s">
        <v>1201</v>
      </c>
      <c r="G1537" s="49" t="s">
        <v>772</v>
      </c>
      <c r="H1537" s="49" t="s">
        <v>1132</v>
      </c>
      <c r="I1537" s="49" t="s">
        <v>885</v>
      </c>
    </row>
    <row r="1538" customFormat="false" ht="25.5" hidden="false" customHeight="true" outlineLevel="0" collapsed="false">
      <c r="A1538" s="49" t="s">
        <v>1115</v>
      </c>
      <c r="B1538" s="49" t="s">
        <v>1196</v>
      </c>
      <c r="C1538" s="49" t="s">
        <v>1202</v>
      </c>
      <c r="D1538" s="49" t="s">
        <v>1151</v>
      </c>
      <c r="E1538" s="49" t="s">
        <v>217</v>
      </c>
      <c r="F1538" s="49" t="s">
        <v>1203</v>
      </c>
      <c r="G1538" s="49" t="s">
        <v>772</v>
      </c>
      <c r="H1538" s="49" t="s">
        <v>1132</v>
      </c>
      <c r="I1538" s="49" t="s">
        <v>885</v>
      </c>
    </row>
    <row r="1539" customFormat="false" ht="25.5" hidden="false" customHeight="true" outlineLevel="0" collapsed="false">
      <c r="A1539" s="49" t="s">
        <v>1115</v>
      </c>
      <c r="B1539" s="49" t="s">
        <v>1196</v>
      </c>
      <c r="C1539" s="49" t="s">
        <v>1204</v>
      </c>
      <c r="D1539" s="49" t="s">
        <v>1151</v>
      </c>
      <c r="E1539" s="49" t="s">
        <v>1205</v>
      </c>
      <c r="F1539" s="49" t="s">
        <v>1206</v>
      </c>
      <c r="G1539" s="49" t="s">
        <v>772</v>
      </c>
      <c r="H1539" s="49" t="s">
        <v>1132</v>
      </c>
      <c r="I1539" s="49" t="s">
        <v>885</v>
      </c>
    </row>
    <row r="1540" customFormat="false" ht="25.5" hidden="false" customHeight="true" outlineLevel="0" collapsed="false">
      <c r="A1540" s="49" t="s">
        <v>1115</v>
      </c>
      <c r="B1540" s="49" t="s">
        <v>1196</v>
      </c>
      <c r="C1540" s="49" t="s">
        <v>1207</v>
      </c>
      <c r="D1540" s="49" t="s">
        <v>1208</v>
      </c>
      <c r="E1540" s="49" t="s">
        <v>1183</v>
      </c>
      <c r="F1540" s="49" t="s">
        <v>1209</v>
      </c>
      <c r="G1540" s="49" t="s">
        <v>772</v>
      </c>
      <c r="H1540" s="49" t="s">
        <v>1132</v>
      </c>
      <c r="I1540" s="49" t="s">
        <v>885</v>
      </c>
    </row>
    <row r="1541" customFormat="false" ht="25.5" hidden="false" customHeight="true" outlineLevel="0" collapsed="false">
      <c r="A1541" s="49" t="s">
        <v>1115</v>
      </c>
      <c r="B1541" s="49" t="s">
        <v>1196</v>
      </c>
      <c r="C1541" s="49" t="s">
        <v>1210</v>
      </c>
      <c r="D1541" s="49" t="s">
        <v>1141</v>
      </c>
      <c r="E1541" s="49" t="s">
        <v>1135</v>
      </c>
      <c r="F1541" s="49" t="s">
        <v>1211</v>
      </c>
      <c r="G1541" s="49" t="s">
        <v>772</v>
      </c>
      <c r="H1541" s="49" t="s">
        <v>1132</v>
      </c>
      <c r="I1541" s="49" t="s">
        <v>885</v>
      </c>
    </row>
    <row r="1542" customFormat="false" ht="25.5" hidden="false" customHeight="true" outlineLevel="0" collapsed="false">
      <c r="A1542" s="49" t="s">
        <v>1115</v>
      </c>
      <c r="B1542" s="49" t="s">
        <v>1196</v>
      </c>
      <c r="C1542" s="49" t="s">
        <v>1212</v>
      </c>
      <c r="D1542" s="49" t="s">
        <v>1156</v>
      </c>
      <c r="E1542" s="49" t="s">
        <v>1213</v>
      </c>
      <c r="F1542" s="49" t="s">
        <v>1214</v>
      </c>
      <c r="G1542" s="49" t="s">
        <v>772</v>
      </c>
      <c r="H1542" s="49" t="s">
        <v>1132</v>
      </c>
      <c r="I1542" s="49" t="s">
        <v>885</v>
      </c>
    </row>
    <row r="1543" customFormat="false" ht="25.5" hidden="false" customHeight="true" outlineLevel="0" collapsed="false">
      <c r="A1543" s="49" t="s">
        <v>1115</v>
      </c>
      <c r="B1543" s="49" t="s">
        <v>1196</v>
      </c>
      <c r="C1543" s="49" t="s">
        <v>1215</v>
      </c>
      <c r="D1543" s="49" t="s">
        <v>1151</v>
      </c>
      <c r="E1543" s="49" t="s">
        <v>1135</v>
      </c>
      <c r="F1543" s="49" t="s">
        <v>1216</v>
      </c>
      <c r="G1543" s="49" t="s">
        <v>772</v>
      </c>
      <c r="H1543" s="49" t="s">
        <v>1132</v>
      </c>
      <c r="I1543" s="49" t="s">
        <v>885</v>
      </c>
    </row>
    <row r="1544" customFormat="false" ht="25.5" hidden="false" customHeight="true" outlineLevel="0" collapsed="false">
      <c r="A1544" s="49" t="s">
        <v>1115</v>
      </c>
      <c r="B1544" s="49" t="s">
        <v>1196</v>
      </c>
      <c r="C1544" s="49" t="s">
        <v>1217</v>
      </c>
      <c r="D1544" s="49" t="s">
        <v>1218</v>
      </c>
      <c r="E1544" s="49" t="s">
        <v>146</v>
      </c>
      <c r="F1544" s="49" t="s">
        <v>1219</v>
      </c>
      <c r="G1544" s="49" t="s">
        <v>772</v>
      </c>
      <c r="H1544" s="49" t="s">
        <v>1132</v>
      </c>
      <c r="I1544" s="49" t="s">
        <v>885</v>
      </c>
    </row>
    <row r="1545" customFormat="false" ht="25.5" hidden="false" customHeight="true" outlineLevel="0" collapsed="false">
      <c r="A1545" s="49" t="s">
        <v>1115</v>
      </c>
      <c r="B1545" s="49" t="s">
        <v>1196</v>
      </c>
      <c r="C1545" s="49" t="s">
        <v>1220</v>
      </c>
      <c r="D1545" s="49" t="s">
        <v>1129</v>
      </c>
      <c r="E1545" s="49" t="s">
        <v>1183</v>
      </c>
      <c r="F1545" s="49" t="s">
        <v>1221</v>
      </c>
      <c r="G1545" s="49" t="s">
        <v>772</v>
      </c>
      <c r="H1545" s="49" t="s">
        <v>1132</v>
      </c>
      <c r="I1545" s="49" t="s">
        <v>885</v>
      </c>
    </row>
    <row r="1546" customFormat="false" ht="25.5" hidden="false" customHeight="true" outlineLevel="0" collapsed="false">
      <c r="A1546" s="49" t="s">
        <v>1115</v>
      </c>
      <c r="B1546" s="49" t="s">
        <v>1196</v>
      </c>
      <c r="C1546" s="49" t="s">
        <v>1222</v>
      </c>
      <c r="D1546" s="49" t="s">
        <v>1141</v>
      </c>
      <c r="E1546" s="49" t="s">
        <v>1223</v>
      </c>
      <c r="F1546" s="49" t="s">
        <v>1224</v>
      </c>
      <c r="G1546" s="49" t="s">
        <v>772</v>
      </c>
      <c r="H1546" s="49" t="s">
        <v>1132</v>
      </c>
      <c r="I1546" s="49" t="s">
        <v>885</v>
      </c>
    </row>
    <row r="1547" customFormat="false" ht="25.5" hidden="false" customHeight="true" outlineLevel="0" collapsed="false">
      <c r="A1547" s="49" t="s">
        <v>1115</v>
      </c>
      <c r="B1547" s="49" t="s">
        <v>1196</v>
      </c>
      <c r="C1547" s="49" t="s">
        <v>1225</v>
      </c>
      <c r="D1547" s="49" t="s">
        <v>1141</v>
      </c>
      <c r="E1547" s="49" t="s">
        <v>1226</v>
      </c>
      <c r="F1547" s="49" t="s">
        <v>1227</v>
      </c>
      <c r="G1547" s="49" t="s">
        <v>772</v>
      </c>
      <c r="H1547" s="49" t="s">
        <v>1132</v>
      </c>
      <c r="I1547" s="49" t="s">
        <v>885</v>
      </c>
    </row>
    <row r="1548" customFormat="false" ht="25.5" hidden="false" customHeight="true" outlineLevel="0" collapsed="false">
      <c r="A1548" s="49" t="s">
        <v>1115</v>
      </c>
      <c r="B1548" s="49" t="s">
        <v>1196</v>
      </c>
      <c r="C1548" s="49" t="s">
        <v>1228</v>
      </c>
      <c r="D1548" s="49" t="s">
        <v>1199</v>
      </c>
      <c r="E1548" s="49" t="s">
        <v>1135</v>
      </c>
      <c r="F1548" s="49" t="s">
        <v>1229</v>
      </c>
      <c r="G1548" s="49" t="s">
        <v>772</v>
      </c>
      <c r="H1548" s="49" t="s">
        <v>1132</v>
      </c>
      <c r="I1548" s="49" t="s">
        <v>885</v>
      </c>
    </row>
    <row r="1549" customFormat="false" ht="25.5" hidden="false" customHeight="true" outlineLevel="0" collapsed="false">
      <c r="A1549" s="49" t="s">
        <v>1115</v>
      </c>
      <c r="B1549" s="49" t="s">
        <v>1196</v>
      </c>
      <c r="C1549" s="49" t="s">
        <v>1230</v>
      </c>
      <c r="D1549" s="49" t="s">
        <v>1208</v>
      </c>
      <c r="E1549" s="49" t="s">
        <v>1183</v>
      </c>
      <c r="F1549" s="49" t="s">
        <v>1231</v>
      </c>
      <c r="G1549" s="49" t="s">
        <v>772</v>
      </c>
      <c r="H1549" s="49" t="s">
        <v>1132</v>
      </c>
      <c r="I1549" s="49" t="s">
        <v>885</v>
      </c>
    </row>
    <row r="1550" customFormat="false" ht="25.5" hidden="false" customHeight="true" outlineLevel="0" collapsed="false">
      <c r="A1550" s="49" t="s">
        <v>1115</v>
      </c>
      <c r="B1550" s="49" t="s">
        <v>1196</v>
      </c>
      <c r="C1550" s="49" t="s">
        <v>1232</v>
      </c>
      <c r="D1550" s="49" t="s">
        <v>1208</v>
      </c>
      <c r="E1550" s="49" t="s">
        <v>1135</v>
      </c>
      <c r="F1550" s="49" t="s">
        <v>1229</v>
      </c>
      <c r="G1550" s="49" t="s">
        <v>772</v>
      </c>
      <c r="H1550" s="49" t="s">
        <v>1132</v>
      </c>
      <c r="I1550" s="49" t="s">
        <v>885</v>
      </c>
    </row>
    <row r="1551" customFormat="false" ht="25.5" hidden="false" customHeight="true" outlineLevel="0" collapsed="false">
      <c r="A1551" s="49" t="s">
        <v>1115</v>
      </c>
      <c r="B1551" s="49" t="s">
        <v>1196</v>
      </c>
      <c r="C1551" s="49" t="s">
        <v>1233</v>
      </c>
      <c r="D1551" s="49" t="s">
        <v>1129</v>
      </c>
      <c r="E1551" s="49" t="s">
        <v>1234</v>
      </c>
      <c r="F1551" s="49" t="s">
        <v>1235</v>
      </c>
      <c r="G1551" s="49" t="s">
        <v>772</v>
      </c>
      <c r="H1551" s="49" t="s">
        <v>1132</v>
      </c>
      <c r="I1551" s="49" t="s">
        <v>885</v>
      </c>
    </row>
    <row r="1552" customFormat="false" ht="25.5" hidden="false" customHeight="true" outlineLevel="0" collapsed="false">
      <c r="A1552" s="49" t="s">
        <v>1115</v>
      </c>
      <c r="B1552" s="49" t="s">
        <v>1196</v>
      </c>
      <c r="C1552" s="49" t="s">
        <v>1236</v>
      </c>
      <c r="D1552" s="49" t="s">
        <v>1199</v>
      </c>
      <c r="E1552" s="49" t="s">
        <v>1237</v>
      </c>
      <c r="F1552" s="49" t="s">
        <v>1238</v>
      </c>
      <c r="G1552" s="49" t="s">
        <v>772</v>
      </c>
      <c r="H1552" s="49" t="s">
        <v>1132</v>
      </c>
      <c r="I1552" s="49" t="s">
        <v>885</v>
      </c>
    </row>
    <row r="1553" customFormat="false" ht="25.5" hidden="false" customHeight="true" outlineLevel="0" collapsed="false">
      <c r="A1553" s="49" t="s">
        <v>1115</v>
      </c>
      <c r="B1553" s="49" t="s">
        <v>1196</v>
      </c>
      <c r="C1553" s="49" t="s">
        <v>1239</v>
      </c>
      <c r="D1553" s="49" t="s">
        <v>1134</v>
      </c>
      <c r="E1553" s="49" t="s">
        <v>1240</v>
      </c>
      <c r="F1553" s="49" t="s">
        <v>1241</v>
      </c>
      <c r="G1553" s="49" t="s">
        <v>772</v>
      </c>
      <c r="H1553" s="49" t="s">
        <v>1132</v>
      </c>
      <c r="I1553" s="49" t="s">
        <v>885</v>
      </c>
    </row>
    <row r="1554" customFormat="false" ht="25.5" hidden="false" customHeight="true" outlineLevel="0" collapsed="false">
      <c r="A1554" s="49" t="s">
        <v>1115</v>
      </c>
      <c r="B1554" s="49" t="s">
        <v>1196</v>
      </c>
      <c r="C1554" s="49" t="s">
        <v>1236</v>
      </c>
      <c r="D1554" s="49" t="s">
        <v>1199</v>
      </c>
      <c r="E1554" s="49" t="s">
        <v>1237</v>
      </c>
      <c r="F1554" s="49" t="s">
        <v>1242</v>
      </c>
      <c r="G1554" s="49" t="s">
        <v>772</v>
      </c>
      <c r="H1554" s="49" t="s">
        <v>1132</v>
      </c>
      <c r="I1554" s="49" t="s">
        <v>885</v>
      </c>
    </row>
    <row r="1555" customFormat="false" ht="25.5" hidden="false" customHeight="true" outlineLevel="0" collapsed="false">
      <c r="A1555" s="49" t="s">
        <v>1115</v>
      </c>
      <c r="B1555" s="49" t="s">
        <v>1196</v>
      </c>
      <c r="C1555" s="49" t="s">
        <v>1243</v>
      </c>
      <c r="D1555" s="49" t="s">
        <v>1151</v>
      </c>
      <c r="E1555" s="49" t="s">
        <v>217</v>
      </c>
      <c r="F1555" s="49" t="s">
        <v>1244</v>
      </c>
      <c r="G1555" s="49" t="s">
        <v>772</v>
      </c>
      <c r="H1555" s="49" t="s">
        <v>1132</v>
      </c>
      <c r="I1555" s="49" t="s">
        <v>885</v>
      </c>
    </row>
    <row r="1556" customFormat="false" ht="25.5" hidden="false" customHeight="true" outlineLevel="0" collapsed="false">
      <c r="A1556" s="49" t="s">
        <v>1115</v>
      </c>
      <c r="B1556" s="49" t="s">
        <v>1196</v>
      </c>
      <c r="C1556" s="49" t="s">
        <v>1245</v>
      </c>
      <c r="D1556" s="49" t="s">
        <v>1151</v>
      </c>
      <c r="E1556" s="49" t="s">
        <v>1183</v>
      </c>
      <c r="F1556" s="49" t="s">
        <v>1246</v>
      </c>
      <c r="G1556" s="49" t="s">
        <v>772</v>
      </c>
      <c r="H1556" s="49" t="s">
        <v>1132</v>
      </c>
      <c r="I1556" s="49" t="s">
        <v>885</v>
      </c>
    </row>
    <row r="1557" customFormat="false" ht="25.5" hidden="false" customHeight="true" outlineLevel="0" collapsed="false">
      <c r="A1557" s="49" t="s">
        <v>1115</v>
      </c>
      <c r="B1557" s="49" t="s">
        <v>1247</v>
      </c>
      <c r="C1557" s="49" t="s">
        <v>1171</v>
      </c>
      <c r="D1557" s="49" t="s">
        <v>1172</v>
      </c>
      <c r="E1557" s="49" t="s">
        <v>1173</v>
      </c>
      <c r="F1557" s="49" t="s">
        <v>1248</v>
      </c>
      <c r="G1557" s="49" t="s">
        <v>772</v>
      </c>
      <c r="H1557" s="49" t="s">
        <v>1132</v>
      </c>
      <c r="I1557" s="49" t="s">
        <v>885</v>
      </c>
    </row>
    <row r="1558" customFormat="false" ht="25.5" hidden="false" customHeight="true" outlineLevel="0" collapsed="false">
      <c r="A1558" s="49" t="s">
        <v>1115</v>
      </c>
      <c r="B1558" s="49" t="s">
        <v>1247</v>
      </c>
      <c r="C1558" s="49" t="s">
        <v>1249</v>
      </c>
      <c r="D1558" s="49" t="s">
        <v>1218</v>
      </c>
      <c r="E1558" s="49" t="s">
        <v>1250</v>
      </c>
      <c r="F1558" s="49" t="s">
        <v>1251</v>
      </c>
      <c r="G1558" s="49" t="s">
        <v>772</v>
      </c>
      <c r="H1558" s="49" t="s">
        <v>1132</v>
      </c>
      <c r="I1558" s="49" t="s">
        <v>885</v>
      </c>
    </row>
    <row r="1559" customFormat="false" ht="25.5" hidden="false" customHeight="true" outlineLevel="0" collapsed="false">
      <c r="A1559" s="49" t="s">
        <v>1115</v>
      </c>
      <c r="B1559" s="49" t="s">
        <v>1247</v>
      </c>
      <c r="C1559" s="49" t="s">
        <v>1252</v>
      </c>
      <c r="D1559" s="49" t="s">
        <v>1148</v>
      </c>
      <c r="E1559" s="49" t="s">
        <v>1183</v>
      </c>
      <c r="F1559" s="49" t="s">
        <v>1253</v>
      </c>
      <c r="G1559" s="49" t="s">
        <v>772</v>
      </c>
      <c r="H1559" s="49" t="s">
        <v>1132</v>
      </c>
      <c r="I1559" s="49" t="s">
        <v>885</v>
      </c>
    </row>
    <row r="1560" customFormat="false" ht="25.5" hidden="false" customHeight="true" outlineLevel="0" collapsed="false">
      <c r="A1560" s="49" t="s">
        <v>1115</v>
      </c>
      <c r="B1560" s="49" t="s">
        <v>1247</v>
      </c>
      <c r="C1560" s="49" t="s">
        <v>1254</v>
      </c>
      <c r="D1560" s="49" t="s">
        <v>1141</v>
      </c>
      <c r="E1560" s="49" t="s">
        <v>1135</v>
      </c>
      <c r="F1560" s="49" t="s">
        <v>1255</v>
      </c>
      <c r="G1560" s="49" t="s">
        <v>772</v>
      </c>
      <c r="H1560" s="49" t="s">
        <v>1132</v>
      </c>
      <c r="I1560" s="49" t="s">
        <v>885</v>
      </c>
    </row>
    <row r="1561" customFormat="false" ht="25.5" hidden="false" customHeight="true" outlineLevel="0" collapsed="false">
      <c r="A1561" s="49" t="s">
        <v>1115</v>
      </c>
      <c r="B1561" s="49" t="s">
        <v>1247</v>
      </c>
      <c r="C1561" s="49" t="s">
        <v>1256</v>
      </c>
      <c r="D1561" s="49" t="s">
        <v>1218</v>
      </c>
      <c r="E1561" s="49" t="s">
        <v>1135</v>
      </c>
      <c r="F1561" s="49" t="s">
        <v>1257</v>
      </c>
      <c r="G1561" s="49" t="s">
        <v>772</v>
      </c>
      <c r="H1561" s="49" t="s">
        <v>1132</v>
      </c>
      <c r="I1561" s="49" t="s">
        <v>885</v>
      </c>
    </row>
    <row r="1562" customFormat="false" ht="25.5" hidden="false" customHeight="true" outlineLevel="0" collapsed="false">
      <c r="A1562" s="49" t="s">
        <v>1115</v>
      </c>
      <c r="B1562" s="49" t="s">
        <v>1247</v>
      </c>
      <c r="C1562" s="49" t="s">
        <v>1258</v>
      </c>
      <c r="D1562" s="49" t="s">
        <v>1156</v>
      </c>
      <c r="E1562" s="49" t="s">
        <v>217</v>
      </c>
      <c r="F1562" s="49" t="s">
        <v>1259</v>
      </c>
      <c r="G1562" s="49" t="s">
        <v>772</v>
      </c>
      <c r="H1562" s="49" t="s">
        <v>1132</v>
      </c>
      <c r="I1562" s="49" t="s">
        <v>885</v>
      </c>
    </row>
    <row r="1563" customFormat="false" ht="25.5" hidden="false" customHeight="true" outlineLevel="0" collapsed="false">
      <c r="A1563" s="49" t="s">
        <v>1115</v>
      </c>
      <c r="B1563" s="49" t="s">
        <v>1247</v>
      </c>
      <c r="C1563" s="49" t="s">
        <v>1260</v>
      </c>
      <c r="D1563" s="49" t="s">
        <v>1208</v>
      </c>
      <c r="E1563" s="49" t="s">
        <v>1183</v>
      </c>
      <c r="F1563" s="49" t="s">
        <v>1261</v>
      </c>
      <c r="G1563" s="49" t="s">
        <v>772</v>
      </c>
      <c r="H1563" s="49" t="s">
        <v>1132</v>
      </c>
      <c r="I1563" s="49" t="s">
        <v>885</v>
      </c>
    </row>
    <row r="1564" customFormat="false" ht="25.5" hidden="false" customHeight="true" outlineLevel="0" collapsed="false">
      <c r="A1564" s="49" t="s">
        <v>1115</v>
      </c>
      <c r="B1564" s="49" t="s">
        <v>1247</v>
      </c>
      <c r="C1564" s="49" t="s">
        <v>1262</v>
      </c>
      <c r="D1564" s="49" t="s">
        <v>1162</v>
      </c>
      <c r="E1564" s="49" t="s">
        <v>217</v>
      </c>
      <c r="F1564" s="49" t="s">
        <v>1263</v>
      </c>
      <c r="G1564" s="49" t="s">
        <v>772</v>
      </c>
      <c r="H1564" s="49" t="s">
        <v>1132</v>
      </c>
      <c r="I1564" s="49" t="s">
        <v>885</v>
      </c>
    </row>
    <row r="1565" customFormat="false" ht="25.5" hidden="false" customHeight="true" outlineLevel="0" collapsed="false">
      <c r="A1565" s="49" t="s">
        <v>1115</v>
      </c>
      <c r="B1565" s="49" t="s">
        <v>1247</v>
      </c>
      <c r="C1565" s="49" t="s">
        <v>1264</v>
      </c>
      <c r="D1565" s="49" t="s">
        <v>1134</v>
      </c>
      <c r="E1565" s="49" t="s">
        <v>1265</v>
      </c>
      <c r="F1565" s="49" t="s">
        <v>1266</v>
      </c>
      <c r="G1565" s="49" t="s">
        <v>772</v>
      </c>
      <c r="H1565" s="49" t="s">
        <v>1132</v>
      </c>
      <c r="I1565" s="49" t="s">
        <v>885</v>
      </c>
    </row>
    <row r="1566" customFormat="false" ht="25.5" hidden="false" customHeight="true" outlineLevel="0" collapsed="false">
      <c r="A1566" s="49" t="s">
        <v>1115</v>
      </c>
      <c r="B1566" s="49" t="s">
        <v>1247</v>
      </c>
      <c r="C1566" s="49" t="s">
        <v>1267</v>
      </c>
      <c r="D1566" s="49" t="s">
        <v>1141</v>
      </c>
      <c r="E1566" s="49" t="s">
        <v>1268</v>
      </c>
      <c r="F1566" s="49" t="s">
        <v>1269</v>
      </c>
      <c r="G1566" s="49" t="s">
        <v>772</v>
      </c>
      <c r="H1566" s="49" t="s">
        <v>1132</v>
      </c>
      <c r="I1566" s="49" t="s">
        <v>885</v>
      </c>
    </row>
    <row r="1567" customFormat="false" ht="25.5" hidden="false" customHeight="true" outlineLevel="0" collapsed="false">
      <c r="A1567" s="49" t="s">
        <v>1115</v>
      </c>
      <c r="B1567" s="49" t="s">
        <v>1247</v>
      </c>
      <c r="C1567" s="49" t="s">
        <v>1270</v>
      </c>
      <c r="D1567" s="49" t="s">
        <v>1208</v>
      </c>
      <c r="E1567" s="49" t="s">
        <v>1271</v>
      </c>
      <c r="F1567" s="49" t="s">
        <v>1272</v>
      </c>
      <c r="G1567" s="49" t="s">
        <v>772</v>
      </c>
      <c r="H1567" s="49" t="s">
        <v>1132</v>
      </c>
      <c r="I1567" s="49" t="s">
        <v>885</v>
      </c>
    </row>
    <row r="1568" customFormat="false" ht="25.5" hidden="false" customHeight="true" outlineLevel="0" collapsed="false">
      <c r="A1568" s="49" t="s">
        <v>1115</v>
      </c>
      <c r="B1568" s="49" t="s">
        <v>1247</v>
      </c>
      <c r="C1568" s="49" t="s">
        <v>1273</v>
      </c>
      <c r="D1568" s="49" t="s">
        <v>1218</v>
      </c>
      <c r="E1568" s="49" t="s">
        <v>893</v>
      </c>
      <c r="F1568" s="49" t="s">
        <v>1274</v>
      </c>
      <c r="G1568" s="49" t="s">
        <v>772</v>
      </c>
      <c r="H1568" s="49" t="s">
        <v>1132</v>
      </c>
      <c r="I1568" s="49" t="s">
        <v>885</v>
      </c>
    </row>
    <row r="1569" customFormat="false" ht="25.5" hidden="false" customHeight="true" outlineLevel="0" collapsed="false">
      <c r="A1569" s="49" t="s">
        <v>1115</v>
      </c>
      <c r="B1569" s="49" t="s">
        <v>1247</v>
      </c>
      <c r="C1569" s="49" t="s">
        <v>1275</v>
      </c>
      <c r="D1569" s="49" t="s">
        <v>1156</v>
      </c>
      <c r="E1569" s="49" t="s">
        <v>893</v>
      </c>
      <c r="F1569" s="49" t="s">
        <v>1274</v>
      </c>
      <c r="G1569" s="49" t="s">
        <v>772</v>
      </c>
      <c r="H1569" s="49" t="s">
        <v>1132</v>
      </c>
      <c r="I1569" s="49" t="s">
        <v>885</v>
      </c>
    </row>
    <row r="1570" customFormat="false" ht="25.5" hidden="false" customHeight="true" outlineLevel="0" collapsed="false">
      <c r="A1570" s="49" t="s">
        <v>1115</v>
      </c>
      <c r="B1570" s="49" t="s">
        <v>1247</v>
      </c>
      <c r="C1570" s="49" t="s">
        <v>1276</v>
      </c>
      <c r="D1570" s="49" t="s">
        <v>1134</v>
      </c>
      <c r="E1570" s="49" t="s">
        <v>1183</v>
      </c>
      <c r="F1570" s="49" t="s">
        <v>1277</v>
      </c>
      <c r="G1570" s="49" t="s">
        <v>772</v>
      </c>
      <c r="H1570" s="49" t="s">
        <v>1132</v>
      </c>
      <c r="I1570" s="49" t="s">
        <v>885</v>
      </c>
    </row>
    <row r="1571" customFormat="false" ht="25.5" hidden="false" customHeight="true" outlineLevel="0" collapsed="false">
      <c r="A1571" s="49" t="s">
        <v>1115</v>
      </c>
      <c r="B1571" s="49" t="s">
        <v>1247</v>
      </c>
      <c r="C1571" s="49" t="s">
        <v>1278</v>
      </c>
      <c r="D1571" s="49" t="s">
        <v>1208</v>
      </c>
      <c r="E1571" s="49" t="s">
        <v>1279</v>
      </c>
      <c r="F1571" s="49" t="s">
        <v>1280</v>
      </c>
      <c r="G1571" s="49" t="s">
        <v>772</v>
      </c>
      <c r="H1571" s="49" t="s">
        <v>1132</v>
      </c>
      <c r="I1571" s="49" t="s">
        <v>885</v>
      </c>
    </row>
    <row r="1572" customFormat="false" ht="25.5" hidden="false" customHeight="true" outlineLevel="0" collapsed="false">
      <c r="A1572" s="49" t="s">
        <v>1115</v>
      </c>
      <c r="B1572" s="49" t="s">
        <v>1247</v>
      </c>
      <c r="C1572" s="49" t="s">
        <v>1281</v>
      </c>
      <c r="D1572" s="49" t="s">
        <v>1162</v>
      </c>
      <c r="E1572" s="49" t="s">
        <v>1163</v>
      </c>
      <c r="F1572" s="49" t="s">
        <v>1282</v>
      </c>
      <c r="G1572" s="49" t="s">
        <v>772</v>
      </c>
      <c r="H1572" s="49" t="s">
        <v>1132</v>
      </c>
      <c r="I1572" s="49" t="s">
        <v>885</v>
      </c>
    </row>
    <row r="1573" customFormat="false" ht="25.5" hidden="false" customHeight="true" outlineLevel="0" collapsed="false">
      <c r="A1573" s="49" t="s">
        <v>1115</v>
      </c>
      <c r="B1573" s="49" t="s">
        <v>1247</v>
      </c>
      <c r="C1573" s="49" t="s">
        <v>1283</v>
      </c>
      <c r="D1573" s="49" t="s">
        <v>1199</v>
      </c>
      <c r="E1573" s="49" t="s">
        <v>1284</v>
      </c>
      <c r="F1573" s="49" t="s">
        <v>1285</v>
      </c>
      <c r="G1573" s="49" t="s">
        <v>772</v>
      </c>
      <c r="H1573" s="49" t="s">
        <v>1132</v>
      </c>
      <c r="I1573" s="49" t="s">
        <v>885</v>
      </c>
    </row>
    <row r="1574" customFormat="false" ht="25.5" hidden="false" customHeight="true" outlineLevel="0" collapsed="false">
      <c r="A1574" s="49" t="s">
        <v>1115</v>
      </c>
      <c r="B1574" s="49" t="s">
        <v>1247</v>
      </c>
      <c r="C1574" s="49" t="s">
        <v>1286</v>
      </c>
      <c r="D1574" s="49" t="s">
        <v>1208</v>
      </c>
      <c r="E1574" s="49" t="s">
        <v>217</v>
      </c>
      <c r="F1574" s="49" t="s">
        <v>1287</v>
      </c>
      <c r="G1574" s="49" t="s">
        <v>772</v>
      </c>
      <c r="H1574" s="49" t="s">
        <v>1132</v>
      </c>
      <c r="I1574" s="49" t="s">
        <v>885</v>
      </c>
    </row>
    <row r="1575" customFormat="false" ht="25.5" hidden="false" customHeight="true" outlineLevel="0" collapsed="false">
      <c r="A1575" s="49" t="s">
        <v>1115</v>
      </c>
      <c r="B1575" s="49" t="s">
        <v>1247</v>
      </c>
      <c r="C1575" s="49" t="s">
        <v>1288</v>
      </c>
      <c r="D1575" s="49" t="s">
        <v>1218</v>
      </c>
      <c r="E1575" s="49" t="s">
        <v>1289</v>
      </c>
      <c r="F1575" s="49" t="s">
        <v>1290</v>
      </c>
      <c r="G1575" s="49" t="s">
        <v>772</v>
      </c>
      <c r="H1575" s="49" t="s">
        <v>1132</v>
      </c>
      <c r="I1575" s="49" t="s">
        <v>885</v>
      </c>
    </row>
    <row r="1576" customFormat="false" ht="25.5" hidden="false" customHeight="true" outlineLevel="0" collapsed="false">
      <c r="A1576" s="49" t="s">
        <v>1115</v>
      </c>
      <c r="B1576" s="49" t="s">
        <v>1247</v>
      </c>
      <c r="C1576" s="49" t="s">
        <v>1291</v>
      </c>
      <c r="D1576" s="49" t="s">
        <v>1292</v>
      </c>
      <c r="E1576" s="49" t="s">
        <v>1157</v>
      </c>
      <c r="F1576" s="49" t="s">
        <v>1293</v>
      </c>
      <c r="G1576" s="49" t="s">
        <v>772</v>
      </c>
      <c r="H1576" s="49" t="s">
        <v>1132</v>
      </c>
      <c r="I1576" s="49" t="s">
        <v>885</v>
      </c>
    </row>
    <row r="1577" customFormat="false" ht="25.5" hidden="false" customHeight="true" outlineLevel="0" collapsed="false">
      <c r="A1577" s="49" t="s">
        <v>1115</v>
      </c>
      <c r="B1577" s="49" t="s">
        <v>1294</v>
      </c>
      <c r="C1577" s="49" t="s">
        <v>1171</v>
      </c>
      <c r="D1577" s="49" t="s">
        <v>1172</v>
      </c>
      <c r="E1577" s="49" t="s">
        <v>1173</v>
      </c>
      <c r="F1577" s="49" t="s">
        <v>1174</v>
      </c>
      <c r="G1577" s="49" t="s">
        <v>772</v>
      </c>
      <c r="H1577" s="49" t="s">
        <v>1132</v>
      </c>
      <c r="I1577" s="49" t="s">
        <v>885</v>
      </c>
    </row>
    <row r="1578" customFormat="false" ht="25.5" hidden="false" customHeight="true" outlineLevel="0" collapsed="false">
      <c r="A1578" s="49" t="s">
        <v>1115</v>
      </c>
      <c r="B1578" s="49" t="s">
        <v>1294</v>
      </c>
      <c r="C1578" s="49" t="s">
        <v>1295</v>
      </c>
      <c r="D1578" s="49" t="s">
        <v>1292</v>
      </c>
      <c r="E1578" s="49" t="s">
        <v>1296</v>
      </c>
      <c r="F1578" s="49" t="s">
        <v>1297</v>
      </c>
      <c r="G1578" s="49" t="s">
        <v>772</v>
      </c>
      <c r="H1578" s="49" t="s">
        <v>1132</v>
      </c>
      <c r="I1578" s="49" t="s">
        <v>885</v>
      </c>
    </row>
    <row r="1579" customFormat="false" ht="25.5" hidden="false" customHeight="true" outlineLevel="0" collapsed="false">
      <c r="A1579" s="49" t="s">
        <v>1115</v>
      </c>
      <c r="B1579" s="49" t="s">
        <v>1294</v>
      </c>
      <c r="C1579" s="49" t="s">
        <v>1298</v>
      </c>
      <c r="D1579" s="49" t="s">
        <v>1141</v>
      </c>
      <c r="E1579" s="49" t="s">
        <v>1183</v>
      </c>
      <c r="F1579" s="49" t="s">
        <v>1299</v>
      </c>
      <c r="G1579" s="49" t="s">
        <v>772</v>
      </c>
      <c r="H1579" s="49" t="s">
        <v>1132</v>
      </c>
      <c r="I1579" s="49" t="s">
        <v>885</v>
      </c>
    </row>
    <row r="1580" customFormat="false" ht="25.5" hidden="false" customHeight="true" outlineLevel="0" collapsed="false">
      <c r="A1580" s="49" t="s">
        <v>1115</v>
      </c>
      <c r="B1580" s="49" t="s">
        <v>1294</v>
      </c>
      <c r="C1580" s="49" t="s">
        <v>1300</v>
      </c>
      <c r="D1580" s="49" t="s">
        <v>1218</v>
      </c>
      <c r="E1580" s="49" t="s">
        <v>1183</v>
      </c>
      <c r="F1580" s="49" t="s">
        <v>1301</v>
      </c>
      <c r="G1580" s="49" t="s">
        <v>772</v>
      </c>
      <c r="H1580" s="49" t="s">
        <v>1132</v>
      </c>
      <c r="I1580" s="49" t="s">
        <v>885</v>
      </c>
    </row>
    <row r="1581" customFormat="false" ht="25.5" hidden="false" customHeight="true" outlineLevel="0" collapsed="false">
      <c r="A1581" s="49" t="s">
        <v>1115</v>
      </c>
      <c r="B1581" s="49" t="s">
        <v>1294</v>
      </c>
      <c r="C1581" s="49" t="s">
        <v>1302</v>
      </c>
      <c r="D1581" s="49" t="s">
        <v>1199</v>
      </c>
      <c r="E1581" s="49" t="s">
        <v>1183</v>
      </c>
      <c r="F1581" s="49" t="s">
        <v>1303</v>
      </c>
      <c r="G1581" s="49" t="s">
        <v>772</v>
      </c>
      <c r="H1581" s="49" t="s">
        <v>1132</v>
      </c>
      <c r="I1581" s="49" t="s">
        <v>885</v>
      </c>
    </row>
    <row r="1582" customFormat="false" ht="25.5" hidden="false" customHeight="true" outlineLevel="0" collapsed="false">
      <c r="A1582" s="49" t="s">
        <v>1115</v>
      </c>
      <c r="B1582" s="49" t="s">
        <v>1294</v>
      </c>
      <c r="C1582" s="49" t="s">
        <v>1304</v>
      </c>
      <c r="D1582" s="49" t="s">
        <v>1156</v>
      </c>
      <c r="E1582" s="49" t="s">
        <v>1265</v>
      </c>
      <c r="F1582" s="49" t="s">
        <v>1305</v>
      </c>
      <c r="G1582" s="49" t="s">
        <v>772</v>
      </c>
      <c r="H1582" s="49" t="s">
        <v>1132</v>
      </c>
      <c r="I1582" s="49" t="s">
        <v>885</v>
      </c>
    </row>
    <row r="1583" customFormat="false" ht="25.5" hidden="false" customHeight="true" outlineLevel="0" collapsed="false">
      <c r="A1583" s="49" t="s">
        <v>1115</v>
      </c>
      <c r="B1583" s="49" t="s">
        <v>1294</v>
      </c>
      <c r="C1583" s="49" t="s">
        <v>1306</v>
      </c>
      <c r="D1583" s="49" t="s">
        <v>1148</v>
      </c>
      <c r="E1583" s="49" t="s">
        <v>1226</v>
      </c>
      <c r="F1583" s="49" t="s">
        <v>1307</v>
      </c>
      <c r="G1583" s="49" t="s">
        <v>772</v>
      </c>
      <c r="H1583" s="49" t="s">
        <v>1132</v>
      </c>
      <c r="I1583" s="49" t="s">
        <v>885</v>
      </c>
    </row>
    <row r="1584" customFormat="false" ht="25.5" hidden="false" customHeight="true" outlineLevel="0" collapsed="false">
      <c r="A1584" s="49" t="s">
        <v>1115</v>
      </c>
      <c r="B1584" s="49" t="s">
        <v>1294</v>
      </c>
      <c r="C1584" s="49" t="s">
        <v>1308</v>
      </c>
      <c r="D1584" s="49" t="s">
        <v>1156</v>
      </c>
      <c r="E1584" s="49" t="s">
        <v>1309</v>
      </c>
      <c r="F1584" s="49" t="s">
        <v>1310</v>
      </c>
      <c r="G1584" s="49" t="s">
        <v>772</v>
      </c>
      <c r="H1584" s="49" t="s">
        <v>1132</v>
      </c>
      <c r="I1584" s="49" t="s">
        <v>885</v>
      </c>
    </row>
    <row r="1585" customFormat="false" ht="25.5" hidden="false" customHeight="true" outlineLevel="0" collapsed="false">
      <c r="A1585" s="49" t="s">
        <v>1115</v>
      </c>
      <c r="B1585" s="49" t="s">
        <v>1294</v>
      </c>
      <c r="C1585" s="49" t="s">
        <v>1311</v>
      </c>
      <c r="D1585" s="49" t="s">
        <v>1199</v>
      </c>
      <c r="E1585" s="49" t="s">
        <v>217</v>
      </c>
      <c r="F1585" s="49" t="s">
        <v>1312</v>
      </c>
      <c r="G1585" s="49" t="s">
        <v>772</v>
      </c>
      <c r="H1585" s="49" t="s">
        <v>1132</v>
      </c>
      <c r="I1585" s="49" t="s">
        <v>885</v>
      </c>
    </row>
    <row r="1586" customFormat="false" ht="25.5" hidden="false" customHeight="true" outlineLevel="0" collapsed="false">
      <c r="A1586" s="49" t="s">
        <v>1115</v>
      </c>
      <c r="B1586" s="49" t="s">
        <v>1294</v>
      </c>
      <c r="C1586" s="49" t="s">
        <v>1313</v>
      </c>
      <c r="D1586" s="49" t="s">
        <v>1208</v>
      </c>
      <c r="E1586" s="49" t="s">
        <v>1183</v>
      </c>
      <c r="F1586" s="49" t="s">
        <v>1314</v>
      </c>
      <c r="G1586" s="49" t="s">
        <v>772</v>
      </c>
      <c r="H1586" s="49" t="s">
        <v>1132</v>
      </c>
      <c r="I1586" s="49" t="s">
        <v>885</v>
      </c>
    </row>
    <row r="1587" customFormat="false" ht="25.5" hidden="false" customHeight="true" outlineLevel="0" collapsed="false">
      <c r="A1587" s="49" t="s">
        <v>1115</v>
      </c>
      <c r="B1587" s="49" t="s">
        <v>1294</v>
      </c>
      <c r="C1587" s="49" t="s">
        <v>1315</v>
      </c>
      <c r="D1587" s="49" t="s">
        <v>1208</v>
      </c>
      <c r="E1587" s="49" t="s">
        <v>1186</v>
      </c>
      <c r="F1587" s="49" t="s">
        <v>1316</v>
      </c>
      <c r="G1587" s="49" t="s">
        <v>772</v>
      </c>
      <c r="H1587" s="49" t="s">
        <v>1132</v>
      </c>
      <c r="I1587" s="49" t="s">
        <v>885</v>
      </c>
    </row>
    <row r="1588" customFormat="false" ht="25.5" hidden="false" customHeight="true" outlineLevel="0" collapsed="false">
      <c r="A1588" s="49" t="s">
        <v>1115</v>
      </c>
      <c r="B1588" s="49" t="s">
        <v>1294</v>
      </c>
      <c r="C1588" s="49" t="s">
        <v>1317</v>
      </c>
      <c r="D1588" s="49" t="s">
        <v>1151</v>
      </c>
      <c r="E1588" s="49" t="s">
        <v>1265</v>
      </c>
      <c r="F1588" s="49" t="s">
        <v>1318</v>
      </c>
      <c r="G1588" s="49" t="s">
        <v>772</v>
      </c>
      <c r="H1588" s="49" t="s">
        <v>1132</v>
      </c>
      <c r="I1588" s="49" t="s">
        <v>885</v>
      </c>
    </row>
    <row r="1589" customFormat="false" ht="25.5" hidden="false" customHeight="true" outlineLevel="0" collapsed="false">
      <c r="A1589" s="49" t="s">
        <v>1115</v>
      </c>
      <c r="B1589" s="49" t="s">
        <v>1294</v>
      </c>
      <c r="C1589" s="49" t="s">
        <v>1319</v>
      </c>
      <c r="D1589" s="49" t="s">
        <v>1156</v>
      </c>
      <c r="E1589" s="49" t="s">
        <v>1183</v>
      </c>
      <c r="F1589" s="49" t="s">
        <v>1320</v>
      </c>
      <c r="G1589" s="49" t="s">
        <v>772</v>
      </c>
      <c r="H1589" s="49" t="s">
        <v>1132</v>
      </c>
      <c r="I1589" s="49" t="s">
        <v>885</v>
      </c>
    </row>
    <row r="1590" customFormat="false" ht="25.5" hidden="false" customHeight="true" outlineLevel="0" collapsed="false">
      <c r="A1590" s="49" t="s">
        <v>1115</v>
      </c>
      <c r="B1590" s="49" t="s">
        <v>1294</v>
      </c>
      <c r="C1590" s="49" t="s">
        <v>1321</v>
      </c>
      <c r="D1590" s="49" t="s">
        <v>1151</v>
      </c>
      <c r="E1590" s="49" t="s">
        <v>1265</v>
      </c>
      <c r="F1590" s="49" t="s">
        <v>1227</v>
      </c>
      <c r="G1590" s="49" t="s">
        <v>772</v>
      </c>
      <c r="H1590" s="49" t="s">
        <v>1132</v>
      </c>
      <c r="I1590" s="49" t="s">
        <v>885</v>
      </c>
    </row>
    <row r="1591" customFormat="false" ht="25.5" hidden="false" customHeight="true" outlineLevel="0" collapsed="false">
      <c r="A1591" s="49" t="s">
        <v>1115</v>
      </c>
      <c r="B1591" s="49" t="s">
        <v>1294</v>
      </c>
      <c r="C1591" s="49" t="s">
        <v>1322</v>
      </c>
      <c r="D1591" s="49" t="s">
        <v>1208</v>
      </c>
      <c r="E1591" s="49" t="s">
        <v>1183</v>
      </c>
      <c r="F1591" s="49" t="s">
        <v>1323</v>
      </c>
      <c r="G1591" s="49" t="s">
        <v>772</v>
      </c>
      <c r="H1591" s="49" t="s">
        <v>1132</v>
      </c>
      <c r="I1591" s="49" t="s">
        <v>885</v>
      </c>
    </row>
    <row r="1592" customFormat="false" ht="25.5" hidden="false" customHeight="true" outlineLevel="0" collapsed="false">
      <c r="A1592" s="49" t="s">
        <v>1115</v>
      </c>
      <c r="B1592" s="49" t="s">
        <v>1294</v>
      </c>
      <c r="C1592" s="49" t="s">
        <v>1324</v>
      </c>
      <c r="D1592" s="49" t="s">
        <v>1129</v>
      </c>
      <c r="E1592" s="49" t="s">
        <v>1183</v>
      </c>
      <c r="F1592" s="49" t="s">
        <v>1325</v>
      </c>
      <c r="G1592" s="49" t="s">
        <v>772</v>
      </c>
      <c r="H1592" s="49" t="s">
        <v>1132</v>
      </c>
      <c r="I1592" s="49" t="s">
        <v>885</v>
      </c>
    </row>
    <row r="1593" customFormat="false" ht="25.5" hidden="false" customHeight="true" outlineLevel="0" collapsed="false">
      <c r="A1593" s="49" t="s">
        <v>1115</v>
      </c>
      <c r="B1593" s="49" t="s">
        <v>1294</v>
      </c>
      <c r="C1593" s="49" t="s">
        <v>1326</v>
      </c>
      <c r="D1593" s="49" t="s">
        <v>1129</v>
      </c>
      <c r="E1593" s="49" t="s">
        <v>893</v>
      </c>
      <c r="F1593" s="49" t="s">
        <v>1327</v>
      </c>
      <c r="G1593" s="49" t="s">
        <v>772</v>
      </c>
      <c r="H1593" s="49" t="s">
        <v>1132</v>
      </c>
      <c r="I1593" s="49" t="s">
        <v>885</v>
      </c>
    </row>
    <row r="1594" customFormat="false" ht="25.5" hidden="false" customHeight="true" outlineLevel="0" collapsed="false">
      <c r="A1594" s="49" t="s">
        <v>1115</v>
      </c>
      <c r="B1594" s="49" t="s">
        <v>1294</v>
      </c>
      <c r="C1594" s="49" t="s">
        <v>1328</v>
      </c>
      <c r="D1594" s="49" t="s">
        <v>1129</v>
      </c>
      <c r="E1594" s="49" t="s">
        <v>1183</v>
      </c>
      <c r="F1594" s="49" t="s">
        <v>1329</v>
      </c>
      <c r="G1594" s="49" t="s">
        <v>772</v>
      </c>
      <c r="H1594" s="49" t="s">
        <v>1132</v>
      </c>
      <c r="I1594" s="49" t="s">
        <v>885</v>
      </c>
    </row>
    <row r="1595" customFormat="false" ht="25.5" hidden="false" customHeight="true" outlineLevel="0" collapsed="false">
      <c r="A1595" s="49" t="s">
        <v>1115</v>
      </c>
      <c r="B1595" s="49" t="s">
        <v>1294</v>
      </c>
      <c r="C1595" s="49" t="s">
        <v>1330</v>
      </c>
      <c r="D1595" s="49" t="s">
        <v>1134</v>
      </c>
      <c r="E1595" s="49" t="s">
        <v>1183</v>
      </c>
      <c r="F1595" s="49" t="s">
        <v>1331</v>
      </c>
      <c r="G1595" s="49" t="s">
        <v>772</v>
      </c>
      <c r="H1595" s="49" t="s">
        <v>1132</v>
      </c>
      <c r="I1595" s="49" t="s">
        <v>885</v>
      </c>
    </row>
    <row r="1596" customFormat="false" ht="25.5" hidden="false" customHeight="true" outlineLevel="0" collapsed="false">
      <c r="A1596" s="49" t="s">
        <v>1115</v>
      </c>
      <c r="B1596" s="49" t="s">
        <v>1294</v>
      </c>
      <c r="C1596" s="49" t="s">
        <v>1332</v>
      </c>
      <c r="D1596" s="49" t="s">
        <v>1156</v>
      </c>
      <c r="E1596" s="49" t="s">
        <v>1333</v>
      </c>
      <c r="F1596" s="49" t="s">
        <v>1334</v>
      </c>
      <c r="G1596" s="49" t="s">
        <v>772</v>
      </c>
      <c r="H1596" s="49" t="s">
        <v>1132</v>
      </c>
      <c r="I1596" s="49" t="s">
        <v>885</v>
      </c>
    </row>
    <row r="1597" customFormat="false" ht="25.5" hidden="false" customHeight="true" outlineLevel="0" collapsed="false">
      <c r="A1597" s="49" t="s">
        <v>1115</v>
      </c>
      <c r="B1597" s="49" t="s">
        <v>1294</v>
      </c>
      <c r="C1597" s="49" t="s">
        <v>1335</v>
      </c>
      <c r="D1597" s="49" t="s">
        <v>1199</v>
      </c>
      <c r="E1597" s="49" t="s">
        <v>1183</v>
      </c>
      <c r="F1597" s="49" t="s">
        <v>1336</v>
      </c>
      <c r="G1597" s="49" t="s">
        <v>772</v>
      </c>
      <c r="H1597" s="49" t="s">
        <v>1132</v>
      </c>
      <c r="I1597" s="49" t="s">
        <v>885</v>
      </c>
    </row>
    <row r="1598" customFormat="false" ht="25.5" hidden="false" customHeight="true" outlineLevel="0" collapsed="false">
      <c r="A1598" s="49" t="s">
        <v>1115</v>
      </c>
      <c r="B1598" s="49" t="s">
        <v>1294</v>
      </c>
      <c r="C1598" s="49" t="s">
        <v>1337</v>
      </c>
      <c r="D1598" s="49" t="s">
        <v>1134</v>
      </c>
      <c r="E1598" s="49" t="s">
        <v>217</v>
      </c>
      <c r="F1598" s="49" t="s">
        <v>1338</v>
      </c>
      <c r="G1598" s="49" t="s">
        <v>772</v>
      </c>
      <c r="H1598" s="49" t="s">
        <v>1132</v>
      </c>
      <c r="I1598" s="49" t="s">
        <v>885</v>
      </c>
    </row>
    <row r="1599" customFormat="false" ht="25.5" hidden="false" customHeight="true" outlineLevel="0" collapsed="false">
      <c r="A1599" s="49" t="s">
        <v>1115</v>
      </c>
      <c r="B1599" s="49" t="s">
        <v>1294</v>
      </c>
      <c r="C1599" s="49" t="s">
        <v>1339</v>
      </c>
      <c r="D1599" s="49" t="s">
        <v>1208</v>
      </c>
      <c r="E1599" s="49" t="s">
        <v>40</v>
      </c>
      <c r="F1599" s="49" t="s">
        <v>1340</v>
      </c>
      <c r="G1599" s="49" t="s">
        <v>772</v>
      </c>
      <c r="H1599" s="49" t="s">
        <v>1132</v>
      </c>
      <c r="I1599" s="49" t="s">
        <v>885</v>
      </c>
    </row>
    <row r="1600" customFormat="false" ht="25.5" hidden="false" customHeight="true" outlineLevel="0" collapsed="false">
      <c r="A1600" s="49" t="s">
        <v>1115</v>
      </c>
      <c r="B1600" s="49" t="s">
        <v>1341</v>
      </c>
      <c r="C1600" s="49" t="s">
        <v>1171</v>
      </c>
      <c r="D1600" s="49" t="s">
        <v>1172</v>
      </c>
      <c r="E1600" s="49" t="s">
        <v>1173</v>
      </c>
      <c r="F1600" s="49" t="s">
        <v>1174</v>
      </c>
      <c r="G1600" s="49" t="s">
        <v>772</v>
      </c>
      <c r="H1600" s="49" t="s">
        <v>1132</v>
      </c>
      <c r="I1600" s="49" t="s">
        <v>885</v>
      </c>
    </row>
    <row r="1601" customFormat="false" ht="25.5" hidden="false" customHeight="true" outlineLevel="0" collapsed="false">
      <c r="A1601" s="49" t="s">
        <v>1115</v>
      </c>
      <c r="B1601" s="49" t="s">
        <v>1341</v>
      </c>
      <c r="C1601" s="49" t="s">
        <v>1342</v>
      </c>
      <c r="D1601" s="49" t="s">
        <v>1292</v>
      </c>
      <c r="E1601" s="49" t="s">
        <v>1113</v>
      </c>
      <c r="F1601" s="49" t="s">
        <v>1343</v>
      </c>
      <c r="G1601" s="49" t="s">
        <v>772</v>
      </c>
      <c r="H1601" s="49" t="s">
        <v>1132</v>
      </c>
      <c r="I1601" s="49" t="s">
        <v>885</v>
      </c>
    </row>
    <row r="1602" customFormat="false" ht="25.5" hidden="false" customHeight="true" outlineLevel="0" collapsed="false">
      <c r="A1602" s="49" t="s">
        <v>1115</v>
      </c>
      <c r="B1602" s="49" t="s">
        <v>1341</v>
      </c>
      <c r="C1602" s="49" t="s">
        <v>1344</v>
      </c>
      <c r="D1602" s="49" t="s">
        <v>1208</v>
      </c>
      <c r="E1602" s="49" t="s">
        <v>1183</v>
      </c>
      <c r="F1602" s="49" t="s">
        <v>1345</v>
      </c>
      <c r="G1602" s="49" t="s">
        <v>772</v>
      </c>
      <c r="H1602" s="49" t="s">
        <v>1132</v>
      </c>
      <c r="I1602" s="49" t="s">
        <v>885</v>
      </c>
    </row>
    <row r="1603" customFormat="false" ht="25.5" hidden="false" customHeight="true" outlineLevel="0" collapsed="false">
      <c r="A1603" s="49" t="s">
        <v>1115</v>
      </c>
      <c r="B1603" s="49" t="s">
        <v>1341</v>
      </c>
      <c r="C1603" s="49" t="s">
        <v>1346</v>
      </c>
      <c r="D1603" s="49" t="s">
        <v>1218</v>
      </c>
      <c r="E1603" s="49" t="s">
        <v>1347</v>
      </c>
      <c r="F1603" s="49" t="s">
        <v>1348</v>
      </c>
      <c r="G1603" s="49" t="s">
        <v>772</v>
      </c>
      <c r="H1603" s="49" t="s">
        <v>1132</v>
      </c>
      <c r="I1603" s="49" t="s">
        <v>885</v>
      </c>
    </row>
    <row r="1604" customFormat="false" ht="25.5" hidden="false" customHeight="true" outlineLevel="0" collapsed="false">
      <c r="A1604" s="49" t="s">
        <v>1115</v>
      </c>
      <c r="B1604" s="49" t="s">
        <v>1341</v>
      </c>
      <c r="C1604" s="49" t="s">
        <v>1349</v>
      </c>
      <c r="D1604" s="49" t="s">
        <v>1218</v>
      </c>
      <c r="E1604" s="49" t="s">
        <v>1183</v>
      </c>
      <c r="F1604" s="49" t="s">
        <v>1350</v>
      </c>
      <c r="G1604" s="49" t="s">
        <v>772</v>
      </c>
      <c r="H1604" s="49" t="s">
        <v>1132</v>
      </c>
      <c r="I1604" s="49" t="s">
        <v>885</v>
      </c>
    </row>
    <row r="1605" customFormat="false" ht="25.5" hidden="false" customHeight="true" outlineLevel="0" collapsed="false">
      <c r="A1605" s="49" t="s">
        <v>1115</v>
      </c>
      <c r="B1605" s="49" t="s">
        <v>1341</v>
      </c>
      <c r="C1605" s="49" t="s">
        <v>1351</v>
      </c>
      <c r="D1605" s="49" t="s">
        <v>1134</v>
      </c>
      <c r="E1605" s="49" t="s">
        <v>1055</v>
      </c>
      <c r="F1605" s="49" t="s">
        <v>1352</v>
      </c>
      <c r="G1605" s="49" t="s">
        <v>772</v>
      </c>
      <c r="H1605" s="49" t="s">
        <v>1132</v>
      </c>
      <c r="I1605" s="49" t="s">
        <v>885</v>
      </c>
    </row>
    <row r="1606" customFormat="false" ht="25.5" hidden="false" customHeight="true" outlineLevel="0" collapsed="false">
      <c r="A1606" s="49" t="s">
        <v>1115</v>
      </c>
      <c r="B1606" s="49" t="s">
        <v>1341</v>
      </c>
      <c r="C1606" s="49" t="s">
        <v>1353</v>
      </c>
      <c r="D1606" s="49" t="s">
        <v>1134</v>
      </c>
      <c r="E1606" s="49" t="s">
        <v>1226</v>
      </c>
      <c r="F1606" s="49" t="s">
        <v>1354</v>
      </c>
      <c r="G1606" s="49" t="s">
        <v>772</v>
      </c>
      <c r="H1606" s="49" t="s">
        <v>1132</v>
      </c>
      <c r="I1606" s="49" t="s">
        <v>885</v>
      </c>
    </row>
    <row r="1607" customFormat="false" ht="25.5" hidden="false" customHeight="true" outlineLevel="0" collapsed="false">
      <c r="A1607" s="49" t="s">
        <v>1115</v>
      </c>
      <c r="B1607" s="49" t="s">
        <v>1341</v>
      </c>
      <c r="C1607" s="49" t="s">
        <v>1355</v>
      </c>
      <c r="D1607" s="49" t="s">
        <v>1148</v>
      </c>
      <c r="E1607" s="49" t="s">
        <v>1356</v>
      </c>
      <c r="F1607" s="49" t="s">
        <v>1357</v>
      </c>
      <c r="G1607" s="49" t="s">
        <v>772</v>
      </c>
      <c r="H1607" s="49" t="s">
        <v>1132</v>
      </c>
      <c r="I1607" s="49" t="s">
        <v>885</v>
      </c>
    </row>
    <row r="1608" customFormat="false" ht="25.5" hidden="false" customHeight="true" outlineLevel="0" collapsed="false">
      <c r="A1608" s="49" t="s">
        <v>1115</v>
      </c>
      <c r="B1608" s="49" t="s">
        <v>1341</v>
      </c>
      <c r="C1608" s="49" t="s">
        <v>1358</v>
      </c>
      <c r="D1608" s="49" t="s">
        <v>1218</v>
      </c>
      <c r="E1608" s="49" t="s">
        <v>1359</v>
      </c>
      <c r="F1608" s="49" t="s">
        <v>1360</v>
      </c>
      <c r="G1608" s="49" t="s">
        <v>772</v>
      </c>
      <c r="H1608" s="49" t="s">
        <v>1132</v>
      </c>
      <c r="I1608" s="49" t="s">
        <v>885</v>
      </c>
    </row>
    <row r="1609" customFormat="false" ht="25.5" hidden="false" customHeight="true" outlineLevel="0" collapsed="false">
      <c r="A1609" s="49" t="s">
        <v>1115</v>
      </c>
      <c r="B1609" s="49" t="s">
        <v>1341</v>
      </c>
      <c r="C1609" s="49" t="s">
        <v>1361</v>
      </c>
      <c r="D1609" s="49" t="s">
        <v>1148</v>
      </c>
      <c r="E1609" s="49" t="s">
        <v>1183</v>
      </c>
      <c r="F1609" s="49" t="s">
        <v>1362</v>
      </c>
      <c r="G1609" s="49" t="s">
        <v>772</v>
      </c>
      <c r="H1609" s="49" t="s">
        <v>1132</v>
      </c>
      <c r="I1609" s="49" t="s">
        <v>885</v>
      </c>
    </row>
    <row r="1610" customFormat="false" ht="25.5" hidden="false" customHeight="true" outlineLevel="0" collapsed="false">
      <c r="A1610" s="49" t="s">
        <v>1115</v>
      </c>
      <c r="B1610" s="49" t="s">
        <v>1341</v>
      </c>
      <c r="C1610" s="49" t="s">
        <v>1363</v>
      </c>
      <c r="D1610" s="49" t="s">
        <v>1148</v>
      </c>
      <c r="E1610" s="49" t="s">
        <v>1364</v>
      </c>
      <c r="F1610" s="49" t="s">
        <v>1365</v>
      </c>
      <c r="G1610" s="49" t="s">
        <v>772</v>
      </c>
      <c r="H1610" s="49" t="s">
        <v>1132</v>
      </c>
      <c r="I1610" s="49" t="s">
        <v>885</v>
      </c>
    </row>
    <row r="1611" customFormat="false" ht="25.5" hidden="false" customHeight="true" outlineLevel="0" collapsed="false">
      <c r="A1611" s="49" t="s">
        <v>1115</v>
      </c>
      <c r="B1611" s="49" t="s">
        <v>1341</v>
      </c>
      <c r="C1611" s="49" t="s">
        <v>1366</v>
      </c>
      <c r="D1611" s="49" t="s">
        <v>1148</v>
      </c>
      <c r="E1611" s="49" t="s">
        <v>1183</v>
      </c>
      <c r="F1611" s="49" t="s">
        <v>1367</v>
      </c>
      <c r="G1611" s="49" t="s">
        <v>772</v>
      </c>
      <c r="H1611" s="49" t="s">
        <v>1132</v>
      </c>
      <c r="I1611" s="49" t="s">
        <v>885</v>
      </c>
    </row>
    <row r="1612" customFormat="false" ht="25.5" hidden="false" customHeight="true" outlineLevel="0" collapsed="false">
      <c r="A1612" s="49" t="s">
        <v>1115</v>
      </c>
      <c r="B1612" s="49" t="s">
        <v>1341</v>
      </c>
      <c r="C1612" s="49" t="s">
        <v>1368</v>
      </c>
      <c r="D1612" s="49" t="s">
        <v>1218</v>
      </c>
      <c r="E1612" s="49" t="s">
        <v>217</v>
      </c>
      <c r="F1612" s="49" t="s">
        <v>1369</v>
      </c>
      <c r="G1612" s="49" t="s">
        <v>772</v>
      </c>
      <c r="H1612" s="49" t="s">
        <v>1132</v>
      </c>
      <c r="I1612" s="49" t="s">
        <v>885</v>
      </c>
    </row>
    <row r="1613" customFormat="false" ht="25.5" hidden="false" customHeight="true" outlineLevel="0" collapsed="false">
      <c r="A1613" s="49" t="s">
        <v>1115</v>
      </c>
      <c r="B1613" s="49" t="s">
        <v>1341</v>
      </c>
      <c r="C1613" s="49" t="s">
        <v>1370</v>
      </c>
      <c r="D1613" s="49" t="s">
        <v>1208</v>
      </c>
      <c r="E1613" s="49" t="s">
        <v>893</v>
      </c>
      <c r="F1613" s="49" t="s">
        <v>1371</v>
      </c>
      <c r="G1613" s="49" t="s">
        <v>772</v>
      </c>
      <c r="H1613" s="49" t="s">
        <v>1132</v>
      </c>
      <c r="I1613" s="49" t="s">
        <v>885</v>
      </c>
    </row>
    <row r="1614" customFormat="false" ht="25.5" hidden="false" customHeight="true" outlineLevel="0" collapsed="false">
      <c r="A1614" s="49" t="s">
        <v>1115</v>
      </c>
      <c r="B1614" s="49" t="s">
        <v>1341</v>
      </c>
      <c r="C1614" s="49" t="s">
        <v>1372</v>
      </c>
      <c r="D1614" s="49" t="s">
        <v>1199</v>
      </c>
      <c r="E1614" s="49" t="s">
        <v>1135</v>
      </c>
      <c r="F1614" s="49" t="s">
        <v>1373</v>
      </c>
      <c r="G1614" s="49" t="s">
        <v>772</v>
      </c>
      <c r="H1614" s="49" t="s">
        <v>1132</v>
      </c>
      <c r="I1614" s="49" t="s">
        <v>885</v>
      </c>
    </row>
    <row r="1615" customFormat="false" ht="25.5" hidden="false" customHeight="true" outlineLevel="0" collapsed="false">
      <c r="A1615" s="49" t="s">
        <v>1115</v>
      </c>
      <c r="B1615" s="49" t="s">
        <v>1341</v>
      </c>
      <c r="C1615" s="49" t="s">
        <v>1374</v>
      </c>
      <c r="D1615" s="49" t="s">
        <v>1208</v>
      </c>
      <c r="E1615" s="49" t="s">
        <v>1183</v>
      </c>
      <c r="F1615" s="49" t="s">
        <v>1375</v>
      </c>
      <c r="G1615" s="49" t="s">
        <v>772</v>
      </c>
      <c r="H1615" s="49" t="s">
        <v>1132</v>
      </c>
      <c r="I1615" s="49" t="s">
        <v>885</v>
      </c>
    </row>
    <row r="1616" customFormat="false" ht="25.5" hidden="false" customHeight="true" outlineLevel="0" collapsed="false">
      <c r="A1616" s="49" t="s">
        <v>1115</v>
      </c>
      <c r="B1616" s="49" t="s">
        <v>1341</v>
      </c>
      <c r="C1616" s="49" t="s">
        <v>1376</v>
      </c>
      <c r="D1616" s="49" t="s">
        <v>1208</v>
      </c>
      <c r="E1616" s="49" t="s">
        <v>1377</v>
      </c>
      <c r="F1616" s="49" t="s">
        <v>1378</v>
      </c>
      <c r="G1616" s="49" t="s">
        <v>772</v>
      </c>
      <c r="H1616" s="49" t="s">
        <v>1132</v>
      </c>
      <c r="I1616" s="49" t="s">
        <v>885</v>
      </c>
    </row>
    <row r="1617" customFormat="false" ht="25.5" hidden="false" customHeight="true" outlineLevel="0" collapsed="false">
      <c r="A1617" s="49" t="s">
        <v>1115</v>
      </c>
      <c r="B1617" s="49" t="s">
        <v>1341</v>
      </c>
      <c r="C1617" s="49" t="s">
        <v>1379</v>
      </c>
      <c r="D1617" s="49" t="s">
        <v>1199</v>
      </c>
      <c r="E1617" s="49" t="s">
        <v>1183</v>
      </c>
      <c r="F1617" s="49" t="s">
        <v>1380</v>
      </c>
      <c r="G1617" s="49" t="s">
        <v>772</v>
      </c>
      <c r="H1617" s="49" t="s">
        <v>1132</v>
      </c>
      <c r="I1617" s="49" t="s">
        <v>885</v>
      </c>
    </row>
    <row r="1618" customFormat="false" ht="25.5" hidden="false" customHeight="true" outlineLevel="0" collapsed="false">
      <c r="A1618" s="49" t="s">
        <v>1115</v>
      </c>
      <c r="B1618" s="49" t="s">
        <v>1341</v>
      </c>
      <c r="C1618" s="49" t="s">
        <v>1381</v>
      </c>
      <c r="D1618" s="49" t="s">
        <v>1162</v>
      </c>
      <c r="E1618" s="49" t="s">
        <v>1382</v>
      </c>
      <c r="F1618" s="49" t="s">
        <v>1383</v>
      </c>
      <c r="G1618" s="49" t="s">
        <v>772</v>
      </c>
      <c r="H1618" s="49" t="s">
        <v>1132</v>
      </c>
      <c r="I1618" s="49" t="s">
        <v>885</v>
      </c>
    </row>
    <row r="1619" customFormat="false" ht="25.5" hidden="false" customHeight="true" outlineLevel="0" collapsed="false">
      <c r="A1619" s="49" t="s">
        <v>1115</v>
      </c>
      <c r="B1619" s="49" t="s">
        <v>1341</v>
      </c>
      <c r="C1619" s="49" t="s">
        <v>1384</v>
      </c>
      <c r="D1619" s="49" t="s">
        <v>1292</v>
      </c>
      <c r="E1619" s="49" t="s">
        <v>1189</v>
      </c>
      <c r="F1619" s="49" t="s">
        <v>1385</v>
      </c>
      <c r="G1619" s="49" t="s">
        <v>772</v>
      </c>
      <c r="H1619" s="49" t="s">
        <v>1132</v>
      </c>
      <c r="I1619" s="49" t="s">
        <v>885</v>
      </c>
    </row>
    <row r="1620" customFormat="false" ht="25.5" hidden="false" customHeight="true" outlineLevel="0" collapsed="false">
      <c r="A1620" s="49" t="s">
        <v>1115</v>
      </c>
      <c r="B1620" s="49" t="s">
        <v>1341</v>
      </c>
      <c r="C1620" s="49" t="s">
        <v>1386</v>
      </c>
      <c r="D1620" s="49" t="s">
        <v>1156</v>
      </c>
      <c r="E1620" s="49" t="s">
        <v>1183</v>
      </c>
      <c r="F1620" s="49" t="s">
        <v>1387</v>
      </c>
      <c r="G1620" s="49" t="s">
        <v>772</v>
      </c>
      <c r="H1620" s="49" t="s">
        <v>1132</v>
      </c>
      <c r="I1620" s="49" t="s">
        <v>885</v>
      </c>
    </row>
    <row r="1621" customFormat="false" ht="25.5" hidden="false" customHeight="true" outlineLevel="0" collapsed="false">
      <c r="A1621" s="49" t="s">
        <v>1115</v>
      </c>
      <c r="B1621" s="49" t="s">
        <v>1341</v>
      </c>
      <c r="C1621" s="49" t="s">
        <v>1388</v>
      </c>
      <c r="D1621" s="49" t="s">
        <v>1162</v>
      </c>
      <c r="E1621" s="49" t="s">
        <v>1163</v>
      </c>
      <c r="F1621" s="49" t="s">
        <v>1389</v>
      </c>
      <c r="G1621" s="49" t="s">
        <v>772</v>
      </c>
      <c r="H1621" s="49" t="s">
        <v>1132</v>
      </c>
      <c r="I1621" s="49" t="s">
        <v>885</v>
      </c>
    </row>
    <row r="1622" customFormat="false" ht="25.5" hidden="false" customHeight="true" outlineLevel="0" collapsed="false">
      <c r="A1622" s="49" t="s">
        <v>1115</v>
      </c>
      <c r="B1622" s="49" t="s">
        <v>1341</v>
      </c>
      <c r="C1622" s="49" t="s">
        <v>1390</v>
      </c>
      <c r="D1622" s="49" t="s">
        <v>1162</v>
      </c>
      <c r="E1622" s="49" t="s">
        <v>1163</v>
      </c>
      <c r="F1622" s="49" t="s">
        <v>1391</v>
      </c>
      <c r="G1622" s="49" t="s">
        <v>772</v>
      </c>
      <c r="H1622" s="49" t="s">
        <v>1132</v>
      </c>
      <c r="I1622" s="49" t="s">
        <v>885</v>
      </c>
    </row>
    <row r="1623" customFormat="false" ht="25.5" hidden="false" customHeight="true" outlineLevel="0" collapsed="false">
      <c r="A1623" s="49" t="s">
        <v>1115</v>
      </c>
      <c r="B1623" s="49" t="s">
        <v>1341</v>
      </c>
      <c r="C1623" s="49" t="s">
        <v>1392</v>
      </c>
      <c r="D1623" s="49" t="s">
        <v>1162</v>
      </c>
      <c r="E1623" s="49" t="s">
        <v>1163</v>
      </c>
      <c r="F1623" s="49" t="s">
        <v>952</v>
      </c>
      <c r="G1623" s="49" t="s">
        <v>772</v>
      </c>
      <c r="H1623" s="49" t="s">
        <v>1132</v>
      </c>
      <c r="I1623" s="49" t="s">
        <v>885</v>
      </c>
    </row>
    <row r="1624" customFormat="false" ht="25.5" hidden="false" customHeight="true" outlineLevel="0" collapsed="false">
      <c r="A1624" s="49" t="s">
        <v>1115</v>
      </c>
      <c r="B1624" s="49" t="s">
        <v>1341</v>
      </c>
      <c r="C1624" s="49" t="s">
        <v>1372</v>
      </c>
      <c r="D1624" s="49" t="s">
        <v>1199</v>
      </c>
      <c r="E1624" s="49" t="s">
        <v>217</v>
      </c>
      <c r="F1624" s="49" t="s">
        <v>1393</v>
      </c>
      <c r="G1624" s="49" t="s">
        <v>772</v>
      </c>
      <c r="H1624" s="49" t="s">
        <v>1132</v>
      </c>
      <c r="I1624" s="49" t="s">
        <v>885</v>
      </c>
    </row>
    <row r="1625" customFormat="false" ht="25.5" hidden="false" customHeight="true" outlineLevel="0" collapsed="false">
      <c r="A1625" s="49" t="s">
        <v>1115</v>
      </c>
      <c r="B1625" s="49" t="s">
        <v>1341</v>
      </c>
      <c r="C1625" s="49" t="s">
        <v>1394</v>
      </c>
      <c r="D1625" s="49" t="s">
        <v>1129</v>
      </c>
      <c r="E1625" s="49" t="s">
        <v>1395</v>
      </c>
      <c r="F1625" s="49" t="s">
        <v>1396</v>
      </c>
      <c r="G1625" s="49" t="s">
        <v>772</v>
      </c>
      <c r="H1625" s="49" t="s">
        <v>1132</v>
      </c>
      <c r="I1625" s="49" t="s">
        <v>885</v>
      </c>
    </row>
    <row r="1626" customFormat="false" ht="25.5" hidden="false" customHeight="true" outlineLevel="0" collapsed="false">
      <c r="A1626" s="49" t="s">
        <v>1115</v>
      </c>
      <c r="B1626" s="49" t="s">
        <v>1341</v>
      </c>
      <c r="C1626" s="49" t="s">
        <v>1397</v>
      </c>
      <c r="D1626" s="49" t="s">
        <v>1148</v>
      </c>
      <c r="E1626" s="49" t="s">
        <v>1395</v>
      </c>
      <c r="F1626" s="49" t="s">
        <v>1398</v>
      </c>
      <c r="G1626" s="49" t="s">
        <v>772</v>
      </c>
      <c r="H1626" s="49" t="s">
        <v>1132</v>
      </c>
      <c r="I1626" s="49" t="s">
        <v>885</v>
      </c>
    </row>
    <row r="1627" customFormat="false" ht="25.5" hidden="false" customHeight="true" outlineLevel="0" collapsed="false">
      <c r="A1627" s="49" t="s">
        <v>1115</v>
      </c>
      <c r="B1627" s="49" t="s">
        <v>1341</v>
      </c>
      <c r="C1627" s="49" t="s">
        <v>1399</v>
      </c>
      <c r="D1627" s="49" t="s">
        <v>1199</v>
      </c>
      <c r="E1627" s="49" t="s">
        <v>217</v>
      </c>
      <c r="F1627" s="49" t="s">
        <v>1400</v>
      </c>
      <c r="G1627" s="49" t="s">
        <v>772</v>
      </c>
      <c r="H1627" s="49" t="s">
        <v>1132</v>
      </c>
      <c r="I1627" s="49" t="s">
        <v>885</v>
      </c>
    </row>
    <row r="1628" customFormat="false" ht="25.5" hidden="false" customHeight="true" outlineLevel="0" collapsed="false">
      <c r="A1628" s="49" t="s">
        <v>1115</v>
      </c>
      <c r="B1628" s="49" t="s">
        <v>1341</v>
      </c>
      <c r="C1628" s="49" t="s">
        <v>1401</v>
      </c>
      <c r="D1628" s="49" t="s">
        <v>1199</v>
      </c>
      <c r="E1628" s="49" t="s">
        <v>146</v>
      </c>
      <c r="F1628" s="49" t="s">
        <v>1402</v>
      </c>
      <c r="G1628" s="49" t="s">
        <v>772</v>
      </c>
      <c r="H1628" s="49" t="s">
        <v>1132</v>
      </c>
      <c r="I1628" s="49" t="s">
        <v>885</v>
      </c>
    </row>
    <row r="1629" customFormat="false" ht="25.5" hidden="false" customHeight="true" outlineLevel="0" collapsed="false">
      <c r="A1629" s="49" t="s">
        <v>1115</v>
      </c>
      <c r="B1629" s="49" t="s">
        <v>1403</v>
      </c>
      <c r="C1629" s="49" t="s">
        <v>1171</v>
      </c>
      <c r="D1629" s="49" t="s">
        <v>1172</v>
      </c>
      <c r="E1629" s="49" t="s">
        <v>1173</v>
      </c>
      <c r="F1629" s="49" t="s">
        <v>1174</v>
      </c>
      <c r="G1629" s="49" t="s">
        <v>772</v>
      </c>
      <c r="H1629" s="49" t="s">
        <v>1132</v>
      </c>
      <c r="I1629" s="49" t="s">
        <v>885</v>
      </c>
    </row>
    <row r="1630" customFormat="false" ht="25.5" hidden="false" customHeight="true" outlineLevel="0" collapsed="false">
      <c r="A1630" s="49" t="s">
        <v>1115</v>
      </c>
      <c r="B1630" s="49" t="s">
        <v>1403</v>
      </c>
      <c r="C1630" s="49" t="s">
        <v>1404</v>
      </c>
      <c r="D1630" s="49" t="s">
        <v>1151</v>
      </c>
      <c r="E1630" s="49" t="s">
        <v>1405</v>
      </c>
      <c r="F1630" s="49" t="s">
        <v>1406</v>
      </c>
      <c r="G1630" s="49" t="s">
        <v>772</v>
      </c>
      <c r="H1630" s="49" t="s">
        <v>1132</v>
      </c>
      <c r="I1630" s="49" t="s">
        <v>885</v>
      </c>
    </row>
    <row r="1631" customFormat="false" ht="25.5" hidden="false" customHeight="true" outlineLevel="0" collapsed="false">
      <c r="A1631" s="49" t="s">
        <v>1115</v>
      </c>
      <c r="B1631" s="49" t="s">
        <v>1403</v>
      </c>
      <c r="C1631" s="49" t="s">
        <v>1407</v>
      </c>
      <c r="D1631" s="49" t="s">
        <v>1141</v>
      </c>
      <c r="E1631" s="49" t="s">
        <v>1183</v>
      </c>
      <c r="F1631" s="49" t="s">
        <v>1408</v>
      </c>
      <c r="G1631" s="49" t="s">
        <v>772</v>
      </c>
      <c r="H1631" s="49" t="s">
        <v>1132</v>
      </c>
      <c r="I1631" s="49" t="s">
        <v>885</v>
      </c>
    </row>
    <row r="1632" customFormat="false" ht="25.5" hidden="false" customHeight="true" outlineLevel="0" collapsed="false">
      <c r="A1632" s="49" t="s">
        <v>1115</v>
      </c>
      <c r="B1632" s="49" t="s">
        <v>1403</v>
      </c>
      <c r="C1632" s="49" t="s">
        <v>1409</v>
      </c>
      <c r="D1632" s="49" t="s">
        <v>1208</v>
      </c>
      <c r="E1632" s="49" t="s">
        <v>1410</v>
      </c>
      <c r="F1632" s="49" t="s">
        <v>1411</v>
      </c>
      <c r="G1632" s="49" t="s">
        <v>772</v>
      </c>
      <c r="H1632" s="49" t="s">
        <v>1132</v>
      </c>
      <c r="I1632" s="49" t="s">
        <v>885</v>
      </c>
    </row>
    <row r="1633" customFormat="false" ht="25.5" hidden="false" customHeight="true" outlineLevel="0" collapsed="false">
      <c r="A1633" s="49" t="s">
        <v>1115</v>
      </c>
      <c r="B1633" s="49" t="s">
        <v>1403</v>
      </c>
      <c r="C1633" s="49" t="s">
        <v>1412</v>
      </c>
      <c r="D1633" s="49" t="s">
        <v>1199</v>
      </c>
      <c r="E1633" s="49" t="s">
        <v>1183</v>
      </c>
      <c r="F1633" s="49" t="s">
        <v>1413</v>
      </c>
      <c r="G1633" s="49" t="s">
        <v>772</v>
      </c>
      <c r="H1633" s="49" t="s">
        <v>1132</v>
      </c>
      <c r="I1633" s="49" t="s">
        <v>885</v>
      </c>
    </row>
    <row r="1634" customFormat="false" ht="25.5" hidden="false" customHeight="true" outlineLevel="0" collapsed="false">
      <c r="A1634" s="49" t="s">
        <v>1115</v>
      </c>
      <c r="B1634" s="49" t="s">
        <v>1403</v>
      </c>
      <c r="C1634" s="49" t="s">
        <v>1414</v>
      </c>
      <c r="D1634" s="49" t="s">
        <v>1156</v>
      </c>
      <c r="E1634" s="49" t="s">
        <v>1183</v>
      </c>
      <c r="F1634" s="49" t="s">
        <v>1415</v>
      </c>
      <c r="G1634" s="49" t="s">
        <v>772</v>
      </c>
      <c r="H1634" s="49" t="s">
        <v>1132</v>
      </c>
      <c r="I1634" s="49" t="s">
        <v>885</v>
      </c>
    </row>
    <row r="1635" customFormat="false" ht="25.5" hidden="false" customHeight="true" outlineLevel="0" collapsed="false">
      <c r="A1635" s="49" t="s">
        <v>1115</v>
      </c>
      <c r="B1635" s="49" t="s">
        <v>1403</v>
      </c>
      <c r="C1635" s="49" t="s">
        <v>1416</v>
      </c>
      <c r="D1635" s="49" t="s">
        <v>1134</v>
      </c>
      <c r="E1635" s="49" t="s">
        <v>1226</v>
      </c>
      <c r="F1635" s="49" t="s">
        <v>1417</v>
      </c>
      <c r="G1635" s="49" t="s">
        <v>772</v>
      </c>
      <c r="H1635" s="49" t="s">
        <v>1132</v>
      </c>
      <c r="I1635" s="49" t="s">
        <v>885</v>
      </c>
    </row>
    <row r="1636" customFormat="false" ht="25.5" hidden="false" customHeight="true" outlineLevel="0" collapsed="false">
      <c r="A1636" s="49" t="s">
        <v>1115</v>
      </c>
      <c r="B1636" s="49" t="s">
        <v>1403</v>
      </c>
      <c r="C1636" s="49" t="s">
        <v>1418</v>
      </c>
      <c r="D1636" s="49" t="s">
        <v>1129</v>
      </c>
      <c r="E1636" s="49" t="s">
        <v>1183</v>
      </c>
      <c r="F1636" s="49" t="s">
        <v>1419</v>
      </c>
      <c r="G1636" s="49" t="s">
        <v>772</v>
      </c>
      <c r="H1636" s="49" t="s">
        <v>1132</v>
      </c>
      <c r="I1636" s="49" t="s">
        <v>885</v>
      </c>
    </row>
    <row r="1637" customFormat="false" ht="25.5" hidden="false" customHeight="true" outlineLevel="0" collapsed="false">
      <c r="A1637" s="49" t="s">
        <v>1115</v>
      </c>
      <c r="B1637" s="49" t="s">
        <v>1403</v>
      </c>
      <c r="C1637" s="49" t="s">
        <v>1420</v>
      </c>
      <c r="D1637" s="49" t="s">
        <v>1129</v>
      </c>
      <c r="E1637" s="49" t="s">
        <v>146</v>
      </c>
      <c r="F1637" s="49" t="s">
        <v>1421</v>
      </c>
      <c r="G1637" s="49" t="s">
        <v>772</v>
      </c>
      <c r="H1637" s="49" t="s">
        <v>1132</v>
      </c>
      <c r="I1637" s="49" t="s">
        <v>885</v>
      </c>
    </row>
    <row r="1638" customFormat="false" ht="25.5" hidden="false" customHeight="true" outlineLevel="0" collapsed="false">
      <c r="A1638" s="49" t="s">
        <v>1115</v>
      </c>
      <c r="B1638" s="49" t="s">
        <v>1403</v>
      </c>
      <c r="C1638" s="49" t="s">
        <v>1422</v>
      </c>
      <c r="D1638" s="49" t="s">
        <v>1292</v>
      </c>
      <c r="E1638" s="49" t="s">
        <v>1135</v>
      </c>
      <c r="F1638" s="49" t="s">
        <v>1423</v>
      </c>
      <c r="G1638" s="49" t="s">
        <v>772</v>
      </c>
      <c r="H1638" s="49" t="s">
        <v>1132</v>
      </c>
      <c r="I1638" s="49" t="s">
        <v>885</v>
      </c>
    </row>
    <row r="1639" customFormat="false" ht="25.5" hidden="false" customHeight="true" outlineLevel="0" collapsed="false">
      <c r="A1639" s="49" t="s">
        <v>1115</v>
      </c>
      <c r="B1639" s="49" t="s">
        <v>1403</v>
      </c>
      <c r="C1639" s="49" t="s">
        <v>1424</v>
      </c>
      <c r="D1639" s="49" t="s">
        <v>1148</v>
      </c>
      <c r="E1639" s="49" t="s">
        <v>1135</v>
      </c>
      <c r="F1639" s="49" t="s">
        <v>1423</v>
      </c>
      <c r="G1639" s="49" t="s">
        <v>772</v>
      </c>
      <c r="H1639" s="49" t="s">
        <v>1132</v>
      </c>
      <c r="I1639" s="49" t="s">
        <v>885</v>
      </c>
    </row>
    <row r="1640" customFormat="false" ht="25.5" hidden="false" customHeight="true" outlineLevel="0" collapsed="false">
      <c r="A1640" s="49" t="s">
        <v>1115</v>
      </c>
      <c r="B1640" s="49" t="s">
        <v>1403</v>
      </c>
      <c r="C1640" s="49" t="s">
        <v>1425</v>
      </c>
      <c r="D1640" s="49" t="s">
        <v>1199</v>
      </c>
      <c r="E1640" s="49" t="s">
        <v>1183</v>
      </c>
      <c r="F1640" s="49" t="s">
        <v>1415</v>
      </c>
      <c r="G1640" s="49" t="s">
        <v>772</v>
      </c>
      <c r="H1640" s="49" t="s">
        <v>1132</v>
      </c>
      <c r="I1640" s="49" t="s">
        <v>885</v>
      </c>
    </row>
    <row r="1641" customFormat="false" ht="25.5" hidden="false" customHeight="true" outlineLevel="0" collapsed="false">
      <c r="A1641" s="49" t="s">
        <v>1115</v>
      </c>
      <c r="B1641" s="49" t="s">
        <v>1403</v>
      </c>
      <c r="C1641" s="49" t="s">
        <v>1426</v>
      </c>
      <c r="D1641" s="49" t="s">
        <v>1208</v>
      </c>
      <c r="E1641" s="49" t="s">
        <v>1427</v>
      </c>
      <c r="F1641" s="49" t="s">
        <v>1428</v>
      </c>
      <c r="G1641" s="49" t="s">
        <v>772</v>
      </c>
      <c r="H1641" s="49" t="s">
        <v>1132</v>
      </c>
      <c r="I1641" s="49" t="s">
        <v>885</v>
      </c>
    </row>
    <row r="1642" customFormat="false" ht="25.5" hidden="false" customHeight="true" outlineLevel="0" collapsed="false">
      <c r="A1642" s="49" t="s">
        <v>1115</v>
      </c>
      <c r="B1642" s="49" t="s">
        <v>1403</v>
      </c>
      <c r="C1642" s="49" t="s">
        <v>1429</v>
      </c>
      <c r="D1642" s="49" t="s">
        <v>1129</v>
      </c>
      <c r="E1642" s="49" t="s">
        <v>1223</v>
      </c>
      <c r="F1642" s="49" t="s">
        <v>1430</v>
      </c>
      <c r="G1642" s="49" t="s">
        <v>772</v>
      </c>
      <c r="H1642" s="49" t="s">
        <v>1132</v>
      </c>
      <c r="I1642" s="49" t="s">
        <v>885</v>
      </c>
    </row>
    <row r="1643" customFormat="false" ht="25.5" hidden="false" customHeight="true" outlineLevel="0" collapsed="false">
      <c r="A1643" s="49" t="s">
        <v>1115</v>
      </c>
      <c r="B1643" s="49" t="s">
        <v>1403</v>
      </c>
      <c r="C1643" s="49" t="s">
        <v>1431</v>
      </c>
      <c r="D1643" s="49" t="s">
        <v>1208</v>
      </c>
      <c r="E1643" s="49" t="s">
        <v>1432</v>
      </c>
      <c r="F1643" s="49" t="s">
        <v>1433</v>
      </c>
      <c r="G1643" s="49" t="s">
        <v>772</v>
      </c>
      <c r="H1643" s="49" t="s">
        <v>1132</v>
      </c>
      <c r="I1643" s="49" t="s">
        <v>885</v>
      </c>
    </row>
    <row r="1644" customFormat="false" ht="25.5" hidden="false" customHeight="true" outlineLevel="0" collapsed="false">
      <c r="A1644" s="49" t="s">
        <v>1115</v>
      </c>
      <c r="B1644" s="49" t="s">
        <v>1403</v>
      </c>
      <c r="C1644" s="49" t="s">
        <v>1434</v>
      </c>
      <c r="D1644" s="49" t="s">
        <v>1162</v>
      </c>
      <c r="E1644" s="49" t="s">
        <v>1163</v>
      </c>
      <c r="F1644" s="49" t="s">
        <v>1435</v>
      </c>
      <c r="G1644" s="49" t="s">
        <v>772</v>
      </c>
      <c r="H1644" s="49" t="s">
        <v>1132</v>
      </c>
      <c r="I1644" s="49" t="s">
        <v>885</v>
      </c>
    </row>
    <row r="1645" customFormat="false" ht="25.5" hidden="false" customHeight="true" outlineLevel="0" collapsed="false">
      <c r="A1645" s="49" t="s">
        <v>1115</v>
      </c>
      <c r="B1645" s="49" t="s">
        <v>1403</v>
      </c>
      <c r="C1645" s="49" t="s">
        <v>1436</v>
      </c>
      <c r="D1645" s="49" t="s">
        <v>1199</v>
      </c>
      <c r="E1645" s="49" t="s">
        <v>146</v>
      </c>
      <c r="F1645" s="49" t="s">
        <v>1437</v>
      </c>
      <c r="G1645" s="49" t="s">
        <v>772</v>
      </c>
      <c r="H1645" s="49" t="s">
        <v>1132</v>
      </c>
      <c r="I1645" s="49" t="s">
        <v>885</v>
      </c>
    </row>
    <row r="1646" customFormat="false" ht="25.5" hidden="false" customHeight="true" outlineLevel="0" collapsed="false">
      <c r="A1646" s="49" t="s">
        <v>1115</v>
      </c>
      <c r="B1646" s="49" t="s">
        <v>1403</v>
      </c>
      <c r="C1646" s="49" t="s">
        <v>1438</v>
      </c>
      <c r="D1646" s="49" t="s">
        <v>1151</v>
      </c>
      <c r="E1646" s="49" t="s">
        <v>1183</v>
      </c>
      <c r="F1646" s="49" t="s">
        <v>1439</v>
      </c>
      <c r="G1646" s="49" t="s">
        <v>772</v>
      </c>
      <c r="H1646" s="49" t="s">
        <v>1132</v>
      </c>
      <c r="I1646" s="49" t="s">
        <v>885</v>
      </c>
    </row>
    <row r="1647" customFormat="false" ht="25.5" hidden="false" customHeight="true" outlineLevel="0" collapsed="false">
      <c r="A1647" s="49" t="s">
        <v>1115</v>
      </c>
      <c r="B1647" s="49" t="s">
        <v>1403</v>
      </c>
      <c r="C1647" s="49" t="s">
        <v>1440</v>
      </c>
      <c r="D1647" s="49" t="s">
        <v>1134</v>
      </c>
      <c r="E1647" s="49" t="s">
        <v>217</v>
      </c>
      <c r="F1647" s="49" t="s">
        <v>1441</v>
      </c>
      <c r="G1647" s="49" t="s">
        <v>772</v>
      </c>
      <c r="H1647" s="49" t="s">
        <v>1132</v>
      </c>
      <c r="I1647" s="49" t="s">
        <v>885</v>
      </c>
    </row>
    <row r="1648" customFormat="false" ht="25.5" hidden="false" customHeight="true" outlineLevel="0" collapsed="false">
      <c r="A1648" s="49" t="s">
        <v>1115</v>
      </c>
      <c r="B1648" s="49" t="s">
        <v>1403</v>
      </c>
      <c r="C1648" s="49" t="s">
        <v>1442</v>
      </c>
      <c r="D1648" s="49" t="s">
        <v>1151</v>
      </c>
      <c r="E1648" s="49" t="s">
        <v>1443</v>
      </c>
      <c r="F1648" s="49" t="s">
        <v>1444</v>
      </c>
      <c r="G1648" s="49" t="s">
        <v>772</v>
      </c>
      <c r="H1648" s="49" t="s">
        <v>1132</v>
      </c>
      <c r="I1648" s="49" t="s">
        <v>885</v>
      </c>
    </row>
    <row r="1649" customFormat="false" ht="25.5" hidden="false" customHeight="true" outlineLevel="0" collapsed="false">
      <c r="A1649" s="49" t="s">
        <v>1115</v>
      </c>
      <c r="B1649" s="49" t="s">
        <v>1403</v>
      </c>
      <c r="C1649" s="49" t="s">
        <v>1445</v>
      </c>
      <c r="D1649" s="49" t="s">
        <v>1199</v>
      </c>
      <c r="E1649" s="49" t="s">
        <v>1183</v>
      </c>
      <c r="F1649" s="49" t="s">
        <v>1446</v>
      </c>
      <c r="G1649" s="49" t="s">
        <v>772</v>
      </c>
      <c r="H1649" s="49" t="s">
        <v>1132</v>
      </c>
      <c r="I1649" s="49" t="s">
        <v>885</v>
      </c>
    </row>
    <row r="1650" customFormat="false" ht="25.5" hidden="false" customHeight="true" outlineLevel="0" collapsed="false">
      <c r="A1650" s="49" t="s">
        <v>1115</v>
      </c>
      <c r="B1650" s="49" t="s">
        <v>1447</v>
      </c>
      <c r="C1650" s="49" t="s">
        <v>1171</v>
      </c>
      <c r="D1650" s="49" t="s">
        <v>1172</v>
      </c>
      <c r="E1650" s="49" t="s">
        <v>1173</v>
      </c>
      <c r="F1650" s="49" t="s">
        <v>1174</v>
      </c>
      <c r="G1650" s="49" t="s">
        <v>772</v>
      </c>
      <c r="H1650" s="49" t="s">
        <v>1132</v>
      </c>
      <c r="I1650" s="49" t="s">
        <v>885</v>
      </c>
    </row>
    <row r="1651" customFormat="false" ht="25.5" hidden="false" customHeight="true" outlineLevel="0" collapsed="false">
      <c r="A1651" s="49" t="s">
        <v>1115</v>
      </c>
      <c r="B1651" s="49" t="s">
        <v>1447</v>
      </c>
      <c r="C1651" s="49" t="s">
        <v>1448</v>
      </c>
      <c r="D1651" s="49" t="s">
        <v>1141</v>
      </c>
      <c r="E1651" s="49" t="s">
        <v>1449</v>
      </c>
      <c r="F1651" s="49" t="s">
        <v>1450</v>
      </c>
      <c r="G1651" s="49" t="s">
        <v>772</v>
      </c>
      <c r="H1651" s="49" t="s">
        <v>1132</v>
      </c>
      <c r="I1651" s="49" t="s">
        <v>885</v>
      </c>
    </row>
    <row r="1652" customFormat="false" ht="25.5" hidden="false" customHeight="true" outlineLevel="0" collapsed="false">
      <c r="A1652" s="49" t="s">
        <v>1115</v>
      </c>
      <c r="B1652" s="49" t="s">
        <v>1447</v>
      </c>
      <c r="C1652" s="49" t="s">
        <v>1451</v>
      </c>
      <c r="D1652" s="49" t="s">
        <v>1129</v>
      </c>
      <c r="E1652" s="49" t="s">
        <v>1452</v>
      </c>
      <c r="F1652" s="49" t="s">
        <v>1453</v>
      </c>
      <c r="G1652" s="49" t="s">
        <v>772</v>
      </c>
      <c r="H1652" s="49" t="s">
        <v>1132</v>
      </c>
      <c r="I1652" s="49" t="s">
        <v>885</v>
      </c>
    </row>
    <row r="1653" customFormat="false" ht="25.5" hidden="false" customHeight="true" outlineLevel="0" collapsed="false">
      <c r="A1653" s="49" t="s">
        <v>1115</v>
      </c>
      <c r="B1653" s="49" t="s">
        <v>1447</v>
      </c>
      <c r="C1653" s="49" t="s">
        <v>1454</v>
      </c>
      <c r="D1653" s="49" t="s">
        <v>1156</v>
      </c>
      <c r="E1653" s="49" t="s">
        <v>1455</v>
      </c>
      <c r="F1653" s="49" t="s">
        <v>1456</v>
      </c>
      <c r="G1653" s="49" t="s">
        <v>772</v>
      </c>
      <c r="H1653" s="49" t="s">
        <v>1132</v>
      </c>
      <c r="I1653" s="49" t="s">
        <v>885</v>
      </c>
    </row>
    <row r="1654" customFormat="false" ht="25.5" hidden="false" customHeight="true" outlineLevel="0" collapsed="false">
      <c r="A1654" s="49" t="s">
        <v>1115</v>
      </c>
      <c r="B1654" s="49" t="s">
        <v>1447</v>
      </c>
      <c r="C1654" s="49" t="s">
        <v>1457</v>
      </c>
      <c r="D1654" s="49" t="s">
        <v>1156</v>
      </c>
      <c r="E1654" s="49" t="s">
        <v>1455</v>
      </c>
      <c r="F1654" s="49" t="s">
        <v>1456</v>
      </c>
      <c r="G1654" s="49" t="s">
        <v>772</v>
      </c>
      <c r="H1654" s="49" t="s">
        <v>1132</v>
      </c>
      <c r="I1654" s="49" t="s">
        <v>885</v>
      </c>
    </row>
    <row r="1655" customFormat="false" ht="25.5" hidden="false" customHeight="true" outlineLevel="0" collapsed="false">
      <c r="A1655" s="49" t="s">
        <v>1115</v>
      </c>
      <c r="B1655" s="49" t="s">
        <v>1447</v>
      </c>
      <c r="C1655" s="49" t="s">
        <v>1458</v>
      </c>
      <c r="D1655" s="49" t="s">
        <v>1208</v>
      </c>
      <c r="E1655" s="49" t="s">
        <v>1183</v>
      </c>
      <c r="F1655" s="49" t="s">
        <v>1459</v>
      </c>
      <c r="G1655" s="49" t="s">
        <v>772</v>
      </c>
      <c r="H1655" s="49" t="s">
        <v>1132</v>
      </c>
      <c r="I1655" s="49" t="s">
        <v>885</v>
      </c>
    </row>
    <row r="1656" customFormat="false" ht="25.5" hidden="false" customHeight="true" outlineLevel="0" collapsed="false">
      <c r="A1656" s="49" t="s">
        <v>1115</v>
      </c>
      <c r="B1656" s="49" t="s">
        <v>1447</v>
      </c>
      <c r="C1656" s="49" t="s">
        <v>1460</v>
      </c>
      <c r="D1656" s="49" t="s">
        <v>1141</v>
      </c>
      <c r="E1656" s="49" t="s">
        <v>1183</v>
      </c>
      <c r="F1656" s="49" t="s">
        <v>1461</v>
      </c>
      <c r="G1656" s="49" t="s">
        <v>772</v>
      </c>
      <c r="H1656" s="49" t="s">
        <v>1132</v>
      </c>
      <c r="I1656" s="49" t="s">
        <v>885</v>
      </c>
    </row>
    <row r="1657" customFormat="false" ht="25.5" hidden="false" customHeight="true" outlineLevel="0" collapsed="false">
      <c r="A1657" s="49" t="s">
        <v>1115</v>
      </c>
      <c r="B1657" s="49" t="s">
        <v>1447</v>
      </c>
      <c r="C1657" s="49" t="s">
        <v>1462</v>
      </c>
      <c r="D1657" s="49" t="s">
        <v>1156</v>
      </c>
      <c r="E1657" s="49" t="s">
        <v>1183</v>
      </c>
      <c r="F1657" s="49" t="s">
        <v>1463</v>
      </c>
      <c r="G1657" s="49" t="s">
        <v>772</v>
      </c>
      <c r="H1657" s="49" t="s">
        <v>1132</v>
      </c>
      <c r="I1657" s="49" t="s">
        <v>885</v>
      </c>
    </row>
    <row r="1658" customFormat="false" ht="25.5" hidden="false" customHeight="true" outlineLevel="0" collapsed="false">
      <c r="A1658" s="49" t="s">
        <v>1115</v>
      </c>
      <c r="B1658" s="49" t="s">
        <v>1447</v>
      </c>
      <c r="C1658" s="49" t="s">
        <v>1464</v>
      </c>
      <c r="D1658" s="49" t="s">
        <v>1218</v>
      </c>
      <c r="E1658" s="49" t="s">
        <v>1183</v>
      </c>
      <c r="F1658" s="49" t="s">
        <v>1465</v>
      </c>
      <c r="G1658" s="49" t="s">
        <v>772</v>
      </c>
      <c r="H1658" s="49" t="s">
        <v>1132</v>
      </c>
      <c r="I1658" s="49" t="s">
        <v>885</v>
      </c>
    </row>
    <row r="1659" customFormat="false" ht="25.5" hidden="false" customHeight="true" outlineLevel="0" collapsed="false">
      <c r="A1659" s="49" t="s">
        <v>1115</v>
      </c>
      <c r="B1659" s="49" t="s">
        <v>1447</v>
      </c>
      <c r="C1659" s="49" t="s">
        <v>1466</v>
      </c>
      <c r="D1659" s="49" t="s">
        <v>1141</v>
      </c>
      <c r="E1659" s="49" t="s">
        <v>1183</v>
      </c>
      <c r="F1659" s="49" t="s">
        <v>1467</v>
      </c>
      <c r="G1659" s="49" t="s">
        <v>772</v>
      </c>
      <c r="H1659" s="49" t="s">
        <v>1132</v>
      </c>
      <c r="I1659" s="49" t="s">
        <v>885</v>
      </c>
    </row>
    <row r="1660" customFormat="false" ht="25.5" hidden="false" customHeight="true" outlineLevel="0" collapsed="false">
      <c r="A1660" s="49" t="s">
        <v>1115</v>
      </c>
      <c r="B1660" s="49" t="s">
        <v>1447</v>
      </c>
      <c r="C1660" s="49" t="s">
        <v>1468</v>
      </c>
      <c r="D1660" s="49" t="s">
        <v>1292</v>
      </c>
      <c r="E1660" s="49" t="s">
        <v>1183</v>
      </c>
      <c r="F1660" s="49" t="s">
        <v>1469</v>
      </c>
      <c r="G1660" s="49" t="s">
        <v>772</v>
      </c>
      <c r="H1660" s="49" t="s">
        <v>1132</v>
      </c>
      <c r="I1660" s="49" t="s">
        <v>885</v>
      </c>
    </row>
    <row r="1661" customFormat="false" ht="25.5" hidden="false" customHeight="true" outlineLevel="0" collapsed="false">
      <c r="A1661" s="49" t="s">
        <v>1115</v>
      </c>
      <c r="B1661" s="49" t="s">
        <v>1447</v>
      </c>
      <c r="C1661" s="49" t="s">
        <v>1470</v>
      </c>
      <c r="D1661" s="49" t="s">
        <v>1218</v>
      </c>
      <c r="E1661" s="49" t="s">
        <v>1183</v>
      </c>
      <c r="F1661" s="49" t="s">
        <v>1471</v>
      </c>
      <c r="G1661" s="49" t="s">
        <v>772</v>
      </c>
      <c r="H1661" s="49" t="s">
        <v>1132</v>
      </c>
      <c r="I1661" s="49" t="s">
        <v>885</v>
      </c>
    </row>
    <row r="1662" customFormat="false" ht="25.5" hidden="false" customHeight="true" outlineLevel="0" collapsed="false">
      <c r="A1662" s="49" t="s">
        <v>1115</v>
      </c>
      <c r="B1662" s="49" t="s">
        <v>1447</v>
      </c>
      <c r="C1662" s="49" t="s">
        <v>1472</v>
      </c>
      <c r="D1662" s="49" t="s">
        <v>1134</v>
      </c>
      <c r="E1662" s="49" t="s">
        <v>1405</v>
      </c>
      <c r="F1662" s="49" t="s">
        <v>1473</v>
      </c>
      <c r="G1662" s="49" t="s">
        <v>772</v>
      </c>
      <c r="H1662" s="49" t="s">
        <v>1132</v>
      </c>
      <c r="I1662" s="49" t="s">
        <v>885</v>
      </c>
    </row>
    <row r="1663" customFormat="false" ht="25.5" hidden="false" customHeight="true" outlineLevel="0" collapsed="false">
      <c r="A1663" s="49" t="s">
        <v>1115</v>
      </c>
      <c r="B1663" s="49" t="s">
        <v>1447</v>
      </c>
      <c r="C1663" s="49" t="s">
        <v>1474</v>
      </c>
      <c r="D1663" s="49" t="s">
        <v>1208</v>
      </c>
      <c r="E1663" s="49" t="s">
        <v>1475</v>
      </c>
      <c r="F1663" s="49" t="s">
        <v>1476</v>
      </c>
      <c r="G1663" s="49" t="s">
        <v>772</v>
      </c>
      <c r="H1663" s="49" t="s">
        <v>1132</v>
      </c>
      <c r="I1663" s="49" t="s">
        <v>885</v>
      </c>
    </row>
    <row r="1664" customFormat="false" ht="25.5" hidden="false" customHeight="true" outlineLevel="0" collapsed="false">
      <c r="A1664" s="49" t="s">
        <v>1115</v>
      </c>
      <c r="B1664" s="49" t="s">
        <v>1447</v>
      </c>
      <c r="C1664" s="49" t="s">
        <v>1477</v>
      </c>
      <c r="D1664" s="49" t="s">
        <v>1162</v>
      </c>
      <c r="E1664" s="49" t="s">
        <v>1478</v>
      </c>
      <c r="F1664" s="49" t="s">
        <v>1479</v>
      </c>
      <c r="G1664" s="49" t="s">
        <v>772</v>
      </c>
      <c r="H1664" s="49" t="s">
        <v>1132</v>
      </c>
      <c r="I1664" s="49" t="s">
        <v>885</v>
      </c>
    </row>
    <row r="1665" customFormat="false" ht="25.5" hidden="false" customHeight="true" outlineLevel="0" collapsed="false">
      <c r="A1665" s="49" t="s">
        <v>1115</v>
      </c>
      <c r="B1665" s="49" t="s">
        <v>1447</v>
      </c>
      <c r="C1665" s="49" t="s">
        <v>1480</v>
      </c>
      <c r="D1665" s="49" t="s">
        <v>1199</v>
      </c>
      <c r="E1665" s="49" t="s">
        <v>1135</v>
      </c>
      <c r="F1665" s="49" t="s">
        <v>1473</v>
      </c>
      <c r="G1665" s="49" t="s">
        <v>772</v>
      </c>
      <c r="H1665" s="49" t="s">
        <v>1132</v>
      </c>
      <c r="I1665" s="49" t="s">
        <v>885</v>
      </c>
    </row>
    <row r="1666" customFormat="false" ht="25.5" hidden="false" customHeight="true" outlineLevel="0" collapsed="false">
      <c r="A1666" s="49" t="s">
        <v>1115</v>
      </c>
      <c r="B1666" s="49" t="s">
        <v>1447</v>
      </c>
      <c r="C1666" s="49" t="s">
        <v>1481</v>
      </c>
      <c r="D1666" s="49" t="s">
        <v>1292</v>
      </c>
      <c r="E1666" s="49" t="s">
        <v>1135</v>
      </c>
      <c r="F1666" s="49" t="s">
        <v>1473</v>
      </c>
      <c r="G1666" s="49" t="s">
        <v>772</v>
      </c>
      <c r="H1666" s="49" t="s">
        <v>1132</v>
      </c>
      <c r="I1666" s="49" t="s">
        <v>885</v>
      </c>
    </row>
    <row r="1667" customFormat="false" ht="25.5" hidden="false" customHeight="true" outlineLevel="0" collapsed="false">
      <c r="A1667" s="49" t="s">
        <v>1115</v>
      </c>
      <c r="B1667" s="49" t="s">
        <v>1447</v>
      </c>
      <c r="C1667" s="49" t="s">
        <v>1482</v>
      </c>
      <c r="D1667" s="49" t="s">
        <v>1199</v>
      </c>
      <c r="E1667" s="49" t="s">
        <v>1483</v>
      </c>
      <c r="F1667" s="49" t="s">
        <v>1484</v>
      </c>
      <c r="G1667" s="49" t="s">
        <v>772</v>
      </c>
      <c r="H1667" s="49" t="s">
        <v>1132</v>
      </c>
      <c r="I1667" s="49" t="s">
        <v>885</v>
      </c>
    </row>
    <row r="1668" customFormat="false" ht="25.5" hidden="false" customHeight="true" outlineLevel="0" collapsed="false">
      <c r="A1668" s="49" t="s">
        <v>1115</v>
      </c>
      <c r="B1668" s="49" t="s">
        <v>1447</v>
      </c>
      <c r="C1668" s="49" t="s">
        <v>1485</v>
      </c>
      <c r="D1668" s="49" t="s">
        <v>1151</v>
      </c>
      <c r="E1668" s="49" t="s">
        <v>1135</v>
      </c>
      <c r="F1668" s="49" t="s">
        <v>1473</v>
      </c>
      <c r="G1668" s="49" t="s">
        <v>772</v>
      </c>
      <c r="H1668" s="49" t="s">
        <v>1132</v>
      </c>
      <c r="I1668" s="49" t="s">
        <v>885</v>
      </c>
    </row>
    <row r="1669" customFormat="false" ht="25.5" hidden="false" customHeight="true" outlineLevel="0" collapsed="false">
      <c r="A1669" s="49" t="s">
        <v>1115</v>
      </c>
      <c r="B1669" s="49" t="s">
        <v>1447</v>
      </c>
      <c r="C1669" s="49" t="s">
        <v>1486</v>
      </c>
      <c r="D1669" s="49" t="s">
        <v>1199</v>
      </c>
      <c r="E1669" s="49" t="s">
        <v>1135</v>
      </c>
      <c r="F1669" s="49" t="s">
        <v>1473</v>
      </c>
      <c r="G1669" s="49" t="s">
        <v>772</v>
      </c>
      <c r="H1669" s="49" t="s">
        <v>1132</v>
      </c>
      <c r="I1669" s="49" t="s">
        <v>885</v>
      </c>
    </row>
    <row r="1670" customFormat="false" ht="25.5" hidden="false" customHeight="true" outlineLevel="0" collapsed="false">
      <c r="A1670" s="49" t="s">
        <v>1115</v>
      </c>
      <c r="B1670" s="49" t="s">
        <v>1447</v>
      </c>
      <c r="C1670" s="49" t="s">
        <v>1487</v>
      </c>
      <c r="D1670" s="49" t="s">
        <v>1148</v>
      </c>
      <c r="E1670" s="49" t="s">
        <v>1135</v>
      </c>
      <c r="F1670" s="49" t="s">
        <v>1473</v>
      </c>
      <c r="G1670" s="49" t="s">
        <v>772</v>
      </c>
      <c r="H1670" s="49" t="s">
        <v>1132</v>
      </c>
      <c r="I1670" s="49" t="s">
        <v>885</v>
      </c>
    </row>
    <row r="1671" customFormat="false" ht="25.5" hidden="false" customHeight="true" outlineLevel="0" collapsed="false">
      <c r="A1671" s="49" t="s">
        <v>1115</v>
      </c>
      <c r="B1671" s="49" t="s">
        <v>1447</v>
      </c>
      <c r="C1671" s="49" t="s">
        <v>1488</v>
      </c>
      <c r="D1671" s="49" t="s">
        <v>1151</v>
      </c>
      <c r="E1671" s="49" t="s">
        <v>1135</v>
      </c>
      <c r="F1671" s="49" t="s">
        <v>1473</v>
      </c>
      <c r="G1671" s="49" t="s">
        <v>772</v>
      </c>
      <c r="H1671" s="49" t="s">
        <v>1132</v>
      </c>
      <c r="I1671" s="49" t="s">
        <v>885</v>
      </c>
    </row>
    <row r="1672" customFormat="false" ht="25.5" hidden="false" customHeight="true" outlineLevel="0" collapsed="false">
      <c r="A1672" s="49" t="s">
        <v>1115</v>
      </c>
      <c r="B1672" s="49" t="s">
        <v>1447</v>
      </c>
      <c r="C1672" s="49" t="s">
        <v>1489</v>
      </c>
      <c r="D1672" s="49" t="s">
        <v>1151</v>
      </c>
      <c r="E1672" s="49" t="s">
        <v>1135</v>
      </c>
      <c r="F1672" s="49" t="s">
        <v>1473</v>
      </c>
      <c r="G1672" s="49" t="s">
        <v>772</v>
      </c>
      <c r="H1672" s="49" t="s">
        <v>1132</v>
      </c>
      <c r="I1672" s="49" t="s">
        <v>885</v>
      </c>
    </row>
    <row r="1673" customFormat="false" ht="25.5" hidden="false" customHeight="true" outlineLevel="0" collapsed="false">
      <c r="A1673" s="49" t="s">
        <v>1115</v>
      </c>
      <c r="B1673" s="49" t="s">
        <v>1447</v>
      </c>
      <c r="C1673" s="49" t="s">
        <v>1490</v>
      </c>
      <c r="D1673" s="49" t="s">
        <v>1141</v>
      </c>
      <c r="E1673" s="49" t="s">
        <v>1135</v>
      </c>
      <c r="F1673" s="49" t="s">
        <v>1473</v>
      </c>
      <c r="G1673" s="49" t="s">
        <v>772</v>
      </c>
      <c r="H1673" s="49" t="s">
        <v>1132</v>
      </c>
      <c r="I1673" s="49" t="s">
        <v>885</v>
      </c>
    </row>
    <row r="1674" customFormat="false" ht="25.5" hidden="false" customHeight="true" outlineLevel="0" collapsed="false">
      <c r="A1674" s="49" t="s">
        <v>1115</v>
      </c>
      <c r="B1674" s="49" t="s">
        <v>1447</v>
      </c>
      <c r="C1674" s="49" t="s">
        <v>1491</v>
      </c>
      <c r="D1674" s="49" t="s">
        <v>1218</v>
      </c>
      <c r="E1674" s="49" t="s">
        <v>1135</v>
      </c>
      <c r="F1674" s="49" t="s">
        <v>1473</v>
      </c>
      <c r="G1674" s="49" t="s">
        <v>772</v>
      </c>
      <c r="H1674" s="49" t="s">
        <v>1132</v>
      </c>
      <c r="I1674" s="49" t="s">
        <v>885</v>
      </c>
    </row>
    <row r="1675" customFormat="false" ht="25.5" hidden="false" customHeight="true" outlineLevel="0" collapsed="false">
      <c r="A1675" s="49" t="s">
        <v>1115</v>
      </c>
      <c r="B1675" s="49" t="s">
        <v>1447</v>
      </c>
      <c r="C1675" s="49" t="s">
        <v>1492</v>
      </c>
      <c r="D1675" s="49" t="s">
        <v>1156</v>
      </c>
      <c r="E1675" s="49" t="s">
        <v>1135</v>
      </c>
      <c r="F1675" s="49" t="s">
        <v>1473</v>
      </c>
      <c r="G1675" s="49" t="s">
        <v>772</v>
      </c>
      <c r="H1675" s="49" t="s">
        <v>1132</v>
      </c>
      <c r="I1675" s="49" t="s">
        <v>885</v>
      </c>
    </row>
    <row r="1676" customFormat="false" ht="25.5" hidden="false" customHeight="true" outlineLevel="0" collapsed="false">
      <c r="A1676" s="49" t="s">
        <v>1115</v>
      </c>
      <c r="B1676" s="49" t="s">
        <v>1447</v>
      </c>
      <c r="C1676" s="49" t="s">
        <v>1493</v>
      </c>
      <c r="D1676" s="49" t="s">
        <v>1134</v>
      </c>
      <c r="E1676" s="49" t="s">
        <v>1183</v>
      </c>
      <c r="F1676" s="49" t="s">
        <v>1408</v>
      </c>
      <c r="G1676" s="49" t="s">
        <v>772</v>
      </c>
      <c r="H1676" s="49" t="s">
        <v>1132</v>
      </c>
      <c r="I1676" s="49" t="s">
        <v>885</v>
      </c>
    </row>
    <row r="1677" customFormat="false" ht="25.5" hidden="false" customHeight="true" outlineLevel="0" collapsed="false">
      <c r="A1677" s="49" t="s">
        <v>1115</v>
      </c>
      <c r="B1677" s="49" t="s">
        <v>1447</v>
      </c>
      <c r="C1677" s="49" t="s">
        <v>1494</v>
      </c>
      <c r="D1677" s="49" t="s">
        <v>1151</v>
      </c>
      <c r="E1677" s="49" t="s">
        <v>1135</v>
      </c>
      <c r="F1677" s="49" t="s">
        <v>1473</v>
      </c>
      <c r="G1677" s="49" t="s">
        <v>772</v>
      </c>
      <c r="H1677" s="49" t="s">
        <v>1132</v>
      </c>
      <c r="I1677" s="49" t="s">
        <v>885</v>
      </c>
    </row>
    <row r="1678" customFormat="false" ht="25.5" hidden="false" customHeight="true" outlineLevel="0" collapsed="false">
      <c r="A1678" s="49" t="s">
        <v>1115</v>
      </c>
      <c r="B1678" s="49" t="s">
        <v>879</v>
      </c>
      <c r="C1678" s="49" t="s">
        <v>880</v>
      </c>
      <c r="D1678" s="49" t="s">
        <v>881</v>
      </c>
      <c r="E1678" s="49" t="s">
        <v>882</v>
      </c>
      <c r="F1678" s="49" t="s">
        <v>883</v>
      </c>
      <c r="G1678" s="49" t="s">
        <v>772</v>
      </c>
      <c r="H1678" s="49" t="s">
        <v>1132</v>
      </c>
      <c r="I1678" s="49" t="s">
        <v>885</v>
      </c>
    </row>
    <row r="1679" customFormat="false" ht="25.5" hidden="false" customHeight="true" outlineLevel="0" collapsed="false">
      <c r="A1679" s="49" t="s">
        <v>1115</v>
      </c>
      <c r="B1679" s="49" t="s">
        <v>879</v>
      </c>
      <c r="C1679" s="49" t="s">
        <v>943</v>
      </c>
      <c r="D1679" s="49" t="s">
        <v>944</v>
      </c>
      <c r="E1679" s="49" t="s">
        <v>843</v>
      </c>
      <c r="F1679" s="49" t="s">
        <v>945</v>
      </c>
      <c r="G1679" s="49" t="s">
        <v>772</v>
      </c>
      <c r="H1679" s="49" t="s">
        <v>1132</v>
      </c>
      <c r="I1679" s="49" t="s">
        <v>885</v>
      </c>
    </row>
    <row r="1680" customFormat="false" ht="25.5" hidden="false" customHeight="true" outlineLevel="0" collapsed="false">
      <c r="A1680" s="49" t="s">
        <v>1115</v>
      </c>
      <c r="B1680" s="49" t="s">
        <v>879</v>
      </c>
      <c r="C1680" s="49" t="s">
        <v>999</v>
      </c>
      <c r="D1680" s="49" t="s">
        <v>890</v>
      </c>
      <c r="E1680" s="49" t="s">
        <v>146</v>
      </c>
      <c r="F1680" s="49" t="s">
        <v>1000</v>
      </c>
      <c r="G1680" s="49" t="s">
        <v>772</v>
      </c>
      <c r="H1680" s="49" t="s">
        <v>1132</v>
      </c>
      <c r="I1680" s="49" t="s">
        <v>885</v>
      </c>
    </row>
    <row r="1681" customFormat="false" ht="25.5" hidden="false" customHeight="true" outlineLevel="0" collapsed="false">
      <c r="A1681" s="49" t="s">
        <v>1115</v>
      </c>
      <c r="B1681" s="49" t="s">
        <v>891</v>
      </c>
      <c r="C1681" s="49" t="s">
        <v>1498</v>
      </c>
      <c r="D1681" s="49" t="s">
        <v>1499</v>
      </c>
      <c r="E1681" s="49" t="s">
        <v>1142</v>
      </c>
      <c r="F1681" s="49" t="s">
        <v>1500</v>
      </c>
      <c r="G1681" s="49" t="s">
        <v>772</v>
      </c>
      <c r="H1681" s="49" t="s">
        <v>1132</v>
      </c>
      <c r="I1681" s="49" t="s">
        <v>885</v>
      </c>
    </row>
    <row r="1682" customFormat="false" ht="25.5" hidden="false" customHeight="true" outlineLevel="0" collapsed="false">
      <c r="A1682" s="49" t="s">
        <v>1115</v>
      </c>
      <c r="B1682" s="49" t="s">
        <v>891</v>
      </c>
      <c r="C1682" s="49" t="s">
        <v>1501</v>
      </c>
      <c r="D1682" s="49" t="s">
        <v>1004</v>
      </c>
      <c r="E1682" s="49" t="s">
        <v>1502</v>
      </c>
      <c r="F1682" s="49" t="s">
        <v>1008</v>
      </c>
      <c r="G1682" s="49" t="s">
        <v>772</v>
      </c>
      <c r="H1682" s="49" t="s">
        <v>1132</v>
      </c>
      <c r="I1682" s="49" t="s">
        <v>885</v>
      </c>
    </row>
    <row r="1683" customFormat="false" ht="25.5" hidden="false" customHeight="true" outlineLevel="0" collapsed="false">
      <c r="A1683" s="49" t="s">
        <v>1115</v>
      </c>
      <c r="B1683" s="49" t="s">
        <v>891</v>
      </c>
      <c r="C1683" s="49" t="s">
        <v>892</v>
      </c>
      <c r="D1683" s="49"/>
      <c r="E1683" s="49" t="s">
        <v>893</v>
      </c>
      <c r="F1683" s="49" t="s">
        <v>894</v>
      </c>
      <c r="G1683" s="49" t="s">
        <v>772</v>
      </c>
      <c r="H1683" s="49" t="s">
        <v>1132</v>
      </c>
      <c r="I1683" s="49" t="s">
        <v>885</v>
      </c>
    </row>
    <row r="1684" customFormat="false" ht="25.5" hidden="false" customHeight="true" outlineLevel="0" collapsed="false">
      <c r="A1684" s="49" t="s">
        <v>1115</v>
      </c>
      <c r="B1684" s="49" t="s">
        <v>891</v>
      </c>
      <c r="C1684" s="49" t="s">
        <v>1006</v>
      </c>
      <c r="D1684" s="49" t="s">
        <v>1007</v>
      </c>
      <c r="E1684" s="49" t="s">
        <v>146</v>
      </c>
      <c r="F1684" s="49" t="s">
        <v>1008</v>
      </c>
      <c r="G1684" s="49" t="s">
        <v>772</v>
      </c>
      <c r="H1684" s="49" t="s">
        <v>1132</v>
      </c>
      <c r="I1684" s="49" t="s">
        <v>885</v>
      </c>
    </row>
    <row r="1685" customFormat="false" ht="25.5" hidden="false" customHeight="true" outlineLevel="0" collapsed="false">
      <c r="A1685" s="49" t="s">
        <v>1115</v>
      </c>
      <c r="B1685" s="49" t="s">
        <v>1009</v>
      </c>
      <c r="C1685" s="49" t="s">
        <v>1504</v>
      </c>
      <c r="D1685" s="49" t="s">
        <v>1011</v>
      </c>
      <c r="E1685" s="49" t="s">
        <v>1189</v>
      </c>
      <c r="F1685" s="49" t="s">
        <v>1505</v>
      </c>
      <c r="G1685" s="49" t="s">
        <v>772</v>
      </c>
      <c r="H1685" s="49" t="s">
        <v>1132</v>
      </c>
      <c r="I1685" s="49" t="s">
        <v>885</v>
      </c>
    </row>
    <row r="1686" customFormat="false" ht="25.5" hidden="false" customHeight="true" outlineLevel="0" collapsed="false">
      <c r="A1686" s="49" t="s">
        <v>1115</v>
      </c>
      <c r="B1686" s="49" t="s">
        <v>1009</v>
      </c>
      <c r="C1686" s="49" t="s">
        <v>1014</v>
      </c>
      <c r="D1686" s="49" t="s">
        <v>1011</v>
      </c>
      <c r="E1686" s="49" t="s">
        <v>1015</v>
      </c>
      <c r="F1686" s="49" t="s">
        <v>1016</v>
      </c>
      <c r="G1686" s="49" t="s">
        <v>772</v>
      </c>
      <c r="H1686" s="49" t="s">
        <v>1132</v>
      </c>
      <c r="I1686" s="49" t="s">
        <v>885</v>
      </c>
    </row>
    <row r="1687" customFormat="false" ht="25.5" hidden="false" customHeight="true" outlineLevel="0" collapsed="false">
      <c r="A1687" s="49" t="s">
        <v>1115</v>
      </c>
      <c r="B1687" s="49" t="s">
        <v>950</v>
      </c>
      <c r="C1687" s="49" t="s">
        <v>951</v>
      </c>
      <c r="D1687" s="49"/>
      <c r="E1687" s="49" t="s">
        <v>217</v>
      </c>
      <c r="F1687" s="49" t="s">
        <v>952</v>
      </c>
      <c r="G1687" s="49" t="s">
        <v>772</v>
      </c>
      <c r="H1687" s="49" t="s">
        <v>1132</v>
      </c>
      <c r="I1687" s="49" t="s">
        <v>885</v>
      </c>
    </row>
    <row r="1688" customFormat="false" ht="25.5" hidden="false" customHeight="true" outlineLevel="0" collapsed="false">
      <c r="A1688" s="49" t="s">
        <v>1115</v>
      </c>
      <c r="B1688" s="49" t="s">
        <v>950</v>
      </c>
      <c r="C1688" s="49" t="s">
        <v>953</v>
      </c>
      <c r="D1688" s="49" t="s">
        <v>954</v>
      </c>
      <c r="E1688" s="49" t="s">
        <v>217</v>
      </c>
      <c r="F1688" s="49" t="s">
        <v>955</v>
      </c>
      <c r="G1688" s="49" t="s">
        <v>772</v>
      </c>
      <c r="H1688" s="49" t="s">
        <v>1132</v>
      </c>
      <c r="I1688" s="49" t="s">
        <v>885</v>
      </c>
    </row>
    <row r="1689" customFormat="false" ht="25.5" hidden="false" customHeight="true" outlineLevel="0" collapsed="false">
      <c r="A1689" s="49" t="s">
        <v>1115</v>
      </c>
      <c r="B1689" s="49" t="s">
        <v>950</v>
      </c>
      <c r="C1689" s="49" t="s">
        <v>956</v>
      </c>
      <c r="D1689" s="49" t="s">
        <v>954</v>
      </c>
      <c r="E1689" s="49" t="s">
        <v>957</v>
      </c>
      <c r="F1689" s="49" t="s">
        <v>958</v>
      </c>
      <c r="G1689" s="49" t="s">
        <v>772</v>
      </c>
      <c r="H1689" s="49" t="s">
        <v>1132</v>
      </c>
      <c r="I1689" s="49" t="s">
        <v>885</v>
      </c>
    </row>
    <row r="1690" customFormat="false" ht="25.5" hidden="false" customHeight="true" outlineLevel="0" collapsed="false">
      <c r="A1690" s="49" t="s">
        <v>1115</v>
      </c>
      <c r="B1690" s="49" t="s">
        <v>950</v>
      </c>
      <c r="C1690" s="49" t="s">
        <v>1024</v>
      </c>
      <c r="D1690" s="49" t="s">
        <v>1025</v>
      </c>
      <c r="E1690" s="49" t="s">
        <v>146</v>
      </c>
      <c r="F1690" s="49" t="s">
        <v>1026</v>
      </c>
      <c r="G1690" s="49" t="s">
        <v>772</v>
      </c>
      <c r="H1690" s="49" t="s">
        <v>1132</v>
      </c>
      <c r="I1690" s="49" t="s">
        <v>885</v>
      </c>
    </row>
    <row r="1691" customFormat="false" ht="25.5" hidden="false" customHeight="true" outlineLevel="0" collapsed="false">
      <c r="A1691" s="49" t="s">
        <v>1115</v>
      </c>
      <c r="B1691" s="49" t="s">
        <v>896</v>
      </c>
      <c r="C1691" s="49" t="s">
        <v>1028</v>
      </c>
      <c r="D1691" s="49" t="s">
        <v>1029</v>
      </c>
      <c r="E1691" s="49" t="s">
        <v>146</v>
      </c>
      <c r="F1691" s="49" t="s">
        <v>1030</v>
      </c>
      <c r="G1691" s="49" t="s">
        <v>772</v>
      </c>
      <c r="H1691" s="49" t="s">
        <v>1132</v>
      </c>
      <c r="I1691" s="49" t="s">
        <v>885</v>
      </c>
    </row>
    <row r="1692" customFormat="false" ht="25.5" hidden="false" customHeight="true" outlineLevel="0" collapsed="false">
      <c r="A1692" s="49" t="s">
        <v>1115</v>
      </c>
      <c r="B1692" s="49" t="s">
        <v>907</v>
      </c>
      <c r="C1692" s="49" t="s">
        <v>1507</v>
      </c>
      <c r="D1692" s="49" t="s">
        <v>1032</v>
      </c>
      <c r="E1692" s="49" t="s">
        <v>1142</v>
      </c>
      <c r="F1692" s="49" t="s">
        <v>1500</v>
      </c>
      <c r="G1692" s="49" t="s">
        <v>772</v>
      </c>
      <c r="H1692" s="49" t="s">
        <v>1132</v>
      </c>
      <c r="I1692" s="49" t="s">
        <v>885</v>
      </c>
    </row>
    <row r="1693" customFormat="false" ht="25.5" hidden="false" customHeight="true" outlineLevel="0" collapsed="false">
      <c r="A1693" s="49" t="s">
        <v>1115</v>
      </c>
      <c r="B1693" s="49" t="s">
        <v>907</v>
      </c>
      <c r="C1693" s="49" t="s">
        <v>1508</v>
      </c>
      <c r="D1693" s="49" t="s">
        <v>1034</v>
      </c>
      <c r="E1693" s="49" t="s">
        <v>1142</v>
      </c>
      <c r="F1693" s="49" t="s">
        <v>1500</v>
      </c>
      <c r="G1693" s="49" t="s">
        <v>772</v>
      </c>
      <c r="H1693" s="49" t="s">
        <v>1132</v>
      </c>
      <c r="I1693" s="49" t="s">
        <v>885</v>
      </c>
    </row>
    <row r="1694" customFormat="false" ht="25.5" hidden="false" customHeight="true" outlineLevel="0" collapsed="false">
      <c r="A1694" s="49" t="s">
        <v>1115</v>
      </c>
      <c r="B1694" s="49" t="s">
        <v>907</v>
      </c>
      <c r="C1694" s="49" t="s">
        <v>1509</v>
      </c>
      <c r="D1694" s="49" t="s">
        <v>1032</v>
      </c>
      <c r="E1694" s="49" t="s">
        <v>1189</v>
      </c>
      <c r="F1694" s="49" t="s">
        <v>1500</v>
      </c>
      <c r="G1694" s="49" t="s">
        <v>772</v>
      </c>
      <c r="H1694" s="49" t="s">
        <v>1132</v>
      </c>
      <c r="I1694" s="49" t="s">
        <v>885</v>
      </c>
    </row>
    <row r="1695" customFormat="false" ht="25.5" hidden="false" customHeight="true" outlineLevel="0" collapsed="false">
      <c r="A1695" s="49" t="s">
        <v>1115</v>
      </c>
      <c r="B1695" s="49" t="s">
        <v>907</v>
      </c>
      <c r="C1695" s="49" t="s">
        <v>1035</v>
      </c>
      <c r="D1695" s="49" t="s">
        <v>1034</v>
      </c>
      <c r="E1695" s="49" t="s">
        <v>1036</v>
      </c>
      <c r="F1695" s="49" t="s">
        <v>1037</v>
      </c>
      <c r="G1695" s="49" t="s">
        <v>772</v>
      </c>
      <c r="H1695" s="49" t="s">
        <v>1132</v>
      </c>
      <c r="I1695" s="49" t="s">
        <v>885</v>
      </c>
    </row>
    <row r="1696" customFormat="false" ht="25.5" hidden="false" customHeight="true" outlineLevel="0" collapsed="false">
      <c r="A1696" s="49" t="s">
        <v>1115</v>
      </c>
      <c r="B1696" s="49" t="s">
        <v>907</v>
      </c>
      <c r="C1696" s="49" t="s">
        <v>1510</v>
      </c>
      <c r="D1696" s="49"/>
      <c r="E1696" s="49" t="s">
        <v>1511</v>
      </c>
      <c r="F1696" s="49" t="s">
        <v>1512</v>
      </c>
      <c r="G1696" s="49" t="s">
        <v>772</v>
      </c>
      <c r="H1696" s="49" t="s">
        <v>1132</v>
      </c>
      <c r="I1696" s="49" t="s">
        <v>885</v>
      </c>
    </row>
    <row r="1697" customFormat="false" ht="25.5" hidden="false" customHeight="true" outlineLevel="0" collapsed="false">
      <c r="A1697" s="49" t="s">
        <v>1115</v>
      </c>
      <c r="B1697" s="49" t="s">
        <v>907</v>
      </c>
      <c r="C1697" s="49" t="s">
        <v>960</v>
      </c>
      <c r="D1697" s="49"/>
      <c r="E1697" s="49" t="s">
        <v>217</v>
      </c>
      <c r="F1697" s="49" t="s">
        <v>961</v>
      </c>
      <c r="G1697" s="49" t="s">
        <v>772</v>
      </c>
      <c r="H1697" s="49" t="s">
        <v>1132</v>
      </c>
      <c r="I1697" s="49" t="s">
        <v>885</v>
      </c>
    </row>
    <row r="1698" customFormat="false" ht="25.5" hidden="false" customHeight="true" outlineLevel="0" collapsed="false">
      <c r="A1698" s="49" t="s">
        <v>1115</v>
      </c>
      <c r="B1698" s="49" t="s">
        <v>915</v>
      </c>
      <c r="C1698" s="49" t="s">
        <v>1513</v>
      </c>
      <c r="D1698" s="49" t="s">
        <v>1029</v>
      </c>
      <c r="E1698" s="49" t="s">
        <v>1186</v>
      </c>
      <c r="F1698" s="49" t="s">
        <v>1514</v>
      </c>
      <c r="G1698" s="49" t="s">
        <v>772</v>
      </c>
      <c r="H1698" s="49" t="s">
        <v>1132</v>
      </c>
      <c r="I1698" s="49" t="s">
        <v>885</v>
      </c>
    </row>
    <row r="1699" customFormat="false" ht="25.5" hidden="false" customHeight="true" outlineLevel="0" collapsed="false">
      <c r="A1699" s="49" t="s">
        <v>1115</v>
      </c>
      <c r="B1699" s="49" t="s">
        <v>915</v>
      </c>
      <c r="C1699" s="49" t="s">
        <v>1515</v>
      </c>
      <c r="D1699" s="49" t="s">
        <v>929</v>
      </c>
      <c r="E1699" s="49" t="s">
        <v>1186</v>
      </c>
      <c r="F1699" s="49" t="s">
        <v>1516</v>
      </c>
      <c r="G1699" s="49" t="s">
        <v>772</v>
      </c>
      <c r="H1699" s="49" t="s">
        <v>1132</v>
      </c>
      <c r="I1699" s="49" t="s">
        <v>885</v>
      </c>
    </row>
    <row r="1700" customFormat="false" ht="25.5" hidden="false" customHeight="true" outlineLevel="0" collapsed="false">
      <c r="A1700" s="49" t="s">
        <v>1115</v>
      </c>
      <c r="B1700" s="49" t="s">
        <v>915</v>
      </c>
      <c r="C1700" s="49" t="s">
        <v>1629</v>
      </c>
      <c r="D1700" s="49" t="s">
        <v>1034</v>
      </c>
      <c r="E1700" s="49" t="s">
        <v>1630</v>
      </c>
      <c r="F1700" s="49"/>
      <c r="G1700" s="49" t="s">
        <v>772</v>
      </c>
      <c r="H1700" s="49" t="s">
        <v>1631</v>
      </c>
      <c r="I1700" s="49" t="s">
        <v>885</v>
      </c>
    </row>
    <row r="1701" customFormat="false" ht="25.5" hidden="false" customHeight="true" outlineLevel="0" collapsed="false">
      <c r="A1701" s="49" t="s">
        <v>1115</v>
      </c>
      <c r="B1701" s="49" t="s">
        <v>915</v>
      </c>
      <c r="C1701" s="49" t="s">
        <v>1632</v>
      </c>
      <c r="D1701" s="49" t="s">
        <v>903</v>
      </c>
      <c r="E1701" s="49" t="s">
        <v>1630</v>
      </c>
      <c r="F1701" s="49"/>
      <c r="G1701" s="49" t="s">
        <v>772</v>
      </c>
      <c r="H1701" s="49" t="s">
        <v>1631</v>
      </c>
      <c r="I1701" s="49" t="s">
        <v>885</v>
      </c>
    </row>
    <row r="1702" customFormat="false" ht="25.5" hidden="false" customHeight="true" outlineLevel="0" collapsed="false">
      <c r="A1702" s="49" t="s">
        <v>1115</v>
      </c>
      <c r="B1702" s="49" t="s">
        <v>915</v>
      </c>
      <c r="C1702" s="49" t="s">
        <v>1044</v>
      </c>
      <c r="D1702" s="49" t="s">
        <v>1045</v>
      </c>
      <c r="E1702" s="49" t="s">
        <v>146</v>
      </c>
      <c r="F1702" s="49" t="s">
        <v>1046</v>
      </c>
      <c r="G1702" s="49" t="s">
        <v>772</v>
      </c>
      <c r="H1702" s="49" t="s">
        <v>1132</v>
      </c>
      <c r="I1702" s="49" t="s">
        <v>885</v>
      </c>
    </row>
    <row r="1703" customFormat="false" ht="25.5" hidden="false" customHeight="true" outlineLevel="0" collapsed="false">
      <c r="A1703" s="49" t="s">
        <v>1115</v>
      </c>
      <c r="B1703" s="49" t="s">
        <v>1047</v>
      </c>
      <c r="C1703" s="49" t="s">
        <v>1517</v>
      </c>
      <c r="D1703" s="49" t="s">
        <v>965</v>
      </c>
      <c r="E1703" s="49" t="s">
        <v>1186</v>
      </c>
      <c r="F1703" s="49" t="s">
        <v>1518</v>
      </c>
      <c r="G1703" s="49" t="s">
        <v>772</v>
      </c>
      <c r="H1703" s="49" t="s">
        <v>1132</v>
      </c>
      <c r="I1703" s="49" t="s">
        <v>885</v>
      </c>
    </row>
    <row r="1704" customFormat="false" ht="25.5" hidden="false" customHeight="true" outlineLevel="0" collapsed="false">
      <c r="A1704" s="49" t="s">
        <v>1115</v>
      </c>
      <c r="B1704" s="49" t="s">
        <v>917</v>
      </c>
      <c r="C1704" s="49" t="s">
        <v>1519</v>
      </c>
      <c r="D1704" s="49" t="s">
        <v>968</v>
      </c>
      <c r="E1704" s="49" t="s">
        <v>1520</v>
      </c>
      <c r="F1704" s="49" t="s">
        <v>1352</v>
      </c>
      <c r="G1704" s="49" t="s">
        <v>772</v>
      </c>
      <c r="H1704" s="49" t="s">
        <v>1132</v>
      </c>
      <c r="I1704" s="49" t="s">
        <v>885</v>
      </c>
    </row>
    <row r="1705" customFormat="false" ht="25.5" hidden="false" customHeight="true" outlineLevel="0" collapsed="false">
      <c r="A1705" s="49" t="s">
        <v>1115</v>
      </c>
      <c r="B1705" s="49" t="s">
        <v>917</v>
      </c>
      <c r="C1705" s="49" t="s">
        <v>1521</v>
      </c>
      <c r="D1705" s="49" t="s">
        <v>1522</v>
      </c>
      <c r="E1705" s="49" t="s">
        <v>1186</v>
      </c>
      <c r="F1705" s="49" t="s">
        <v>1523</v>
      </c>
      <c r="G1705" s="49" t="s">
        <v>772</v>
      </c>
      <c r="H1705" s="49" t="s">
        <v>1132</v>
      </c>
      <c r="I1705" s="49" t="s">
        <v>885</v>
      </c>
    </row>
    <row r="1706" customFormat="false" ht="25.5" hidden="false" customHeight="true" outlineLevel="0" collapsed="false">
      <c r="A1706" s="49" t="s">
        <v>1115</v>
      </c>
      <c r="B1706" s="49" t="s">
        <v>917</v>
      </c>
      <c r="C1706" s="49" t="s">
        <v>1524</v>
      </c>
      <c r="D1706" s="49" t="s">
        <v>965</v>
      </c>
      <c r="E1706" s="49" t="s">
        <v>1520</v>
      </c>
      <c r="F1706" s="49" t="s">
        <v>1525</v>
      </c>
      <c r="G1706" s="49" t="s">
        <v>772</v>
      </c>
      <c r="H1706" s="49" t="s">
        <v>1132</v>
      </c>
      <c r="I1706" s="49" t="s">
        <v>885</v>
      </c>
    </row>
    <row r="1707" customFormat="false" ht="25.5" hidden="false" customHeight="true" outlineLevel="0" collapsed="false">
      <c r="A1707" s="49" t="s">
        <v>1115</v>
      </c>
      <c r="B1707" s="49" t="s">
        <v>917</v>
      </c>
      <c r="C1707" s="49" t="s">
        <v>1526</v>
      </c>
      <c r="D1707" s="49" t="s">
        <v>919</v>
      </c>
      <c r="E1707" s="49" t="s">
        <v>1527</v>
      </c>
      <c r="F1707" s="49" t="s">
        <v>1528</v>
      </c>
      <c r="G1707" s="49" t="s">
        <v>772</v>
      </c>
      <c r="H1707" s="49" t="s">
        <v>1132</v>
      </c>
      <c r="I1707" s="49" t="s">
        <v>885</v>
      </c>
    </row>
    <row r="1708" customFormat="false" ht="25.5" hidden="false" customHeight="true" outlineLevel="0" collapsed="false">
      <c r="A1708" s="49" t="s">
        <v>1115</v>
      </c>
      <c r="B1708" s="49" t="s">
        <v>917</v>
      </c>
      <c r="C1708" s="49" t="s">
        <v>964</v>
      </c>
      <c r="D1708" s="49" t="s">
        <v>965</v>
      </c>
      <c r="E1708" s="49" t="s">
        <v>217</v>
      </c>
      <c r="F1708" s="49" t="s">
        <v>966</v>
      </c>
      <c r="G1708" s="49" t="s">
        <v>772</v>
      </c>
      <c r="H1708" s="49" t="s">
        <v>1132</v>
      </c>
      <c r="I1708" s="49" t="s">
        <v>885</v>
      </c>
    </row>
    <row r="1709" customFormat="false" ht="25.5" hidden="false" customHeight="true" outlineLevel="0" collapsed="false">
      <c r="A1709" s="49" t="s">
        <v>1115</v>
      </c>
      <c r="B1709" s="49" t="s">
        <v>917</v>
      </c>
      <c r="C1709" s="49" t="s">
        <v>967</v>
      </c>
      <c r="D1709" s="49" t="s">
        <v>968</v>
      </c>
      <c r="E1709" s="49" t="s">
        <v>969</v>
      </c>
      <c r="F1709" s="49" t="s">
        <v>970</v>
      </c>
      <c r="G1709" s="49" t="s">
        <v>772</v>
      </c>
      <c r="H1709" s="49" t="s">
        <v>1132</v>
      </c>
      <c r="I1709" s="49" t="s">
        <v>885</v>
      </c>
    </row>
    <row r="1710" customFormat="false" ht="25.5" hidden="false" customHeight="true" outlineLevel="0" collapsed="false">
      <c r="A1710" s="49" t="s">
        <v>1115</v>
      </c>
      <c r="B1710" s="49" t="s">
        <v>917</v>
      </c>
      <c r="C1710" s="49" t="s">
        <v>1529</v>
      </c>
      <c r="D1710" s="49" t="s">
        <v>1530</v>
      </c>
      <c r="E1710" s="49" t="s">
        <v>1500</v>
      </c>
      <c r="F1710" s="49" t="s">
        <v>1531</v>
      </c>
      <c r="G1710" s="49" t="s">
        <v>772</v>
      </c>
      <c r="H1710" s="49" t="s">
        <v>1132</v>
      </c>
      <c r="I1710" s="49" t="s">
        <v>885</v>
      </c>
    </row>
    <row r="1711" customFormat="false" ht="25.5" hidden="false" customHeight="true" outlineLevel="0" collapsed="false">
      <c r="A1711" s="49" t="s">
        <v>1115</v>
      </c>
      <c r="B1711" s="49" t="s">
        <v>917</v>
      </c>
      <c r="C1711" s="49" t="s">
        <v>918</v>
      </c>
      <c r="D1711" s="49" t="s">
        <v>919</v>
      </c>
      <c r="E1711" s="49" t="s">
        <v>882</v>
      </c>
      <c r="F1711" s="49" t="s">
        <v>920</v>
      </c>
      <c r="G1711" s="49" t="s">
        <v>772</v>
      </c>
      <c r="H1711" s="49" t="s">
        <v>1132</v>
      </c>
      <c r="I1711" s="49" t="s">
        <v>885</v>
      </c>
    </row>
    <row r="1712" customFormat="false" ht="25.5" hidden="false" customHeight="true" outlineLevel="0" collapsed="false">
      <c r="A1712" s="49" t="s">
        <v>1115</v>
      </c>
      <c r="B1712" s="49" t="s">
        <v>917</v>
      </c>
      <c r="C1712" s="49" t="s">
        <v>921</v>
      </c>
      <c r="D1712" s="49" t="s">
        <v>922</v>
      </c>
      <c r="E1712" s="49" t="s">
        <v>882</v>
      </c>
      <c r="F1712" s="49" t="s">
        <v>923</v>
      </c>
      <c r="G1712" s="49" t="s">
        <v>772</v>
      </c>
      <c r="H1712" s="49" t="s">
        <v>1132</v>
      </c>
      <c r="I1712" s="49" t="s">
        <v>885</v>
      </c>
    </row>
    <row r="1713" customFormat="false" ht="25.5" hidden="false" customHeight="true" outlineLevel="0" collapsed="false">
      <c r="A1713" s="49" t="s">
        <v>1115</v>
      </c>
      <c r="B1713" s="49" t="s">
        <v>917</v>
      </c>
      <c r="C1713" s="49" t="s">
        <v>1532</v>
      </c>
      <c r="D1713" s="49" t="s">
        <v>919</v>
      </c>
      <c r="E1713" s="49" t="s">
        <v>1533</v>
      </c>
      <c r="F1713" s="49" t="s">
        <v>1534</v>
      </c>
      <c r="G1713" s="49" t="s">
        <v>772</v>
      </c>
      <c r="H1713" s="49" t="s">
        <v>1132</v>
      </c>
      <c r="I1713" s="49" t="s">
        <v>885</v>
      </c>
    </row>
    <row r="1714" customFormat="false" ht="25.5" hidden="false" customHeight="true" outlineLevel="0" collapsed="false">
      <c r="A1714" s="49" t="s">
        <v>1115</v>
      </c>
      <c r="B1714" s="49" t="s">
        <v>917</v>
      </c>
      <c r="C1714" s="49" t="s">
        <v>1052</v>
      </c>
      <c r="D1714" s="49" t="s">
        <v>968</v>
      </c>
      <c r="E1714" s="49" t="s">
        <v>146</v>
      </c>
      <c r="F1714" s="49" t="s">
        <v>1053</v>
      </c>
      <c r="G1714" s="49" t="s">
        <v>772</v>
      </c>
      <c r="H1714" s="49" t="s">
        <v>1132</v>
      </c>
      <c r="I1714" s="49" t="s">
        <v>885</v>
      </c>
    </row>
    <row r="1715" customFormat="false" ht="25.5" hidden="false" customHeight="true" outlineLevel="0" collapsed="false">
      <c r="A1715" s="49" t="s">
        <v>1115</v>
      </c>
      <c r="B1715" s="49" t="s">
        <v>917</v>
      </c>
      <c r="C1715" s="49" t="s">
        <v>1054</v>
      </c>
      <c r="D1715" s="49" t="s">
        <v>965</v>
      </c>
      <c r="E1715" s="49" t="s">
        <v>1055</v>
      </c>
      <c r="F1715" s="49" t="s">
        <v>1056</v>
      </c>
      <c r="G1715" s="49" t="s">
        <v>772</v>
      </c>
      <c r="H1715" s="49" t="s">
        <v>1132</v>
      </c>
      <c r="I1715" s="49" t="s">
        <v>885</v>
      </c>
    </row>
    <row r="1716" customFormat="false" ht="25.5" hidden="false" customHeight="true" outlineLevel="0" collapsed="false">
      <c r="A1716" s="49" t="s">
        <v>1115</v>
      </c>
      <c r="B1716" s="49" t="s">
        <v>917</v>
      </c>
      <c r="C1716" s="49" t="s">
        <v>1535</v>
      </c>
      <c r="D1716" s="49" t="s">
        <v>929</v>
      </c>
      <c r="E1716" s="49" t="s">
        <v>1536</v>
      </c>
      <c r="F1716" s="49" t="s">
        <v>1537</v>
      </c>
      <c r="G1716" s="49" t="s">
        <v>772</v>
      </c>
      <c r="H1716" s="49" t="s">
        <v>1132</v>
      </c>
      <c r="I1716" s="49" t="s">
        <v>885</v>
      </c>
    </row>
    <row r="1717" customFormat="false" ht="25.5" hidden="false" customHeight="true" outlineLevel="0" collapsed="false">
      <c r="A1717" s="49" t="s">
        <v>1115</v>
      </c>
      <c r="B1717" s="49" t="s">
        <v>917</v>
      </c>
      <c r="C1717" s="49" t="s">
        <v>1538</v>
      </c>
      <c r="D1717" s="49" t="s">
        <v>929</v>
      </c>
      <c r="E1717" s="49" t="s">
        <v>1536</v>
      </c>
      <c r="F1717" s="49" t="s">
        <v>1539</v>
      </c>
      <c r="G1717" s="49" t="s">
        <v>772</v>
      </c>
      <c r="H1717" s="49" t="s">
        <v>1132</v>
      </c>
      <c r="I1717" s="49" t="s">
        <v>885</v>
      </c>
    </row>
    <row r="1718" customFormat="false" ht="25.5" hidden="false" customHeight="true" outlineLevel="0" collapsed="false">
      <c r="A1718" s="49" t="s">
        <v>1115</v>
      </c>
      <c r="B1718" s="49" t="s">
        <v>917</v>
      </c>
      <c r="C1718" s="49" t="s">
        <v>1540</v>
      </c>
      <c r="D1718" s="49" t="s">
        <v>929</v>
      </c>
      <c r="E1718" s="49" t="s">
        <v>1541</v>
      </c>
      <c r="F1718" s="49" t="s">
        <v>1542</v>
      </c>
      <c r="G1718" s="49" t="s">
        <v>772</v>
      </c>
      <c r="H1718" s="49" t="s">
        <v>1132</v>
      </c>
      <c r="I1718" s="49" t="s">
        <v>885</v>
      </c>
    </row>
    <row r="1719" customFormat="false" ht="25.5" hidden="false" customHeight="true" outlineLevel="0" collapsed="false">
      <c r="A1719" s="49" t="s">
        <v>1115</v>
      </c>
      <c r="B1719" s="49" t="s">
        <v>925</v>
      </c>
      <c r="C1719" s="49" t="s">
        <v>1543</v>
      </c>
      <c r="D1719" s="49" t="s">
        <v>972</v>
      </c>
      <c r="E1719" s="49" t="s">
        <v>1186</v>
      </c>
      <c r="F1719" s="49" t="s">
        <v>1544</v>
      </c>
      <c r="G1719" s="49" t="s">
        <v>772</v>
      </c>
      <c r="H1719" s="49" t="s">
        <v>1132</v>
      </c>
      <c r="I1719" s="49" t="s">
        <v>885</v>
      </c>
    </row>
    <row r="1720" customFormat="false" ht="25.5" hidden="false" customHeight="true" outlineLevel="0" collapsed="false">
      <c r="A1720" s="49" t="s">
        <v>1115</v>
      </c>
      <c r="B1720" s="49" t="s">
        <v>925</v>
      </c>
      <c r="C1720" s="49" t="s">
        <v>1057</v>
      </c>
      <c r="D1720" s="49" t="s">
        <v>968</v>
      </c>
      <c r="E1720" s="49" t="s">
        <v>146</v>
      </c>
      <c r="F1720" s="49" t="s">
        <v>1058</v>
      </c>
      <c r="G1720" s="49" t="s">
        <v>772</v>
      </c>
      <c r="H1720" s="49" t="s">
        <v>1132</v>
      </c>
      <c r="I1720" s="49" t="s">
        <v>885</v>
      </c>
    </row>
    <row r="1721" customFormat="false" ht="25.5" hidden="false" customHeight="true" outlineLevel="0" collapsed="false">
      <c r="A1721" s="49" t="s">
        <v>1115</v>
      </c>
      <c r="B1721" s="49" t="s">
        <v>925</v>
      </c>
      <c r="C1721" s="49" t="s">
        <v>1060</v>
      </c>
      <c r="D1721" s="49" t="s">
        <v>1061</v>
      </c>
      <c r="E1721" s="49" t="s">
        <v>146</v>
      </c>
      <c r="F1721" s="49" t="s">
        <v>1062</v>
      </c>
      <c r="G1721" s="49" t="s">
        <v>772</v>
      </c>
      <c r="H1721" s="49" t="s">
        <v>1132</v>
      </c>
      <c r="I1721" s="49" t="s">
        <v>885</v>
      </c>
    </row>
    <row r="1722" customFormat="false" ht="25.5" hidden="false" customHeight="true" outlineLevel="0" collapsed="false">
      <c r="A1722" s="49" t="s">
        <v>1115</v>
      </c>
      <c r="B1722" s="49" t="s">
        <v>925</v>
      </c>
      <c r="C1722" s="49" t="s">
        <v>1063</v>
      </c>
      <c r="D1722" s="49" t="s">
        <v>972</v>
      </c>
      <c r="E1722" s="49" t="s">
        <v>146</v>
      </c>
      <c r="F1722" s="49" t="s">
        <v>1058</v>
      </c>
      <c r="G1722" s="49" t="s">
        <v>772</v>
      </c>
      <c r="H1722" s="49" t="s">
        <v>1132</v>
      </c>
      <c r="I1722" s="49" t="s">
        <v>885</v>
      </c>
    </row>
    <row r="1723" customFormat="false" ht="25.5" hidden="false" customHeight="true" outlineLevel="0" collapsed="false">
      <c r="A1723" s="49" t="s">
        <v>1115</v>
      </c>
      <c r="B1723" s="49" t="s">
        <v>925</v>
      </c>
      <c r="C1723" s="49" t="s">
        <v>1064</v>
      </c>
      <c r="D1723" s="49" t="s">
        <v>972</v>
      </c>
      <c r="E1723" s="49" t="s">
        <v>146</v>
      </c>
      <c r="F1723" s="49" t="s">
        <v>1065</v>
      </c>
      <c r="G1723" s="49" t="s">
        <v>772</v>
      </c>
      <c r="H1723" s="49" t="s">
        <v>1132</v>
      </c>
      <c r="I1723" s="49" t="s">
        <v>885</v>
      </c>
    </row>
    <row r="1724" customFormat="false" ht="25.5" hidden="false" customHeight="true" outlineLevel="0" collapsed="false">
      <c r="A1724" s="49" t="s">
        <v>1115</v>
      </c>
      <c r="B1724" s="49" t="s">
        <v>925</v>
      </c>
      <c r="C1724" s="49" t="s">
        <v>973</v>
      </c>
      <c r="D1724" s="49" t="s">
        <v>968</v>
      </c>
      <c r="E1724" s="49" t="s">
        <v>974</v>
      </c>
      <c r="F1724" s="49" t="s">
        <v>975</v>
      </c>
      <c r="G1724" s="49" t="s">
        <v>772</v>
      </c>
      <c r="H1724" s="49" t="s">
        <v>1132</v>
      </c>
      <c r="I1724" s="49" t="s">
        <v>885</v>
      </c>
    </row>
    <row r="1725" customFormat="false" ht="25.5" hidden="false" customHeight="true" outlineLevel="0" collapsed="false">
      <c r="A1725" s="49" t="s">
        <v>1115</v>
      </c>
      <c r="B1725" s="49" t="s">
        <v>925</v>
      </c>
      <c r="C1725" s="49" t="s">
        <v>926</v>
      </c>
      <c r="D1725" s="49"/>
      <c r="E1725" s="49" t="s">
        <v>882</v>
      </c>
      <c r="F1725" s="49" t="s">
        <v>927</v>
      </c>
      <c r="G1725" s="49" t="s">
        <v>772</v>
      </c>
      <c r="H1725" s="49" t="s">
        <v>1132</v>
      </c>
      <c r="I1725" s="49" t="s">
        <v>885</v>
      </c>
    </row>
    <row r="1726" customFormat="false" ht="25.5" hidden="false" customHeight="true" outlineLevel="0" collapsed="false">
      <c r="A1726" s="49" t="s">
        <v>1115</v>
      </c>
      <c r="B1726" s="49" t="s">
        <v>925</v>
      </c>
      <c r="C1726" s="49" t="s">
        <v>976</v>
      </c>
      <c r="D1726" s="49"/>
      <c r="E1726" s="49" t="s">
        <v>217</v>
      </c>
      <c r="F1726" s="49" t="s">
        <v>927</v>
      </c>
      <c r="G1726" s="49" t="s">
        <v>772</v>
      </c>
      <c r="H1726" s="49" t="s">
        <v>1132</v>
      </c>
      <c r="I1726" s="49" t="s">
        <v>885</v>
      </c>
    </row>
    <row r="1727" customFormat="false" ht="25.5" hidden="false" customHeight="true" outlineLevel="0" collapsed="false">
      <c r="A1727" s="49" t="s">
        <v>1115</v>
      </c>
      <c r="B1727" s="49" t="s">
        <v>925</v>
      </c>
      <c r="C1727" s="49" t="s">
        <v>1070</v>
      </c>
      <c r="D1727" s="49" t="s">
        <v>929</v>
      </c>
      <c r="E1727" s="49" t="s">
        <v>146</v>
      </c>
      <c r="F1727" s="49" t="s">
        <v>1071</v>
      </c>
      <c r="G1727" s="49" t="s">
        <v>772</v>
      </c>
      <c r="H1727" s="49" t="s">
        <v>1132</v>
      </c>
      <c r="I1727" s="49" t="s">
        <v>885</v>
      </c>
    </row>
    <row r="1728" customFormat="false" ht="25.5" hidden="false" customHeight="true" outlineLevel="0" collapsed="false">
      <c r="A1728" s="49" t="s">
        <v>1115</v>
      </c>
      <c r="B1728" s="49" t="s">
        <v>977</v>
      </c>
      <c r="C1728" s="49" t="s">
        <v>1546</v>
      </c>
      <c r="D1728" s="49" t="s">
        <v>1073</v>
      </c>
      <c r="E1728" s="49" t="s">
        <v>1547</v>
      </c>
      <c r="F1728" s="49" t="s">
        <v>1548</v>
      </c>
      <c r="G1728" s="49" t="s">
        <v>772</v>
      </c>
      <c r="H1728" s="49" t="s">
        <v>1132</v>
      </c>
      <c r="I1728" s="49" t="s">
        <v>885</v>
      </c>
    </row>
    <row r="1729" customFormat="false" ht="25.5" hidden="false" customHeight="true" outlineLevel="0" collapsed="false">
      <c r="A1729" s="49" t="s">
        <v>1115</v>
      </c>
      <c r="B1729" s="49" t="s">
        <v>977</v>
      </c>
      <c r="C1729" s="49" t="s">
        <v>1549</v>
      </c>
      <c r="D1729" s="49" t="s">
        <v>1073</v>
      </c>
      <c r="E1729" s="49" t="s">
        <v>1533</v>
      </c>
      <c r="F1729" s="49" t="s">
        <v>1550</v>
      </c>
      <c r="G1729" s="49" t="s">
        <v>772</v>
      </c>
      <c r="H1729" s="49" t="s">
        <v>1132</v>
      </c>
      <c r="I1729" s="49" t="s">
        <v>885</v>
      </c>
    </row>
    <row r="1730" customFormat="false" ht="25.5" hidden="false" customHeight="true" outlineLevel="0" collapsed="false">
      <c r="A1730" s="49" t="s">
        <v>1115</v>
      </c>
      <c r="B1730" s="49" t="s">
        <v>977</v>
      </c>
      <c r="C1730" s="49" t="s">
        <v>979</v>
      </c>
      <c r="D1730" s="49" t="s">
        <v>980</v>
      </c>
      <c r="E1730" s="49" t="s">
        <v>981</v>
      </c>
      <c r="F1730" s="49" t="s">
        <v>982</v>
      </c>
      <c r="G1730" s="49" t="s">
        <v>772</v>
      </c>
      <c r="H1730" s="49" t="s">
        <v>1132</v>
      </c>
      <c r="I1730" s="49" t="s">
        <v>885</v>
      </c>
    </row>
    <row r="1731" customFormat="false" ht="25.5" hidden="false" customHeight="true" outlineLevel="0" collapsed="false">
      <c r="A1731" s="49" t="s">
        <v>1115</v>
      </c>
      <c r="B1731" s="49" t="s">
        <v>977</v>
      </c>
      <c r="C1731" s="49" t="s">
        <v>1081</v>
      </c>
      <c r="D1731" s="49" t="s">
        <v>1073</v>
      </c>
      <c r="E1731" s="49" t="s">
        <v>1082</v>
      </c>
      <c r="F1731" s="49" t="s">
        <v>1083</v>
      </c>
      <c r="G1731" s="49" t="s">
        <v>772</v>
      </c>
      <c r="H1731" s="49" t="s">
        <v>1132</v>
      </c>
      <c r="I1731" s="49" t="s">
        <v>885</v>
      </c>
    </row>
    <row r="1732" customFormat="false" ht="25.5" hidden="false" customHeight="true" outlineLevel="0" collapsed="false">
      <c r="A1732" s="51" t="s">
        <v>1115</v>
      </c>
      <c r="B1732" s="51" t="s">
        <v>977</v>
      </c>
      <c r="C1732" s="51" t="s">
        <v>1084</v>
      </c>
      <c r="D1732" s="51" t="s">
        <v>1073</v>
      </c>
      <c r="E1732" s="51" t="s">
        <v>1085</v>
      </c>
      <c r="F1732" s="51"/>
      <c r="G1732" s="52" t="s">
        <v>910</v>
      </c>
      <c r="H1732" s="51" t="s">
        <v>1633</v>
      </c>
      <c r="I1732" s="51" t="s">
        <v>912</v>
      </c>
    </row>
    <row r="1733" customFormat="false" ht="25.5" hidden="false" customHeight="true" outlineLevel="0" collapsed="false">
      <c r="A1733" s="49" t="s">
        <v>1115</v>
      </c>
      <c r="B1733" s="49" t="s">
        <v>932</v>
      </c>
      <c r="C1733" s="49" t="s">
        <v>933</v>
      </c>
      <c r="D1733" s="49"/>
      <c r="E1733" s="49" t="s">
        <v>882</v>
      </c>
      <c r="F1733" s="49" t="s">
        <v>934</v>
      </c>
      <c r="G1733" s="49" t="s">
        <v>772</v>
      </c>
      <c r="H1733" s="49" t="s">
        <v>1132</v>
      </c>
      <c r="I1733" s="49" t="s">
        <v>885</v>
      </c>
    </row>
    <row r="1734" customFormat="false" ht="25.5" hidden="false" customHeight="true" outlineLevel="0" collapsed="false">
      <c r="A1734" s="49" t="s">
        <v>1115</v>
      </c>
      <c r="B1734" s="49" t="s">
        <v>932</v>
      </c>
      <c r="C1734" s="49" t="s">
        <v>1552</v>
      </c>
      <c r="D1734" s="49"/>
      <c r="E1734" s="49" t="s">
        <v>1553</v>
      </c>
      <c r="F1734" s="49" t="s">
        <v>1554</v>
      </c>
      <c r="G1734" s="49" t="s">
        <v>772</v>
      </c>
      <c r="H1734" s="49" t="s">
        <v>1132</v>
      </c>
      <c r="I1734" s="49" t="s">
        <v>885</v>
      </c>
    </row>
    <row r="1735" customFormat="false" ht="25.5" hidden="false" customHeight="true" outlineLevel="0" collapsed="false">
      <c r="A1735" s="49" t="s">
        <v>1115</v>
      </c>
      <c r="B1735" s="49" t="s">
        <v>932</v>
      </c>
      <c r="C1735" s="49" t="s">
        <v>1555</v>
      </c>
      <c r="D1735" s="49" t="s">
        <v>1090</v>
      </c>
      <c r="E1735" s="49" t="s">
        <v>1186</v>
      </c>
      <c r="F1735" s="49" t="s">
        <v>1556</v>
      </c>
      <c r="G1735" s="49" t="s">
        <v>772</v>
      </c>
      <c r="H1735" s="49" t="s">
        <v>1132</v>
      </c>
      <c r="I1735" s="49" t="s">
        <v>885</v>
      </c>
    </row>
    <row r="1736" customFormat="false" ht="25.5" hidden="false" customHeight="true" outlineLevel="0" collapsed="false">
      <c r="A1736" s="49" t="s">
        <v>1115</v>
      </c>
      <c r="B1736" s="49" t="s">
        <v>932</v>
      </c>
      <c r="C1736" s="49" t="s">
        <v>984</v>
      </c>
      <c r="D1736" s="49" t="s">
        <v>936</v>
      </c>
      <c r="E1736" s="49" t="s">
        <v>985</v>
      </c>
      <c r="F1736" s="49" t="s">
        <v>986</v>
      </c>
      <c r="G1736" s="49" t="s">
        <v>772</v>
      </c>
      <c r="H1736" s="49" t="s">
        <v>1132</v>
      </c>
      <c r="I1736" s="49" t="s">
        <v>885</v>
      </c>
    </row>
    <row r="1737" customFormat="false" ht="25.5" hidden="false" customHeight="true" outlineLevel="0" collapsed="false">
      <c r="A1737" s="49" t="s">
        <v>1115</v>
      </c>
      <c r="B1737" s="49" t="s">
        <v>932</v>
      </c>
      <c r="C1737" s="49" t="s">
        <v>1086</v>
      </c>
      <c r="D1737" s="49" t="s">
        <v>929</v>
      </c>
      <c r="E1737" s="49" t="s">
        <v>1087</v>
      </c>
      <c r="F1737" s="49" t="s">
        <v>1088</v>
      </c>
      <c r="G1737" s="49" t="s">
        <v>772</v>
      </c>
      <c r="H1737" s="49" t="s">
        <v>1132</v>
      </c>
      <c r="I1737" s="49" t="s">
        <v>885</v>
      </c>
    </row>
    <row r="1738" customFormat="false" ht="25.5" hidden="false" customHeight="true" outlineLevel="0" collapsed="false">
      <c r="A1738" s="49" t="s">
        <v>1115</v>
      </c>
      <c r="B1738" s="49" t="s">
        <v>932</v>
      </c>
      <c r="C1738" s="49" t="s">
        <v>1089</v>
      </c>
      <c r="D1738" s="49" t="s">
        <v>1090</v>
      </c>
      <c r="E1738" s="49" t="s">
        <v>1091</v>
      </c>
      <c r="F1738" s="49" t="s">
        <v>1092</v>
      </c>
      <c r="G1738" s="49" t="s">
        <v>772</v>
      </c>
      <c r="H1738" s="49" t="s">
        <v>1132</v>
      </c>
      <c r="I1738" s="49" t="s">
        <v>885</v>
      </c>
    </row>
    <row r="1739" customFormat="false" ht="25.5" hidden="false" customHeight="true" outlineLevel="0" collapsed="false">
      <c r="A1739" s="49" t="s">
        <v>1115</v>
      </c>
      <c r="B1739" s="49" t="s">
        <v>932</v>
      </c>
      <c r="C1739" s="49" t="s">
        <v>1093</v>
      </c>
      <c r="D1739" s="49" t="s">
        <v>936</v>
      </c>
      <c r="E1739" s="49" t="s">
        <v>146</v>
      </c>
      <c r="F1739" s="49" t="s">
        <v>1094</v>
      </c>
      <c r="G1739" s="49" t="s">
        <v>772</v>
      </c>
      <c r="H1739" s="49" t="s">
        <v>1132</v>
      </c>
      <c r="I1739" s="49" t="s">
        <v>885</v>
      </c>
    </row>
    <row r="1740" customFormat="false" ht="25.5" hidden="false" customHeight="true" outlineLevel="0" collapsed="false">
      <c r="A1740" s="49" t="s">
        <v>1115</v>
      </c>
      <c r="B1740" s="49" t="s">
        <v>932</v>
      </c>
      <c r="C1740" s="49" t="s">
        <v>935</v>
      </c>
      <c r="D1740" s="49" t="s">
        <v>936</v>
      </c>
      <c r="E1740" s="49" t="s">
        <v>882</v>
      </c>
      <c r="F1740" s="49" t="s">
        <v>937</v>
      </c>
      <c r="G1740" s="49" t="s">
        <v>772</v>
      </c>
      <c r="H1740" s="49" t="s">
        <v>1132</v>
      </c>
      <c r="I1740" s="49" t="s">
        <v>885</v>
      </c>
    </row>
    <row r="1741" customFormat="false" ht="25.5" hidden="false" customHeight="true" outlineLevel="0" collapsed="false">
      <c r="A1741" s="49" t="s">
        <v>1115</v>
      </c>
      <c r="B1741" s="49" t="s">
        <v>932</v>
      </c>
      <c r="C1741" s="49" t="s">
        <v>1096</v>
      </c>
      <c r="D1741" s="49" t="s">
        <v>936</v>
      </c>
      <c r="E1741" s="49" t="s">
        <v>1097</v>
      </c>
      <c r="F1741" s="49" t="s">
        <v>1098</v>
      </c>
      <c r="G1741" s="49" t="s">
        <v>772</v>
      </c>
      <c r="H1741" s="49" t="s">
        <v>1132</v>
      </c>
      <c r="I1741" s="49" t="s">
        <v>885</v>
      </c>
    </row>
    <row r="1742" customFormat="false" ht="25.5" hidden="false" customHeight="true" outlineLevel="0" collapsed="false">
      <c r="A1742" s="49" t="s">
        <v>1115</v>
      </c>
      <c r="B1742" s="49" t="s">
        <v>939</v>
      </c>
      <c r="C1742" s="49" t="s">
        <v>940</v>
      </c>
      <c r="D1742" s="49"/>
      <c r="E1742" s="49" t="s">
        <v>893</v>
      </c>
      <c r="F1742" s="49" t="s">
        <v>941</v>
      </c>
      <c r="G1742" s="49" t="s">
        <v>772</v>
      </c>
      <c r="H1742" s="49" t="s">
        <v>1132</v>
      </c>
      <c r="I1742" s="49" t="s">
        <v>885</v>
      </c>
    </row>
    <row r="1743" customFormat="false" ht="25.5" hidden="false" customHeight="true" outlineLevel="0" collapsed="false">
      <c r="A1743" s="49" t="s">
        <v>1115</v>
      </c>
      <c r="B1743" s="49" t="s">
        <v>939</v>
      </c>
      <c r="C1743" s="49" t="s">
        <v>1099</v>
      </c>
      <c r="D1743" s="49" t="s">
        <v>1100</v>
      </c>
      <c r="E1743" s="49" t="s">
        <v>1101</v>
      </c>
      <c r="F1743" s="49" t="s">
        <v>993</v>
      </c>
      <c r="G1743" s="49" t="s">
        <v>772</v>
      </c>
      <c r="H1743" s="49" t="s">
        <v>1132</v>
      </c>
      <c r="I1743" s="49" t="s">
        <v>885</v>
      </c>
    </row>
    <row r="1744" customFormat="false" ht="25.5" hidden="false" customHeight="true" outlineLevel="0" collapsed="false">
      <c r="A1744" s="49" t="s">
        <v>1115</v>
      </c>
      <c r="B1744" s="49" t="s">
        <v>939</v>
      </c>
      <c r="C1744" s="49" t="s">
        <v>1557</v>
      </c>
      <c r="D1744" s="49" t="s">
        <v>988</v>
      </c>
      <c r="E1744" s="49" t="s">
        <v>1186</v>
      </c>
      <c r="F1744" s="49" t="s">
        <v>993</v>
      </c>
      <c r="G1744" s="49" t="s">
        <v>772</v>
      </c>
      <c r="H1744" s="49" t="s">
        <v>1132</v>
      </c>
      <c r="I1744" s="49" t="s">
        <v>885</v>
      </c>
    </row>
    <row r="1745" customFormat="false" ht="25.5" hidden="false" customHeight="true" outlineLevel="0" collapsed="false">
      <c r="A1745" s="49" t="s">
        <v>1115</v>
      </c>
      <c r="B1745" s="49" t="s">
        <v>939</v>
      </c>
      <c r="C1745" s="49" t="s">
        <v>987</v>
      </c>
      <c r="D1745" s="49" t="s">
        <v>988</v>
      </c>
      <c r="E1745" s="49" t="s">
        <v>217</v>
      </c>
      <c r="F1745" s="49" t="s">
        <v>989</v>
      </c>
      <c r="G1745" s="49" t="s">
        <v>772</v>
      </c>
      <c r="H1745" s="49" t="s">
        <v>1132</v>
      </c>
      <c r="I1745" s="49" t="s">
        <v>885</v>
      </c>
    </row>
    <row r="1746" customFormat="false" ht="25.5" hidden="false" customHeight="true" outlineLevel="0" collapsed="false">
      <c r="A1746" s="49" t="s">
        <v>1115</v>
      </c>
      <c r="B1746" s="49" t="s">
        <v>939</v>
      </c>
      <c r="C1746" s="49" t="s">
        <v>1102</v>
      </c>
      <c r="D1746" s="49" t="s">
        <v>988</v>
      </c>
      <c r="E1746" s="49" t="s">
        <v>146</v>
      </c>
      <c r="F1746" s="49" t="s">
        <v>993</v>
      </c>
      <c r="G1746" s="49" t="s">
        <v>772</v>
      </c>
      <c r="H1746" s="49" t="s">
        <v>1132</v>
      </c>
      <c r="I1746" s="49" t="s">
        <v>885</v>
      </c>
    </row>
    <row r="1747" customFormat="false" ht="25.5" hidden="false" customHeight="true" outlineLevel="0" collapsed="false">
      <c r="A1747" s="49" t="s">
        <v>1115</v>
      </c>
      <c r="B1747" s="49" t="s">
        <v>939</v>
      </c>
      <c r="C1747" s="49" t="s">
        <v>1103</v>
      </c>
      <c r="D1747" s="49" t="s">
        <v>1100</v>
      </c>
      <c r="E1747" s="49" t="s">
        <v>146</v>
      </c>
      <c r="F1747" s="49" t="s">
        <v>993</v>
      </c>
      <c r="G1747" s="49" t="s">
        <v>772</v>
      </c>
      <c r="H1747" s="49" t="s">
        <v>1132</v>
      </c>
      <c r="I1747" s="49" t="s">
        <v>885</v>
      </c>
    </row>
    <row r="1748" customFormat="false" ht="25.5" hidden="false" customHeight="true" outlineLevel="0" collapsed="false">
      <c r="A1748" s="49" t="s">
        <v>1115</v>
      </c>
      <c r="B1748" s="49" t="s">
        <v>939</v>
      </c>
      <c r="C1748" s="49" t="s">
        <v>1558</v>
      </c>
      <c r="D1748" s="49" t="s">
        <v>1559</v>
      </c>
      <c r="E1748" s="49" t="s">
        <v>1533</v>
      </c>
      <c r="F1748" s="49" t="s">
        <v>1560</v>
      </c>
      <c r="G1748" s="49" t="s">
        <v>772</v>
      </c>
      <c r="H1748" s="49" t="s">
        <v>1132</v>
      </c>
      <c r="I1748" s="49" t="s">
        <v>885</v>
      </c>
    </row>
    <row r="1749" customFormat="false" ht="25.5" hidden="false" customHeight="true" outlineLevel="0" collapsed="false">
      <c r="A1749" s="49" t="s">
        <v>1115</v>
      </c>
      <c r="B1749" s="49" t="s">
        <v>939</v>
      </c>
      <c r="C1749" s="49" t="s">
        <v>1109</v>
      </c>
      <c r="D1749" s="49" t="s">
        <v>1110</v>
      </c>
      <c r="E1749" s="49" t="s">
        <v>1111</v>
      </c>
      <c r="F1749" s="49" t="s">
        <v>941</v>
      </c>
      <c r="G1749" s="49" t="s">
        <v>772</v>
      </c>
      <c r="H1749" s="49" t="s">
        <v>1132</v>
      </c>
      <c r="I1749" s="49" t="s">
        <v>885</v>
      </c>
    </row>
    <row r="1750" customFormat="false" ht="25.5" hidden="false" customHeight="true" outlineLevel="0" collapsed="false">
      <c r="A1750" s="49" t="s">
        <v>1115</v>
      </c>
      <c r="B1750" s="49" t="s">
        <v>939</v>
      </c>
      <c r="C1750" s="49" t="s">
        <v>1561</v>
      </c>
      <c r="D1750" s="49" t="s">
        <v>1110</v>
      </c>
      <c r="E1750" s="49" t="s">
        <v>1186</v>
      </c>
      <c r="F1750" s="49" t="s">
        <v>993</v>
      </c>
      <c r="G1750" s="49" t="s">
        <v>772</v>
      </c>
      <c r="H1750" s="49" t="s">
        <v>1132</v>
      </c>
      <c r="I1750" s="49" t="s">
        <v>885</v>
      </c>
    </row>
    <row r="1751" customFormat="false" ht="25.5" hidden="false" customHeight="true" outlineLevel="0" collapsed="false">
      <c r="A1751" s="51" t="s">
        <v>1115</v>
      </c>
      <c r="B1751" s="51" t="s">
        <v>939</v>
      </c>
      <c r="C1751" s="51" t="s">
        <v>990</v>
      </c>
      <c r="D1751" s="51" t="s">
        <v>991</v>
      </c>
      <c r="E1751" s="51" t="s">
        <v>992</v>
      </c>
      <c r="F1751" s="51" t="s">
        <v>993</v>
      </c>
      <c r="G1751" s="52" t="s">
        <v>910</v>
      </c>
      <c r="H1751" s="51" t="s">
        <v>1634</v>
      </c>
      <c r="I1751" s="51" t="s">
        <v>912</v>
      </c>
    </row>
    <row r="1752" customFormat="false" ht="25.5" hidden="false" customHeight="true" outlineLevel="0" collapsed="false">
      <c r="A1752" s="49" t="s">
        <v>1115</v>
      </c>
      <c r="B1752" s="49" t="s">
        <v>939</v>
      </c>
      <c r="C1752" s="49" t="s">
        <v>1112</v>
      </c>
      <c r="D1752" s="49" t="s">
        <v>991</v>
      </c>
      <c r="E1752" s="49" t="s">
        <v>1113</v>
      </c>
      <c r="F1752" s="49" t="s">
        <v>941</v>
      </c>
      <c r="G1752" s="49" t="s">
        <v>772</v>
      </c>
      <c r="H1752" s="49" t="s">
        <v>1132</v>
      </c>
      <c r="I1752" s="49" t="s">
        <v>885</v>
      </c>
    </row>
    <row r="1753" customFormat="false" ht="25.5" hidden="false" customHeight="true" outlineLevel="0" collapsed="false">
      <c r="A1753" s="49" t="s">
        <v>1118</v>
      </c>
      <c r="B1753" s="49" t="s">
        <v>1562</v>
      </c>
      <c r="C1753" s="49" t="s">
        <v>1563</v>
      </c>
      <c r="D1753" s="49" t="s">
        <v>1208</v>
      </c>
      <c r="E1753" s="49" t="s">
        <v>843</v>
      </c>
      <c r="F1753" s="49" t="s">
        <v>1564</v>
      </c>
      <c r="G1753" s="49" t="s">
        <v>772</v>
      </c>
      <c r="H1753" s="49" t="s">
        <v>1132</v>
      </c>
      <c r="I1753" s="49" t="s">
        <v>885</v>
      </c>
    </row>
    <row r="1754" customFormat="false" ht="25.5" hidden="false" customHeight="true" outlineLevel="0" collapsed="false">
      <c r="A1754" s="49" t="s">
        <v>1118</v>
      </c>
      <c r="B1754" s="49" t="s">
        <v>1562</v>
      </c>
      <c r="C1754" s="49" t="s">
        <v>1565</v>
      </c>
      <c r="D1754" s="49" t="s">
        <v>1199</v>
      </c>
      <c r="E1754" s="49" t="s">
        <v>1135</v>
      </c>
      <c r="F1754" s="49" t="s">
        <v>1566</v>
      </c>
      <c r="G1754" s="49" t="s">
        <v>772</v>
      </c>
      <c r="H1754" s="49" t="s">
        <v>1132</v>
      </c>
      <c r="I1754" s="49" t="s">
        <v>885</v>
      </c>
    </row>
    <row r="1755" customFormat="false" ht="25.5" hidden="false" customHeight="true" outlineLevel="0" collapsed="false">
      <c r="A1755" s="49" t="s">
        <v>1118</v>
      </c>
      <c r="B1755" s="49" t="s">
        <v>1562</v>
      </c>
      <c r="C1755" s="49" t="s">
        <v>1567</v>
      </c>
      <c r="D1755" s="49" t="s">
        <v>1218</v>
      </c>
      <c r="E1755" s="49" t="s">
        <v>1568</v>
      </c>
      <c r="F1755" s="49" t="s">
        <v>1569</v>
      </c>
      <c r="G1755" s="49" t="s">
        <v>772</v>
      </c>
      <c r="H1755" s="49" t="s">
        <v>1132</v>
      </c>
      <c r="I1755" s="49" t="s">
        <v>885</v>
      </c>
    </row>
    <row r="1756" customFormat="false" ht="25.5" hidden="false" customHeight="true" outlineLevel="0" collapsed="false">
      <c r="A1756" s="49" t="s">
        <v>1118</v>
      </c>
      <c r="B1756" s="49" t="s">
        <v>1562</v>
      </c>
      <c r="C1756" s="49" t="s">
        <v>1570</v>
      </c>
      <c r="D1756" s="49" t="s">
        <v>1208</v>
      </c>
      <c r="E1756" s="49" t="s">
        <v>1571</v>
      </c>
      <c r="F1756" s="49" t="s">
        <v>1572</v>
      </c>
      <c r="G1756" s="49" t="s">
        <v>772</v>
      </c>
      <c r="H1756" s="49" t="s">
        <v>1132</v>
      </c>
      <c r="I1756" s="49" t="s">
        <v>885</v>
      </c>
    </row>
    <row r="1757" customFormat="false" ht="25.5" hidden="false" customHeight="true" outlineLevel="0" collapsed="false">
      <c r="A1757" s="49" t="s">
        <v>1118</v>
      </c>
      <c r="B1757" s="49" t="s">
        <v>1562</v>
      </c>
      <c r="C1757" s="49" t="s">
        <v>1573</v>
      </c>
      <c r="D1757" s="49" t="s">
        <v>1151</v>
      </c>
      <c r="E1757" s="49" t="s">
        <v>1135</v>
      </c>
      <c r="F1757" s="49" t="s">
        <v>1574</v>
      </c>
      <c r="G1757" s="49" t="s">
        <v>772</v>
      </c>
      <c r="H1757" s="49" t="s">
        <v>1132</v>
      </c>
      <c r="I1757" s="49" t="s">
        <v>885</v>
      </c>
    </row>
    <row r="1758" customFormat="false" ht="25.5" hidden="false" customHeight="true" outlineLevel="0" collapsed="false">
      <c r="A1758" s="49" t="s">
        <v>1118</v>
      </c>
      <c r="B1758" s="49" t="s">
        <v>1562</v>
      </c>
      <c r="C1758" s="49" t="s">
        <v>1575</v>
      </c>
      <c r="D1758" s="49" t="s">
        <v>1218</v>
      </c>
      <c r="E1758" s="49" t="s">
        <v>1395</v>
      </c>
      <c r="F1758" s="49" t="s">
        <v>1533</v>
      </c>
      <c r="G1758" s="49" t="s">
        <v>772</v>
      </c>
      <c r="H1758" s="49" t="s">
        <v>1132</v>
      </c>
      <c r="I1758" s="49" t="s">
        <v>885</v>
      </c>
    </row>
    <row r="1759" customFormat="false" ht="25.5" hidden="false" customHeight="true" outlineLevel="0" collapsed="false">
      <c r="A1759" s="49" t="s">
        <v>1118</v>
      </c>
      <c r="B1759" s="49" t="s">
        <v>1562</v>
      </c>
      <c r="C1759" s="49" t="s">
        <v>1576</v>
      </c>
      <c r="D1759" s="49" t="s">
        <v>1199</v>
      </c>
      <c r="E1759" s="49" t="s">
        <v>1577</v>
      </c>
      <c r="F1759" s="49" t="s">
        <v>1578</v>
      </c>
      <c r="G1759" s="49" t="s">
        <v>772</v>
      </c>
      <c r="H1759" s="49" t="s">
        <v>1132</v>
      </c>
      <c r="I1759" s="49" t="s">
        <v>885</v>
      </c>
    </row>
    <row r="1760" customFormat="false" ht="25.5" hidden="false" customHeight="true" outlineLevel="0" collapsed="false">
      <c r="A1760" s="49" t="s">
        <v>1118</v>
      </c>
      <c r="B1760" s="49" t="s">
        <v>1562</v>
      </c>
      <c r="C1760" s="49" t="s">
        <v>1579</v>
      </c>
      <c r="D1760" s="49" t="s">
        <v>1208</v>
      </c>
      <c r="E1760" s="49" t="s">
        <v>146</v>
      </c>
      <c r="F1760" s="49" t="s">
        <v>1580</v>
      </c>
      <c r="G1760" s="49" t="s">
        <v>772</v>
      </c>
      <c r="H1760" s="49" t="s">
        <v>1132</v>
      </c>
      <c r="I1760" s="49" t="s">
        <v>885</v>
      </c>
    </row>
    <row r="1761" customFormat="false" ht="25.5" hidden="false" customHeight="true" outlineLevel="0" collapsed="false">
      <c r="A1761" s="49" t="s">
        <v>1118</v>
      </c>
      <c r="B1761" s="49" t="s">
        <v>1562</v>
      </c>
      <c r="C1761" s="49" t="s">
        <v>1581</v>
      </c>
      <c r="D1761" s="49" t="s">
        <v>1208</v>
      </c>
      <c r="E1761" s="49" t="s">
        <v>1226</v>
      </c>
      <c r="F1761" s="49" t="s">
        <v>1582</v>
      </c>
      <c r="G1761" s="49" t="s">
        <v>772</v>
      </c>
      <c r="H1761" s="49" t="s">
        <v>1132</v>
      </c>
      <c r="I1761" s="49" t="s">
        <v>885</v>
      </c>
    </row>
    <row r="1762" customFormat="false" ht="25.5" hidden="false" customHeight="true" outlineLevel="0" collapsed="false">
      <c r="A1762" s="49" t="s">
        <v>1118</v>
      </c>
      <c r="B1762" s="49" t="s">
        <v>1562</v>
      </c>
      <c r="C1762" s="49" t="s">
        <v>1583</v>
      </c>
      <c r="D1762" s="49" t="s">
        <v>1151</v>
      </c>
      <c r="E1762" s="49" t="s">
        <v>1395</v>
      </c>
      <c r="F1762" s="49" t="s">
        <v>1533</v>
      </c>
      <c r="G1762" s="49" t="s">
        <v>772</v>
      </c>
      <c r="H1762" s="49" t="s">
        <v>1132</v>
      </c>
      <c r="I1762" s="49" t="s">
        <v>885</v>
      </c>
    </row>
    <row r="1763" customFormat="false" ht="25.5" hidden="false" customHeight="true" outlineLevel="0" collapsed="false">
      <c r="A1763" s="49" t="s">
        <v>1118</v>
      </c>
      <c r="B1763" s="49" t="s">
        <v>1562</v>
      </c>
      <c r="C1763" s="49" t="s">
        <v>1584</v>
      </c>
      <c r="D1763" s="49" t="s">
        <v>1199</v>
      </c>
      <c r="E1763" s="49" t="s">
        <v>1186</v>
      </c>
      <c r="F1763" s="49" t="s">
        <v>1585</v>
      </c>
      <c r="G1763" s="49" t="s">
        <v>772</v>
      </c>
      <c r="H1763" s="49" t="s">
        <v>1132</v>
      </c>
      <c r="I1763" s="49" t="s">
        <v>885</v>
      </c>
    </row>
    <row r="1764" customFormat="false" ht="25.5" hidden="false" customHeight="true" outlineLevel="0" collapsed="false">
      <c r="A1764" s="49" t="s">
        <v>1118</v>
      </c>
      <c r="B1764" s="49" t="s">
        <v>1562</v>
      </c>
      <c r="C1764" s="49" t="s">
        <v>1586</v>
      </c>
      <c r="D1764" s="49" t="s">
        <v>1218</v>
      </c>
      <c r="E1764" s="49" t="s">
        <v>1135</v>
      </c>
      <c r="F1764" s="49" t="s">
        <v>1587</v>
      </c>
      <c r="G1764" s="49" t="s">
        <v>772</v>
      </c>
      <c r="H1764" s="49" t="s">
        <v>1132</v>
      </c>
      <c r="I1764" s="49" t="s">
        <v>885</v>
      </c>
    </row>
    <row r="1765" customFormat="false" ht="25.5" hidden="false" customHeight="true" outlineLevel="0" collapsed="false">
      <c r="A1765" s="49" t="s">
        <v>1118</v>
      </c>
      <c r="B1765" s="49" t="s">
        <v>1562</v>
      </c>
      <c r="C1765" s="49" t="s">
        <v>1171</v>
      </c>
      <c r="D1765" s="49" t="s">
        <v>1172</v>
      </c>
      <c r="E1765" s="49" t="s">
        <v>1173</v>
      </c>
      <c r="F1765" s="49" t="s">
        <v>1197</v>
      </c>
      <c r="G1765" s="49" t="s">
        <v>772</v>
      </c>
      <c r="H1765" s="49" t="s">
        <v>1132</v>
      </c>
      <c r="I1765" s="49" t="s">
        <v>885</v>
      </c>
    </row>
    <row r="1766" customFormat="false" ht="25.5" hidden="false" customHeight="true" outlineLevel="0" collapsed="false">
      <c r="A1766" s="49" t="s">
        <v>1118</v>
      </c>
      <c r="B1766" s="49" t="s">
        <v>1562</v>
      </c>
      <c r="C1766" s="49" t="s">
        <v>1588</v>
      </c>
      <c r="D1766" s="49" t="s">
        <v>1199</v>
      </c>
      <c r="E1766" s="49" t="s">
        <v>217</v>
      </c>
      <c r="F1766" s="49" t="s">
        <v>1589</v>
      </c>
      <c r="G1766" s="49" t="s">
        <v>772</v>
      </c>
      <c r="H1766" s="49" t="s">
        <v>1132</v>
      </c>
      <c r="I1766" s="49" t="s">
        <v>885</v>
      </c>
    </row>
    <row r="1767" customFormat="false" ht="25.5" hidden="false" customHeight="true" outlineLevel="0" collapsed="false">
      <c r="A1767" s="49" t="s">
        <v>1118</v>
      </c>
      <c r="B1767" s="49" t="s">
        <v>1562</v>
      </c>
      <c r="C1767" s="49" t="s">
        <v>1590</v>
      </c>
      <c r="D1767" s="49" t="s">
        <v>1151</v>
      </c>
      <c r="E1767" s="49" t="s">
        <v>1520</v>
      </c>
      <c r="F1767" s="49" t="s">
        <v>1591</v>
      </c>
      <c r="G1767" s="49" t="s">
        <v>772</v>
      </c>
      <c r="H1767" s="49" t="s">
        <v>1132</v>
      </c>
      <c r="I1767" s="49" t="s">
        <v>885</v>
      </c>
    </row>
    <row r="1768" customFormat="false" ht="25.5" hidden="false" customHeight="true" outlineLevel="0" collapsed="false">
      <c r="A1768" s="49" t="s">
        <v>1118</v>
      </c>
      <c r="B1768" s="49" t="s">
        <v>1562</v>
      </c>
      <c r="C1768" s="49" t="s">
        <v>1592</v>
      </c>
      <c r="D1768" s="49" t="s">
        <v>1148</v>
      </c>
      <c r="E1768" s="49" t="s">
        <v>217</v>
      </c>
      <c r="F1768" s="49" t="s">
        <v>1593</v>
      </c>
      <c r="G1768" s="49" t="s">
        <v>772</v>
      </c>
      <c r="H1768" s="49" t="s">
        <v>1132</v>
      </c>
      <c r="I1768" s="49" t="s">
        <v>885</v>
      </c>
    </row>
    <row r="1769" customFormat="false" ht="25.5" hidden="false" customHeight="true" outlineLevel="0" collapsed="false">
      <c r="A1769" s="49" t="s">
        <v>1118</v>
      </c>
      <c r="B1769" s="49" t="s">
        <v>1562</v>
      </c>
      <c r="C1769" s="49" t="s">
        <v>1594</v>
      </c>
      <c r="D1769" s="49" t="s">
        <v>1151</v>
      </c>
      <c r="E1769" s="49" t="s">
        <v>671</v>
      </c>
      <c r="F1769" s="49" t="s">
        <v>1595</v>
      </c>
      <c r="G1769" s="49" t="s">
        <v>772</v>
      </c>
      <c r="H1769" s="49" t="s">
        <v>1132</v>
      </c>
      <c r="I1769" s="49" t="s">
        <v>885</v>
      </c>
    </row>
    <row r="1770" customFormat="false" ht="25.5" hidden="false" customHeight="true" outlineLevel="0" collapsed="false">
      <c r="A1770" s="49" t="s">
        <v>1118</v>
      </c>
      <c r="B1770" s="49" t="s">
        <v>1127</v>
      </c>
      <c r="C1770" s="49" t="s">
        <v>1596</v>
      </c>
      <c r="D1770" s="49" t="s">
        <v>1218</v>
      </c>
      <c r="E1770" s="49" t="s">
        <v>1135</v>
      </c>
      <c r="F1770" s="49" t="s">
        <v>1216</v>
      </c>
      <c r="G1770" s="49" t="s">
        <v>772</v>
      </c>
      <c r="H1770" s="49" t="s">
        <v>1132</v>
      </c>
      <c r="I1770" s="49" t="s">
        <v>885</v>
      </c>
    </row>
    <row r="1771" customFormat="false" ht="25.5" hidden="false" customHeight="true" outlineLevel="0" collapsed="false">
      <c r="A1771" s="49" t="s">
        <v>1118</v>
      </c>
      <c r="B1771" s="49" t="s">
        <v>1127</v>
      </c>
      <c r="C1771" s="49" t="s">
        <v>1597</v>
      </c>
      <c r="D1771" s="49" t="s">
        <v>1218</v>
      </c>
      <c r="E1771" s="49" t="s">
        <v>1183</v>
      </c>
      <c r="F1771" s="49" t="s">
        <v>1598</v>
      </c>
      <c r="G1771" s="49" t="s">
        <v>772</v>
      </c>
      <c r="H1771" s="49" t="s">
        <v>1132</v>
      </c>
      <c r="I1771" s="49" t="s">
        <v>885</v>
      </c>
    </row>
    <row r="1772" customFormat="false" ht="25.5" hidden="false" customHeight="true" outlineLevel="0" collapsed="false">
      <c r="A1772" s="49" t="s">
        <v>1118</v>
      </c>
      <c r="B1772" s="49" t="s">
        <v>1127</v>
      </c>
      <c r="C1772" s="49" t="s">
        <v>1599</v>
      </c>
      <c r="D1772" s="49" t="s">
        <v>1151</v>
      </c>
      <c r="E1772" s="49" t="s">
        <v>1135</v>
      </c>
      <c r="F1772" s="49" t="s">
        <v>1600</v>
      </c>
      <c r="G1772" s="49" t="s">
        <v>772</v>
      </c>
      <c r="H1772" s="49" t="s">
        <v>1132</v>
      </c>
      <c r="I1772" s="49" t="s">
        <v>885</v>
      </c>
    </row>
    <row r="1773" customFormat="false" ht="25.5" hidden="false" customHeight="true" outlineLevel="0" collapsed="false">
      <c r="A1773" s="49" t="s">
        <v>1118</v>
      </c>
      <c r="B1773" s="49" t="s">
        <v>1127</v>
      </c>
      <c r="C1773" s="49" t="s">
        <v>1601</v>
      </c>
      <c r="D1773" s="49" t="s">
        <v>1218</v>
      </c>
      <c r="E1773" s="49" t="s">
        <v>893</v>
      </c>
      <c r="F1773" s="49" t="s">
        <v>1602</v>
      </c>
      <c r="G1773" s="49" t="s">
        <v>772</v>
      </c>
      <c r="H1773" s="49" t="s">
        <v>1132</v>
      </c>
      <c r="I1773" s="49" t="s">
        <v>885</v>
      </c>
    </row>
    <row r="1774" customFormat="false" ht="25.5" hidden="false" customHeight="true" outlineLevel="0" collapsed="false">
      <c r="A1774" s="49" t="s">
        <v>1118</v>
      </c>
      <c r="B1774" s="49" t="s">
        <v>1127</v>
      </c>
      <c r="C1774" s="49" t="s">
        <v>1603</v>
      </c>
      <c r="D1774" s="49" t="s">
        <v>1162</v>
      </c>
      <c r="E1774" s="49" t="s">
        <v>1163</v>
      </c>
      <c r="F1774" s="49" t="s">
        <v>1604</v>
      </c>
      <c r="G1774" s="49" t="s">
        <v>772</v>
      </c>
      <c r="H1774" s="49" t="s">
        <v>1132</v>
      </c>
      <c r="I1774" s="49" t="s">
        <v>885</v>
      </c>
    </row>
    <row r="1775" customFormat="false" ht="25.5" hidden="false" customHeight="true" outlineLevel="0" collapsed="false">
      <c r="A1775" s="49" t="s">
        <v>1118</v>
      </c>
      <c r="B1775" s="49" t="s">
        <v>1127</v>
      </c>
      <c r="C1775" s="49" t="s">
        <v>1605</v>
      </c>
      <c r="D1775" s="49" t="s">
        <v>1218</v>
      </c>
      <c r="E1775" s="49" t="s">
        <v>1135</v>
      </c>
      <c r="F1775" s="49" t="s">
        <v>1136</v>
      </c>
      <c r="G1775" s="49" t="s">
        <v>772</v>
      </c>
      <c r="H1775" s="49" t="s">
        <v>1132</v>
      </c>
      <c r="I1775" s="49" t="s">
        <v>885</v>
      </c>
    </row>
    <row r="1776" customFormat="false" ht="25.5" hidden="false" customHeight="true" outlineLevel="0" collapsed="false">
      <c r="A1776" s="49" t="s">
        <v>1118</v>
      </c>
      <c r="B1776" s="49" t="s">
        <v>1127</v>
      </c>
      <c r="C1776" s="49" t="s">
        <v>1606</v>
      </c>
      <c r="D1776" s="49" t="s">
        <v>1148</v>
      </c>
      <c r="E1776" s="49" t="s">
        <v>893</v>
      </c>
      <c r="F1776" s="49" t="s">
        <v>1607</v>
      </c>
      <c r="G1776" s="49" t="s">
        <v>772</v>
      </c>
      <c r="H1776" s="49" t="s">
        <v>1132</v>
      </c>
      <c r="I1776" s="49" t="s">
        <v>885</v>
      </c>
    </row>
    <row r="1777" customFormat="false" ht="25.5" hidden="false" customHeight="true" outlineLevel="0" collapsed="false">
      <c r="A1777" s="49" t="s">
        <v>1118</v>
      </c>
      <c r="B1777" s="49" t="s">
        <v>1127</v>
      </c>
      <c r="C1777" s="49" t="s">
        <v>1608</v>
      </c>
      <c r="D1777" s="49" t="s">
        <v>1218</v>
      </c>
      <c r="E1777" s="49" t="s">
        <v>1609</v>
      </c>
      <c r="F1777" s="49" t="s">
        <v>1610</v>
      </c>
      <c r="G1777" s="49" t="s">
        <v>772</v>
      </c>
      <c r="H1777" s="49" t="s">
        <v>1132</v>
      </c>
      <c r="I1777" s="49" t="s">
        <v>885</v>
      </c>
    </row>
    <row r="1778" customFormat="false" ht="25.5" hidden="false" customHeight="true" outlineLevel="0" collapsed="false">
      <c r="A1778" s="49" t="s">
        <v>1118</v>
      </c>
      <c r="B1778" s="49" t="s">
        <v>1127</v>
      </c>
      <c r="C1778" s="49" t="s">
        <v>1611</v>
      </c>
      <c r="D1778" s="49" t="s">
        <v>1151</v>
      </c>
      <c r="E1778" s="49" t="s">
        <v>1135</v>
      </c>
      <c r="F1778" s="49" t="s">
        <v>1600</v>
      </c>
      <c r="G1778" s="49" t="s">
        <v>772</v>
      </c>
      <c r="H1778" s="49" t="s">
        <v>1132</v>
      </c>
      <c r="I1778" s="49" t="s">
        <v>885</v>
      </c>
    </row>
    <row r="1779" customFormat="false" ht="25.5" hidden="false" customHeight="true" outlineLevel="0" collapsed="false">
      <c r="A1779" s="49" t="s">
        <v>1118</v>
      </c>
      <c r="B1779" s="49" t="s">
        <v>1127</v>
      </c>
      <c r="C1779" s="49" t="s">
        <v>1612</v>
      </c>
      <c r="D1779" s="49" t="s">
        <v>1218</v>
      </c>
      <c r="E1779" s="49" t="s">
        <v>1135</v>
      </c>
      <c r="F1779" s="49" t="s">
        <v>1170</v>
      </c>
      <c r="G1779" s="49" t="s">
        <v>772</v>
      </c>
      <c r="H1779" s="49" t="s">
        <v>1132</v>
      </c>
      <c r="I1779" s="49" t="s">
        <v>885</v>
      </c>
    </row>
    <row r="1780" customFormat="false" ht="25.5" hidden="false" customHeight="true" outlineLevel="0" collapsed="false">
      <c r="A1780" s="49" t="s">
        <v>1118</v>
      </c>
      <c r="B1780" s="49" t="s">
        <v>1127</v>
      </c>
      <c r="C1780" s="49" t="s">
        <v>1613</v>
      </c>
      <c r="D1780" s="49" t="s">
        <v>1208</v>
      </c>
      <c r="E1780" s="49" t="s">
        <v>1183</v>
      </c>
      <c r="F1780" s="49" t="s">
        <v>1614</v>
      </c>
      <c r="G1780" s="49" t="s">
        <v>772</v>
      </c>
      <c r="H1780" s="49" t="s">
        <v>1132</v>
      </c>
      <c r="I1780" s="49" t="s">
        <v>885</v>
      </c>
    </row>
    <row r="1781" customFormat="false" ht="25.5" hidden="false" customHeight="true" outlineLevel="0" collapsed="false">
      <c r="A1781" s="49" t="s">
        <v>1118</v>
      </c>
      <c r="B1781" s="49" t="s">
        <v>1127</v>
      </c>
      <c r="C1781" s="49" t="s">
        <v>1615</v>
      </c>
      <c r="D1781" s="49" t="s">
        <v>1129</v>
      </c>
      <c r="E1781" s="49" t="s">
        <v>1226</v>
      </c>
      <c r="F1781" s="49" t="s">
        <v>1616</v>
      </c>
      <c r="G1781" s="49" t="s">
        <v>772</v>
      </c>
      <c r="H1781" s="49" t="s">
        <v>1132</v>
      </c>
      <c r="I1781" s="49" t="s">
        <v>885</v>
      </c>
    </row>
    <row r="1782" customFormat="false" ht="25.5" hidden="false" customHeight="true" outlineLevel="0" collapsed="false">
      <c r="A1782" s="49" t="s">
        <v>1118</v>
      </c>
      <c r="B1782" s="49" t="s">
        <v>1127</v>
      </c>
      <c r="C1782" s="49" t="s">
        <v>1128</v>
      </c>
      <c r="D1782" s="49" t="s">
        <v>1129</v>
      </c>
      <c r="E1782" s="49" t="s">
        <v>1130</v>
      </c>
      <c r="F1782" s="49" t="s">
        <v>1131</v>
      </c>
      <c r="G1782" s="49" t="s">
        <v>772</v>
      </c>
      <c r="H1782" s="49" t="s">
        <v>1132</v>
      </c>
      <c r="I1782" s="49" t="s">
        <v>885</v>
      </c>
    </row>
    <row r="1783" customFormat="false" ht="25.5" hidden="false" customHeight="true" outlineLevel="0" collapsed="false">
      <c r="A1783" s="49" t="s">
        <v>1118</v>
      </c>
      <c r="B1783" s="49" t="s">
        <v>1127</v>
      </c>
      <c r="C1783" s="49" t="s">
        <v>1133</v>
      </c>
      <c r="D1783" s="49" t="s">
        <v>1134</v>
      </c>
      <c r="E1783" s="49" t="s">
        <v>1135</v>
      </c>
      <c r="F1783" s="49" t="s">
        <v>1136</v>
      </c>
      <c r="G1783" s="49" t="s">
        <v>772</v>
      </c>
      <c r="H1783" s="49" t="s">
        <v>1132</v>
      </c>
      <c r="I1783" s="49" t="s">
        <v>885</v>
      </c>
    </row>
    <row r="1784" customFormat="false" ht="25.5" hidden="false" customHeight="true" outlineLevel="0" collapsed="false">
      <c r="A1784" s="49" t="s">
        <v>1118</v>
      </c>
      <c r="B1784" s="49" t="s">
        <v>1127</v>
      </c>
      <c r="C1784" s="49" t="s">
        <v>1137</v>
      </c>
      <c r="D1784" s="49" t="s">
        <v>1129</v>
      </c>
      <c r="E1784" s="49" t="s">
        <v>1135</v>
      </c>
      <c r="F1784" s="49" t="s">
        <v>1138</v>
      </c>
      <c r="G1784" s="49" t="s">
        <v>772</v>
      </c>
      <c r="H1784" s="49" t="s">
        <v>1132</v>
      </c>
      <c r="I1784" s="49" t="s">
        <v>885</v>
      </c>
    </row>
    <row r="1785" customFormat="false" ht="25.5" hidden="false" customHeight="true" outlineLevel="0" collapsed="false">
      <c r="A1785" s="49" t="s">
        <v>1118</v>
      </c>
      <c r="B1785" s="49" t="s">
        <v>1127</v>
      </c>
      <c r="C1785" s="49" t="s">
        <v>1139</v>
      </c>
      <c r="D1785" s="49" t="s">
        <v>1134</v>
      </c>
      <c r="E1785" s="49" t="s">
        <v>1135</v>
      </c>
      <c r="F1785" s="49" t="s">
        <v>1136</v>
      </c>
      <c r="G1785" s="49" t="s">
        <v>772</v>
      </c>
      <c r="H1785" s="49" t="s">
        <v>1132</v>
      </c>
      <c r="I1785" s="49" t="s">
        <v>885</v>
      </c>
    </row>
    <row r="1786" customFormat="false" ht="25.5" hidden="false" customHeight="true" outlineLevel="0" collapsed="false">
      <c r="A1786" s="49" t="s">
        <v>1118</v>
      </c>
      <c r="B1786" s="49" t="s">
        <v>1127</v>
      </c>
      <c r="C1786" s="49" t="s">
        <v>1140</v>
      </c>
      <c r="D1786" s="49" t="s">
        <v>1141</v>
      </c>
      <c r="E1786" s="49" t="s">
        <v>1142</v>
      </c>
      <c r="F1786" s="49" t="s">
        <v>1143</v>
      </c>
      <c r="G1786" s="49" t="s">
        <v>772</v>
      </c>
      <c r="H1786" s="49" t="s">
        <v>1132</v>
      </c>
      <c r="I1786" s="49" t="s">
        <v>885</v>
      </c>
    </row>
    <row r="1787" customFormat="false" ht="25.5" hidden="false" customHeight="true" outlineLevel="0" collapsed="false">
      <c r="A1787" s="49" t="s">
        <v>1118</v>
      </c>
      <c r="B1787" s="49" t="s">
        <v>1127</v>
      </c>
      <c r="C1787" s="49" t="s">
        <v>1144</v>
      </c>
      <c r="D1787" s="49" t="s">
        <v>1134</v>
      </c>
      <c r="E1787" s="49" t="s">
        <v>1145</v>
      </c>
      <c r="F1787" s="49" t="s">
        <v>1146</v>
      </c>
      <c r="G1787" s="49" t="s">
        <v>772</v>
      </c>
      <c r="H1787" s="49" t="s">
        <v>1132</v>
      </c>
      <c r="I1787" s="49" t="s">
        <v>885</v>
      </c>
    </row>
    <row r="1788" customFormat="false" ht="25.5" hidden="false" customHeight="true" outlineLevel="0" collapsed="false">
      <c r="A1788" s="49" t="s">
        <v>1118</v>
      </c>
      <c r="B1788" s="49" t="s">
        <v>1127</v>
      </c>
      <c r="C1788" s="49" t="s">
        <v>1147</v>
      </c>
      <c r="D1788" s="49" t="s">
        <v>1148</v>
      </c>
      <c r="E1788" s="49" t="s">
        <v>1135</v>
      </c>
      <c r="F1788" s="49" t="s">
        <v>1136</v>
      </c>
      <c r="G1788" s="49" t="s">
        <v>772</v>
      </c>
      <c r="H1788" s="49" t="s">
        <v>1132</v>
      </c>
      <c r="I1788" s="49" t="s">
        <v>885</v>
      </c>
    </row>
    <row r="1789" customFormat="false" ht="25.5" hidden="false" customHeight="true" outlineLevel="0" collapsed="false">
      <c r="A1789" s="49" t="s">
        <v>1118</v>
      </c>
      <c r="B1789" s="49" t="s">
        <v>1127</v>
      </c>
      <c r="C1789" s="49" t="s">
        <v>1149</v>
      </c>
      <c r="D1789" s="49" t="s">
        <v>1134</v>
      </c>
      <c r="E1789" s="49" t="s">
        <v>1135</v>
      </c>
      <c r="F1789" s="49" t="s">
        <v>1136</v>
      </c>
      <c r="G1789" s="49" t="s">
        <v>772</v>
      </c>
      <c r="H1789" s="49" t="s">
        <v>1132</v>
      </c>
      <c r="I1789" s="49" t="s">
        <v>885</v>
      </c>
    </row>
    <row r="1790" customFormat="false" ht="25.5" hidden="false" customHeight="true" outlineLevel="0" collapsed="false">
      <c r="A1790" s="49" t="s">
        <v>1118</v>
      </c>
      <c r="B1790" s="49" t="s">
        <v>1127</v>
      </c>
      <c r="C1790" s="49" t="s">
        <v>1150</v>
      </c>
      <c r="D1790" s="49" t="s">
        <v>1151</v>
      </c>
      <c r="E1790" s="49" t="s">
        <v>1152</v>
      </c>
      <c r="F1790" s="49" t="s">
        <v>1153</v>
      </c>
      <c r="G1790" s="49" t="s">
        <v>772</v>
      </c>
      <c r="H1790" s="49" t="s">
        <v>1132</v>
      </c>
      <c r="I1790" s="49" t="s">
        <v>885</v>
      </c>
    </row>
    <row r="1791" customFormat="false" ht="25.5" hidden="false" customHeight="true" outlineLevel="0" collapsed="false">
      <c r="A1791" s="49" t="s">
        <v>1118</v>
      </c>
      <c r="B1791" s="49" t="s">
        <v>1127</v>
      </c>
      <c r="C1791" s="49" t="s">
        <v>1154</v>
      </c>
      <c r="D1791" s="49" t="s">
        <v>1134</v>
      </c>
      <c r="E1791" s="49" t="s">
        <v>1135</v>
      </c>
      <c r="F1791" s="49" t="s">
        <v>1136</v>
      </c>
      <c r="G1791" s="49" t="s">
        <v>772</v>
      </c>
      <c r="H1791" s="49" t="s">
        <v>1132</v>
      </c>
      <c r="I1791" s="49" t="s">
        <v>885</v>
      </c>
    </row>
    <row r="1792" customFormat="false" ht="25.5" hidden="false" customHeight="true" outlineLevel="0" collapsed="false">
      <c r="A1792" s="49" t="s">
        <v>1118</v>
      </c>
      <c r="B1792" s="49" t="s">
        <v>1127</v>
      </c>
      <c r="C1792" s="49" t="s">
        <v>1155</v>
      </c>
      <c r="D1792" s="49" t="s">
        <v>1156</v>
      </c>
      <c r="E1792" s="49" t="s">
        <v>1157</v>
      </c>
      <c r="F1792" s="49" t="s">
        <v>1158</v>
      </c>
      <c r="G1792" s="49" t="s">
        <v>772</v>
      </c>
      <c r="H1792" s="49" t="s">
        <v>1132</v>
      </c>
      <c r="I1792" s="49" t="s">
        <v>885</v>
      </c>
    </row>
    <row r="1793" customFormat="false" ht="25.5" hidden="false" customHeight="true" outlineLevel="0" collapsed="false">
      <c r="A1793" s="49" t="s">
        <v>1118</v>
      </c>
      <c r="B1793" s="49" t="s">
        <v>1127</v>
      </c>
      <c r="C1793" s="49" t="s">
        <v>1159</v>
      </c>
      <c r="D1793" s="49" t="s">
        <v>1148</v>
      </c>
      <c r="E1793" s="49" t="s">
        <v>1135</v>
      </c>
      <c r="F1793" s="49" t="s">
        <v>1136</v>
      </c>
      <c r="G1793" s="49" t="s">
        <v>772</v>
      </c>
      <c r="H1793" s="49" t="s">
        <v>1132</v>
      </c>
      <c r="I1793" s="49" t="s">
        <v>885</v>
      </c>
    </row>
    <row r="1794" customFormat="false" ht="25.5" hidden="false" customHeight="true" outlineLevel="0" collapsed="false">
      <c r="A1794" s="49" t="s">
        <v>1118</v>
      </c>
      <c r="B1794" s="49" t="s">
        <v>1127</v>
      </c>
      <c r="C1794" s="49" t="s">
        <v>1160</v>
      </c>
      <c r="D1794" s="49" t="s">
        <v>1134</v>
      </c>
      <c r="E1794" s="49" t="s">
        <v>1157</v>
      </c>
      <c r="F1794" s="49" t="s">
        <v>1158</v>
      </c>
      <c r="G1794" s="49" t="s">
        <v>772</v>
      </c>
      <c r="H1794" s="49" t="s">
        <v>1132</v>
      </c>
      <c r="I1794" s="49" t="s">
        <v>885</v>
      </c>
    </row>
    <row r="1795" customFormat="false" ht="25.5" hidden="false" customHeight="true" outlineLevel="0" collapsed="false">
      <c r="A1795" s="49" t="s">
        <v>1118</v>
      </c>
      <c r="B1795" s="49" t="s">
        <v>1127</v>
      </c>
      <c r="C1795" s="49" t="s">
        <v>1161</v>
      </c>
      <c r="D1795" s="49" t="s">
        <v>1162</v>
      </c>
      <c r="E1795" s="49" t="s">
        <v>1163</v>
      </c>
      <c r="F1795" s="49" t="s">
        <v>1164</v>
      </c>
      <c r="G1795" s="49" t="s">
        <v>772</v>
      </c>
      <c r="H1795" s="49" t="s">
        <v>1132</v>
      </c>
      <c r="I1795" s="49" t="s">
        <v>885</v>
      </c>
    </row>
    <row r="1796" customFormat="false" ht="25.5" hidden="false" customHeight="true" outlineLevel="0" collapsed="false">
      <c r="A1796" s="49" t="s">
        <v>1118</v>
      </c>
      <c r="B1796" s="49" t="s">
        <v>1127</v>
      </c>
      <c r="C1796" s="49" t="s">
        <v>1165</v>
      </c>
      <c r="D1796" s="49" t="s">
        <v>1156</v>
      </c>
      <c r="E1796" s="49" t="s">
        <v>146</v>
      </c>
      <c r="F1796" s="49" t="s">
        <v>1166</v>
      </c>
      <c r="G1796" s="49" t="s">
        <v>772</v>
      </c>
      <c r="H1796" s="49" t="s">
        <v>1132</v>
      </c>
      <c r="I1796" s="49" t="s">
        <v>885</v>
      </c>
    </row>
    <row r="1797" customFormat="false" ht="25.5" hidden="false" customHeight="true" outlineLevel="0" collapsed="false">
      <c r="A1797" s="49" t="s">
        <v>1118</v>
      </c>
      <c r="B1797" s="49" t="s">
        <v>1127</v>
      </c>
      <c r="C1797" s="49" t="s">
        <v>1167</v>
      </c>
      <c r="D1797" s="49" t="s">
        <v>1141</v>
      </c>
      <c r="E1797" s="49" t="s">
        <v>1135</v>
      </c>
      <c r="F1797" s="49" t="s">
        <v>1136</v>
      </c>
      <c r="G1797" s="49" t="s">
        <v>772</v>
      </c>
      <c r="H1797" s="49" t="s">
        <v>1132</v>
      </c>
      <c r="I1797" s="49" t="s">
        <v>885</v>
      </c>
    </row>
    <row r="1798" customFormat="false" ht="25.5" hidden="false" customHeight="true" outlineLevel="0" collapsed="false">
      <c r="A1798" s="49" t="s">
        <v>1118</v>
      </c>
      <c r="B1798" s="49" t="s">
        <v>1127</v>
      </c>
      <c r="C1798" s="49" t="s">
        <v>1168</v>
      </c>
      <c r="D1798" s="49" t="s">
        <v>1141</v>
      </c>
      <c r="E1798" s="49" t="s">
        <v>1145</v>
      </c>
      <c r="F1798" s="49" t="s">
        <v>1146</v>
      </c>
      <c r="G1798" s="49" t="s">
        <v>772</v>
      </c>
      <c r="H1798" s="49" t="s">
        <v>1132</v>
      </c>
      <c r="I1798" s="49" t="s">
        <v>885</v>
      </c>
    </row>
    <row r="1799" customFormat="false" ht="25.5" hidden="false" customHeight="true" outlineLevel="0" collapsed="false">
      <c r="A1799" s="49" t="s">
        <v>1118</v>
      </c>
      <c r="B1799" s="49" t="s">
        <v>1127</v>
      </c>
      <c r="C1799" s="49" t="s">
        <v>1169</v>
      </c>
      <c r="D1799" s="49" t="s">
        <v>1148</v>
      </c>
      <c r="E1799" s="49" t="s">
        <v>1135</v>
      </c>
      <c r="F1799" s="49" t="s">
        <v>1170</v>
      </c>
      <c r="G1799" s="49" t="s">
        <v>772</v>
      </c>
      <c r="H1799" s="49" t="s">
        <v>1132</v>
      </c>
      <c r="I1799" s="49" t="s">
        <v>885</v>
      </c>
    </row>
    <row r="1800" customFormat="false" ht="25.5" hidden="false" customHeight="true" outlineLevel="0" collapsed="false">
      <c r="A1800" s="49" t="s">
        <v>1118</v>
      </c>
      <c r="B1800" s="49" t="s">
        <v>1127</v>
      </c>
      <c r="C1800" s="49" t="s">
        <v>1171</v>
      </c>
      <c r="D1800" s="49" t="s">
        <v>1172</v>
      </c>
      <c r="E1800" s="49" t="s">
        <v>1173</v>
      </c>
      <c r="F1800" s="49" t="s">
        <v>1174</v>
      </c>
      <c r="G1800" s="49" t="s">
        <v>772</v>
      </c>
      <c r="H1800" s="49" t="s">
        <v>1132</v>
      </c>
      <c r="I1800" s="49" t="s">
        <v>885</v>
      </c>
    </row>
    <row r="1801" customFormat="false" ht="25.5" hidden="false" customHeight="true" outlineLevel="0" collapsed="false">
      <c r="A1801" s="49" t="s">
        <v>1118</v>
      </c>
      <c r="B1801" s="49" t="s">
        <v>1127</v>
      </c>
      <c r="C1801" s="49" t="s">
        <v>1175</v>
      </c>
      <c r="D1801" s="49" t="s">
        <v>1162</v>
      </c>
      <c r="E1801" s="49" t="s">
        <v>893</v>
      </c>
      <c r="F1801" s="49" t="s">
        <v>1176</v>
      </c>
      <c r="G1801" s="49" t="s">
        <v>772</v>
      </c>
      <c r="H1801" s="49" t="s">
        <v>1132</v>
      </c>
      <c r="I1801" s="49" t="s">
        <v>885</v>
      </c>
    </row>
    <row r="1802" customFormat="false" ht="25.5" hidden="false" customHeight="true" outlineLevel="0" collapsed="false">
      <c r="A1802" s="49" t="s">
        <v>1118</v>
      </c>
      <c r="B1802" s="49" t="s">
        <v>1127</v>
      </c>
      <c r="C1802" s="49" t="s">
        <v>1177</v>
      </c>
      <c r="D1802" s="49" t="s">
        <v>1148</v>
      </c>
      <c r="E1802" s="49" t="s">
        <v>217</v>
      </c>
      <c r="F1802" s="49" t="s">
        <v>1178</v>
      </c>
      <c r="G1802" s="49" t="s">
        <v>772</v>
      </c>
      <c r="H1802" s="49" t="s">
        <v>1132</v>
      </c>
      <c r="I1802" s="49" t="s">
        <v>885</v>
      </c>
    </row>
    <row r="1803" customFormat="false" ht="25.5" hidden="false" customHeight="true" outlineLevel="0" collapsed="false">
      <c r="A1803" s="49" t="s">
        <v>1118</v>
      </c>
      <c r="B1803" s="49" t="s">
        <v>1127</v>
      </c>
      <c r="C1803" s="49" t="s">
        <v>1179</v>
      </c>
      <c r="D1803" s="49" t="s">
        <v>1151</v>
      </c>
      <c r="E1803" s="49" t="s">
        <v>1180</v>
      </c>
      <c r="F1803" s="49" t="s">
        <v>1181</v>
      </c>
      <c r="G1803" s="49" t="s">
        <v>772</v>
      </c>
      <c r="H1803" s="49" t="s">
        <v>1132</v>
      </c>
      <c r="I1803" s="49" t="s">
        <v>885</v>
      </c>
    </row>
    <row r="1804" customFormat="false" ht="25.5" hidden="false" customHeight="true" outlineLevel="0" collapsed="false">
      <c r="A1804" s="49" t="s">
        <v>1118</v>
      </c>
      <c r="B1804" s="49" t="s">
        <v>1127</v>
      </c>
      <c r="C1804" s="49" t="s">
        <v>1182</v>
      </c>
      <c r="D1804" s="49" t="s">
        <v>1148</v>
      </c>
      <c r="E1804" s="49" t="s">
        <v>1183</v>
      </c>
      <c r="F1804" s="49" t="s">
        <v>1184</v>
      </c>
      <c r="G1804" s="49" t="s">
        <v>772</v>
      </c>
      <c r="H1804" s="49" t="s">
        <v>1132</v>
      </c>
      <c r="I1804" s="49" t="s">
        <v>885</v>
      </c>
    </row>
    <row r="1805" customFormat="false" ht="25.5" hidden="false" customHeight="true" outlineLevel="0" collapsed="false">
      <c r="A1805" s="49" t="s">
        <v>1118</v>
      </c>
      <c r="B1805" s="49" t="s">
        <v>1127</v>
      </c>
      <c r="C1805" s="49" t="s">
        <v>1185</v>
      </c>
      <c r="D1805" s="49" t="s">
        <v>1134</v>
      </c>
      <c r="E1805" s="49" t="s">
        <v>1186</v>
      </c>
      <c r="F1805" s="49" t="s">
        <v>1187</v>
      </c>
      <c r="G1805" s="49" t="s">
        <v>772</v>
      </c>
      <c r="H1805" s="49" t="s">
        <v>1132</v>
      </c>
      <c r="I1805" s="49" t="s">
        <v>885</v>
      </c>
    </row>
    <row r="1806" customFormat="false" ht="25.5" hidden="false" customHeight="true" outlineLevel="0" collapsed="false">
      <c r="A1806" s="49" t="s">
        <v>1118</v>
      </c>
      <c r="B1806" s="49" t="s">
        <v>1127</v>
      </c>
      <c r="C1806" s="49" t="s">
        <v>1188</v>
      </c>
      <c r="D1806" s="49" t="s">
        <v>1134</v>
      </c>
      <c r="E1806" s="49" t="s">
        <v>1189</v>
      </c>
      <c r="F1806" s="49" t="s">
        <v>1190</v>
      </c>
      <c r="G1806" s="49" t="s">
        <v>772</v>
      </c>
      <c r="H1806" s="49" t="s">
        <v>1132</v>
      </c>
      <c r="I1806" s="49" t="s">
        <v>885</v>
      </c>
    </row>
    <row r="1807" customFormat="false" ht="25.5" hidden="false" customHeight="true" outlineLevel="0" collapsed="false">
      <c r="A1807" s="49" t="s">
        <v>1118</v>
      </c>
      <c r="B1807" s="49" t="s">
        <v>1127</v>
      </c>
      <c r="C1807" s="49" t="s">
        <v>1191</v>
      </c>
      <c r="D1807" s="49" t="s">
        <v>1151</v>
      </c>
      <c r="E1807" s="49" t="s">
        <v>1142</v>
      </c>
      <c r="F1807" s="49" t="s">
        <v>1192</v>
      </c>
      <c r="G1807" s="49" t="s">
        <v>772</v>
      </c>
      <c r="H1807" s="49" t="s">
        <v>1132</v>
      </c>
      <c r="I1807" s="49" t="s">
        <v>885</v>
      </c>
    </row>
    <row r="1808" customFormat="false" ht="25.5" hidden="false" customHeight="true" outlineLevel="0" collapsed="false">
      <c r="A1808" s="49" t="s">
        <v>1118</v>
      </c>
      <c r="B1808" s="49" t="s">
        <v>1127</v>
      </c>
      <c r="C1808" s="49" t="s">
        <v>1193</v>
      </c>
      <c r="D1808" s="49" t="s">
        <v>1148</v>
      </c>
      <c r="E1808" s="49" t="s">
        <v>1194</v>
      </c>
      <c r="F1808" s="49" t="s">
        <v>1195</v>
      </c>
      <c r="G1808" s="49" t="s">
        <v>772</v>
      </c>
      <c r="H1808" s="49" t="s">
        <v>1132</v>
      </c>
      <c r="I1808" s="49" t="s">
        <v>885</v>
      </c>
    </row>
    <row r="1809" customFormat="false" ht="25.5" hidden="false" customHeight="true" outlineLevel="0" collapsed="false">
      <c r="A1809" s="49" t="s">
        <v>1118</v>
      </c>
      <c r="B1809" s="49" t="s">
        <v>1196</v>
      </c>
      <c r="C1809" s="49" t="s">
        <v>1171</v>
      </c>
      <c r="D1809" s="49" t="s">
        <v>1172</v>
      </c>
      <c r="E1809" s="49" t="s">
        <v>1173</v>
      </c>
      <c r="F1809" s="49" t="s">
        <v>1197</v>
      </c>
      <c r="G1809" s="49" t="s">
        <v>772</v>
      </c>
      <c r="H1809" s="49" t="s">
        <v>1132</v>
      </c>
      <c r="I1809" s="49" t="s">
        <v>885</v>
      </c>
    </row>
    <row r="1810" customFormat="false" ht="25.5" hidden="false" customHeight="true" outlineLevel="0" collapsed="false">
      <c r="A1810" s="49" t="s">
        <v>1118</v>
      </c>
      <c r="B1810" s="49" t="s">
        <v>1196</v>
      </c>
      <c r="C1810" s="49" t="s">
        <v>1198</v>
      </c>
      <c r="D1810" s="49" t="s">
        <v>1199</v>
      </c>
      <c r="E1810" s="49" t="s">
        <v>1200</v>
      </c>
      <c r="F1810" s="49" t="s">
        <v>1201</v>
      </c>
      <c r="G1810" s="49" t="s">
        <v>772</v>
      </c>
      <c r="H1810" s="49" t="s">
        <v>1132</v>
      </c>
      <c r="I1810" s="49" t="s">
        <v>885</v>
      </c>
    </row>
    <row r="1811" customFormat="false" ht="25.5" hidden="false" customHeight="true" outlineLevel="0" collapsed="false">
      <c r="A1811" s="49" t="s">
        <v>1118</v>
      </c>
      <c r="B1811" s="49" t="s">
        <v>1196</v>
      </c>
      <c r="C1811" s="49" t="s">
        <v>1202</v>
      </c>
      <c r="D1811" s="49" t="s">
        <v>1151</v>
      </c>
      <c r="E1811" s="49" t="s">
        <v>217</v>
      </c>
      <c r="F1811" s="49" t="s">
        <v>1203</v>
      </c>
      <c r="G1811" s="49" t="s">
        <v>772</v>
      </c>
      <c r="H1811" s="49" t="s">
        <v>1132</v>
      </c>
      <c r="I1811" s="49" t="s">
        <v>885</v>
      </c>
    </row>
    <row r="1812" customFormat="false" ht="25.5" hidden="false" customHeight="true" outlineLevel="0" collapsed="false">
      <c r="A1812" s="49" t="s">
        <v>1118</v>
      </c>
      <c r="B1812" s="49" t="s">
        <v>1196</v>
      </c>
      <c r="C1812" s="49" t="s">
        <v>1204</v>
      </c>
      <c r="D1812" s="49" t="s">
        <v>1151</v>
      </c>
      <c r="E1812" s="49" t="s">
        <v>1205</v>
      </c>
      <c r="F1812" s="49" t="s">
        <v>1206</v>
      </c>
      <c r="G1812" s="49" t="s">
        <v>772</v>
      </c>
      <c r="H1812" s="49" t="s">
        <v>1132</v>
      </c>
      <c r="I1812" s="49" t="s">
        <v>885</v>
      </c>
    </row>
    <row r="1813" customFormat="false" ht="25.5" hidden="false" customHeight="true" outlineLevel="0" collapsed="false">
      <c r="A1813" s="49" t="s">
        <v>1118</v>
      </c>
      <c r="B1813" s="49" t="s">
        <v>1196</v>
      </c>
      <c r="C1813" s="49" t="s">
        <v>1207</v>
      </c>
      <c r="D1813" s="49" t="s">
        <v>1208</v>
      </c>
      <c r="E1813" s="49" t="s">
        <v>1183</v>
      </c>
      <c r="F1813" s="49" t="s">
        <v>1209</v>
      </c>
      <c r="G1813" s="49" t="s">
        <v>772</v>
      </c>
      <c r="H1813" s="49" t="s">
        <v>1132</v>
      </c>
      <c r="I1813" s="49" t="s">
        <v>885</v>
      </c>
    </row>
    <row r="1814" customFormat="false" ht="25.5" hidden="false" customHeight="true" outlineLevel="0" collapsed="false">
      <c r="A1814" s="49" t="s">
        <v>1118</v>
      </c>
      <c r="B1814" s="49" t="s">
        <v>1196</v>
      </c>
      <c r="C1814" s="49" t="s">
        <v>1210</v>
      </c>
      <c r="D1814" s="49" t="s">
        <v>1141</v>
      </c>
      <c r="E1814" s="49" t="s">
        <v>1135</v>
      </c>
      <c r="F1814" s="49" t="s">
        <v>1211</v>
      </c>
      <c r="G1814" s="49" t="s">
        <v>772</v>
      </c>
      <c r="H1814" s="49" t="s">
        <v>1132</v>
      </c>
      <c r="I1814" s="49" t="s">
        <v>885</v>
      </c>
    </row>
    <row r="1815" customFormat="false" ht="25.5" hidden="false" customHeight="true" outlineLevel="0" collapsed="false">
      <c r="A1815" s="49" t="s">
        <v>1118</v>
      </c>
      <c r="B1815" s="49" t="s">
        <v>1196</v>
      </c>
      <c r="C1815" s="49" t="s">
        <v>1212</v>
      </c>
      <c r="D1815" s="49" t="s">
        <v>1156</v>
      </c>
      <c r="E1815" s="49" t="s">
        <v>1213</v>
      </c>
      <c r="F1815" s="49" t="s">
        <v>1214</v>
      </c>
      <c r="G1815" s="49" t="s">
        <v>772</v>
      </c>
      <c r="H1815" s="49" t="s">
        <v>1132</v>
      </c>
      <c r="I1815" s="49" t="s">
        <v>885</v>
      </c>
    </row>
    <row r="1816" customFormat="false" ht="25.5" hidden="false" customHeight="true" outlineLevel="0" collapsed="false">
      <c r="A1816" s="49" t="s">
        <v>1118</v>
      </c>
      <c r="B1816" s="49" t="s">
        <v>1196</v>
      </c>
      <c r="C1816" s="49" t="s">
        <v>1215</v>
      </c>
      <c r="D1816" s="49" t="s">
        <v>1151</v>
      </c>
      <c r="E1816" s="49" t="s">
        <v>1135</v>
      </c>
      <c r="F1816" s="49" t="s">
        <v>1216</v>
      </c>
      <c r="G1816" s="49" t="s">
        <v>772</v>
      </c>
      <c r="H1816" s="49" t="s">
        <v>1132</v>
      </c>
      <c r="I1816" s="49" t="s">
        <v>885</v>
      </c>
    </row>
    <row r="1817" customFormat="false" ht="25.5" hidden="false" customHeight="true" outlineLevel="0" collapsed="false">
      <c r="A1817" s="49" t="s">
        <v>1118</v>
      </c>
      <c r="B1817" s="49" t="s">
        <v>1196</v>
      </c>
      <c r="C1817" s="49" t="s">
        <v>1217</v>
      </c>
      <c r="D1817" s="49" t="s">
        <v>1218</v>
      </c>
      <c r="E1817" s="49" t="s">
        <v>146</v>
      </c>
      <c r="F1817" s="49" t="s">
        <v>1219</v>
      </c>
      <c r="G1817" s="49" t="s">
        <v>772</v>
      </c>
      <c r="H1817" s="49" t="s">
        <v>1132</v>
      </c>
      <c r="I1817" s="49" t="s">
        <v>885</v>
      </c>
    </row>
    <row r="1818" customFormat="false" ht="25.5" hidden="false" customHeight="true" outlineLevel="0" collapsed="false">
      <c r="A1818" s="49" t="s">
        <v>1118</v>
      </c>
      <c r="B1818" s="49" t="s">
        <v>1196</v>
      </c>
      <c r="C1818" s="49" t="s">
        <v>1220</v>
      </c>
      <c r="D1818" s="49" t="s">
        <v>1129</v>
      </c>
      <c r="E1818" s="49" t="s">
        <v>1183</v>
      </c>
      <c r="F1818" s="49" t="s">
        <v>1221</v>
      </c>
      <c r="G1818" s="49" t="s">
        <v>772</v>
      </c>
      <c r="H1818" s="49" t="s">
        <v>1132</v>
      </c>
      <c r="I1818" s="49" t="s">
        <v>885</v>
      </c>
    </row>
    <row r="1819" customFormat="false" ht="25.5" hidden="false" customHeight="true" outlineLevel="0" collapsed="false">
      <c r="A1819" s="49" t="s">
        <v>1118</v>
      </c>
      <c r="B1819" s="49" t="s">
        <v>1196</v>
      </c>
      <c r="C1819" s="49" t="s">
        <v>1222</v>
      </c>
      <c r="D1819" s="49" t="s">
        <v>1141</v>
      </c>
      <c r="E1819" s="49" t="s">
        <v>1223</v>
      </c>
      <c r="F1819" s="49" t="s">
        <v>1224</v>
      </c>
      <c r="G1819" s="49" t="s">
        <v>772</v>
      </c>
      <c r="H1819" s="49" t="s">
        <v>1132</v>
      </c>
      <c r="I1819" s="49" t="s">
        <v>885</v>
      </c>
    </row>
    <row r="1820" customFormat="false" ht="25.5" hidden="false" customHeight="true" outlineLevel="0" collapsed="false">
      <c r="A1820" s="49" t="s">
        <v>1118</v>
      </c>
      <c r="B1820" s="49" t="s">
        <v>1196</v>
      </c>
      <c r="C1820" s="49" t="s">
        <v>1225</v>
      </c>
      <c r="D1820" s="49" t="s">
        <v>1141</v>
      </c>
      <c r="E1820" s="49" t="s">
        <v>1226</v>
      </c>
      <c r="F1820" s="49" t="s">
        <v>1227</v>
      </c>
      <c r="G1820" s="49" t="s">
        <v>772</v>
      </c>
      <c r="H1820" s="49" t="s">
        <v>1132</v>
      </c>
      <c r="I1820" s="49" t="s">
        <v>885</v>
      </c>
    </row>
    <row r="1821" customFormat="false" ht="25.5" hidden="false" customHeight="true" outlineLevel="0" collapsed="false">
      <c r="A1821" s="49" t="s">
        <v>1118</v>
      </c>
      <c r="B1821" s="49" t="s">
        <v>1196</v>
      </c>
      <c r="C1821" s="49" t="s">
        <v>1228</v>
      </c>
      <c r="D1821" s="49" t="s">
        <v>1199</v>
      </c>
      <c r="E1821" s="49" t="s">
        <v>1135</v>
      </c>
      <c r="F1821" s="49" t="s">
        <v>1229</v>
      </c>
      <c r="G1821" s="49" t="s">
        <v>772</v>
      </c>
      <c r="H1821" s="49" t="s">
        <v>1132</v>
      </c>
      <c r="I1821" s="49" t="s">
        <v>885</v>
      </c>
    </row>
    <row r="1822" customFormat="false" ht="25.5" hidden="false" customHeight="true" outlineLevel="0" collapsed="false">
      <c r="A1822" s="49" t="s">
        <v>1118</v>
      </c>
      <c r="B1822" s="49" t="s">
        <v>1196</v>
      </c>
      <c r="C1822" s="49" t="s">
        <v>1230</v>
      </c>
      <c r="D1822" s="49" t="s">
        <v>1208</v>
      </c>
      <c r="E1822" s="49" t="s">
        <v>1183</v>
      </c>
      <c r="F1822" s="49" t="s">
        <v>1231</v>
      </c>
      <c r="G1822" s="49" t="s">
        <v>772</v>
      </c>
      <c r="H1822" s="49" t="s">
        <v>1132</v>
      </c>
      <c r="I1822" s="49" t="s">
        <v>885</v>
      </c>
    </row>
    <row r="1823" customFormat="false" ht="25.5" hidden="false" customHeight="true" outlineLevel="0" collapsed="false">
      <c r="A1823" s="49" t="s">
        <v>1118</v>
      </c>
      <c r="B1823" s="49" t="s">
        <v>1196</v>
      </c>
      <c r="C1823" s="49" t="s">
        <v>1232</v>
      </c>
      <c r="D1823" s="49" t="s">
        <v>1208</v>
      </c>
      <c r="E1823" s="49" t="s">
        <v>1135</v>
      </c>
      <c r="F1823" s="49" t="s">
        <v>1229</v>
      </c>
      <c r="G1823" s="49" t="s">
        <v>772</v>
      </c>
      <c r="H1823" s="49" t="s">
        <v>1132</v>
      </c>
      <c r="I1823" s="49" t="s">
        <v>885</v>
      </c>
    </row>
    <row r="1824" customFormat="false" ht="25.5" hidden="false" customHeight="true" outlineLevel="0" collapsed="false">
      <c r="A1824" s="49" t="s">
        <v>1118</v>
      </c>
      <c r="B1824" s="49" t="s">
        <v>1196</v>
      </c>
      <c r="C1824" s="49" t="s">
        <v>1233</v>
      </c>
      <c r="D1824" s="49" t="s">
        <v>1129</v>
      </c>
      <c r="E1824" s="49" t="s">
        <v>1234</v>
      </c>
      <c r="F1824" s="49" t="s">
        <v>1235</v>
      </c>
      <c r="G1824" s="49" t="s">
        <v>772</v>
      </c>
      <c r="H1824" s="49" t="s">
        <v>1132</v>
      </c>
      <c r="I1824" s="49" t="s">
        <v>885</v>
      </c>
    </row>
    <row r="1825" customFormat="false" ht="25.5" hidden="false" customHeight="true" outlineLevel="0" collapsed="false">
      <c r="A1825" s="49" t="s">
        <v>1118</v>
      </c>
      <c r="B1825" s="49" t="s">
        <v>1196</v>
      </c>
      <c r="C1825" s="49" t="s">
        <v>1236</v>
      </c>
      <c r="D1825" s="49" t="s">
        <v>1199</v>
      </c>
      <c r="E1825" s="49" t="s">
        <v>1237</v>
      </c>
      <c r="F1825" s="49" t="s">
        <v>1238</v>
      </c>
      <c r="G1825" s="49" t="s">
        <v>772</v>
      </c>
      <c r="H1825" s="49" t="s">
        <v>1132</v>
      </c>
      <c r="I1825" s="49" t="s">
        <v>885</v>
      </c>
    </row>
    <row r="1826" customFormat="false" ht="25.5" hidden="false" customHeight="true" outlineLevel="0" collapsed="false">
      <c r="A1826" s="49" t="s">
        <v>1118</v>
      </c>
      <c r="B1826" s="49" t="s">
        <v>1196</v>
      </c>
      <c r="C1826" s="49" t="s">
        <v>1239</v>
      </c>
      <c r="D1826" s="49" t="s">
        <v>1134</v>
      </c>
      <c r="E1826" s="49" t="s">
        <v>1240</v>
      </c>
      <c r="F1826" s="49" t="s">
        <v>1241</v>
      </c>
      <c r="G1826" s="49" t="s">
        <v>772</v>
      </c>
      <c r="H1826" s="49" t="s">
        <v>1132</v>
      </c>
      <c r="I1826" s="49" t="s">
        <v>885</v>
      </c>
    </row>
    <row r="1827" customFormat="false" ht="25.5" hidden="false" customHeight="true" outlineLevel="0" collapsed="false">
      <c r="A1827" s="49" t="s">
        <v>1118</v>
      </c>
      <c r="B1827" s="49" t="s">
        <v>1196</v>
      </c>
      <c r="C1827" s="49" t="s">
        <v>1236</v>
      </c>
      <c r="D1827" s="49" t="s">
        <v>1199</v>
      </c>
      <c r="E1827" s="49" t="s">
        <v>1237</v>
      </c>
      <c r="F1827" s="49" t="s">
        <v>1242</v>
      </c>
      <c r="G1827" s="49" t="s">
        <v>772</v>
      </c>
      <c r="H1827" s="49" t="s">
        <v>1132</v>
      </c>
      <c r="I1827" s="49" t="s">
        <v>885</v>
      </c>
    </row>
    <row r="1828" customFormat="false" ht="25.5" hidden="false" customHeight="true" outlineLevel="0" collapsed="false">
      <c r="A1828" s="49" t="s">
        <v>1118</v>
      </c>
      <c r="B1828" s="49" t="s">
        <v>1196</v>
      </c>
      <c r="C1828" s="49" t="s">
        <v>1243</v>
      </c>
      <c r="D1828" s="49" t="s">
        <v>1151</v>
      </c>
      <c r="E1828" s="49" t="s">
        <v>217</v>
      </c>
      <c r="F1828" s="49" t="s">
        <v>1244</v>
      </c>
      <c r="G1828" s="49" t="s">
        <v>772</v>
      </c>
      <c r="H1828" s="49" t="s">
        <v>1132</v>
      </c>
      <c r="I1828" s="49" t="s">
        <v>885</v>
      </c>
    </row>
    <row r="1829" customFormat="false" ht="25.5" hidden="false" customHeight="true" outlineLevel="0" collapsed="false">
      <c r="A1829" s="49" t="s">
        <v>1118</v>
      </c>
      <c r="B1829" s="49" t="s">
        <v>1196</v>
      </c>
      <c r="C1829" s="49" t="s">
        <v>1245</v>
      </c>
      <c r="D1829" s="49" t="s">
        <v>1151</v>
      </c>
      <c r="E1829" s="49" t="s">
        <v>1183</v>
      </c>
      <c r="F1829" s="49" t="s">
        <v>1246</v>
      </c>
      <c r="G1829" s="49" t="s">
        <v>772</v>
      </c>
      <c r="H1829" s="49" t="s">
        <v>1132</v>
      </c>
      <c r="I1829" s="49" t="s">
        <v>885</v>
      </c>
    </row>
    <row r="1830" customFormat="false" ht="25.5" hidden="false" customHeight="true" outlineLevel="0" collapsed="false">
      <c r="A1830" s="49" t="s">
        <v>1118</v>
      </c>
      <c r="B1830" s="49" t="s">
        <v>1247</v>
      </c>
      <c r="C1830" s="49" t="s">
        <v>1171</v>
      </c>
      <c r="D1830" s="49" t="s">
        <v>1172</v>
      </c>
      <c r="E1830" s="49" t="s">
        <v>1173</v>
      </c>
      <c r="F1830" s="49" t="s">
        <v>1248</v>
      </c>
      <c r="G1830" s="49" t="s">
        <v>772</v>
      </c>
      <c r="H1830" s="49" t="s">
        <v>1132</v>
      </c>
      <c r="I1830" s="49" t="s">
        <v>885</v>
      </c>
    </row>
    <row r="1831" customFormat="false" ht="25.5" hidden="false" customHeight="true" outlineLevel="0" collapsed="false">
      <c r="A1831" s="49" t="s">
        <v>1118</v>
      </c>
      <c r="B1831" s="49" t="s">
        <v>1247</v>
      </c>
      <c r="C1831" s="49" t="s">
        <v>1249</v>
      </c>
      <c r="D1831" s="49" t="s">
        <v>1218</v>
      </c>
      <c r="E1831" s="49" t="s">
        <v>1250</v>
      </c>
      <c r="F1831" s="49" t="s">
        <v>1251</v>
      </c>
      <c r="G1831" s="49" t="s">
        <v>772</v>
      </c>
      <c r="H1831" s="49" t="s">
        <v>1132</v>
      </c>
      <c r="I1831" s="49" t="s">
        <v>885</v>
      </c>
    </row>
    <row r="1832" customFormat="false" ht="25.5" hidden="false" customHeight="true" outlineLevel="0" collapsed="false">
      <c r="A1832" s="49" t="s">
        <v>1118</v>
      </c>
      <c r="B1832" s="49" t="s">
        <v>1247</v>
      </c>
      <c r="C1832" s="49" t="s">
        <v>1252</v>
      </c>
      <c r="D1832" s="49" t="s">
        <v>1148</v>
      </c>
      <c r="E1832" s="49" t="s">
        <v>1183</v>
      </c>
      <c r="F1832" s="49" t="s">
        <v>1253</v>
      </c>
      <c r="G1832" s="49" t="s">
        <v>772</v>
      </c>
      <c r="H1832" s="49" t="s">
        <v>1132</v>
      </c>
      <c r="I1832" s="49" t="s">
        <v>885</v>
      </c>
    </row>
    <row r="1833" customFormat="false" ht="25.5" hidden="false" customHeight="true" outlineLevel="0" collapsed="false">
      <c r="A1833" s="49" t="s">
        <v>1118</v>
      </c>
      <c r="B1833" s="49" t="s">
        <v>1247</v>
      </c>
      <c r="C1833" s="49" t="s">
        <v>1254</v>
      </c>
      <c r="D1833" s="49" t="s">
        <v>1141</v>
      </c>
      <c r="E1833" s="49" t="s">
        <v>1135</v>
      </c>
      <c r="F1833" s="49" t="s">
        <v>1255</v>
      </c>
      <c r="G1833" s="49" t="s">
        <v>772</v>
      </c>
      <c r="H1833" s="49" t="s">
        <v>1132</v>
      </c>
      <c r="I1833" s="49" t="s">
        <v>885</v>
      </c>
    </row>
    <row r="1834" customFormat="false" ht="25.5" hidden="false" customHeight="true" outlineLevel="0" collapsed="false">
      <c r="A1834" s="49" t="s">
        <v>1118</v>
      </c>
      <c r="B1834" s="49" t="s">
        <v>1247</v>
      </c>
      <c r="C1834" s="49" t="s">
        <v>1256</v>
      </c>
      <c r="D1834" s="49" t="s">
        <v>1218</v>
      </c>
      <c r="E1834" s="49" t="s">
        <v>1135</v>
      </c>
      <c r="F1834" s="49" t="s">
        <v>1257</v>
      </c>
      <c r="G1834" s="49" t="s">
        <v>772</v>
      </c>
      <c r="H1834" s="49" t="s">
        <v>1132</v>
      </c>
      <c r="I1834" s="49" t="s">
        <v>885</v>
      </c>
    </row>
    <row r="1835" customFormat="false" ht="25.5" hidden="false" customHeight="true" outlineLevel="0" collapsed="false">
      <c r="A1835" s="49" t="s">
        <v>1118</v>
      </c>
      <c r="B1835" s="49" t="s">
        <v>1247</v>
      </c>
      <c r="C1835" s="49" t="s">
        <v>1258</v>
      </c>
      <c r="D1835" s="49" t="s">
        <v>1156</v>
      </c>
      <c r="E1835" s="49" t="s">
        <v>217</v>
      </c>
      <c r="F1835" s="49" t="s">
        <v>1259</v>
      </c>
      <c r="G1835" s="49" t="s">
        <v>772</v>
      </c>
      <c r="H1835" s="49" t="s">
        <v>1132</v>
      </c>
      <c r="I1835" s="49" t="s">
        <v>885</v>
      </c>
    </row>
    <row r="1836" customFormat="false" ht="25.5" hidden="false" customHeight="true" outlineLevel="0" collapsed="false">
      <c r="A1836" s="49" t="s">
        <v>1118</v>
      </c>
      <c r="B1836" s="49" t="s">
        <v>1247</v>
      </c>
      <c r="C1836" s="49" t="s">
        <v>1260</v>
      </c>
      <c r="D1836" s="49" t="s">
        <v>1208</v>
      </c>
      <c r="E1836" s="49" t="s">
        <v>1183</v>
      </c>
      <c r="F1836" s="49" t="s">
        <v>1261</v>
      </c>
      <c r="G1836" s="49" t="s">
        <v>772</v>
      </c>
      <c r="H1836" s="49" t="s">
        <v>1132</v>
      </c>
      <c r="I1836" s="49" t="s">
        <v>885</v>
      </c>
    </row>
    <row r="1837" customFormat="false" ht="25.5" hidden="false" customHeight="true" outlineLevel="0" collapsed="false">
      <c r="A1837" s="49" t="s">
        <v>1118</v>
      </c>
      <c r="B1837" s="49" t="s">
        <v>1247</v>
      </c>
      <c r="C1837" s="49" t="s">
        <v>1262</v>
      </c>
      <c r="D1837" s="49" t="s">
        <v>1162</v>
      </c>
      <c r="E1837" s="49" t="s">
        <v>217</v>
      </c>
      <c r="F1837" s="49" t="s">
        <v>1263</v>
      </c>
      <c r="G1837" s="49" t="s">
        <v>772</v>
      </c>
      <c r="H1837" s="49" t="s">
        <v>1132</v>
      </c>
      <c r="I1837" s="49" t="s">
        <v>885</v>
      </c>
    </row>
    <row r="1838" customFormat="false" ht="25.5" hidden="false" customHeight="true" outlineLevel="0" collapsed="false">
      <c r="A1838" s="49" t="s">
        <v>1118</v>
      </c>
      <c r="B1838" s="49" t="s">
        <v>1247</v>
      </c>
      <c r="C1838" s="49" t="s">
        <v>1264</v>
      </c>
      <c r="D1838" s="49" t="s">
        <v>1134</v>
      </c>
      <c r="E1838" s="49" t="s">
        <v>1265</v>
      </c>
      <c r="F1838" s="49" t="s">
        <v>1266</v>
      </c>
      <c r="G1838" s="49" t="s">
        <v>772</v>
      </c>
      <c r="H1838" s="49" t="s">
        <v>1132</v>
      </c>
      <c r="I1838" s="49" t="s">
        <v>885</v>
      </c>
    </row>
    <row r="1839" customFormat="false" ht="25.5" hidden="false" customHeight="true" outlineLevel="0" collapsed="false">
      <c r="A1839" s="49" t="s">
        <v>1118</v>
      </c>
      <c r="B1839" s="49" t="s">
        <v>1247</v>
      </c>
      <c r="C1839" s="49" t="s">
        <v>1267</v>
      </c>
      <c r="D1839" s="49" t="s">
        <v>1141</v>
      </c>
      <c r="E1839" s="49" t="s">
        <v>1268</v>
      </c>
      <c r="F1839" s="49" t="s">
        <v>1269</v>
      </c>
      <c r="G1839" s="49" t="s">
        <v>772</v>
      </c>
      <c r="H1839" s="49" t="s">
        <v>1132</v>
      </c>
      <c r="I1839" s="49" t="s">
        <v>885</v>
      </c>
    </row>
    <row r="1840" customFormat="false" ht="25.5" hidden="false" customHeight="true" outlineLevel="0" collapsed="false">
      <c r="A1840" s="49" t="s">
        <v>1118</v>
      </c>
      <c r="B1840" s="49" t="s">
        <v>1247</v>
      </c>
      <c r="C1840" s="49" t="s">
        <v>1270</v>
      </c>
      <c r="D1840" s="49" t="s">
        <v>1208</v>
      </c>
      <c r="E1840" s="49" t="s">
        <v>1271</v>
      </c>
      <c r="F1840" s="49" t="s">
        <v>1272</v>
      </c>
      <c r="G1840" s="49" t="s">
        <v>772</v>
      </c>
      <c r="H1840" s="49" t="s">
        <v>1132</v>
      </c>
      <c r="I1840" s="49" t="s">
        <v>885</v>
      </c>
    </row>
    <row r="1841" customFormat="false" ht="25.5" hidden="false" customHeight="true" outlineLevel="0" collapsed="false">
      <c r="A1841" s="49" t="s">
        <v>1118</v>
      </c>
      <c r="B1841" s="49" t="s">
        <v>1247</v>
      </c>
      <c r="C1841" s="49" t="s">
        <v>1273</v>
      </c>
      <c r="D1841" s="49" t="s">
        <v>1218</v>
      </c>
      <c r="E1841" s="49" t="s">
        <v>893</v>
      </c>
      <c r="F1841" s="49" t="s">
        <v>1274</v>
      </c>
      <c r="G1841" s="49" t="s">
        <v>772</v>
      </c>
      <c r="H1841" s="49" t="s">
        <v>1132</v>
      </c>
      <c r="I1841" s="49" t="s">
        <v>885</v>
      </c>
    </row>
    <row r="1842" customFormat="false" ht="25.5" hidden="false" customHeight="true" outlineLevel="0" collapsed="false">
      <c r="A1842" s="49" t="s">
        <v>1118</v>
      </c>
      <c r="B1842" s="49" t="s">
        <v>1247</v>
      </c>
      <c r="C1842" s="49" t="s">
        <v>1275</v>
      </c>
      <c r="D1842" s="49" t="s">
        <v>1156</v>
      </c>
      <c r="E1842" s="49" t="s">
        <v>893</v>
      </c>
      <c r="F1842" s="49" t="s">
        <v>1274</v>
      </c>
      <c r="G1842" s="49" t="s">
        <v>772</v>
      </c>
      <c r="H1842" s="49" t="s">
        <v>1132</v>
      </c>
      <c r="I1842" s="49" t="s">
        <v>885</v>
      </c>
    </row>
    <row r="1843" customFormat="false" ht="25.5" hidden="false" customHeight="true" outlineLevel="0" collapsed="false">
      <c r="A1843" s="49" t="s">
        <v>1118</v>
      </c>
      <c r="B1843" s="49" t="s">
        <v>1247</v>
      </c>
      <c r="C1843" s="49" t="s">
        <v>1276</v>
      </c>
      <c r="D1843" s="49" t="s">
        <v>1134</v>
      </c>
      <c r="E1843" s="49" t="s">
        <v>1183</v>
      </c>
      <c r="F1843" s="49" t="s">
        <v>1277</v>
      </c>
      <c r="G1843" s="49" t="s">
        <v>772</v>
      </c>
      <c r="H1843" s="49" t="s">
        <v>1132</v>
      </c>
      <c r="I1843" s="49" t="s">
        <v>885</v>
      </c>
    </row>
    <row r="1844" customFormat="false" ht="25.5" hidden="false" customHeight="true" outlineLevel="0" collapsed="false">
      <c r="A1844" s="49" t="s">
        <v>1118</v>
      </c>
      <c r="B1844" s="49" t="s">
        <v>1247</v>
      </c>
      <c r="C1844" s="49" t="s">
        <v>1278</v>
      </c>
      <c r="D1844" s="49" t="s">
        <v>1208</v>
      </c>
      <c r="E1844" s="49" t="s">
        <v>1279</v>
      </c>
      <c r="F1844" s="49" t="s">
        <v>1280</v>
      </c>
      <c r="G1844" s="49" t="s">
        <v>772</v>
      </c>
      <c r="H1844" s="49" t="s">
        <v>1132</v>
      </c>
      <c r="I1844" s="49" t="s">
        <v>885</v>
      </c>
    </row>
    <row r="1845" customFormat="false" ht="25.5" hidden="false" customHeight="true" outlineLevel="0" collapsed="false">
      <c r="A1845" s="49" t="s">
        <v>1118</v>
      </c>
      <c r="B1845" s="49" t="s">
        <v>1247</v>
      </c>
      <c r="C1845" s="49" t="s">
        <v>1281</v>
      </c>
      <c r="D1845" s="49" t="s">
        <v>1162</v>
      </c>
      <c r="E1845" s="49" t="s">
        <v>1163</v>
      </c>
      <c r="F1845" s="49" t="s">
        <v>1282</v>
      </c>
      <c r="G1845" s="49" t="s">
        <v>772</v>
      </c>
      <c r="H1845" s="49" t="s">
        <v>1132</v>
      </c>
      <c r="I1845" s="49" t="s">
        <v>885</v>
      </c>
    </row>
    <row r="1846" customFormat="false" ht="25.5" hidden="false" customHeight="true" outlineLevel="0" collapsed="false">
      <c r="A1846" s="49" t="s">
        <v>1118</v>
      </c>
      <c r="B1846" s="49" t="s">
        <v>1247</v>
      </c>
      <c r="C1846" s="49" t="s">
        <v>1283</v>
      </c>
      <c r="D1846" s="49" t="s">
        <v>1199</v>
      </c>
      <c r="E1846" s="49" t="s">
        <v>1284</v>
      </c>
      <c r="F1846" s="49" t="s">
        <v>1285</v>
      </c>
      <c r="G1846" s="49" t="s">
        <v>772</v>
      </c>
      <c r="H1846" s="49" t="s">
        <v>1132</v>
      </c>
      <c r="I1846" s="49" t="s">
        <v>885</v>
      </c>
    </row>
    <row r="1847" customFormat="false" ht="25.5" hidden="false" customHeight="true" outlineLevel="0" collapsed="false">
      <c r="A1847" s="49" t="s">
        <v>1118</v>
      </c>
      <c r="B1847" s="49" t="s">
        <v>1247</v>
      </c>
      <c r="C1847" s="49" t="s">
        <v>1286</v>
      </c>
      <c r="D1847" s="49" t="s">
        <v>1208</v>
      </c>
      <c r="E1847" s="49" t="s">
        <v>217</v>
      </c>
      <c r="F1847" s="49" t="s">
        <v>1287</v>
      </c>
      <c r="G1847" s="49" t="s">
        <v>772</v>
      </c>
      <c r="H1847" s="49" t="s">
        <v>1132</v>
      </c>
      <c r="I1847" s="49" t="s">
        <v>885</v>
      </c>
    </row>
    <row r="1848" customFormat="false" ht="25.5" hidden="false" customHeight="true" outlineLevel="0" collapsed="false">
      <c r="A1848" s="49" t="s">
        <v>1118</v>
      </c>
      <c r="B1848" s="49" t="s">
        <v>1247</v>
      </c>
      <c r="C1848" s="49" t="s">
        <v>1288</v>
      </c>
      <c r="D1848" s="49" t="s">
        <v>1218</v>
      </c>
      <c r="E1848" s="49" t="s">
        <v>1289</v>
      </c>
      <c r="F1848" s="49" t="s">
        <v>1290</v>
      </c>
      <c r="G1848" s="49" t="s">
        <v>772</v>
      </c>
      <c r="H1848" s="49" t="s">
        <v>1132</v>
      </c>
      <c r="I1848" s="49" t="s">
        <v>885</v>
      </c>
    </row>
    <row r="1849" customFormat="false" ht="25.5" hidden="false" customHeight="true" outlineLevel="0" collapsed="false">
      <c r="A1849" s="49" t="s">
        <v>1118</v>
      </c>
      <c r="B1849" s="49" t="s">
        <v>1247</v>
      </c>
      <c r="C1849" s="49" t="s">
        <v>1291</v>
      </c>
      <c r="D1849" s="49" t="s">
        <v>1292</v>
      </c>
      <c r="E1849" s="49" t="s">
        <v>1157</v>
      </c>
      <c r="F1849" s="49" t="s">
        <v>1293</v>
      </c>
      <c r="G1849" s="49" t="s">
        <v>772</v>
      </c>
      <c r="H1849" s="49" t="s">
        <v>1132</v>
      </c>
      <c r="I1849" s="49" t="s">
        <v>885</v>
      </c>
    </row>
    <row r="1850" customFormat="false" ht="25.5" hidden="false" customHeight="true" outlineLevel="0" collapsed="false">
      <c r="A1850" s="49" t="s">
        <v>1118</v>
      </c>
      <c r="B1850" s="49" t="s">
        <v>1294</v>
      </c>
      <c r="C1850" s="49" t="s">
        <v>1171</v>
      </c>
      <c r="D1850" s="49" t="s">
        <v>1172</v>
      </c>
      <c r="E1850" s="49" t="s">
        <v>1173</v>
      </c>
      <c r="F1850" s="49" t="s">
        <v>1174</v>
      </c>
      <c r="G1850" s="49" t="s">
        <v>772</v>
      </c>
      <c r="H1850" s="49" t="s">
        <v>1132</v>
      </c>
      <c r="I1850" s="49" t="s">
        <v>885</v>
      </c>
    </row>
    <row r="1851" customFormat="false" ht="25.5" hidden="false" customHeight="true" outlineLevel="0" collapsed="false">
      <c r="A1851" s="49" t="s">
        <v>1118</v>
      </c>
      <c r="B1851" s="49" t="s">
        <v>1294</v>
      </c>
      <c r="C1851" s="49" t="s">
        <v>1295</v>
      </c>
      <c r="D1851" s="49" t="s">
        <v>1292</v>
      </c>
      <c r="E1851" s="49" t="s">
        <v>1296</v>
      </c>
      <c r="F1851" s="49" t="s">
        <v>1297</v>
      </c>
      <c r="G1851" s="49" t="s">
        <v>772</v>
      </c>
      <c r="H1851" s="49" t="s">
        <v>1132</v>
      </c>
      <c r="I1851" s="49" t="s">
        <v>885</v>
      </c>
    </row>
    <row r="1852" customFormat="false" ht="25.5" hidden="false" customHeight="true" outlineLevel="0" collapsed="false">
      <c r="A1852" s="49" t="s">
        <v>1118</v>
      </c>
      <c r="B1852" s="49" t="s">
        <v>1294</v>
      </c>
      <c r="C1852" s="49" t="s">
        <v>1298</v>
      </c>
      <c r="D1852" s="49" t="s">
        <v>1141</v>
      </c>
      <c r="E1852" s="49" t="s">
        <v>1183</v>
      </c>
      <c r="F1852" s="49" t="s">
        <v>1299</v>
      </c>
      <c r="G1852" s="49" t="s">
        <v>772</v>
      </c>
      <c r="H1852" s="49" t="s">
        <v>1132</v>
      </c>
      <c r="I1852" s="49" t="s">
        <v>885</v>
      </c>
    </row>
    <row r="1853" customFormat="false" ht="25.5" hidden="false" customHeight="true" outlineLevel="0" collapsed="false">
      <c r="A1853" s="49" t="s">
        <v>1118</v>
      </c>
      <c r="B1853" s="49" t="s">
        <v>1294</v>
      </c>
      <c r="C1853" s="49" t="s">
        <v>1300</v>
      </c>
      <c r="D1853" s="49" t="s">
        <v>1218</v>
      </c>
      <c r="E1853" s="49" t="s">
        <v>1183</v>
      </c>
      <c r="F1853" s="49" t="s">
        <v>1301</v>
      </c>
      <c r="G1853" s="49" t="s">
        <v>772</v>
      </c>
      <c r="H1853" s="49" t="s">
        <v>1132</v>
      </c>
      <c r="I1853" s="49" t="s">
        <v>885</v>
      </c>
    </row>
    <row r="1854" customFormat="false" ht="25.5" hidden="false" customHeight="true" outlineLevel="0" collapsed="false">
      <c r="A1854" s="49" t="s">
        <v>1118</v>
      </c>
      <c r="B1854" s="49" t="s">
        <v>1294</v>
      </c>
      <c r="C1854" s="49" t="s">
        <v>1302</v>
      </c>
      <c r="D1854" s="49" t="s">
        <v>1199</v>
      </c>
      <c r="E1854" s="49" t="s">
        <v>1183</v>
      </c>
      <c r="F1854" s="49" t="s">
        <v>1303</v>
      </c>
      <c r="G1854" s="49" t="s">
        <v>772</v>
      </c>
      <c r="H1854" s="49" t="s">
        <v>1132</v>
      </c>
      <c r="I1854" s="49" t="s">
        <v>885</v>
      </c>
    </row>
    <row r="1855" customFormat="false" ht="25.5" hidden="false" customHeight="true" outlineLevel="0" collapsed="false">
      <c r="A1855" s="49" t="s">
        <v>1118</v>
      </c>
      <c r="B1855" s="49" t="s">
        <v>1294</v>
      </c>
      <c r="C1855" s="49" t="s">
        <v>1304</v>
      </c>
      <c r="D1855" s="49" t="s">
        <v>1156</v>
      </c>
      <c r="E1855" s="49" t="s">
        <v>1265</v>
      </c>
      <c r="F1855" s="49" t="s">
        <v>1305</v>
      </c>
      <c r="G1855" s="49" t="s">
        <v>772</v>
      </c>
      <c r="H1855" s="49" t="s">
        <v>1132</v>
      </c>
      <c r="I1855" s="49" t="s">
        <v>885</v>
      </c>
    </row>
    <row r="1856" customFormat="false" ht="25.5" hidden="false" customHeight="true" outlineLevel="0" collapsed="false">
      <c r="A1856" s="49" t="s">
        <v>1118</v>
      </c>
      <c r="B1856" s="49" t="s">
        <v>1294</v>
      </c>
      <c r="C1856" s="49" t="s">
        <v>1306</v>
      </c>
      <c r="D1856" s="49" t="s">
        <v>1148</v>
      </c>
      <c r="E1856" s="49" t="s">
        <v>1226</v>
      </c>
      <c r="F1856" s="49" t="s">
        <v>1307</v>
      </c>
      <c r="G1856" s="49" t="s">
        <v>772</v>
      </c>
      <c r="H1856" s="49" t="s">
        <v>1132</v>
      </c>
      <c r="I1856" s="49" t="s">
        <v>885</v>
      </c>
    </row>
    <row r="1857" customFormat="false" ht="25.5" hidden="false" customHeight="true" outlineLevel="0" collapsed="false">
      <c r="A1857" s="49" t="s">
        <v>1118</v>
      </c>
      <c r="B1857" s="49" t="s">
        <v>1294</v>
      </c>
      <c r="C1857" s="49" t="s">
        <v>1308</v>
      </c>
      <c r="D1857" s="49" t="s">
        <v>1156</v>
      </c>
      <c r="E1857" s="49" t="s">
        <v>1309</v>
      </c>
      <c r="F1857" s="49" t="s">
        <v>1310</v>
      </c>
      <c r="G1857" s="49" t="s">
        <v>772</v>
      </c>
      <c r="H1857" s="49" t="s">
        <v>1132</v>
      </c>
      <c r="I1857" s="49" t="s">
        <v>885</v>
      </c>
    </row>
    <row r="1858" customFormat="false" ht="25.5" hidden="false" customHeight="true" outlineLevel="0" collapsed="false">
      <c r="A1858" s="49" t="s">
        <v>1118</v>
      </c>
      <c r="B1858" s="49" t="s">
        <v>1294</v>
      </c>
      <c r="C1858" s="49" t="s">
        <v>1311</v>
      </c>
      <c r="D1858" s="49" t="s">
        <v>1199</v>
      </c>
      <c r="E1858" s="49" t="s">
        <v>217</v>
      </c>
      <c r="F1858" s="49" t="s">
        <v>1312</v>
      </c>
      <c r="G1858" s="49" t="s">
        <v>772</v>
      </c>
      <c r="H1858" s="49" t="s">
        <v>1132</v>
      </c>
      <c r="I1858" s="49" t="s">
        <v>885</v>
      </c>
    </row>
    <row r="1859" customFormat="false" ht="25.5" hidden="false" customHeight="true" outlineLevel="0" collapsed="false">
      <c r="A1859" s="49" t="s">
        <v>1118</v>
      </c>
      <c r="B1859" s="49" t="s">
        <v>1294</v>
      </c>
      <c r="C1859" s="49" t="s">
        <v>1313</v>
      </c>
      <c r="D1859" s="49" t="s">
        <v>1208</v>
      </c>
      <c r="E1859" s="49" t="s">
        <v>1183</v>
      </c>
      <c r="F1859" s="49" t="s">
        <v>1314</v>
      </c>
      <c r="G1859" s="49" t="s">
        <v>772</v>
      </c>
      <c r="H1859" s="49" t="s">
        <v>1132</v>
      </c>
      <c r="I1859" s="49" t="s">
        <v>885</v>
      </c>
    </row>
    <row r="1860" customFormat="false" ht="25.5" hidden="false" customHeight="true" outlineLevel="0" collapsed="false">
      <c r="A1860" s="49" t="s">
        <v>1118</v>
      </c>
      <c r="B1860" s="49" t="s">
        <v>1294</v>
      </c>
      <c r="C1860" s="49" t="s">
        <v>1315</v>
      </c>
      <c r="D1860" s="49" t="s">
        <v>1208</v>
      </c>
      <c r="E1860" s="49" t="s">
        <v>1186</v>
      </c>
      <c r="F1860" s="49" t="s">
        <v>1316</v>
      </c>
      <c r="G1860" s="49" t="s">
        <v>772</v>
      </c>
      <c r="H1860" s="49" t="s">
        <v>1132</v>
      </c>
      <c r="I1860" s="49" t="s">
        <v>885</v>
      </c>
    </row>
    <row r="1861" customFormat="false" ht="25.5" hidden="false" customHeight="true" outlineLevel="0" collapsed="false">
      <c r="A1861" s="49" t="s">
        <v>1118</v>
      </c>
      <c r="B1861" s="49" t="s">
        <v>1294</v>
      </c>
      <c r="C1861" s="49" t="s">
        <v>1317</v>
      </c>
      <c r="D1861" s="49" t="s">
        <v>1151</v>
      </c>
      <c r="E1861" s="49" t="s">
        <v>1265</v>
      </c>
      <c r="F1861" s="49" t="s">
        <v>1318</v>
      </c>
      <c r="G1861" s="49" t="s">
        <v>772</v>
      </c>
      <c r="H1861" s="49" t="s">
        <v>1132</v>
      </c>
      <c r="I1861" s="49" t="s">
        <v>885</v>
      </c>
    </row>
    <row r="1862" customFormat="false" ht="25.5" hidden="false" customHeight="true" outlineLevel="0" collapsed="false">
      <c r="A1862" s="49" t="s">
        <v>1118</v>
      </c>
      <c r="B1862" s="49" t="s">
        <v>1294</v>
      </c>
      <c r="C1862" s="49" t="s">
        <v>1319</v>
      </c>
      <c r="D1862" s="49" t="s">
        <v>1156</v>
      </c>
      <c r="E1862" s="49" t="s">
        <v>1183</v>
      </c>
      <c r="F1862" s="49" t="s">
        <v>1320</v>
      </c>
      <c r="G1862" s="49" t="s">
        <v>772</v>
      </c>
      <c r="H1862" s="49" t="s">
        <v>1132</v>
      </c>
      <c r="I1862" s="49" t="s">
        <v>885</v>
      </c>
    </row>
    <row r="1863" customFormat="false" ht="25.5" hidden="false" customHeight="true" outlineLevel="0" collapsed="false">
      <c r="A1863" s="49" t="s">
        <v>1118</v>
      </c>
      <c r="B1863" s="49" t="s">
        <v>1294</v>
      </c>
      <c r="C1863" s="49" t="s">
        <v>1321</v>
      </c>
      <c r="D1863" s="49" t="s">
        <v>1151</v>
      </c>
      <c r="E1863" s="49" t="s">
        <v>1265</v>
      </c>
      <c r="F1863" s="49" t="s">
        <v>1227</v>
      </c>
      <c r="G1863" s="49" t="s">
        <v>772</v>
      </c>
      <c r="H1863" s="49" t="s">
        <v>1132</v>
      </c>
      <c r="I1863" s="49" t="s">
        <v>885</v>
      </c>
    </row>
    <row r="1864" customFormat="false" ht="25.5" hidden="false" customHeight="true" outlineLevel="0" collapsed="false">
      <c r="A1864" s="49" t="s">
        <v>1118</v>
      </c>
      <c r="B1864" s="49" t="s">
        <v>1294</v>
      </c>
      <c r="C1864" s="49" t="s">
        <v>1322</v>
      </c>
      <c r="D1864" s="49" t="s">
        <v>1208</v>
      </c>
      <c r="E1864" s="49" t="s">
        <v>1183</v>
      </c>
      <c r="F1864" s="49" t="s">
        <v>1323</v>
      </c>
      <c r="G1864" s="49" t="s">
        <v>772</v>
      </c>
      <c r="H1864" s="49" t="s">
        <v>1132</v>
      </c>
      <c r="I1864" s="49" t="s">
        <v>885</v>
      </c>
    </row>
    <row r="1865" customFormat="false" ht="25.5" hidden="false" customHeight="true" outlineLevel="0" collapsed="false">
      <c r="A1865" s="49" t="s">
        <v>1118</v>
      </c>
      <c r="B1865" s="49" t="s">
        <v>1294</v>
      </c>
      <c r="C1865" s="49" t="s">
        <v>1324</v>
      </c>
      <c r="D1865" s="49" t="s">
        <v>1129</v>
      </c>
      <c r="E1865" s="49" t="s">
        <v>1183</v>
      </c>
      <c r="F1865" s="49" t="s">
        <v>1325</v>
      </c>
      <c r="G1865" s="49" t="s">
        <v>772</v>
      </c>
      <c r="H1865" s="49" t="s">
        <v>1132</v>
      </c>
      <c r="I1865" s="49" t="s">
        <v>885</v>
      </c>
    </row>
    <row r="1866" customFormat="false" ht="25.5" hidden="false" customHeight="true" outlineLevel="0" collapsed="false">
      <c r="A1866" s="49" t="s">
        <v>1118</v>
      </c>
      <c r="B1866" s="49" t="s">
        <v>1294</v>
      </c>
      <c r="C1866" s="49" t="s">
        <v>1326</v>
      </c>
      <c r="D1866" s="49" t="s">
        <v>1129</v>
      </c>
      <c r="E1866" s="49" t="s">
        <v>893</v>
      </c>
      <c r="F1866" s="49" t="s">
        <v>1327</v>
      </c>
      <c r="G1866" s="49" t="s">
        <v>772</v>
      </c>
      <c r="H1866" s="49" t="s">
        <v>1132</v>
      </c>
      <c r="I1866" s="49" t="s">
        <v>885</v>
      </c>
    </row>
    <row r="1867" customFormat="false" ht="25.5" hidden="false" customHeight="true" outlineLevel="0" collapsed="false">
      <c r="A1867" s="49" t="s">
        <v>1118</v>
      </c>
      <c r="B1867" s="49" t="s">
        <v>1294</v>
      </c>
      <c r="C1867" s="49" t="s">
        <v>1328</v>
      </c>
      <c r="D1867" s="49" t="s">
        <v>1129</v>
      </c>
      <c r="E1867" s="49" t="s">
        <v>1183</v>
      </c>
      <c r="F1867" s="49" t="s">
        <v>1329</v>
      </c>
      <c r="G1867" s="49" t="s">
        <v>772</v>
      </c>
      <c r="H1867" s="49" t="s">
        <v>1132</v>
      </c>
      <c r="I1867" s="49" t="s">
        <v>885</v>
      </c>
    </row>
    <row r="1868" customFormat="false" ht="25.5" hidden="false" customHeight="true" outlineLevel="0" collapsed="false">
      <c r="A1868" s="49" t="s">
        <v>1118</v>
      </c>
      <c r="B1868" s="49" t="s">
        <v>1294</v>
      </c>
      <c r="C1868" s="49" t="s">
        <v>1330</v>
      </c>
      <c r="D1868" s="49" t="s">
        <v>1134</v>
      </c>
      <c r="E1868" s="49" t="s">
        <v>1183</v>
      </c>
      <c r="F1868" s="49" t="s">
        <v>1331</v>
      </c>
      <c r="G1868" s="49" t="s">
        <v>772</v>
      </c>
      <c r="H1868" s="49" t="s">
        <v>1132</v>
      </c>
      <c r="I1868" s="49" t="s">
        <v>885</v>
      </c>
    </row>
    <row r="1869" customFormat="false" ht="25.5" hidden="false" customHeight="true" outlineLevel="0" collapsed="false">
      <c r="A1869" s="49" t="s">
        <v>1118</v>
      </c>
      <c r="B1869" s="49" t="s">
        <v>1294</v>
      </c>
      <c r="C1869" s="49" t="s">
        <v>1332</v>
      </c>
      <c r="D1869" s="49" t="s">
        <v>1156</v>
      </c>
      <c r="E1869" s="49" t="s">
        <v>1333</v>
      </c>
      <c r="F1869" s="49" t="s">
        <v>1334</v>
      </c>
      <c r="G1869" s="49" t="s">
        <v>772</v>
      </c>
      <c r="H1869" s="49" t="s">
        <v>1132</v>
      </c>
      <c r="I1869" s="49" t="s">
        <v>885</v>
      </c>
    </row>
    <row r="1870" customFormat="false" ht="25.5" hidden="false" customHeight="true" outlineLevel="0" collapsed="false">
      <c r="A1870" s="49" t="s">
        <v>1118</v>
      </c>
      <c r="B1870" s="49" t="s">
        <v>1294</v>
      </c>
      <c r="C1870" s="49" t="s">
        <v>1335</v>
      </c>
      <c r="D1870" s="49" t="s">
        <v>1199</v>
      </c>
      <c r="E1870" s="49" t="s">
        <v>1183</v>
      </c>
      <c r="F1870" s="49" t="s">
        <v>1336</v>
      </c>
      <c r="G1870" s="49" t="s">
        <v>772</v>
      </c>
      <c r="H1870" s="49" t="s">
        <v>1132</v>
      </c>
      <c r="I1870" s="49" t="s">
        <v>885</v>
      </c>
    </row>
    <row r="1871" customFormat="false" ht="25.5" hidden="false" customHeight="true" outlineLevel="0" collapsed="false">
      <c r="A1871" s="49" t="s">
        <v>1118</v>
      </c>
      <c r="B1871" s="49" t="s">
        <v>1294</v>
      </c>
      <c r="C1871" s="49" t="s">
        <v>1337</v>
      </c>
      <c r="D1871" s="49" t="s">
        <v>1134</v>
      </c>
      <c r="E1871" s="49" t="s">
        <v>217</v>
      </c>
      <c r="F1871" s="49" t="s">
        <v>1338</v>
      </c>
      <c r="G1871" s="49" t="s">
        <v>772</v>
      </c>
      <c r="H1871" s="49" t="s">
        <v>1132</v>
      </c>
      <c r="I1871" s="49" t="s">
        <v>885</v>
      </c>
    </row>
    <row r="1872" customFormat="false" ht="25.5" hidden="false" customHeight="true" outlineLevel="0" collapsed="false">
      <c r="A1872" s="49" t="s">
        <v>1118</v>
      </c>
      <c r="B1872" s="49" t="s">
        <v>1294</v>
      </c>
      <c r="C1872" s="49" t="s">
        <v>1339</v>
      </c>
      <c r="D1872" s="49" t="s">
        <v>1208</v>
      </c>
      <c r="E1872" s="49" t="s">
        <v>40</v>
      </c>
      <c r="F1872" s="49" t="s">
        <v>1340</v>
      </c>
      <c r="G1872" s="49" t="s">
        <v>772</v>
      </c>
      <c r="H1872" s="49" t="s">
        <v>1132</v>
      </c>
      <c r="I1872" s="49" t="s">
        <v>885</v>
      </c>
    </row>
    <row r="1873" customFormat="false" ht="25.5" hidden="false" customHeight="true" outlineLevel="0" collapsed="false">
      <c r="A1873" s="49" t="s">
        <v>1118</v>
      </c>
      <c r="B1873" s="49" t="s">
        <v>1341</v>
      </c>
      <c r="C1873" s="49" t="s">
        <v>1171</v>
      </c>
      <c r="D1873" s="49" t="s">
        <v>1172</v>
      </c>
      <c r="E1873" s="49" t="s">
        <v>1173</v>
      </c>
      <c r="F1873" s="49" t="s">
        <v>1174</v>
      </c>
      <c r="G1873" s="49" t="s">
        <v>772</v>
      </c>
      <c r="H1873" s="49" t="s">
        <v>1132</v>
      </c>
      <c r="I1873" s="49" t="s">
        <v>885</v>
      </c>
    </row>
    <row r="1874" customFormat="false" ht="25.5" hidden="false" customHeight="true" outlineLevel="0" collapsed="false">
      <c r="A1874" s="49" t="s">
        <v>1118</v>
      </c>
      <c r="B1874" s="49" t="s">
        <v>1341</v>
      </c>
      <c r="C1874" s="49" t="s">
        <v>1342</v>
      </c>
      <c r="D1874" s="49" t="s">
        <v>1292</v>
      </c>
      <c r="E1874" s="49" t="s">
        <v>1113</v>
      </c>
      <c r="F1874" s="49" t="s">
        <v>1343</v>
      </c>
      <c r="G1874" s="49" t="s">
        <v>772</v>
      </c>
      <c r="H1874" s="49" t="s">
        <v>1132</v>
      </c>
      <c r="I1874" s="49" t="s">
        <v>885</v>
      </c>
    </row>
    <row r="1875" customFormat="false" ht="25.5" hidden="false" customHeight="true" outlineLevel="0" collapsed="false">
      <c r="A1875" s="49" t="s">
        <v>1118</v>
      </c>
      <c r="B1875" s="49" t="s">
        <v>1341</v>
      </c>
      <c r="C1875" s="49" t="s">
        <v>1344</v>
      </c>
      <c r="D1875" s="49" t="s">
        <v>1208</v>
      </c>
      <c r="E1875" s="49" t="s">
        <v>1183</v>
      </c>
      <c r="F1875" s="49" t="s">
        <v>1345</v>
      </c>
      <c r="G1875" s="49" t="s">
        <v>772</v>
      </c>
      <c r="H1875" s="49" t="s">
        <v>1132</v>
      </c>
      <c r="I1875" s="49" t="s">
        <v>885</v>
      </c>
    </row>
    <row r="1876" customFormat="false" ht="25.5" hidden="false" customHeight="true" outlineLevel="0" collapsed="false">
      <c r="A1876" s="49" t="s">
        <v>1118</v>
      </c>
      <c r="B1876" s="49" t="s">
        <v>1341</v>
      </c>
      <c r="C1876" s="49" t="s">
        <v>1346</v>
      </c>
      <c r="D1876" s="49" t="s">
        <v>1218</v>
      </c>
      <c r="E1876" s="49" t="s">
        <v>1347</v>
      </c>
      <c r="F1876" s="49" t="s">
        <v>1348</v>
      </c>
      <c r="G1876" s="49" t="s">
        <v>772</v>
      </c>
      <c r="H1876" s="49" t="s">
        <v>1132</v>
      </c>
      <c r="I1876" s="49" t="s">
        <v>885</v>
      </c>
    </row>
    <row r="1877" customFormat="false" ht="25.5" hidden="false" customHeight="true" outlineLevel="0" collapsed="false">
      <c r="A1877" s="49" t="s">
        <v>1118</v>
      </c>
      <c r="B1877" s="49" t="s">
        <v>1341</v>
      </c>
      <c r="C1877" s="49" t="s">
        <v>1349</v>
      </c>
      <c r="D1877" s="49" t="s">
        <v>1218</v>
      </c>
      <c r="E1877" s="49" t="s">
        <v>1183</v>
      </c>
      <c r="F1877" s="49" t="s">
        <v>1350</v>
      </c>
      <c r="G1877" s="49" t="s">
        <v>772</v>
      </c>
      <c r="H1877" s="49" t="s">
        <v>1132</v>
      </c>
      <c r="I1877" s="49" t="s">
        <v>885</v>
      </c>
    </row>
    <row r="1878" customFormat="false" ht="25.5" hidden="false" customHeight="true" outlineLevel="0" collapsed="false">
      <c r="A1878" s="49" t="s">
        <v>1118</v>
      </c>
      <c r="B1878" s="49" t="s">
        <v>1341</v>
      </c>
      <c r="C1878" s="49" t="s">
        <v>1351</v>
      </c>
      <c r="D1878" s="49" t="s">
        <v>1134</v>
      </c>
      <c r="E1878" s="49" t="s">
        <v>1055</v>
      </c>
      <c r="F1878" s="49" t="s">
        <v>1352</v>
      </c>
      <c r="G1878" s="49" t="s">
        <v>772</v>
      </c>
      <c r="H1878" s="49" t="s">
        <v>1132</v>
      </c>
      <c r="I1878" s="49" t="s">
        <v>885</v>
      </c>
    </row>
    <row r="1879" customFormat="false" ht="25.5" hidden="false" customHeight="true" outlineLevel="0" collapsed="false">
      <c r="A1879" s="49" t="s">
        <v>1118</v>
      </c>
      <c r="B1879" s="49" t="s">
        <v>1341</v>
      </c>
      <c r="C1879" s="49" t="s">
        <v>1353</v>
      </c>
      <c r="D1879" s="49" t="s">
        <v>1134</v>
      </c>
      <c r="E1879" s="49" t="s">
        <v>1226</v>
      </c>
      <c r="F1879" s="49" t="s">
        <v>1354</v>
      </c>
      <c r="G1879" s="49" t="s">
        <v>772</v>
      </c>
      <c r="H1879" s="49" t="s">
        <v>1132</v>
      </c>
      <c r="I1879" s="49" t="s">
        <v>885</v>
      </c>
    </row>
    <row r="1880" customFormat="false" ht="25.5" hidden="false" customHeight="true" outlineLevel="0" collapsed="false">
      <c r="A1880" s="49" t="s">
        <v>1118</v>
      </c>
      <c r="B1880" s="49" t="s">
        <v>1341</v>
      </c>
      <c r="C1880" s="49" t="s">
        <v>1355</v>
      </c>
      <c r="D1880" s="49" t="s">
        <v>1148</v>
      </c>
      <c r="E1880" s="49" t="s">
        <v>1356</v>
      </c>
      <c r="F1880" s="49" t="s">
        <v>1357</v>
      </c>
      <c r="G1880" s="49" t="s">
        <v>772</v>
      </c>
      <c r="H1880" s="49" t="s">
        <v>1132</v>
      </c>
      <c r="I1880" s="49" t="s">
        <v>885</v>
      </c>
    </row>
    <row r="1881" customFormat="false" ht="25.5" hidden="false" customHeight="true" outlineLevel="0" collapsed="false">
      <c r="A1881" s="49" t="s">
        <v>1118</v>
      </c>
      <c r="B1881" s="49" t="s">
        <v>1341</v>
      </c>
      <c r="C1881" s="49" t="s">
        <v>1358</v>
      </c>
      <c r="D1881" s="49" t="s">
        <v>1218</v>
      </c>
      <c r="E1881" s="49" t="s">
        <v>1359</v>
      </c>
      <c r="F1881" s="49" t="s">
        <v>1360</v>
      </c>
      <c r="G1881" s="49" t="s">
        <v>772</v>
      </c>
      <c r="H1881" s="49" t="s">
        <v>1132</v>
      </c>
      <c r="I1881" s="49" t="s">
        <v>885</v>
      </c>
    </row>
    <row r="1882" customFormat="false" ht="25.5" hidden="false" customHeight="true" outlineLevel="0" collapsed="false">
      <c r="A1882" s="49" t="s">
        <v>1118</v>
      </c>
      <c r="B1882" s="49" t="s">
        <v>1341</v>
      </c>
      <c r="C1882" s="49" t="s">
        <v>1361</v>
      </c>
      <c r="D1882" s="49" t="s">
        <v>1148</v>
      </c>
      <c r="E1882" s="49" t="s">
        <v>1183</v>
      </c>
      <c r="F1882" s="49" t="s">
        <v>1362</v>
      </c>
      <c r="G1882" s="49" t="s">
        <v>772</v>
      </c>
      <c r="H1882" s="49" t="s">
        <v>1132</v>
      </c>
      <c r="I1882" s="49" t="s">
        <v>885</v>
      </c>
    </row>
    <row r="1883" customFormat="false" ht="25.5" hidden="false" customHeight="true" outlineLevel="0" collapsed="false">
      <c r="A1883" s="49" t="s">
        <v>1118</v>
      </c>
      <c r="B1883" s="49" t="s">
        <v>1341</v>
      </c>
      <c r="C1883" s="49" t="s">
        <v>1363</v>
      </c>
      <c r="D1883" s="49" t="s">
        <v>1148</v>
      </c>
      <c r="E1883" s="49" t="s">
        <v>1364</v>
      </c>
      <c r="F1883" s="49" t="s">
        <v>1365</v>
      </c>
      <c r="G1883" s="49" t="s">
        <v>772</v>
      </c>
      <c r="H1883" s="49" t="s">
        <v>1132</v>
      </c>
      <c r="I1883" s="49" t="s">
        <v>885</v>
      </c>
    </row>
    <row r="1884" customFormat="false" ht="25.5" hidden="false" customHeight="true" outlineLevel="0" collapsed="false">
      <c r="A1884" s="49" t="s">
        <v>1118</v>
      </c>
      <c r="B1884" s="49" t="s">
        <v>1341</v>
      </c>
      <c r="C1884" s="49" t="s">
        <v>1366</v>
      </c>
      <c r="D1884" s="49" t="s">
        <v>1148</v>
      </c>
      <c r="E1884" s="49" t="s">
        <v>1183</v>
      </c>
      <c r="F1884" s="49" t="s">
        <v>1367</v>
      </c>
      <c r="G1884" s="49" t="s">
        <v>772</v>
      </c>
      <c r="H1884" s="49" t="s">
        <v>1132</v>
      </c>
      <c r="I1884" s="49" t="s">
        <v>885</v>
      </c>
    </row>
    <row r="1885" customFormat="false" ht="25.5" hidden="false" customHeight="true" outlineLevel="0" collapsed="false">
      <c r="A1885" s="49" t="s">
        <v>1118</v>
      </c>
      <c r="B1885" s="49" t="s">
        <v>1341</v>
      </c>
      <c r="C1885" s="49" t="s">
        <v>1368</v>
      </c>
      <c r="D1885" s="49" t="s">
        <v>1218</v>
      </c>
      <c r="E1885" s="49" t="s">
        <v>217</v>
      </c>
      <c r="F1885" s="49" t="s">
        <v>1369</v>
      </c>
      <c r="G1885" s="49" t="s">
        <v>772</v>
      </c>
      <c r="H1885" s="49" t="s">
        <v>1132</v>
      </c>
      <c r="I1885" s="49" t="s">
        <v>885</v>
      </c>
    </row>
    <row r="1886" customFormat="false" ht="25.5" hidden="false" customHeight="true" outlineLevel="0" collapsed="false">
      <c r="A1886" s="49" t="s">
        <v>1118</v>
      </c>
      <c r="B1886" s="49" t="s">
        <v>1341</v>
      </c>
      <c r="C1886" s="49" t="s">
        <v>1370</v>
      </c>
      <c r="D1886" s="49" t="s">
        <v>1208</v>
      </c>
      <c r="E1886" s="49" t="s">
        <v>893</v>
      </c>
      <c r="F1886" s="49" t="s">
        <v>1371</v>
      </c>
      <c r="G1886" s="49" t="s">
        <v>772</v>
      </c>
      <c r="H1886" s="49" t="s">
        <v>1132</v>
      </c>
      <c r="I1886" s="49" t="s">
        <v>885</v>
      </c>
    </row>
    <row r="1887" customFormat="false" ht="25.5" hidden="false" customHeight="true" outlineLevel="0" collapsed="false">
      <c r="A1887" s="49" t="s">
        <v>1118</v>
      </c>
      <c r="B1887" s="49" t="s">
        <v>1341</v>
      </c>
      <c r="C1887" s="49" t="s">
        <v>1372</v>
      </c>
      <c r="D1887" s="49" t="s">
        <v>1199</v>
      </c>
      <c r="E1887" s="49" t="s">
        <v>1135</v>
      </c>
      <c r="F1887" s="49" t="s">
        <v>1373</v>
      </c>
      <c r="G1887" s="49" t="s">
        <v>772</v>
      </c>
      <c r="H1887" s="49" t="s">
        <v>1132</v>
      </c>
      <c r="I1887" s="49" t="s">
        <v>885</v>
      </c>
    </row>
    <row r="1888" customFormat="false" ht="25.5" hidden="false" customHeight="true" outlineLevel="0" collapsed="false">
      <c r="A1888" s="49" t="s">
        <v>1118</v>
      </c>
      <c r="B1888" s="49" t="s">
        <v>1341</v>
      </c>
      <c r="C1888" s="49" t="s">
        <v>1374</v>
      </c>
      <c r="D1888" s="49" t="s">
        <v>1208</v>
      </c>
      <c r="E1888" s="49" t="s">
        <v>1183</v>
      </c>
      <c r="F1888" s="49" t="s">
        <v>1375</v>
      </c>
      <c r="G1888" s="49" t="s">
        <v>772</v>
      </c>
      <c r="H1888" s="49" t="s">
        <v>1132</v>
      </c>
      <c r="I1888" s="49" t="s">
        <v>885</v>
      </c>
    </row>
    <row r="1889" customFormat="false" ht="25.5" hidden="false" customHeight="true" outlineLevel="0" collapsed="false">
      <c r="A1889" s="49" t="s">
        <v>1118</v>
      </c>
      <c r="B1889" s="49" t="s">
        <v>1341</v>
      </c>
      <c r="C1889" s="49" t="s">
        <v>1376</v>
      </c>
      <c r="D1889" s="49" t="s">
        <v>1208</v>
      </c>
      <c r="E1889" s="49" t="s">
        <v>1377</v>
      </c>
      <c r="F1889" s="49" t="s">
        <v>1378</v>
      </c>
      <c r="G1889" s="49" t="s">
        <v>772</v>
      </c>
      <c r="H1889" s="49" t="s">
        <v>1132</v>
      </c>
      <c r="I1889" s="49" t="s">
        <v>885</v>
      </c>
    </row>
    <row r="1890" customFormat="false" ht="25.5" hidden="false" customHeight="true" outlineLevel="0" collapsed="false">
      <c r="A1890" s="49" t="s">
        <v>1118</v>
      </c>
      <c r="B1890" s="49" t="s">
        <v>1341</v>
      </c>
      <c r="C1890" s="49" t="s">
        <v>1379</v>
      </c>
      <c r="D1890" s="49" t="s">
        <v>1199</v>
      </c>
      <c r="E1890" s="49" t="s">
        <v>1183</v>
      </c>
      <c r="F1890" s="49" t="s">
        <v>1380</v>
      </c>
      <c r="G1890" s="49" t="s">
        <v>772</v>
      </c>
      <c r="H1890" s="49" t="s">
        <v>1132</v>
      </c>
      <c r="I1890" s="49" t="s">
        <v>885</v>
      </c>
    </row>
    <row r="1891" customFormat="false" ht="25.5" hidden="false" customHeight="true" outlineLevel="0" collapsed="false">
      <c r="A1891" s="49" t="s">
        <v>1118</v>
      </c>
      <c r="B1891" s="49" t="s">
        <v>1341</v>
      </c>
      <c r="C1891" s="49" t="s">
        <v>1381</v>
      </c>
      <c r="D1891" s="49" t="s">
        <v>1162</v>
      </c>
      <c r="E1891" s="49" t="s">
        <v>1382</v>
      </c>
      <c r="F1891" s="49" t="s">
        <v>1383</v>
      </c>
      <c r="G1891" s="49" t="s">
        <v>772</v>
      </c>
      <c r="H1891" s="49" t="s">
        <v>1132</v>
      </c>
      <c r="I1891" s="49" t="s">
        <v>885</v>
      </c>
    </row>
    <row r="1892" customFormat="false" ht="25.5" hidden="false" customHeight="true" outlineLevel="0" collapsed="false">
      <c r="A1892" s="49" t="s">
        <v>1118</v>
      </c>
      <c r="B1892" s="49" t="s">
        <v>1341</v>
      </c>
      <c r="C1892" s="49" t="s">
        <v>1384</v>
      </c>
      <c r="D1892" s="49" t="s">
        <v>1292</v>
      </c>
      <c r="E1892" s="49" t="s">
        <v>1189</v>
      </c>
      <c r="F1892" s="49" t="s">
        <v>1385</v>
      </c>
      <c r="G1892" s="49" t="s">
        <v>772</v>
      </c>
      <c r="H1892" s="49" t="s">
        <v>1132</v>
      </c>
      <c r="I1892" s="49" t="s">
        <v>885</v>
      </c>
    </row>
    <row r="1893" customFormat="false" ht="25.5" hidden="false" customHeight="true" outlineLevel="0" collapsed="false">
      <c r="A1893" s="49" t="s">
        <v>1118</v>
      </c>
      <c r="B1893" s="49" t="s">
        <v>1341</v>
      </c>
      <c r="C1893" s="49" t="s">
        <v>1386</v>
      </c>
      <c r="D1893" s="49" t="s">
        <v>1156</v>
      </c>
      <c r="E1893" s="49" t="s">
        <v>1183</v>
      </c>
      <c r="F1893" s="49" t="s">
        <v>1387</v>
      </c>
      <c r="G1893" s="49" t="s">
        <v>772</v>
      </c>
      <c r="H1893" s="49" t="s">
        <v>1132</v>
      </c>
      <c r="I1893" s="49" t="s">
        <v>885</v>
      </c>
    </row>
    <row r="1894" customFormat="false" ht="25.5" hidden="false" customHeight="true" outlineLevel="0" collapsed="false">
      <c r="A1894" s="49" t="s">
        <v>1118</v>
      </c>
      <c r="B1894" s="49" t="s">
        <v>1341</v>
      </c>
      <c r="C1894" s="49" t="s">
        <v>1388</v>
      </c>
      <c r="D1894" s="49" t="s">
        <v>1162</v>
      </c>
      <c r="E1894" s="49" t="s">
        <v>1163</v>
      </c>
      <c r="F1894" s="49" t="s">
        <v>1389</v>
      </c>
      <c r="G1894" s="49" t="s">
        <v>772</v>
      </c>
      <c r="H1894" s="49" t="s">
        <v>1132</v>
      </c>
      <c r="I1894" s="49" t="s">
        <v>885</v>
      </c>
    </row>
    <row r="1895" customFormat="false" ht="25.5" hidden="false" customHeight="true" outlineLevel="0" collapsed="false">
      <c r="A1895" s="49" t="s">
        <v>1118</v>
      </c>
      <c r="B1895" s="49" t="s">
        <v>1341</v>
      </c>
      <c r="C1895" s="49" t="s">
        <v>1390</v>
      </c>
      <c r="D1895" s="49" t="s">
        <v>1162</v>
      </c>
      <c r="E1895" s="49" t="s">
        <v>1163</v>
      </c>
      <c r="F1895" s="49" t="s">
        <v>1391</v>
      </c>
      <c r="G1895" s="49" t="s">
        <v>772</v>
      </c>
      <c r="H1895" s="49" t="s">
        <v>1132</v>
      </c>
      <c r="I1895" s="49" t="s">
        <v>885</v>
      </c>
    </row>
    <row r="1896" customFormat="false" ht="25.5" hidden="false" customHeight="true" outlineLevel="0" collapsed="false">
      <c r="A1896" s="49" t="s">
        <v>1118</v>
      </c>
      <c r="B1896" s="49" t="s">
        <v>1341</v>
      </c>
      <c r="C1896" s="49" t="s">
        <v>1392</v>
      </c>
      <c r="D1896" s="49" t="s">
        <v>1162</v>
      </c>
      <c r="E1896" s="49" t="s">
        <v>1163</v>
      </c>
      <c r="F1896" s="49" t="s">
        <v>952</v>
      </c>
      <c r="G1896" s="49" t="s">
        <v>772</v>
      </c>
      <c r="H1896" s="49" t="s">
        <v>1132</v>
      </c>
      <c r="I1896" s="49" t="s">
        <v>885</v>
      </c>
    </row>
    <row r="1897" customFormat="false" ht="25.5" hidden="false" customHeight="true" outlineLevel="0" collapsed="false">
      <c r="A1897" s="49" t="s">
        <v>1118</v>
      </c>
      <c r="B1897" s="49" t="s">
        <v>1341</v>
      </c>
      <c r="C1897" s="49" t="s">
        <v>1372</v>
      </c>
      <c r="D1897" s="49" t="s">
        <v>1199</v>
      </c>
      <c r="E1897" s="49" t="s">
        <v>217</v>
      </c>
      <c r="F1897" s="49" t="s">
        <v>1393</v>
      </c>
      <c r="G1897" s="49" t="s">
        <v>772</v>
      </c>
      <c r="H1897" s="49" t="s">
        <v>1132</v>
      </c>
      <c r="I1897" s="49" t="s">
        <v>885</v>
      </c>
    </row>
    <row r="1898" customFormat="false" ht="25.5" hidden="false" customHeight="true" outlineLevel="0" collapsed="false">
      <c r="A1898" s="49" t="s">
        <v>1118</v>
      </c>
      <c r="B1898" s="49" t="s">
        <v>1341</v>
      </c>
      <c r="C1898" s="49" t="s">
        <v>1394</v>
      </c>
      <c r="D1898" s="49" t="s">
        <v>1129</v>
      </c>
      <c r="E1898" s="49" t="s">
        <v>1395</v>
      </c>
      <c r="F1898" s="49" t="s">
        <v>1396</v>
      </c>
      <c r="G1898" s="49" t="s">
        <v>772</v>
      </c>
      <c r="H1898" s="49" t="s">
        <v>1132</v>
      </c>
      <c r="I1898" s="49" t="s">
        <v>885</v>
      </c>
    </row>
    <row r="1899" customFormat="false" ht="25.5" hidden="false" customHeight="true" outlineLevel="0" collapsed="false">
      <c r="A1899" s="49" t="s">
        <v>1118</v>
      </c>
      <c r="B1899" s="49" t="s">
        <v>1341</v>
      </c>
      <c r="C1899" s="49" t="s">
        <v>1397</v>
      </c>
      <c r="D1899" s="49" t="s">
        <v>1148</v>
      </c>
      <c r="E1899" s="49" t="s">
        <v>1395</v>
      </c>
      <c r="F1899" s="49" t="s">
        <v>1398</v>
      </c>
      <c r="G1899" s="49" t="s">
        <v>772</v>
      </c>
      <c r="H1899" s="49" t="s">
        <v>1132</v>
      </c>
      <c r="I1899" s="49" t="s">
        <v>885</v>
      </c>
    </row>
    <row r="1900" customFormat="false" ht="25.5" hidden="false" customHeight="true" outlineLevel="0" collapsed="false">
      <c r="A1900" s="49" t="s">
        <v>1118</v>
      </c>
      <c r="B1900" s="49" t="s">
        <v>1341</v>
      </c>
      <c r="C1900" s="49" t="s">
        <v>1399</v>
      </c>
      <c r="D1900" s="49" t="s">
        <v>1199</v>
      </c>
      <c r="E1900" s="49" t="s">
        <v>217</v>
      </c>
      <c r="F1900" s="49" t="s">
        <v>1400</v>
      </c>
      <c r="G1900" s="49" t="s">
        <v>772</v>
      </c>
      <c r="H1900" s="49" t="s">
        <v>1132</v>
      </c>
      <c r="I1900" s="49" t="s">
        <v>885</v>
      </c>
    </row>
    <row r="1901" customFormat="false" ht="25.5" hidden="false" customHeight="true" outlineLevel="0" collapsed="false">
      <c r="A1901" s="49" t="s">
        <v>1118</v>
      </c>
      <c r="B1901" s="49" t="s">
        <v>1341</v>
      </c>
      <c r="C1901" s="49" t="s">
        <v>1401</v>
      </c>
      <c r="D1901" s="49" t="s">
        <v>1199</v>
      </c>
      <c r="E1901" s="49" t="s">
        <v>146</v>
      </c>
      <c r="F1901" s="49" t="s">
        <v>1402</v>
      </c>
      <c r="G1901" s="49" t="s">
        <v>772</v>
      </c>
      <c r="H1901" s="49" t="s">
        <v>1132</v>
      </c>
      <c r="I1901" s="49" t="s">
        <v>885</v>
      </c>
    </row>
    <row r="1902" customFormat="false" ht="25.5" hidden="false" customHeight="true" outlineLevel="0" collapsed="false">
      <c r="A1902" s="49" t="s">
        <v>1118</v>
      </c>
      <c r="B1902" s="49" t="s">
        <v>1403</v>
      </c>
      <c r="C1902" s="49" t="s">
        <v>1171</v>
      </c>
      <c r="D1902" s="49" t="s">
        <v>1172</v>
      </c>
      <c r="E1902" s="49" t="s">
        <v>1173</v>
      </c>
      <c r="F1902" s="49" t="s">
        <v>1174</v>
      </c>
      <c r="G1902" s="49" t="s">
        <v>772</v>
      </c>
      <c r="H1902" s="49" t="s">
        <v>1132</v>
      </c>
      <c r="I1902" s="49" t="s">
        <v>885</v>
      </c>
    </row>
    <row r="1903" customFormat="false" ht="25.5" hidden="false" customHeight="true" outlineLevel="0" collapsed="false">
      <c r="A1903" s="49" t="s">
        <v>1118</v>
      </c>
      <c r="B1903" s="49" t="s">
        <v>1403</v>
      </c>
      <c r="C1903" s="49" t="s">
        <v>1404</v>
      </c>
      <c r="D1903" s="49" t="s">
        <v>1151</v>
      </c>
      <c r="E1903" s="49" t="s">
        <v>1405</v>
      </c>
      <c r="F1903" s="49" t="s">
        <v>1406</v>
      </c>
      <c r="G1903" s="49" t="s">
        <v>772</v>
      </c>
      <c r="H1903" s="49" t="s">
        <v>1132</v>
      </c>
      <c r="I1903" s="49" t="s">
        <v>885</v>
      </c>
    </row>
    <row r="1904" customFormat="false" ht="25.5" hidden="false" customHeight="true" outlineLevel="0" collapsed="false">
      <c r="A1904" s="49" t="s">
        <v>1118</v>
      </c>
      <c r="B1904" s="49" t="s">
        <v>1403</v>
      </c>
      <c r="C1904" s="49" t="s">
        <v>1407</v>
      </c>
      <c r="D1904" s="49" t="s">
        <v>1141</v>
      </c>
      <c r="E1904" s="49" t="s">
        <v>1183</v>
      </c>
      <c r="F1904" s="49" t="s">
        <v>1408</v>
      </c>
      <c r="G1904" s="49" t="s">
        <v>772</v>
      </c>
      <c r="H1904" s="49" t="s">
        <v>1132</v>
      </c>
      <c r="I1904" s="49" t="s">
        <v>885</v>
      </c>
    </row>
    <row r="1905" customFormat="false" ht="25.5" hidden="false" customHeight="true" outlineLevel="0" collapsed="false">
      <c r="A1905" s="49" t="s">
        <v>1118</v>
      </c>
      <c r="B1905" s="49" t="s">
        <v>1403</v>
      </c>
      <c r="C1905" s="49" t="s">
        <v>1409</v>
      </c>
      <c r="D1905" s="49" t="s">
        <v>1208</v>
      </c>
      <c r="E1905" s="49" t="s">
        <v>1410</v>
      </c>
      <c r="F1905" s="49" t="s">
        <v>1411</v>
      </c>
      <c r="G1905" s="49" t="s">
        <v>772</v>
      </c>
      <c r="H1905" s="49" t="s">
        <v>1132</v>
      </c>
      <c r="I1905" s="49" t="s">
        <v>885</v>
      </c>
    </row>
    <row r="1906" customFormat="false" ht="25.5" hidden="false" customHeight="true" outlineLevel="0" collapsed="false">
      <c r="A1906" s="49" t="s">
        <v>1118</v>
      </c>
      <c r="B1906" s="49" t="s">
        <v>1403</v>
      </c>
      <c r="C1906" s="49" t="s">
        <v>1412</v>
      </c>
      <c r="D1906" s="49" t="s">
        <v>1199</v>
      </c>
      <c r="E1906" s="49" t="s">
        <v>1183</v>
      </c>
      <c r="F1906" s="49" t="s">
        <v>1413</v>
      </c>
      <c r="G1906" s="49" t="s">
        <v>772</v>
      </c>
      <c r="H1906" s="49" t="s">
        <v>1132</v>
      </c>
      <c r="I1906" s="49" t="s">
        <v>885</v>
      </c>
    </row>
    <row r="1907" customFormat="false" ht="25.5" hidden="false" customHeight="true" outlineLevel="0" collapsed="false">
      <c r="A1907" s="49" t="s">
        <v>1118</v>
      </c>
      <c r="B1907" s="49" t="s">
        <v>1403</v>
      </c>
      <c r="C1907" s="49" t="s">
        <v>1414</v>
      </c>
      <c r="D1907" s="49" t="s">
        <v>1156</v>
      </c>
      <c r="E1907" s="49" t="s">
        <v>1183</v>
      </c>
      <c r="F1907" s="49" t="s">
        <v>1415</v>
      </c>
      <c r="G1907" s="49" t="s">
        <v>772</v>
      </c>
      <c r="H1907" s="49" t="s">
        <v>1132</v>
      </c>
      <c r="I1907" s="49" t="s">
        <v>885</v>
      </c>
    </row>
    <row r="1908" customFormat="false" ht="25.5" hidden="false" customHeight="true" outlineLevel="0" collapsed="false">
      <c r="A1908" s="49" t="s">
        <v>1118</v>
      </c>
      <c r="B1908" s="49" t="s">
        <v>1403</v>
      </c>
      <c r="C1908" s="49" t="s">
        <v>1416</v>
      </c>
      <c r="D1908" s="49" t="s">
        <v>1134</v>
      </c>
      <c r="E1908" s="49" t="s">
        <v>1226</v>
      </c>
      <c r="F1908" s="49" t="s">
        <v>1417</v>
      </c>
      <c r="G1908" s="49" t="s">
        <v>772</v>
      </c>
      <c r="H1908" s="49" t="s">
        <v>1132</v>
      </c>
      <c r="I1908" s="49" t="s">
        <v>885</v>
      </c>
    </row>
    <row r="1909" customFormat="false" ht="25.5" hidden="false" customHeight="true" outlineLevel="0" collapsed="false">
      <c r="A1909" s="49" t="s">
        <v>1118</v>
      </c>
      <c r="B1909" s="49" t="s">
        <v>1403</v>
      </c>
      <c r="C1909" s="49" t="s">
        <v>1418</v>
      </c>
      <c r="D1909" s="49" t="s">
        <v>1129</v>
      </c>
      <c r="E1909" s="49" t="s">
        <v>1183</v>
      </c>
      <c r="F1909" s="49" t="s">
        <v>1419</v>
      </c>
      <c r="G1909" s="49" t="s">
        <v>772</v>
      </c>
      <c r="H1909" s="49" t="s">
        <v>1132</v>
      </c>
      <c r="I1909" s="49" t="s">
        <v>885</v>
      </c>
    </row>
    <row r="1910" customFormat="false" ht="25.5" hidden="false" customHeight="true" outlineLevel="0" collapsed="false">
      <c r="A1910" s="49" t="s">
        <v>1118</v>
      </c>
      <c r="B1910" s="49" t="s">
        <v>1403</v>
      </c>
      <c r="C1910" s="49" t="s">
        <v>1420</v>
      </c>
      <c r="D1910" s="49" t="s">
        <v>1129</v>
      </c>
      <c r="E1910" s="49" t="s">
        <v>146</v>
      </c>
      <c r="F1910" s="49" t="s">
        <v>1421</v>
      </c>
      <c r="G1910" s="49" t="s">
        <v>772</v>
      </c>
      <c r="H1910" s="49" t="s">
        <v>1132</v>
      </c>
      <c r="I1910" s="49" t="s">
        <v>885</v>
      </c>
    </row>
    <row r="1911" customFormat="false" ht="25.5" hidden="false" customHeight="true" outlineLevel="0" collapsed="false">
      <c r="A1911" s="49" t="s">
        <v>1118</v>
      </c>
      <c r="B1911" s="49" t="s">
        <v>1403</v>
      </c>
      <c r="C1911" s="49" t="s">
        <v>1422</v>
      </c>
      <c r="D1911" s="49" t="s">
        <v>1292</v>
      </c>
      <c r="E1911" s="49" t="s">
        <v>1135</v>
      </c>
      <c r="F1911" s="49" t="s">
        <v>1423</v>
      </c>
      <c r="G1911" s="49" t="s">
        <v>772</v>
      </c>
      <c r="H1911" s="49" t="s">
        <v>1132</v>
      </c>
      <c r="I1911" s="49" t="s">
        <v>885</v>
      </c>
    </row>
    <row r="1912" customFormat="false" ht="25.5" hidden="false" customHeight="true" outlineLevel="0" collapsed="false">
      <c r="A1912" s="49" t="s">
        <v>1118</v>
      </c>
      <c r="B1912" s="49" t="s">
        <v>1403</v>
      </c>
      <c r="C1912" s="49" t="s">
        <v>1424</v>
      </c>
      <c r="D1912" s="49" t="s">
        <v>1148</v>
      </c>
      <c r="E1912" s="49" t="s">
        <v>1135</v>
      </c>
      <c r="F1912" s="49" t="s">
        <v>1423</v>
      </c>
      <c r="G1912" s="49" t="s">
        <v>772</v>
      </c>
      <c r="H1912" s="49" t="s">
        <v>1132</v>
      </c>
      <c r="I1912" s="49" t="s">
        <v>885</v>
      </c>
    </row>
    <row r="1913" customFormat="false" ht="25.5" hidden="false" customHeight="true" outlineLevel="0" collapsed="false">
      <c r="A1913" s="49" t="s">
        <v>1118</v>
      </c>
      <c r="B1913" s="49" t="s">
        <v>1403</v>
      </c>
      <c r="C1913" s="49" t="s">
        <v>1425</v>
      </c>
      <c r="D1913" s="49" t="s">
        <v>1199</v>
      </c>
      <c r="E1913" s="49" t="s">
        <v>1183</v>
      </c>
      <c r="F1913" s="49" t="s">
        <v>1415</v>
      </c>
      <c r="G1913" s="49" t="s">
        <v>772</v>
      </c>
      <c r="H1913" s="49" t="s">
        <v>1132</v>
      </c>
      <c r="I1913" s="49" t="s">
        <v>885</v>
      </c>
    </row>
    <row r="1914" customFormat="false" ht="25.5" hidden="false" customHeight="true" outlineLevel="0" collapsed="false">
      <c r="A1914" s="49" t="s">
        <v>1118</v>
      </c>
      <c r="B1914" s="49" t="s">
        <v>1403</v>
      </c>
      <c r="C1914" s="49" t="s">
        <v>1426</v>
      </c>
      <c r="D1914" s="49" t="s">
        <v>1208</v>
      </c>
      <c r="E1914" s="49" t="s">
        <v>1427</v>
      </c>
      <c r="F1914" s="49" t="s">
        <v>1428</v>
      </c>
      <c r="G1914" s="49" t="s">
        <v>772</v>
      </c>
      <c r="H1914" s="49" t="s">
        <v>1132</v>
      </c>
      <c r="I1914" s="49" t="s">
        <v>885</v>
      </c>
    </row>
    <row r="1915" customFormat="false" ht="25.5" hidden="false" customHeight="true" outlineLevel="0" collapsed="false">
      <c r="A1915" s="49" t="s">
        <v>1118</v>
      </c>
      <c r="B1915" s="49" t="s">
        <v>1403</v>
      </c>
      <c r="C1915" s="49" t="s">
        <v>1429</v>
      </c>
      <c r="D1915" s="49" t="s">
        <v>1129</v>
      </c>
      <c r="E1915" s="49" t="s">
        <v>1223</v>
      </c>
      <c r="F1915" s="49" t="s">
        <v>1430</v>
      </c>
      <c r="G1915" s="49" t="s">
        <v>772</v>
      </c>
      <c r="H1915" s="49" t="s">
        <v>1132</v>
      </c>
      <c r="I1915" s="49" t="s">
        <v>885</v>
      </c>
    </row>
    <row r="1916" customFormat="false" ht="25.5" hidden="false" customHeight="true" outlineLevel="0" collapsed="false">
      <c r="A1916" s="49" t="s">
        <v>1118</v>
      </c>
      <c r="B1916" s="49" t="s">
        <v>1403</v>
      </c>
      <c r="C1916" s="49" t="s">
        <v>1431</v>
      </c>
      <c r="D1916" s="49" t="s">
        <v>1208</v>
      </c>
      <c r="E1916" s="49" t="s">
        <v>1432</v>
      </c>
      <c r="F1916" s="49" t="s">
        <v>1433</v>
      </c>
      <c r="G1916" s="49" t="s">
        <v>772</v>
      </c>
      <c r="H1916" s="49" t="s">
        <v>1132</v>
      </c>
      <c r="I1916" s="49" t="s">
        <v>885</v>
      </c>
    </row>
    <row r="1917" customFormat="false" ht="25.5" hidden="false" customHeight="true" outlineLevel="0" collapsed="false">
      <c r="A1917" s="49" t="s">
        <v>1118</v>
      </c>
      <c r="B1917" s="49" t="s">
        <v>1403</v>
      </c>
      <c r="C1917" s="49" t="s">
        <v>1434</v>
      </c>
      <c r="D1917" s="49" t="s">
        <v>1162</v>
      </c>
      <c r="E1917" s="49" t="s">
        <v>1163</v>
      </c>
      <c r="F1917" s="49" t="s">
        <v>1435</v>
      </c>
      <c r="G1917" s="49" t="s">
        <v>772</v>
      </c>
      <c r="H1917" s="49" t="s">
        <v>1132</v>
      </c>
      <c r="I1917" s="49" t="s">
        <v>885</v>
      </c>
    </row>
    <row r="1918" customFormat="false" ht="25.5" hidden="false" customHeight="true" outlineLevel="0" collapsed="false">
      <c r="A1918" s="49" t="s">
        <v>1118</v>
      </c>
      <c r="B1918" s="49" t="s">
        <v>1403</v>
      </c>
      <c r="C1918" s="49" t="s">
        <v>1436</v>
      </c>
      <c r="D1918" s="49" t="s">
        <v>1199</v>
      </c>
      <c r="E1918" s="49" t="s">
        <v>146</v>
      </c>
      <c r="F1918" s="49" t="s">
        <v>1437</v>
      </c>
      <c r="G1918" s="49" t="s">
        <v>772</v>
      </c>
      <c r="H1918" s="49" t="s">
        <v>1132</v>
      </c>
      <c r="I1918" s="49" t="s">
        <v>885</v>
      </c>
    </row>
    <row r="1919" customFormat="false" ht="25.5" hidden="false" customHeight="true" outlineLevel="0" collapsed="false">
      <c r="A1919" s="49" t="s">
        <v>1118</v>
      </c>
      <c r="B1919" s="49" t="s">
        <v>1403</v>
      </c>
      <c r="C1919" s="49" t="s">
        <v>1438</v>
      </c>
      <c r="D1919" s="49" t="s">
        <v>1151</v>
      </c>
      <c r="E1919" s="49" t="s">
        <v>1183</v>
      </c>
      <c r="F1919" s="49" t="s">
        <v>1439</v>
      </c>
      <c r="G1919" s="49" t="s">
        <v>772</v>
      </c>
      <c r="H1919" s="49" t="s">
        <v>1132</v>
      </c>
      <c r="I1919" s="49" t="s">
        <v>885</v>
      </c>
    </row>
    <row r="1920" customFormat="false" ht="25.5" hidden="false" customHeight="true" outlineLevel="0" collapsed="false">
      <c r="A1920" s="49" t="s">
        <v>1118</v>
      </c>
      <c r="B1920" s="49" t="s">
        <v>1403</v>
      </c>
      <c r="C1920" s="49" t="s">
        <v>1440</v>
      </c>
      <c r="D1920" s="49" t="s">
        <v>1134</v>
      </c>
      <c r="E1920" s="49" t="s">
        <v>217</v>
      </c>
      <c r="F1920" s="49" t="s">
        <v>1441</v>
      </c>
      <c r="G1920" s="49" t="s">
        <v>772</v>
      </c>
      <c r="H1920" s="49" t="s">
        <v>1132</v>
      </c>
      <c r="I1920" s="49" t="s">
        <v>885</v>
      </c>
    </row>
    <row r="1921" customFormat="false" ht="25.5" hidden="false" customHeight="true" outlineLevel="0" collapsed="false">
      <c r="A1921" s="49" t="s">
        <v>1118</v>
      </c>
      <c r="B1921" s="49" t="s">
        <v>1403</v>
      </c>
      <c r="C1921" s="49" t="s">
        <v>1442</v>
      </c>
      <c r="D1921" s="49" t="s">
        <v>1151</v>
      </c>
      <c r="E1921" s="49" t="s">
        <v>1443</v>
      </c>
      <c r="F1921" s="49" t="s">
        <v>1444</v>
      </c>
      <c r="G1921" s="49" t="s">
        <v>772</v>
      </c>
      <c r="H1921" s="49" t="s">
        <v>1132</v>
      </c>
      <c r="I1921" s="49" t="s">
        <v>885</v>
      </c>
    </row>
    <row r="1922" customFormat="false" ht="25.5" hidden="false" customHeight="true" outlineLevel="0" collapsed="false">
      <c r="A1922" s="49" t="s">
        <v>1118</v>
      </c>
      <c r="B1922" s="49" t="s">
        <v>1403</v>
      </c>
      <c r="C1922" s="49" t="s">
        <v>1445</v>
      </c>
      <c r="D1922" s="49" t="s">
        <v>1199</v>
      </c>
      <c r="E1922" s="49" t="s">
        <v>1183</v>
      </c>
      <c r="F1922" s="49" t="s">
        <v>1446</v>
      </c>
      <c r="G1922" s="49" t="s">
        <v>772</v>
      </c>
      <c r="H1922" s="49" t="s">
        <v>1132</v>
      </c>
      <c r="I1922" s="49" t="s">
        <v>885</v>
      </c>
    </row>
    <row r="1923" customFormat="false" ht="25.5" hidden="false" customHeight="true" outlineLevel="0" collapsed="false">
      <c r="A1923" s="49" t="s">
        <v>1118</v>
      </c>
      <c r="B1923" s="49" t="s">
        <v>1447</v>
      </c>
      <c r="C1923" s="49" t="s">
        <v>1171</v>
      </c>
      <c r="D1923" s="49" t="s">
        <v>1172</v>
      </c>
      <c r="E1923" s="49" t="s">
        <v>1173</v>
      </c>
      <c r="F1923" s="49" t="s">
        <v>1174</v>
      </c>
      <c r="G1923" s="49" t="s">
        <v>772</v>
      </c>
      <c r="H1923" s="49" t="s">
        <v>1132</v>
      </c>
      <c r="I1923" s="49" t="s">
        <v>885</v>
      </c>
    </row>
    <row r="1924" customFormat="false" ht="25.5" hidden="false" customHeight="true" outlineLevel="0" collapsed="false">
      <c r="A1924" s="49" t="s">
        <v>1118</v>
      </c>
      <c r="B1924" s="49" t="s">
        <v>1447</v>
      </c>
      <c r="C1924" s="49" t="s">
        <v>1448</v>
      </c>
      <c r="D1924" s="49" t="s">
        <v>1141</v>
      </c>
      <c r="E1924" s="49" t="s">
        <v>1449</v>
      </c>
      <c r="F1924" s="49" t="s">
        <v>1450</v>
      </c>
      <c r="G1924" s="49" t="s">
        <v>772</v>
      </c>
      <c r="H1924" s="49" t="s">
        <v>1132</v>
      </c>
      <c r="I1924" s="49" t="s">
        <v>885</v>
      </c>
    </row>
    <row r="1925" customFormat="false" ht="25.5" hidden="false" customHeight="true" outlineLevel="0" collapsed="false">
      <c r="A1925" s="49" t="s">
        <v>1118</v>
      </c>
      <c r="B1925" s="49" t="s">
        <v>1447</v>
      </c>
      <c r="C1925" s="49" t="s">
        <v>1451</v>
      </c>
      <c r="D1925" s="49" t="s">
        <v>1129</v>
      </c>
      <c r="E1925" s="49" t="s">
        <v>1452</v>
      </c>
      <c r="F1925" s="49" t="s">
        <v>1453</v>
      </c>
      <c r="G1925" s="49" t="s">
        <v>772</v>
      </c>
      <c r="H1925" s="49" t="s">
        <v>1132</v>
      </c>
      <c r="I1925" s="49" t="s">
        <v>885</v>
      </c>
    </row>
    <row r="1926" customFormat="false" ht="25.5" hidden="false" customHeight="true" outlineLevel="0" collapsed="false">
      <c r="A1926" s="49" t="s">
        <v>1118</v>
      </c>
      <c r="B1926" s="49" t="s">
        <v>1447</v>
      </c>
      <c r="C1926" s="49" t="s">
        <v>1454</v>
      </c>
      <c r="D1926" s="49" t="s">
        <v>1156</v>
      </c>
      <c r="E1926" s="49" t="s">
        <v>1455</v>
      </c>
      <c r="F1926" s="49" t="s">
        <v>1456</v>
      </c>
      <c r="G1926" s="49" t="s">
        <v>772</v>
      </c>
      <c r="H1926" s="49" t="s">
        <v>1132</v>
      </c>
      <c r="I1926" s="49" t="s">
        <v>885</v>
      </c>
    </row>
    <row r="1927" customFormat="false" ht="25.5" hidden="false" customHeight="true" outlineLevel="0" collapsed="false">
      <c r="A1927" s="49" t="s">
        <v>1118</v>
      </c>
      <c r="B1927" s="49" t="s">
        <v>1447</v>
      </c>
      <c r="C1927" s="49" t="s">
        <v>1457</v>
      </c>
      <c r="D1927" s="49" t="s">
        <v>1156</v>
      </c>
      <c r="E1927" s="49" t="s">
        <v>1455</v>
      </c>
      <c r="F1927" s="49" t="s">
        <v>1456</v>
      </c>
      <c r="G1927" s="49" t="s">
        <v>772</v>
      </c>
      <c r="H1927" s="49" t="s">
        <v>1132</v>
      </c>
      <c r="I1927" s="49" t="s">
        <v>885</v>
      </c>
    </row>
    <row r="1928" customFormat="false" ht="25.5" hidden="false" customHeight="true" outlineLevel="0" collapsed="false">
      <c r="A1928" s="49" t="s">
        <v>1118</v>
      </c>
      <c r="B1928" s="49" t="s">
        <v>1447</v>
      </c>
      <c r="C1928" s="49" t="s">
        <v>1458</v>
      </c>
      <c r="D1928" s="49" t="s">
        <v>1208</v>
      </c>
      <c r="E1928" s="49" t="s">
        <v>1183</v>
      </c>
      <c r="F1928" s="49" t="s">
        <v>1459</v>
      </c>
      <c r="G1928" s="49" t="s">
        <v>772</v>
      </c>
      <c r="H1928" s="49" t="s">
        <v>1132</v>
      </c>
      <c r="I1928" s="49" t="s">
        <v>885</v>
      </c>
    </row>
    <row r="1929" customFormat="false" ht="25.5" hidden="false" customHeight="true" outlineLevel="0" collapsed="false">
      <c r="A1929" s="49" t="s">
        <v>1118</v>
      </c>
      <c r="B1929" s="49" t="s">
        <v>1447</v>
      </c>
      <c r="C1929" s="49" t="s">
        <v>1460</v>
      </c>
      <c r="D1929" s="49" t="s">
        <v>1141</v>
      </c>
      <c r="E1929" s="49" t="s">
        <v>1183</v>
      </c>
      <c r="F1929" s="49" t="s">
        <v>1461</v>
      </c>
      <c r="G1929" s="49" t="s">
        <v>772</v>
      </c>
      <c r="H1929" s="49" t="s">
        <v>1132</v>
      </c>
      <c r="I1929" s="49" t="s">
        <v>885</v>
      </c>
    </row>
    <row r="1930" customFormat="false" ht="25.5" hidden="false" customHeight="true" outlineLevel="0" collapsed="false">
      <c r="A1930" s="49" t="s">
        <v>1118</v>
      </c>
      <c r="B1930" s="49" t="s">
        <v>1447</v>
      </c>
      <c r="C1930" s="49" t="s">
        <v>1462</v>
      </c>
      <c r="D1930" s="49" t="s">
        <v>1156</v>
      </c>
      <c r="E1930" s="49" t="s">
        <v>1183</v>
      </c>
      <c r="F1930" s="49" t="s">
        <v>1463</v>
      </c>
      <c r="G1930" s="49" t="s">
        <v>772</v>
      </c>
      <c r="H1930" s="49" t="s">
        <v>1132</v>
      </c>
      <c r="I1930" s="49" t="s">
        <v>885</v>
      </c>
    </row>
    <row r="1931" customFormat="false" ht="25.5" hidden="false" customHeight="true" outlineLevel="0" collapsed="false">
      <c r="A1931" s="49" t="s">
        <v>1118</v>
      </c>
      <c r="B1931" s="49" t="s">
        <v>1447</v>
      </c>
      <c r="C1931" s="49" t="s">
        <v>1464</v>
      </c>
      <c r="D1931" s="49" t="s">
        <v>1218</v>
      </c>
      <c r="E1931" s="49" t="s">
        <v>1183</v>
      </c>
      <c r="F1931" s="49" t="s">
        <v>1465</v>
      </c>
      <c r="G1931" s="49" t="s">
        <v>772</v>
      </c>
      <c r="H1931" s="49" t="s">
        <v>1132</v>
      </c>
      <c r="I1931" s="49" t="s">
        <v>885</v>
      </c>
    </row>
    <row r="1932" customFormat="false" ht="25.5" hidden="false" customHeight="true" outlineLevel="0" collapsed="false">
      <c r="A1932" s="49" t="s">
        <v>1118</v>
      </c>
      <c r="B1932" s="49" t="s">
        <v>1447</v>
      </c>
      <c r="C1932" s="49" t="s">
        <v>1466</v>
      </c>
      <c r="D1932" s="49" t="s">
        <v>1141</v>
      </c>
      <c r="E1932" s="49" t="s">
        <v>1183</v>
      </c>
      <c r="F1932" s="49" t="s">
        <v>1467</v>
      </c>
      <c r="G1932" s="49" t="s">
        <v>772</v>
      </c>
      <c r="H1932" s="49" t="s">
        <v>1132</v>
      </c>
      <c r="I1932" s="49" t="s">
        <v>885</v>
      </c>
    </row>
    <row r="1933" customFormat="false" ht="25.5" hidden="false" customHeight="true" outlineLevel="0" collapsed="false">
      <c r="A1933" s="49" t="s">
        <v>1118</v>
      </c>
      <c r="B1933" s="49" t="s">
        <v>1447</v>
      </c>
      <c r="C1933" s="49" t="s">
        <v>1468</v>
      </c>
      <c r="D1933" s="49" t="s">
        <v>1292</v>
      </c>
      <c r="E1933" s="49" t="s">
        <v>1183</v>
      </c>
      <c r="F1933" s="49" t="s">
        <v>1469</v>
      </c>
      <c r="G1933" s="49" t="s">
        <v>772</v>
      </c>
      <c r="H1933" s="49" t="s">
        <v>1132</v>
      </c>
      <c r="I1933" s="49" t="s">
        <v>885</v>
      </c>
    </row>
    <row r="1934" customFormat="false" ht="25.5" hidden="false" customHeight="true" outlineLevel="0" collapsed="false">
      <c r="A1934" s="49" t="s">
        <v>1118</v>
      </c>
      <c r="B1934" s="49" t="s">
        <v>1447</v>
      </c>
      <c r="C1934" s="49" t="s">
        <v>1470</v>
      </c>
      <c r="D1934" s="49" t="s">
        <v>1218</v>
      </c>
      <c r="E1934" s="49" t="s">
        <v>1183</v>
      </c>
      <c r="F1934" s="49" t="s">
        <v>1471</v>
      </c>
      <c r="G1934" s="49" t="s">
        <v>772</v>
      </c>
      <c r="H1934" s="49" t="s">
        <v>1132</v>
      </c>
      <c r="I1934" s="49" t="s">
        <v>885</v>
      </c>
    </row>
    <row r="1935" customFormat="false" ht="25.5" hidden="false" customHeight="true" outlineLevel="0" collapsed="false">
      <c r="A1935" s="49" t="s">
        <v>1118</v>
      </c>
      <c r="B1935" s="49" t="s">
        <v>1447</v>
      </c>
      <c r="C1935" s="49" t="s">
        <v>1472</v>
      </c>
      <c r="D1935" s="49" t="s">
        <v>1134</v>
      </c>
      <c r="E1935" s="49" t="s">
        <v>1405</v>
      </c>
      <c r="F1935" s="49" t="s">
        <v>1473</v>
      </c>
      <c r="G1935" s="49" t="s">
        <v>772</v>
      </c>
      <c r="H1935" s="49" t="s">
        <v>1132</v>
      </c>
      <c r="I1935" s="49" t="s">
        <v>885</v>
      </c>
    </row>
    <row r="1936" customFormat="false" ht="25.5" hidden="false" customHeight="true" outlineLevel="0" collapsed="false">
      <c r="A1936" s="49" t="s">
        <v>1118</v>
      </c>
      <c r="B1936" s="49" t="s">
        <v>1447</v>
      </c>
      <c r="C1936" s="49" t="s">
        <v>1474</v>
      </c>
      <c r="D1936" s="49" t="s">
        <v>1208</v>
      </c>
      <c r="E1936" s="49" t="s">
        <v>1475</v>
      </c>
      <c r="F1936" s="49" t="s">
        <v>1476</v>
      </c>
      <c r="G1936" s="49" t="s">
        <v>772</v>
      </c>
      <c r="H1936" s="49" t="s">
        <v>1132</v>
      </c>
      <c r="I1936" s="49" t="s">
        <v>885</v>
      </c>
    </row>
    <row r="1937" customFormat="false" ht="25.5" hidden="false" customHeight="true" outlineLevel="0" collapsed="false">
      <c r="A1937" s="49" t="s">
        <v>1118</v>
      </c>
      <c r="B1937" s="49" t="s">
        <v>1447</v>
      </c>
      <c r="C1937" s="49" t="s">
        <v>1477</v>
      </c>
      <c r="D1937" s="49" t="s">
        <v>1162</v>
      </c>
      <c r="E1937" s="49" t="s">
        <v>1478</v>
      </c>
      <c r="F1937" s="49" t="s">
        <v>1479</v>
      </c>
      <c r="G1937" s="49" t="s">
        <v>772</v>
      </c>
      <c r="H1937" s="49" t="s">
        <v>1132</v>
      </c>
      <c r="I1937" s="49" t="s">
        <v>885</v>
      </c>
    </row>
    <row r="1938" customFormat="false" ht="25.5" hidden="false" customHeight="true" outlineLevel="0" collapsed="false">
      <c r="A1938" s="49" t="s">
        <v>1118</v>
      </c>
      <c r="B1938" s="49" t="s">
        <v>1447</v>
      </c>
      <c r="C1938" s="49" t="s">
        <v>1480</v>
      </c>
      <c r="D1938" s="49" t="s">
        <v>1199</v>
      </c>
      <c r="E1938" s="49" t="s">
        <v>1135</v>
      </c>
      <c r="F1938" s="49" t="s">
        <v>1473</v>
      </c>
      <c r="G1938" s="49" t="s">
        <v>772</v>
      </c>
      <c r="H1938" s="49" t="s">
        <v>1132</v>
      </c>
      <c r="I1938" s="49" t="s">
        <v>885</v>
      </c>
    </row>
    <row r="1939" customFormat="false" ht="25.5" hidden="false" customHeight="true" outlineLevel="0" collapsed="false">
      <c r="A1939" s="49" t="s">
        <v>1118</v>
      </c>
      <c r="B1939" s="49" t="s">
        <v>1447</v>
      </c>
      <c r="C1939" s="49" t="s">
        <v>1481</v>
      </c>
      <c r="D1939" s="49" t="s">
        <v>1292</v>
      </c>
      <c r="E1939" s="49" t="s">
        <v>1135</v>
      </c>
      <c r="F1939" s="49" t="s">
        <v>1473</v>
      </c>
      <c r="G1939" s="49" t="s">
        <v>772</v>
      </c>
      <c r="H1939" s="49" t="s">
        <v>1132</v>
      </c>
      <c r="I1939" s="49" t="s">
        <v>885</v>
      </c>
    </row>
    <row r="1940" customFormat="false" ht="25.5" hidden="false" customHeight="true" outlineLevel="0" collapsed="false">
      <c r="A1940" s="49" t="s">
        <v>1118</v>
      </c>
      <c r="B1940" s="49" t="s">
        <v>1447</v>
      </c>
      <c r="C1940" s="49" t="s">
        <v>1482</v>
      </c>
      <c r="D1940" s="49" t="s">
        <v>1199</v>
      </c>
      <c r="E1940" s="49" t="s">
        <v>1483</v>
      </c>
      <c r="F1940" s="49" t="s">
        <v>1484</v>
      </c>
      <c r="G1940" s="49" t="s">
        <v>772</v>
      </c>
      <c r="H1940" s="49" t="s">
        <v>1132</v>
      </c>
      <c r="I1940" s="49" t="s">
        <v>885</v>
      </c>
    </row>
    <row r="1941" customFormat="false" ht="25.5" hidden="false" customHeight="true" outlineLevel="0" collapsed="false">
      <c r="A1941" s="49" t="s">
        <v>1118</v>
      </c>
      <c r="B1941" s="49" t="s">
        <v>1447</v>
      </c>
      <c r="C1941" s="49" t="s">
        <v>1485</v>
      </c>
      <c r="D1941" s="49" t="s">
        <v>1151</v>
      </c>
      <c r="E1941" s="49" t="s">
        <v>1135</v>
      </c>
      <c r="F1941" s="49" t="s">
        <v>1473</v>
      </c>
      <c r="G1941" s="49" t="s">
        <v>772</v>
      </c>
      <c r="H1941" s="49" t="s">
        <v>1132</v>
      </c>
      <c r="I1941" s="49" t="s">
        <v>885</v>
      </c>
    </row>
    <row r="1942" customFormat="false" ht="25.5" hidden="false" customHeight="true" outlineLevel="0" collapsed="false">
      <c r="A1942" s="49" t="s">
        <v>1118</v>
      </c>
      <c r="B1942" s="49" t="s">
        <v>1447</v>
      </c>
      <c r="C1942" s="49" t="s">
        <v>1486</v>
      </c>
      <c r="D1942" s="49" t="s">
        <v>1199</v>
      </c>
      <c r="E1942" s="49" t="s">
        <v>1135</v>
      </c>
      <c r="F1942" s="49" t="s">
        <v>1473</v>
      </c>
      <c r="G1942" s="49" t="s">
        <v>772</v>
      </c>
      <c r="H1942" s="49" t="s">
        <v>1132</v>
      </c>
      <c r="I1942" s="49" t="s">
        <v>885</v>
      </c>
    </row>
    <row r="1943" customFormat="false" ht="25.5" hidden="false" customHeight="true" outlineLevel="0" collapsed="false">
      <c r="A1943" s="49" t="s">
        <v>1118</v>
      </c>
      <c r="B1943" s="49" t="s">
        <v>1447</v>
      </c>
      <c r="C1943" s="49" t="s">
        <v>1487</v>
      </c>
      <c r="D1943" s="49" t="s">
        <v>1148</v>
      </c>
      <c r="E1943" s="49" t="s">
        <v>1135</v>
      </c>
      <c r="F1943" s="49" t="s">
        <v>1473</v>
      </c>
      <c r="G1943" s="49" t="s">
        <v>772</v>
      </c>
      <c r="H1943" s="49" t="s">
        <v>1132</v>
      </c>
      <c r="I1943" s="49" t="s">
        <v>885</v>
      </c>
    </row>
    <row r="1944" customFormat="false" ht="25.5" hidden="false" customHeight="true" outlineLevel="0" collapsed="false">
      <c r="A1944" s="49" t="s">
        <v>1118</v>
      </c>
      <c r="B1944" s="49" t="s">
        <v>1447</v>
      </c>
      <c r="C1944" s="49" t="s">
        <v>1488</v>
      </c>
      <c r="D1944" s="49" t="s">
        <v>1151</v>
      </c>
      <c r="E1944" s="49" t="s">
        <v>1135</v>
      </c>
      <c r="F1944" s="49" t="s">
        <v>1473</v>
      </c>
      <c r="G1944" s="49" t="s">
        <v>772</v>
      </c>
      <c r="H1944" s="49" t="s">
        <v>1132</v>
      </c>
      <c r="I1944" s="49" t="s">
        <v>885</v>
      </c>
    </row>
    <row r="1945" customFormat="false" ht="25.5" hidden="false" customHeight="true" outlineLevel="0" collapsed="false">
      <c r="A1945" s="49" t="s">
        <v>1118</v>
      </c>
      <c r="B1945" s="49" t="s">
        <v>1447</v>
      </c>
      <c r="C1945" s="49" t="s">
        <v>1489</v>
      </c>
      <c r="D1945" s="49" t="s">
        <v>1151</v>
      </c>
      <c r="E1945" s="49" t="s">
        <v>1135</v>
      </c>
      <c r="F1945" s="49" t="s">
        <v>1473</v>
      </c>
      <c r="G1945" s="49" t="s">
        <v>772</v>
      </c>
      <c r="H1945" s="49" t="s">
        <v>1132</v>
      </c>
      <c r="I1945" s="49" t="s">
        <v>885</v>
      </c>
    </row>
    <row r="1946" customFormat="false" ht="25.5" hidden="false" customHeight="true" outlineLevel="0" collapsed="false">
      <c r="A1946" s="49" t="s">
        <v>1118</v>
      </c>
      <c r="B1946" s="49" t="s">
        <v>1447</v>
      </c>
      <c r="C1946" s="49" t="s">
        <v>1490</v>
      </c>
      <c r="D1946" s="49" t="s">
        <v>1141</v>
      </c>
      <c r="E1946" s="49" t="s">
        <v>1135</v>
      </c>
      <c r="F1946" s="49" t="s">
        <v>1473</v>
      </c>
      <c r="G1946" s="49" t="s">
        <v>772</v>
      </c>
      <c r="H1946" s="49" t="s">
        <v>1132</v>
      </c>
      <c r="I1946" s="49" t="s">
        <v>885</v>
      </c>
    </row>
    <row r="1947" customFormat="false" ht="25.5" hidden="false" customHeight="true" outlineLevel="0" collapsed="false">
      <c r="A1947" s="49" t="s">
        <v>1118</v>
      </c>
      <c r="B1947" s="49" t="s">
        <v>1447</v>
      </c>
      <c r="C1947" s="49" t="s">
        <v>1491</v>
      </c>
      <c r="D1947" s="49" t="s">
        <v>1218</v>
      </c>
      <c r="E1947" s="49" t="s">
        <v>1135</v>
      </c>
      <c r="F1947" s="49" t="s">
        <v>1473</v>
      </c>
      <c r="G1947" s="49" t="s">
        <v>772</v>
      </c>
      <c r="H1947" s="49" t="s">
        <v>1132</v>
      </c>
      <c r="I1947" s="49" t="s">
        <v>885</v>
      </c>
    </row>
    <row r="1948" customFormat="false" ht="25.5" hidden="false" customHeight="true" outlineLevel="0" collapsed="false">
      <c r="A1948" s="49" t="s">
        <v>1118</v>
      </c>
      <c r="B1948" s="49" t="s">
        <v>1447</v>
      </c>
      <c r="C1948" s="49" t="s">
        <v>1492</v>
      </c>
      <c r="D1948" s="49" t="s">
        <v>1156</v>
      </c>
      <c r="E1948" s="49" t="s">
        <v>1135</v>
      </c>
      <c r="F1948" s="49" t="s">
        <v>1473</v>
      </c>
      <c r="G1948" s="49" t="s">
        <v>772</v>
      </c>
      <c r="H1948" s="49" t="s">
        <v>1132</v>
      </c>
      <c r="I1948" s="49" t="s">
        <v>885</v>
      </c>
    </row>
    <row r="1949" customFormat="false" ht="25.5" hidden="false" customHeight="true" outlineLevel="0" collapsed="false">
      <c r="A1949" s="49" t="s">
        <v>1118</v>
      </c>
      <c r="B1949" s="49" t="s">
        <v>1447</v>
      </c>
      <c r="C1949" s="49" t="s">
        <v>1493</v>
      </c>
      <c r="D1949" s="49" t="s">
        <v>1134</v>
      </c>
      <c r="E1949" s="49" t="s">
        <v>1183</v>
      </c>
      <c r="F1949" s="49" t="s">
        <v>1408</v>
      </c>
      <c r="G1949" s="49" t="s">
        <v>772</v>
      </c>
      <c r="H1949" s="49" t="s">
        <v>1132</v>
      </c>
      <c r="I1949" s="49" t="s">
        <v>885</v>
      </c>
    </row>
    <row r="1950" customFormat="false" ht="25.5" hidden="false" customHeight="true" outlineLevel="0" collapsed="false">
      <c r="A1950" s="49" t="s">
        <v>1118</v>
      </c>
      <c r="B1950" s="49" t="s">
        <v>1447</v>
      </c>
      <c r="C1950" s="49" t="s">
        <v>1494</v>
      </c>
      <c r="D1950" s="49" t="s">
        <v>1151</v>
      </c>
      <c r="E1950" s="49" t="s">
        <v>1135</v>
      </c>
      <c r="F1950" s="49" t="s">
        <v>1473</v>
      </c>
      <c r="G1950" s="49" t="s">
        <v>772</v>
      </c>
      <c r="H1950" s="49" t="s">
        <v>1132</v>
      </c>
      <c r="I1950" s="49" t="s">
        <v>885</v>
      </c>
    </row>
    <row r="1951" customFormat="false" ht="25.5" hidden="false" customHeight="true" outlineLevel="0" collapsed="false">
      <c r="A1951" s="49" t="s">
        <v>1118</v>
      </c>
      <c r="B1951" s="49" t="s">
        <v>879</v>
      </c>
      <c r="C1951" s="49" t="s">
        <v>880</v>
      </c>
      <c r="D1951" s="49" t="s">
        <v>881</v>
      </c>
      <c r="E1951" s="49" t="s">
        <v>882</v>
      </c>
      <c r="F1951" s="49" t="s">
        <v>883</v>
      </c>
      <c r="G1951" s="49" t="s">
        <v>772</v>
      </c>
      <c r="H1951" s="49" t="s">
        <v>1132</v>
      </c>
      <c r="I1951" s="49" t="s">
        <v>885</v>
      </c>
    </row>
    <row r="1952" customFormat="false" ht="25.5" hidden="false" customHeight="true" outlineLevel="0" collapsed="false">
      <c r="A1952" s="49" t="s">
        <v>1118</v>
      </c>
      <c r="B1952" s="49" t="s">
        <v>879</v>
      </c>
      <c r="C1952" s="49" t="s">
        <v>943</v>
      </c>
      <c r="D1952" s="49" t="s">
        <v>944</v>
      </c>
      <c r="E1952" s="49" t="s">
        <v>843</v>
      </c>
      <c r="F1952" s="49" t="s">
        <v>945</v>
      </c>
      <c r="G1952" s="49" t="s">
        <v>776</v>
      </c>
      <c r="H1952" s="49" t="s">
        <v>1635</v>
      </c>
      <c r="I1952" s="49" t="s">
        <v>885</v>
      </c>
    </row>
    <row r="1953" customFormat="false" ht="25.5" hidden="false" customHeight="true" outlineLevel="0" collapsed="false">
      <c r="A1953" s="49" t="s">
        <v>1118</v>
      </c>
      <c r="B1953" s="49" t="s">
        <v>879</v>
      </c>
      <c r="C1953" s="49" t="s">
        <v>947</v>
      </c>
      <c r="D1953" s="49"/>
      <c r="E1953" s="49" t="s">
        <v>40</v>
      </c>
      <c r="F1953" s="49"/>
      <c r="G1953" s="49" t="s">
        <v>772</v>
      </c>
      <c r="H1953" s="49" t="s">
        <v>1636</v>
      </c>
      <c r="I1953" s="49" t="s">
        <v>885</v>
      </c>
    </row>
    <row r="1954" customFormat="false" ht="25.5" hidden="false" customHeight="true" outlineLevel="0" collapsed="false">
      <c r="A1954" s="49" t="s">
        <v>1118</v>
      </c>
      <c r="B1954" s="49" t="s">
        <v>879</v>
      </c>
      <c r="C1954" s="49" t="s">
        <v>949</v>
      </c>
      <c r="D1954" s="49"/>
      <c r="E1954" s="49" t="s">
        <v>811</v>
      </c>
      <c r="F1954" s="49"/>
      <c r="G1954" s="49" t="s">
        <v>772</v>
      </c>
      <c r="H1954" s="49" t="s">
        <v>1636</v>
      </c>
      <c r="I1954" s="49" t="s">
        <v>885</v>
      </c>
    </row>
    <row r="1955" customFormat="false" ht="25.5" hidden="false" customHeight="true" outlineLevel="0" collapsed="false">
      <c r="A1955" s="49" t="s">
        <v>1118</v>
      </c>
      <c r="B1955" s="49" t="s">
        <v>879</v>
      </c>
      <c r="C1955" s="49" t="s">
        <v>999</v>
      </c>
      <c r="D1955" s="49" t="s">
        <v>890</v>
      </c>
      <c r="E1955" s="49" t="s">
        <v>146</v>
      </c>
      <c r="F1955" s="49" t="s">
        <v>1000</v>
      </c>
      <c r="G1955" s="49" t="s">
        <v>772</v>
      </c>
      <c r="H1955" s="49" t="s">
        <v>1132</v>
      </c>
      <c r="I1955" s="49" t="s">
        <v>885</v>
      </c>
    </row>
    <row r="1956" customFormat="false" ht="25.5" hidden="false" customHeight="true" outlineLevel="0" collapsed="false">
      <c r="A1956" s="49" t="s">
        <v>1118</v>
      </c>
      <c r="B1956" s="49" t="s">
        <v>891</v>
      </c>
      <c r="C1956" s="49" t="s">
        <v>1498</v>
      </c>
      <c r="D1956" s="49" t="s">
        <v>1499</v>
      </c>
      <c r="E1956" s="49" t="s">
        <v>1142</v>
      </c>
      <c r="F1956" s="49" t="s">
        <v>1500</v>
      </c>
      <c r="G1956" s="49" t="s">
        <v>772</v>
      </c>
      <c r="H1956" s="49" t="s">
        <v>1132</v>
      </c>
      <c r="I1956" s="49" t="s">
        <v>885</v>
      </c>
    </row>
    <row r="1957" customFormat="false" ht="25.5" hidden="false" customHeight="true" outlineLevel="0" collapsed="false">
      <c r="A1957" s="49" t="s">
        <v>1118</v>
      </c>
      <c r="B1957" s="49" t="s">
        <v>891</v>
      </c>
      <c r="C1957" s="49" t="s">
        <v>1501</v>
      </c>
      <c r="D1957" s="49" t="s">
        <v>1004</v>
      </c>
      <c r="E1957" s="49" t="s">
        <v>1502</v>
      </c>
      <c r="F1957" s="49" t="s">
        <v>1008</v>
      </c>
      <c r="G1957" s="49" t="s">
        <v>772</v>
      </c>
      <c r="H1957" s="49" t="s">
        <v>1132</v>
      </c>
      <c r="I1957" s="49" t="s">
        <v>885</v>
      </c>
    </row>
    <row r="1958" customFormat="false" ht="25.5" hidden="false" customHeight="true" outlineLevel="0" collapsed="false">
      <c r="A1958" s="49" t="s">
        <v>1118</v>
      </c>
      <c r="B1958" s="49" t="s">
        <v>891</v>
      </c>
      <c r="C1958" s="49" t="s">
        <v>892</v>
      </c>
      <c r="D1958" s="49"/>
      <c r="E1958" s="49" t="s">
        <v>893</v>
      </c>
      <c r="F1958" s="49" t="s">
        <v>894</v>
      </c>
      <c r="G1958" s="49" t="s">
        <v>772</v>
      </c>
      <c r="H1958" s="49" t="s">
        <v>1132</v>
      </c>
      <c r="I1958" s="49" t="s">
        <v>885</v>
      </c>
    </row>
    <row r="1959" customFormat="false" ht="25.5" hidden="false" customHeight="true" outlineLevel="0" collapsed="false">
      <c r="A1959" s="49" t="s">
        <v>1118</v>
      </c>
      <c r="B1959" s="49" t="s">
        <v>891</v>
      </c>
      <c r="C1959" s="49" t="s">
        <v>1006</v>
      </c>
      <c r="D1959" s="49" t="s">
        <v>1007</v>
      </c>
      <c r="E1959" s="49" t="s">
        <v>146</v>
      </c>
      <c r="F1959" s="49" t="s">
        <v>1008</v>
      </c>
      <c r="G1959" s="49" t="s">
        <v>772</v>
      </c>
      <c r="H1959" s="49" t="s">
        <v>1132</v>
      </c>
      <c r="I1959" s="49" t="s">
        <v>885</v>
      </c>
    </row>
    <row r="1960" customFormat="false" ht="25.5" hidden="false" customHeight="true" outlineLevel="0" collapsed="false">
      <c r="A1960" s="49" t="s">
        <v>1118</v>
      </c>
      <c r="B1960" s="49" t="s">
        <v>1009</v>
      </c>
      <c r="C1960" s="49" t="s">
        <v>1504</v>
      </c>
      <c r="D1960" s="49" t="s">
        <v>1011</v>
      </c>
      <c r="E1960" s="49" t="s">
        <v>1189</v>
      </c>
      <c r="F1960" s="49" t="s">
        <v>1505</v>
      </c>
      <c r="G1960" s="49" t="s">
        <v>772</v>
      </c>
      <c r="H1960" s="49" t="s">
        <v>1132</v>
      </c>
      <c r="I1960" s="49" t="s">
        <v>885</v>
      </c>
    </row>
    <row r="1961" customFormat="false" ht="25.5" hidden="false" customHeight="true" outlineLevel="0" collapsed="false">
      <c r="A1961" s="49" t="s">
        <v>1118</v>
      </c>
      <c r="B1961" s="49" t="s">
        <v>1009</v>
      </c>
      <c r="C1961" s="49" t="s">
        <v>1012</v>
      </c>
      <c r="D1961" s="49" t="s">
        <v>1011</v>
      </c>
      <c r="E1961" s="49" t="s">
        <v>1013</v>
      </c>
      <c r="F1961" s="49"/>
      <c r="G1961" s="49" t="s">
        <v>772</v>
      </c>
      <c r="H1961" s="49" t="s">
        <v>1637</v>
      </c>
      <c r="I1961" s="49" t="s">
        <v>885</v>
      </c>
    </row>
    <row r="1962" customFormat="false" ht="25.5" hidden="false" customHeight="true" outlineLevel="0" collapsed="false">
      <c r="A1962" s="49" t="s">
        <v>1118</v>
      </c>
      <c r="B1962" s="49" t="s">
        <v>1009</v>
      </c>
      <c r="C1962" s="49" t="s">
        <v>1014</v>
      </c>
      <c r="D1962" s="49" t="s">
        <v>1011</v>
      </c>
      <c r="E1962" s="49" t="s">
        <v>1015</v>
      </c>
      <c r="F1962" s="49" t="s">
        <v>1016</v>
      </c>
      <c r="G1962" s="49" t="s">
        <v>772</v>
      </c>
      <c r="H1962" s="49" t="s">
        <v>1132</v>
      </c>
      <c r="I1962" s="49" t="s">
        <v>885</v>
      </c>
    </row>
    <row r="1963" customFormat="false" ht="25.5" hidden="false" customHeight="true" outlineLevel="0" collapsed="false">
      <c r="A1963" s="49" t="s">
        <v>1118</v>
      </c>
      <c r="B1963" s="49" t="s">
        <v>950</v>
      </c>
      <c r="C1963" s="49" t="s">
        <v>1106</v>
      </c>
      <c r="D1963" s="49" t="s">
        <v>929</v>
      </c>
      <c r="E1963" s="49" t="s">
        <v>1107</v>
      </c>
      <c r="F1963" s="49"/>
      <c r="G1963" s="49" t="s">
        <v>772</v>
      </c>
      <c r="H1963" s="49" t="s">
        <v>1637</v>
      </c>
      <c r="I1963" s="49" t="s">
        <v>885</v>
      </c>
    </row>
    <row r="1964" customFormat="false" ht="25.5" hidden="false" customHeight="true" outlineLevel="0" collapsed="false">
      <c r="A1964" s="49" t="s">
        <v>1118</v>
      </c>
      <c r="B1964" s="49" t="s">
        <v>950</v>
      </c>
      <c r="C1964" s="49" t="s">
        <v>951</v>
      </c>
      <c r="D1964" s="49"/>
      <c r="E1964" s="49" t="s">
        <v>217</v>
      </c>
      <c r="F1964" s="49" t="s">
        <v>952</v>
      </c>
      <c r="G1964" s="49" t="s">
        <v>776</v>
      </c>
      <c r="H1964" s="49" t="s">
        <v>1635</v>
      </c>
      <c r="I1964" s="49" t="s">
        <v>885</v>
      </c>
    </row>
    <row r="1965" customFormat="false" ht="25.5" hidden="false" customHeight="true" outlineLevel="0" collapsed="false">
      <c r="A1965" s="49" t="s">
        <v>1118</v>
      </c>
      <c r="B1965" s="49" t="s">
        <v>950</v>
      </c>
      <c r="C1965" s="49" t="s">
        <v>953</v>
      </c>
      <c r="D1965" s="49" t="s">
        <v>954</v>
      </c>
      <c r="E1965" s="49" t="s">
        <v>217</v>
      </c>
      <c r="F1965" s="49" t="s">
        <v>955</v>
      </c>
      <c r="G1965" s="49" t="s">
        <v>776</v>
      </c>
      <c r="H1965" s="49" t="s">
        <v>1635</v>
      </c>
      <c r="I1965" s="49" t="s">
        <v>885</v>
      </c>
    </row>
    <row r="1966" customFormat="false" ht="25.5" hidden="false" customHeight="true" outlineLevel="0" collapsed="false">
      <c r="A1966" s="51" t="s">
        <v>1118</v>
      </c>
      <c r="B1966" s="51" t="s">
        <v>950</v>
      </c>
      <c r="C1966" s="51" t="s">
        <v>956</v>
      </c>
      <c r="D1966" s="51" t="s">
        <v>954</v>
      </c>
      <c r="E1966" s="51" t="s">
        <v>957</v>
      </c>
      <c r="F1966" s="51" t="s">
        <v>958</v>
      </c>
      <c r="G1966" s="52" t="s">
        <v>910</v>
      </c>
      <c r="H1966" s="51" t="s">
        <v>1638</v>
      </c>
      <c r="I1966" s="51" t="s">
        <v>912</v>
      </c>
    </row>
    <row r="1967" customFormat="false" ht="25.5" hidden="false" customHeight="true" outlineLevel="0" collapsed="false">
      <c r="A1967" s="49" t="s">
        <v>1118</v>
      </c>
      <c r="B1967" s="49" t="s">
        <v>950</v>
      </c>
      <c r="C1967" s="49" t="s">
        <v>1024</v>
      </c>
      <c r="D1967" s="49" t="s">
        <v>1025</v>
      </c>
      <c r="E1967" s="49" t="s">
        <v>146</v>
      </c>
      <c r="F1967" s="49" t="s">
        <v>1026</v>
      </c>
      <c r="G1967" s="49" t="s">
        <v>772</v>
      </c>
      <c r="H1967" s="49" t="s">
        <v>1132</v>
      </c>
      <c r="I1967" s="49" t="s">
        <v>885</v>
      </c>
    </row>
    <row r="1968" customFormat="false" ht="25.5" hidden="false" customHeight="true" outlineLevel="0" collapsed="false">
      <c r="A1968" s="49" t="s">
        <v>1118</v>
      </c>
      <c r="B1968" s="49" t="s">
        <v>896</v>
      </c>
      <c r="C1968" s="49" t="s">
        <v>1028</v>
      </c>
      <c r="D1968" s="49" t="s">
        <v>1029</v>
      </c>
      <c r="E1968" s="49" t="s">
        <v>146</v>
      </c>
      <c r="F1968" s="49" t="s">
        <v>1030</v>
      </c>
      <c r="G1968" s="49" t="s">
        <v>772</v>
      </c>
      <c r="H1968" s="49" t="s">
        <v>1132</v>
      </c>
      <c r="I1968" s="49" t="s">
        <v>885</v>
      </c>
    </row>
    <row r="1969" customFormat="false" ht="25.5" hidden="false" customHeight="true" outlineLevel="0" collapsed="false">
      <c r="A1969" s="49" t="s">
        <v>1118</v>
      </c>
      <c r="B1969" s="49" t="s">
        <v>907</v>
      </c>
      <c r="C1969" s="49" t="s">
        <v>1507</v>
      </c>
      <c r="D1969" s="49" t="s">
        <v>1032</v>
      </c>
      <c r="E1969" s="49" t="s">
        <v>1142</v>
      </c>
      <c r="F1969" s="49" t="s">
        <v>1500</v>
      </c>
      <c r="G1969" s="49" t="s">
        <v>772</v>
      </c>
      <c r="H1969" s="49" t="s">
        <v>1132</v>
      </c>
      <c r="I1969" s="49" t="s">
        <v>885</v>
      </c>
    </row>
    <row r="1970" customFormat="false" ht="25.5" hidden="false" customHeight="true" outlineLevel="0" collapsed="false">
      <c r="A1970" s="49" t="s">
        <v>1118</v>
      </c>
      <c r="B1970" s="49" t="s">
        <v>907</v>
      </c>
      <c r="C1970" s="49" t="s">
        <v>1508</v>
      </c>
      <c r="D1970" s="49" t="s">
        <v>1034</v>
      </c>
      <c r="E1970" s="49" t="s">
        <v>1142</v>
      </c>
      <c r="F1970" s="49" t="s">
        <v>1500</v>
      </c>
      <c r="G1970" s="49" t="s">
        <v>772</v>
      </c>
      <c r="H1970" s="49" t="s">
        <v>1132</v>
      </c>
      <c r="I1970" s="49" t="s">
        <v>885</v>
      </c>
    </row>
    <row r="1971" customFormat="false" ht="25.5" hidden="false" customHeight="true" outlineLevel="0" collapsed="false">
      <c r="A1971" s="49" t="s">
        <v>1118</v>
      </c>
      <c r="B1971" s="49" t="s">
        <v>907</v>
      </c>
      <c r="C1971" s="49" t="s">
        <v>1509</v>
      </c>
      <c r="D1971" s="49" t="s">
        <v>1032</v>
      </c>
      <c r="E1971" s="49" t="s">
        <v>1189</v>
      </c>
      <c r="F1971" s="49" t="s">
        <v>1500</v>
      </c>
      <c r="G1971" s="49" t="s">
        <v>772</v>
      </c>
      <c r="H1971" s="49" t="s">
        <v>1132</v>
      </c>
      <c r="I1971" s="49" t="s">
        <v>885</v>
      </c>
    </row>
    <row r="1972" customFormat="false" ht="25.5" hidden="false" customHeight="true" outlineLevel="0" collapsed="false">
      <c r="A1972" s="49" t="s">
        <v>1118</v>
      </c>
      <c r="B1972" s="49" t="s">
        <v>907</v>
      </c>
      <c r="C1972" s="49" t="s">
        <v>1035</v>
      </c>
      <c r="D1972" s="49" t="s">
        <v>1034</v>
      </c>
      <c r="E1972" s="49" t="s">
        <v>1036</v>
      </c>
      <c r="F1972" s="49" t="s">
        <v>1037</v>
      </c>
      <c r="G1972" s="49" t="s">
        <v>772</v>
      </c>
      <c r="H1972" s="49" t="s">
        <v>1132</v>
      </c>
      <c r="I1972" s="49" t="s">
        <v>885</v>
      </c>
    </row>
    <row r="1973" customFormat="false" ht="25.5" hidden="false" customHeight="true" outlineLevel="0" collapsed="false">
      <c r="A1973" s="49" t="s">
        <v>1118</v>
      </c>
      <c r="B1973" s="49" t="s">
        <v>907</v>
      </c>
      <c r="C1973" s="49" t="s">
        <v>1510</v>
      </c>
      <c r="D1973" s="49"/>
      <c r="E1973" s="49" t="s">
        <v>1511</v>
      </c>
      <c r="F1973" s="49" t="s">
        <v>1512</v>
      </c>
      <c r="G1973" s="49" t="s">
        <v>772</v>
      </c>
      <c r="H1973" s="49" t="s">
        <v>1132</v>
      </c>
      <c r="I1973" s="49" t="s">
        <v>885</v>
      </c>
    </row>
    <row r="1974" customFormat="false" ht="25.5" hidden="false" customHeight="true" outlineLevel="0" collapsed="false">
      <c r="A1974" s="49" t="s">
        <v>1118</v>
      </c>
      <c r="B1974" s="49" t="s">
        <v>907</v>
      </c>
      <c r="C1974" s="49" t="s">
        <v>960</v>
      </c>
      <c r="D1974" s="49"/>
      <c r="E1974" s="49" t="s">
        <v>217</v>
      </c>
      <c r="F1974" s="49" t="s">
        <v>961</v>
      </c>
      <c r="G1974" s="49" t="s">
        <v>776</v>
      </c>
      <c r="H1974" s="49" t="s">
        <v>1635</v>
      </c>
      <c r="I1974" s="49" t="s">
        <v>885</v>
      </c>
    </row>
    <row r="1975" customFormat="false" ht="25.5" hidden="false" customHeight="true" outlineLevel="0" collapsed="false">
      <c r="A1975" s="49" t="s">
        <v>1118</v>
      </c>
      <c r="B1975" s="49" t="s">
        <v>915</v>
      </c>
      <c r="C1975" s="49" t="s">
        <v>1513</v>
      </c>
      <c r="D1975" s="49" t="s">
        <v>1029</v>
      </c>
      <c r="E1975" s="49" t="s">
        <v>1186</v>
      </c>
      <c r="F1975" s="49" t="s">
        <v>1514</v>
      </c>
      <c r="G1975" s="49" t="s">
        <v>772</v>
      </c>
      <c r="H1975" s="49" t="s">
        <v>1132</v>
      </c>
      <c r="I1975" s="49" t="s">
        <v>885</v>
      </c>
    </row>
    <row r="1976" customFormat="false" ht="25.5" hidden="false" customHeight="true" outlineLevel="0" collapsed="false">
      <c r="A1976" s="49" t="s">
        <v>1118</v>
      </c>
      <c r="B1976" s="49" t="s">
        <v>915</v>
      </c>
      <c r="C1976" s="49" t="s">
        <v>1515</v>
      </c>
      <c r="D1976" s="49" t="s">
        <v>929</v>
      </c>
      <c r="E1976" s="49" t="s">
        <v>1186</v>
      </c>
      <c r="F1976" s="49" t="s">
        <v>1516</v>
      </c>
      <c r="G1976" s="49" t="s">
        <v>772</v>
      </c>
      <c r="H1976" s="49" t="s">
        <v>1132</v>
      </c>
      <c r="I1976" s="49" t="s">
        <v>885</v>
      </c>
    </row>
    <row r="1977" customFormat="false" ht="25.5" hidden="false" customHeight="true" outlineLevel="0" collapsed="false">
      <c r="A1977" s="49" t="s">
        <v>1118</v>
      </c>
      <c r="B1977" s="49" t="s">
        <v>915</v>
      </c>
      <c r="C1977" s="49" t="s">
        <v>962</v>
      </c>
      <c r="D1977" s="49"/>
      <c r="E1977" s="49" t="s">
        <v>963</v>
      </c>
      <c r="F1977" s="49"/>
      <c r="G1977" s="49" t="s">
        <v>776</v>
      </c>
      <c r="H1977" s="49" t="s">
        <v>1635</v>
      </c>
      <c r="I1977" s="49" t="s">
        <v>885</v>
      </c>
    </row>
    <row r="1978" customFormat="false" ht="25.5" hidden="false" customHeight="true" outlineLevel="0" collapsed="false">
      <c r="A1978" s="49" t="s">
        <v>1118</v>
      </c>
      <c r="B1978" s="49" t="s">
        <v>915</v>
      </c>
      <c r="C1978" s="49" t="s">
        <v>1044</v>
      </c>
      <c r="D1978" s="49" t="s">
        <v>1045</v>
      </c>
      <c r="E1978" s="49" t="s">
        <v>146</v>
      </c>
      <c r="F1978" s="49" t="s">
        <v>1046</v>
      </c>
      <c r="G1978" s="49" t="s">
        <v>772</v>
      </c>
      <c r="H1978" s="49" t="s">
        <v>1132</v>
      </c>
      <c r="I1978" s="49" t="s">
        <v>885</v>
      </c>
    </row>
    <row r="1979" customFormat="false" ht="25.5" hidden="false" customHeight="true" outlineLevel="0" collapsed="false">
      <c r="A1979" s="49" t="s">
        <v>1118</v>
      </c>
      <c r="B1979" s="49" t="s">
        <v>1047</v>
      </c>
      <c r="C1979" s="49" t="s">
        <v>1517</v>
      </c>
      <c r="D1979" s="49" t="s">
        <v>965</v>
      </c>
      <c r="E1979" s="49" t="s">
        <v>1186</v>
      </c>
      <c r="F1979" s="49" t="s">
        <v>1518</v>
      </c>
      <c r="G1979" s="49" t="s">
        <v>772</v>
      </c>
      <c r="H1979" s="49" t="s">
        <v>1132</v>
      </c>
      <c r="I1979" s="49" t="s">
        <v>885</v>
      </c>
    </row>
    <row r="1980" customFormat="false" ht="25.5" hidden="false" customHeight="true" outlineLevel="0" collapsed="false">
      <c r="A1980" s="49" t="s">
        <v>1118</v>
      </c>
      <c r="B1980" s="49" t="s">
        <v>917</v>
      </c>
      <c r="C1980" s="49" t="s">
        <v>1519</v>
      </c>
      <c r="D1980" s="49" t="s">
        <v>968</v>
      </c>
      <c r="E1980" s="49" t="s">
        <v>1520</v>
      </c>
      <c r="F1980" s="49" t="s">
        <v>1352</v>
      </c>
      <c r="G1980" s="49" t="s">
        <v>772</v>
      </c>
      <c r="H1980" s="49" t="s">
        <v>1132</v>
      </c>
      <c r="I1980" s="49" t="s">
        <v>885</v>
      </c>
    </row>
    <row r="1981" customFormat="false" ht="25.5" hidden="false" customHeight="true" outlineLevel="0" collapsed="false">
      <c r="A1981" s="49" t="s">
        <v>1118</v>
      </c>
      <c r="B1981" s="49" t="s">
        <v>917</v>
      </c>
      <c r="C1981" s="49" t="s">
        <v>1521</v>
      </c>
      <c r="D1981" s="49" t="s">
        <v>1522</v>
      </c>
      <c r="E1981" s="49" t="s">
        <v>1186</v>
      </c>
      <c r="F1981" s="49" t="s">
        <v>1523</v>
      </c>
      <c r="G1981" s="49" t="s">
        <v>772</v>
      </c>
      <c r="H1981" s="49" t="s">
        <v>1132</v>
      </c>
      <c r="I1981" s="49" t="s">
        <v>885</v>
      </c>
    </row>
    <row r="1982" customFormat="false" ht="25.5" hidden="false" customHeight="true" outlineLevel="0" collapsed="false">
      <c r="A1982" s="49" t="s">
        <v>1118</v>
      </c>
      <c r="B1982" s="49" t="s">
        <v>917</v>
      </c>
      <c r="C1982" s="49" t="s">
        <v>1524</v>
      </c>
      <c r="D1982" s="49" t="s">
        <v>965</v>
      </c>
      <c r="E1982" s="49" t="s">
        <v>1520</v>
      </c>
      <c r="F1982" s="49" t="s">
        <v>1525</v>
      </c>
      <c r="G1982" s="49" t="s">
        <v>772</v>
      </c>
      <c r="H1982" s="49" t="s">
        <v>1132</v>
      </c>
      <c r="I1982" s="49" t="s">
        <v>885</v>
      </c>
    </row>
    <row r="1983" customFormat="false" ht="25.5" hidden="false" customHeight="true" outlineLevel="0" collapsed="false">
      <c r="A1983" s="49" t="s">
        <v>1118</v>
      </c>
      <c r="B1983" s="49" t="s">
        <v>917</v>
      </c>
      <c r="C1983" s="49" t="s">
        <v>1526</v>
      </c>
      <c r="D1983" s="49" t="s">
        <v>919</v>
      </c>
      <c r="E1983" s="49" t="s">
        <v>1527</v>
      </c>
      <c r="F1983" s="49" t="s">
        <v>1528</v>
      </c>
      <c r="G1983" s="49" t="s">
        <v>772</v>
      </c>
      <c r="H1983" s="49" t="s">
        <v>1132</v>
      </c>
      <c r="I1983" s="49" t="s">
        <v>885</v>
      </c>
    </row>
    <row r="1984" customFormat="false" ht="25.5" hidden="false" customHeight="true" outlineLevel="0" collapsed="false">
      <c r="A1984" s="49" t="s">
        <v>1118</v>
      </c>
      <c r="B1984" s="49" t="s">
        <v>917</v>
      </c>
      <c r="C1984" s="49" t="s">
        <v>964</v>
      </c>
      <c r="D1984" s="49" t="s">
        <v>965</v>
      </c>
      <c r="E1984" s="49" t="s">
        <v>217</v>
      </c>
      <c r="F1984" s="49" t="s">
        <v>966</v>
      </c>
      <c r="G1984" s="49" t="s">
        <v>776</v>
      </c>
      <c r="H1984" s="49" t="s">
        <v>1635</v>
      </c>
      <c r="I1984" s="49" t="s">
        <v>885</v>
      </c>
    </row>
    <row r="1985" customFormat="false" ht="25.5" hidden="false" customHeight="true" outlineLevel="0" collapsed="false">
      <c r="A1985" s="49" t="s">
        <v>1118</v>
      </c>
      <c r="B1985" s="49" t="s">
        <v>917</v>
      </c>
      <c r="C1985" s="49" t="s">
        <v>967</v>
      </c>
      <c r="D1985" s="49" t="s">
        <v>968</v>
      </c>
      <c r="E1985" s="49" t="s">
        <v>969</v>
      </c>
      <c r="F1985" s="49" t="s">
        <v>970</v>
      </c>
      <c r="G1985" s="49" t="s">
        <v>776</v>
      </c>
      <c r="H1985" s="49" t="s">
        <v>1635</v>
      </c>
      <c r="I1985" s="49" t="s">
        <v>885</v>
      </c>
    </row>
    <row r="1986" customFormat="false" ht="25.5" hidden="false" customHeight="true" outlineLevel="0" collapsed="false">
      <c r="A1986" s="49" t="s">
        <v>1118</v>
      </c>
      <c r="B1986" s="49" t="s">
        <v>917</v>
      </c>
      <c r="C1986" s="49" t="s">
        <v>1529</v>
      </c>
      <c r="D1986" s="49" t="s">
        <v>1530</v>
      </c>
      <c r="E1986" s="49" t="s">
        <v>1500</v>
      </c>
      <c r="F1986" s="49" t="s">
        <v>1531</v>
      </c>
      <c r="G1986" s="49" t="s">
        <v>772</v>
      </c>
      <c r="H1986" s="49" t="s">
        <v>1132</v>
      </c>
      <c r="I1986" s="49" t="s">
        <v>885</v>
      </c>
    </row>
    <row r="1987" customFormat="false" ht="25.5" hidden="false" customHeight="true" outlineLevel="0" collapsed="false">
      <c r="A1987" s="49" t="s">
        <v>1118</v>
      </c>
      <c r="B1987" s="49" t="s">
        <v>917</v>
      </c>
      <c r="C1987" s="49" t="s">
        <v>918</v>
      </c>
      <c r="D1987" s="49" t="s">
        <v>919</v>
      </c>
      <c r="E1987" s="49" t="s">
        <v>882</v>
      </c>
      <c r="F1987" s="49" t="s">
        <v>920</v>
      </c>
      <c r="G1987" s="49" t="s">
        <v>772</v>
      </c>
      <c r="H1987" s="49" t="s">
        <v>1132</v>
      </c>
      <c r="I1987" s="49" t="s">
        <v>885</v>
      </c>
    </row>
    <row r="1988" customFormat="false" ht="25.5" hidden="false" customHeight="true" outlineLevel="0" collapsed="false">
      <c r="A1988" s="49" t="s">
        <v>1118</v>
      </c>
      <c r="B1988" s="49" t="s">
        <v>917</v>
      </c>
      <c r="C1988" s="49" t="s">
        <v>921</v>
      </c>
      <c r="D1988" s="49" t="s">
        <v>922</v>
      </c>
      <c r="E1988" s="49" t="s">
        <v>882</v>
      </c>
      <c r="F1988" s="49" t="s">
        <v>923</v>
      </c>
      <c r="G1988" s="49" t="s">
        <v>772</v>
      </c>
      <c r="H1988" s="49" t="s">
        <v>1132</v>
      </c>
      <c r="I1988" s="49" t="s">
        <v>885</v>
      </c>
    </row>
    <row r="1989" customFormat="false" ht="25.5" hidden="false" customHeight="true" outlineLevel="0" collapsed="false">
      <c r="A1989" s="49" t="s">
        <v>1118</v>
      </c>
      <c r="B1989" s="49" t="s">
        <v>917</v>
      </c>
      <c r="C1989" s="49" t="s">
        <v>1532</v>
      </c>
      <c r="D1989" s="49" t="s">
        <v>919</v>
      </c>
      <c r="E1989" s="49" t="s">
        <v>1533</v>
      </c>
      <c r="F1989" s="49" t="s">
        <v>1534</v>
      </c>
      <c r="G1989" s="49" t="s">
        <v>772</v>
      </c>
      <c r="H1989" s="49" t="s">
        <v>1132</v>
      </c>
      <c r="I1989" s="49" t="s">
        <v>885</v>
      </c>
    </row>
    <row r="1990" customFormat="false" ht="25.5" hidden="false" customHeight="true" outlineLevel="0" collapsed="false">
      <c r="A1990" s="49" t="s">
        <v>1118</v>
      </c>
      <c r="B1990" s="49" t="s">
        <v>917</v>
      </c>
      <c r="C1990" s="49" t="s">
        <v>1052</v>
      </c>
      <c r="D1990" s="49" t="s">
        <v>968</v>
      </c>
      <c r="E1990" s="49" t="s">
        <v>146</v>
      </c>
      <c r="F1990" s="49" t="s">
        <v>1053</v>
      </c>
      <c r="G1990" s="49" t="s">
        <v>772</v>
      </c>
      <c r="H1990" s="49" t="s">
        <v>1132</v>
      </c>
      <c r="I1990" s="49" t="s">
        <v>885</v>
      </c>
    </row>
    <row r="1991" customFormat="false" ht="25.5" hidden="false" customHeight="true" outlineLevel="0" collapsed="false">
      <c r="A1991" s="49" t="s">
        <v>1118</v>
      </c>
      <c r="B1991" s="49" t="s">
        <v>917</v>
      </c>
      <c r="C1991" s="49" t="s">
        <v>1054</v>
      </c>
      <c r="D1991" s="49" t="s">
        <v>965</v>
      </c>
      <c r="E1991" s="49" t="s">
        <v>1055</v>
      </c>
      <c r="F1991" s="49" t="s">
        <v>1056</v>
      </c>
      <c r="G1991" s="49" t="s">
        <v>772</v>
      </c>
      <c r="H1991" s="49" t="s">
        <v>1132</v>
      </c>
      <c r="I1991" s="49" t="s">
        <v>885</v>
      </c>
    </row>
    <row r="1992" customFormat="false" ht="25.5" hidden="false" customHeight="true" outlineLevel="0" collapsed="false">
      <c r="A1992" s="49" t="s">
        <v>1118</v>
      </c>
      <c r="B1992" s="49" t="s">
        <v>917</v>
      </c>
      <c r="C1992" s="49" t="s">
        <v>1535</v>
      </c>
      <c r="D1992" s="49" t="s">
        <v>929</v>
      </c>
      <c r="E1992" s="49" t="s">
        <v>1536</v>
      </c>
      <c r="F1992" s="49" t="s">
        <v>1537</v>
      </c>
      <c r="G1992" s="49" t="s">
        <v>772</v>
      </c>
      <c r="H1992" s="49" t="s">
        <v>1132</v>
      </c>
      <c r="I1992" s="49" t="s">
        <v>885</v>
      </c>
    </row>
    <row r="1993" customFormat="false" ht="25.5" hidden="false" customHeight="true" outlineLevel="0" collapsed="false">
      <c r="A1993" s="49" t="s">
        <v>1118</v>
      </c>
      <c r="B1993" s="49" t="s">
        <v>917</v>
      </c>
      <c r="C1993" s="49" t="s">
        <v>1538</v>
      </c>
      <c r="D1993" s="49" t="s">
        <v>929</v>
      </c>
      <c r="E1993" s="49" t="s">
        <v>1536</v>
      </c>
      <c r="F1993" s="49" t="s">
        <v>1539</v>
      </c>
      <c r="G1993" s="49" t="s">
        <v>772</v>
      </c>
      <c r="H1993" s="49" t="s">
        <v>1132</v>
      </c>
      <c r="I1993" s="49" t="s">
        <v>885</v>
      </c>
    </row>
    <row r="1994" customFormat="false" ht="25.5" hidden="false" customHeight="true" outlineLevel="0" collapsed="false">
      <c r="A1994" s="49" t="s">
        <v>1118</v>
      </c>
      <c r="B1994" s="49" t="s">
        <v>917</v>
      </c>
      <c r="C1994" s="49" t="s">
        <v>1540</v>
      </c>
      <c r="D1994" s="49" t="s">
        <v>929</v>
      </c>
      <c r="E1994" s="49" t="s">
        <v>1541</v>
      </c>
      <c r="F1994" s="49" t="s">
        <v>1542</v>
      </c>
      <c r="G1994" s="49" t="s">
        <v>772</v>
      </c>
      <c r="H1994" s="49" t="s">
        <v>1132</v>
      </c>
      <c r="I1994" s="49" t="s">
        <v>885</v>
      </c>
    </row>
    <row r="1995" customFormat="false" ht="25.5" hidden="false" customHeight="true" outlineLevel="0" collapsed="false">
      <c r="A1995" s="49" t="s">
        <v>1118</v>
      </c>
      <c r="B1995" s="49" t="s">
        <v>925</v>
      </c>
      <c r="C1995" s="49" t="s">
        <v>1543</v>
      </c>
      <c r="D1995" s="49" t="s">
        <v>972</v>
      </c>
      <c r="E1995" s="49" t="s">
        <v>1186</v>
      </c>
      <c r="F1995" s="49" t="s">
        <v>1544</v>
      </c>
      <c r="G1995" s="49" t="s">
        <v>772</v>
      </c>
      <c r="H1995" s="49" t="s">
        <v>1132</v>
      </c>
      <c r="I1995" s="49" t="s">
        <v>885</v>
      </c>
    </row>
    <row r="1996" customFormat="false" ht="25.5" hidden="false" customHeight="true" outlineLevel="0" collapsed="false">
      <c r="A1996" s="49" t="s">
        <v>1118</v>
      </c>
      <c r="B1996" s="49" t="s">
        <v>925</v>
      </c>
      <c r="C1996" s="49" t="s">
        <v>971</v>
      </c>
      <c r="D1996" s="49" t="s">
        <v>972</v>
      </c>
      <c r="E1996" s="49" t="s">
        <v>217</v>
      </c>
      <c r="F1996" s="49"/>
      <c r="G1996" s="49" t="s">
        <v>776</v>
      </c>
      <c r="H1996" s="49" t="s">
        <v>1635</v>
      </c>
      <c r="I1996" s="49" t="s">
        <v>885</v>
      </c>
    </row>
    <row r="1997" customFormat="false" ht="25.5" hidden="false" customHeight="true" outlineLevel="0" collapsed="false">
      <c r="A1997" s="49" t="s">
        <v>1118</v>
      </c>
      <c r="B1997" s="49" t="s">
        <v>925</v>
      </c>
      <c r="C1997" s="49" t="s">
        <v>1057</v>
      </c>
      <c r="D1997" s="49" t="s">
        <v>968</v>
      </c>
      <c r="E1997" s="49" t="s">
        <v>146</v>
      </c>
      <c r="F1997" s="49" t="s">
        <v>1058</v>
      </c>
      <c r="G1997" s="49" t="s">
        <v>772</v>
      </c>
      <c r="H1997" s="49" t="s">
        <v>1132</v>
      </c>
      <c r="I1997" s="49" t="s">
        <v>885</v>
      </c>
    </row>
    <row r="1998" customFormat="false" ht="25.5" hidden="false" customHeight="true" outlineLevel="0" collapsed="false">
      <c r="A1998" s="49" t="s">
        <v>1118</v>
      </c>
      <c r="B1998" s="49" t="s">
        <v>925</v>
      </c>
      <c r="C1998" s="49" t="s">
        <v>1060</v>
      </c>
      <c r="D1998" s="49" t="s">
        <v>1061</v>
      </c>
      <c r="E1998" s="49" t="s">
        <v>146</v>
      </c>
      <c r="F1998" s="49" t="s">
        <v>1062</v>
      </c>
      <c r="G1998" s="49" t="s">
        <v>772</v>
      </c>
      <c r="H1998" s="49" t="s">
        <v>1132</v>
      </c>
      <c r="I1998" s="49" t="s">
        <v>885</v>
      </c>
    </row>
    <row r="1999" customFormat="false" ht="25.5" hidden="false" customHeight="true" outlineLevel="0" collapsed="false">
      <c r="A1999" s="49" t="s">
        <v>1118</v>
      </c>
      <c r="B1999" s="49" t="s">
        <v>925</v>
      </c>
      <c r="C1999" s="49" t="s">
        <v>1063</v>
      </c>
      <c r="D1999" s="49" t="s">
        <v>972</v>
      </c>
      <c r="E1999" s="49" t="s">
        <v>146</v>
      </c>
      <c r="F1999" s="49" t="s">
        <v>1058</v>
      </c>
      <c r="G1999" s="49" t="s">
        <v>772</v>
      </c>
      <c r="H1999" s="49" t="s">
        <v>1132</v>
      </c>
      <c r="I1999" s="49" t="s">
        <v>885</v>
      </c>
    </row>
    <row r="2000" customFormat="false" ht="25.5" hidden="false" customHeight="true" outlineLevel="0" collapsed="false">
      <c r="A2000" s="49" t="s">
        <v>1118</v>
      </c>
      <c r="B2000" s="49" t="s">
        <v>925</v>
      </c>
      <c r="C2000" s="49" t="s">
        <v>1064</v>
      </c>
      <c r="D2000" s="49" t="s">
        <v>972</v>
      </c>
      <c r="E2000" s="49" t="s">
        <v>146</v>
      </c>
      <c r="F2000" s="49" t="s">
        <v>1065</v>
      </c>
      <c r="G2000" s="49" t="s">
        <v>772</v>
      </c>
      <c r="H2000" s="49" t="s">
        <v>1132</v>
      </c>
      <c r="I2000" s="49" t="s">
        <v>885</v>
      </c>
    </row>
    <row r="2001" customFormat="false" ht="25.5" hidden="false" customHeight="true" outlineLevel="0" collapsed="false">
      <c r="A2001" s="49" t="s">
        <v>1118</v>
      </c>
      <c r="B2001" s="49" t="s">
        <v>925</v>
      </c>
      <c r="C2001" s="49" t="s">
        <v>973</v>
      </c>
      <c r="D2001" s="49" t="s">
        <v>968</v>
      </c>
      <c r="E2001" s="49" t="s">
        <v>974</v>
      </c>
      <c r="F2001" s="49" t="s">
        <v>975</v>
      </c>
      <c r="G2001" s="49" t="s">
        <v>772</v>
      </c>
      <c r="H2001" s="49" t="s">
        <v>1639</v>
      </c>
      <c r="I2001" s="49" t="s">
        <v>885</v>
      </c>
    </row>
    <row r="2002" customFormat="false" ht="25.5" hidden="false" customHeight="true" outlineLevel="0" collapsed="false">
      <c r="A2002" s="49" t="s">
        <v>1118</v>
      </c>
      <c r="B2002" s="49" t="s">
        <v>925</v>
      </c>
      <c r="C2002" s="49" t="s">
        <v>926</v>
      </c>
      <c r="D2002" s="49"/>
      <c r="E2002" s="49" t="s">
        <v>882</v>
      </c>
      <c r="F2002" s="49" t="s">
        <v>927</v>
      </c>
      <c r="G2002" s="49" t="s">
        <v>772</v>
      </c>
      <c r="H2002" s="49" t="s">
        <v>1132</v>
      </c>
      <c r="I2002" s="49" t="s">
        <v>885</v>
      </c>
    </row>
    <row r="2003" customFormat="false" ht="25.5" hidden="false" customHeight="true" outlineLevel="0" collapsed="false">
      <c r="A2003" s="49" t="s">
        <v>1118</v>
      </c>
      <c r="B2003" s="49" t="s">
        <v>925</v>
      </c>
      <c r="C2003" s="49" t="s">
        <v>976</v>
      </c>
      <c r="D2003" s="49"/>
      <c r="E2003" s="49" t="s">
        <v>217</v>
      </c>
      <c r="F2003" s="49" t="s">
        <v>927</v>
      </c>
      <c r="G2003" s="49" t="s">
        <v>776</v>
      </c>
      <c r="H2003" s="49" t="s">
        <v>1635</v>
      </c>
      <c r="I2003" s="49" t="s">
        <v>885</v>
      </c>
    </row>
    <row r="2004" customFormat="false" ht="25.5" hidden="false" customHeight="true" outlineLevel="0" collapsed="false">
      <c r="A2004" s="49" t="s">
        <v>1118</v>
      </c>
      <c r="B2004" s="49" t="s">
        <v>925</v>
      </c>
      <c r="C2004" s="49" t="s">
        <v>1070</v>
      </c>
      <c r="D2004" s="49" t="s">
        <v>929</v>
      </c>
      <c r="E2004" s="49" t="s">
        <v>146</v>
      </c>
      <c r="F2004" s="49" t="s">
        <v>1071</v>
      </c>
      <c r="G2004" s="49" t="s">
        <v>772</v>
      </c>
      <c r="H2004" s="49" t="s">
        <v>1132</v>
      </c>
      <c r="I2004" s="49" t="s">
        <v>885</v>
      </c>
    </row>
    <row r="2005" customFormat="false" ht="25.5" hidden="false" customHeight="true" outlineLevel="0" collapsed="false">
      <c r="A2005" s="49" t="s">
        <v>1118</v>
      </c>
      <c r="B2005" s="49" t="s">
        <v>977</v>
      </c>
      <c r="C2005" s="49" t="s">
        <v>978</v>
      </c>
      <c r="D2005" s="49"/>
      <c r="E2005" s="49" t="s">
        <v>217</v>
      </c>
      <c r="F2005" s="49"/>
      <c r="G2005" s="49" t="s">
        <v>776</v>
      </c>
      <c r="H2005" s="49" t="s">
        <v>1635</v>
      </c>
      <c r="I2005" s="49" t="s">
        <v>885</v>
      </c>
    </row>
    <row r="2006" customFormat="false" ht="25.5" hidden="false" customHeight="true" outlineLevel="0" collapsed="false">
      <c r="A2006" s="49" t="s">
        <v>1118</v>
      </c>
      <c r="B2006" s="49" t="s">
        <v>977</v>
      </c>
      <c r="C2006" s="49" t="s">
        <v>1546</v>
      </c>
      <c r="D2006" s="49" t="s">
        <v>1073</v>
      </c>
      <c r="E2006" s="49" t="s">
        <v>1547</v>
      </c>
      <c r="F2006" s="49" t="s">
        <v>1548</v>
      </c>
      <c r="G2006" s="49" t="s">
        <v>772</v>
      </c>
      <c r="H2006" s="49" t="s">
        <v>1132</v>
      </c>
      <c r="I2006" s="49" t="s">
        <v>885</v>
      </c>
    </row>
    <row r="2007" customFormat="false" ht="25.5" hidden="false" customHeight="true" outlineLevel="0" collapsed="false">
      <c r="A2007" s="49" t="s">
        <v>1118</v>
      </c>
      <c r="B2007" s="49" t="s">
        <v>977</v>
      </c>
      <c r="C2007" s="49" t="s">
        <v>1549</v>
      </c>
      <c r="D2007" s="49" t="s">
        <v>1073</v>
      </c>
      <c r="E2007" s="49" t="s">
        <v>1533</v>
      </c>
      <c r="F2007" s="49" t="s">
        <v>1550</v>
      </c>
      <c r="G2007" s="49" t="s">
        <v>772</v>
      </c>
      <c r="H2007" s="49" t="s">
        <v>1132</v>
      </c>
      <c r="I2007" s="49" t="s">
        <v>885</v>
      </c>
    </row>
    <row r="2008" customFormat="false" ht="25.5" hidden="false" customHeight="true" outlineLevel="0" collapsed="false">
      <c r="A2008" s="49" t="s">
        <v>1118</v>
      </c>
      <c r="B2008" s="49" t="s">
        <v>977</v>
      </c>
      <c r="C2008" s="49" t="s">
        <v>1074</v>
      </c>
      <c r="D2008" s="49" t="s">
        <v>1075</v>
      </c>
      <c r="E2008" s="49" t="s">
        <v>1076</v>
      </c>
      <c r="F2008" s="49"/>
      <c r="G2008" s="49" t="s">
        <v>772</v>
      </c>
      <c r="H2008" s="49" t="s">
        <v>1637</v>
      </c>
      <c r="I2008" s="49" t="s">
        <v>885</v>
      </c>
    </row>
    <row r="2009" customFormat="false" ht="25.5" hidden="false" customHeight="true" outlineLevel="0" collapsed="false">
      <c r="A2009" s="49" t="s">
        <v>1118</v>
      </c>
      <c r="B2009" s="49" t="s">
        <v>977</v>
      </c>
      <c r="C2009" s="49" t="s">
        <v>979</v>
      </c>
      <c r="D2009" s="49" t="s">
        <v>980</v>
      </c>
      <c r="E2009" s="49" t="s">
        <v>981</v>
      </c>
      <c r="F2009" s="49" t="s">
        <v>982</v>
      </c>
      <c r="G2009" s="49" t="s">
        <v>772</v>
      </c>
      <c r="H2009" s="49" t="s">
        <v>1640</v>
      </c>
      <c r="I2009" s="49" t="s">
        <v>885</v>
      </c>
    </row>
    <row r="2010" customFormat="false" ht="25.5" hidden="false" customHeight="true" outlineLevel="0" collapsed="false">
      <c r="A2010" s="49" t="s">
        <v>1118</v>
      </c>
      <c r="B2010" s="49" t="s">
        <v>977</v>
      </c>
      <c r="C2010" s="49" t="s">
        <v>1081</v>
      </c>
      <c r="D2010" s="49" t="s">
        <v>1073</v>
      </c>
      <c r="E2010" s="49" t="s">
        <v>1082</v>
      </c>
      <c r="F2010" s="49" t="s">
        <v>1083</v>
      </c>
      <c r="G2010" s="49" t="s">
        <v>772</v>
      </c>
      <c r="H2010" s="49" t="s">
        <v>1132</v>
      </c>
      <c r="I2010" s="49" t="s">
        <v>885</v>
      </c>
    </row>
    <row r="2011" customFormat="false" ht="25.5" hidden="false" customHeight="true" outlineLevel="0" collapsed="false">
      <c r="A2011" s="49" t="s">
        <v>1118</v>
      </c>
      <c r="B2011" s="49" t="s">
        <v>932</v>
      </c>
      <c r="C2011" s="49" t="s">
        <v>933</v>
      </c>
      <c r="D2011" s="49"/>
      <c r="E2011" s="49" t="s">
        <v>882</v>
      </c>
      <c r="F2011" s="49" t="s">
        <v>934</v>
      </c>
      <c r="G2011" s="49" t="s">
        <v>772</v>
      </c>
      <c r="H2011" s="49" t="s">
        <v>1132</v>
      </c>
      <c r="I2011" s="49" t="s">
        <v>885</v>
      </c>
    </row>
    <row r="2012" customFormat="false" ht="25.5" hidden="false" customHeight="true" outlineLevel="0" collapsed="false">
      <c r="A2012" s="49" t="s">
        <v>1118</v>
      </c>
      <c r="B2012" s="49" t="s">
        <v>932</v>
      </c>
      <c r="C2012" s="49" t="s">
        <v>1552</v>
      </c>
      <c r="D2012" s="49"/>
      <c r="E2012" s="49" t="s">
        <v>1553</v>
      </c>
      <c r="F2012" s="49" t="s">
        <v>1554</v>
      </c>
      <c r="G2012" s="49" t="s">
        <v>772</v>
      </c>
      <c r="H2012" s="49" t="s">
        <v>1132</v>
      </c>
      <c r="I2012" s="49" t="s">
        <v>885</v>
      </c>
    </row>
    <row r="2013" customFormat="false" ht="25.5" hidden="false" customHeight="true" outlineLevel="0" collapsed="false">
      <c r="A2013" s="49" t="s">
        <v>1118</v>
      </c>
      <c r="B2013" s="49" t="s">
        <v>932</v>
      </c>
      <c r="C2013" s="49" t="s">
        <v>1555</v>
      </c>
      <c r="D2013" s="49" t="s">
        <v>1090</v>
      </c>
      <c r="E2013" s="49" t="s">
        <v>1186</v>
      </c>
      <c r="F2013" s="49" t="s">
        <v>1556</v>
      </c>
      <c r="G2013" s="49" t="s">
        <v>772</v>
      </c>
      <c r="H2013" s="49" t="s">
        <v>1132</v>
      </c>
      <c r="I2013" s="49" t="s">
        <v>885</v>
      </c>
    </row>
    <row r="2014" customFormat="false" ht="25.5" hidden="false" customHeight="true" outlineLevel="0" collapsed="false">
      <c r="A2014" s="49" t="s">
        <v>1118</v>
      </c>
      <c r="B2014" s="49" t="s">
        <v>932</v>
      </c>
      <c r="C2014" s="49" t="s">
        <v>984</v>
      </c>
      <c r="D2014" s="49" t="s">
        <v>936</v>
      </c>
      <c r="E2014" s="49" t="s">
        <v>985</v>
      </c>
      <c r="F2014" s="49" t="s">
        <v>986</v>
      </c>
      <c r="G2014" s="49" t="s">
        <v>776</v>
      </c>
      <c r="H2014" s="49" t="s">
        <v>1635</v>
      </c>
      <c r="I2014" s="49" t="s">
        <v>885</v>
      </c>
    </row>
    <row r="2015" customFormat="false" ht="25.5" hidden="false" customHeight="true" outlineLevel="0" collapsed="false">
      <c r="A2015" s="49" t="s">
        <v>1118</v>
      </c>
      <c r="B2015" s="49" t="s">
        <v>932</v>
      </c>
      <c r="C2015" s="49" t="s">
        <v>1086</v>
      </c>
      <c r="D2015" s="49" t="s">
        <v>929</v>
      </c>
      <c r="E2015" s="49" t="s">
        <v>1087</v>
      </c>
      <c r="F2015" s="49" t="s">
        <v>1088</v>
      </c>
      <c r="G2015" s="49" t="s">
        <v>772</v>
      </c>
      <c r="H2015" s="49" t="s">
        <v>1132</v>
      </c>
      <c r="I2015" s="49" t="s">
        <v>885</v>
      </c>
    </row>
    <row r="2016" customFormat="false" ht="25.5" hidden="false" customHeight="true" outlineLevel="0" collapsed="false">
      <c r="A2016" s="49" t="s">
        <v>1118</v>
      </c>
      <c r="B2016" s="49" t="s">
        <v>932</v>
      </c>
      <c r="C2016" s="49" t="s">
        <v>1089</v>
      </c>
      <c r="D2016" s="49" t="s">
        <v>1090</v>
      </c>
      <c r="E2016" s="49" t="s">
        <v>1091</v>
      </c>
      <c r="F2016" s="49" t="s">
        <v>1092</v>
      </c>
      <c r="G2016" s="49" t="s">
        <v>772</v>
      </c>
      <c r="H2016" s="49" t="s">
        <v>1132</v>
      </c>
      <c r="I2016" s="49" t="s">
        <v>885</v>
      </c>
    </row>
    <row r="2017" customFormat="false" ht="25.5" hidden="false" customHeight="true" outlineLevel="0" collapsed="false">
      <c r="A2017" s="49" t="s">
        <v>1118</v>
      </c>
      <c r="B2017" s="49" t="s">
        <v>932</v>
      </c>
      <c r="C2017" s="49" t="s">
        <v>1093</v>
      </c>
      <c r="D2017" s="49" t="s">
        <v>936</v>
      </c>
      <c r="E2017" s="49" t="s">
        <v>146</v>
      </c>
      <c r="F2017" s="49" t="s">
        <v>1094</v>
      </c>
      <c r="G2017" s="49" t="s">
        <v>772</v>
      </c>
      <c r="H2017" s="49" t="s">
        <v>1132</v>
      </c>
      <c r="I2017" s="49" t="s">
        <v>885</v>
      </c>
    </row>
    <row r="2018" customFormat="false" ht="25.5" hidden="false" customHeight="true" outlineLevel="0" collapsed="false">
      <c r="A2018" s="49" t="s">
        <v>1118</v>
      </c>
      <c r="B2018" s="49" t="s">
        <v>932</v>
      </c>
      <c r="C2018" s="49" t="s">
        <v>935</v>
      </c>
      <c r="D2018" s="49" t="s">
        <v>936</v>
      </c>
      <c r="E2018" s="49" t="s">
        <v>882</v>
      </c>
      <c r="F2018" s="49" t="s">
        <v>937</v>
      </c>
      <c r="G2018" s="49" t="s">
        <v>772</v>
      </c>
      <c r="H2018" s="49" t="s">
        <v>1132</v>
      </c>
      <c r="I2018" s="49" t="s">
        <v>885</v>
      </c>
    </row>
    <row r="2019" customFormat="false" ht="25.5" hidden="false" customHeight="true" outlineLevel="0" collapsed="false">
      <c r="A2019" s="49" t="s">
        <v>1118</v>
      </c>
      <c r="B2019" s="49" t="s">
        <v>932</v>
      </c>
      <c r="C2019" s="49" t="s">
        <v>1096</v>
      </c>
      <c r="D2019" s="49" t="s">
        <v>936</v>
      </c>
      <c r="E2019" s="49" t="s">
        <v>1097</v>
      </c>
      <c r="F2019" s="49" t="s">
        <v>1098</v>
      </c>
      <c r="G2019" s="49" t="s">
        <v>772</v>
      </c>
      <c r="H2019" s="49" t="s">
        <v>1132</v>
      </c>
      <c r="I2019" s="49" t="s">
        <v>885</v>
      </c>
    </row>
    <row r="2020" customFormat="false" ht="25.5" hidden="false" customHeight="true" outlineLevel="0" collapsed="false">
      <c r="A2020" s="49" t="s">
        <v>1118</v>
      </c>
      <c r="B2020" s="49" t="s">
        <v>939</v>
      </c>
      <c r="C2020" s="49" t="s">
        <v>940</v>
      </c>
      <c r="D2020" s="49"/>
      <c r="E2020" s="49" t="s">
        <v>893</v>
      </c>
      <c r="F2020" s="49" t="s">
        <v>941</v>
      </c>
      <c r="G2020" s="49" t="s">
        <v>772</v>
      </c>
      <c r="H2020" s="49" t="s">
        <v>1132</v>
      </c>
      <c r="I2020" s="49" t="s">
        <v>885</v>
      </c>
    </row>
    <row r="2021" customFormat="false" ht="25.5" hidden="false" customHeight="true" outlineLevel="0" collapsed="false">
      <c r="A2021" s="49" t="s">
        <v>1118</v>
      </c>
      <c r="B2021" s="49" t="s">
        <v>939</v>
      </c>
      <c r="C2021" s="49" t="s">
        <v>1099</v>
      </c>
      <c r="D2021" s="49" t="s">
        <v>1100</v>
      </c>
      <c r="E2021" s="49" t="s">
        <v>1101</v>
      </c>
      <c r="F2021" s="49" t="s">
        <v>993</v>
      </c>
      <c r="G2021" s="49" t="s">
        <v>772</v>
      </c>
      <c r="H2021" s="49" t="s">
        <v>1132</v>
      </c>
      <c r="I2021" s="49" t="s">
        <v>885</v>
      </c>
    </row>
    <row r="2022" customFormat="false" ht="25.5" hidden="false" customHeight="true" outlineLevel="0" collapsed="false">
      <c r="A2022" s="49" t="s">
        <v>1118</v>
      </c>
      <c r="B2022" s="49" t="s">
        <v>939</v>
      </c>
      <c r="C2022" s="49" t="s">
        <v>1557</v>
      </c>
      <c r="D2022" s="49" t="s">
        <v>988</v>
      </c>
      <c r="E2022" s="49" t="s">
        <v>1186</v>
      </c>
      <c r="F2022" s="49" t="s">
        <v>993</v>
      </c>
      <c r="G2022" s="49" t="s">
        <v>772</v>
      </c>
      <c r="H2022" s="49" t="s">
        <v>1132</v>
      </c>
      <c r="I2022" s="49" t="s">
        <v>885</v>
      </c>
    </row>
    <row r="2023" customFormat="false" ht="25.5" hidden="false" customHeight="true" outlineLevel="0" collapsed="false">
      <c r="A2023" s="49" t="s">
        <v>1118</v>
      </c>
      <c r="B2023" s="49" t="s">
        <v>939</v>
      </c>
      <c r="C2023" s="49" t="s">
        <v>987</v>
      </c>
      <c r="D2023" s="49" t="s">
        <v>988</v>
      </c>
      <c r="E2023" s="49" t="s">
        <v>217</v>
      </c>
      <c r="F2023" s="49" t="s">
        <v>989</v>
      </c>
      <c r="G2023" s="49" t="s">
        <v>776</v>
      </c>
      <c r="H2023" s="49" t="s">
        <v>1635</v>
      </c>
      <c r="I2023" s="49" t="s">
        <v>885</v>
      </c>
    </row>
    <row r="2024" customFormat="false" ht="25.5" hidden="false" customHeight="true" outlineLevel="0" collapsed="false">
      <c r="A2024" s="49" t="s">
        <v>1118</v>
      </c>
      <c r="B2024" s="49" t="s">
        <v>939</v>
      </c>
      <c r="C2024" s="49" t="s">
        <v>1102</v>
      </c>
      <c r="D2024" s="49" t="s">
        <v>988</v>
      </c>
      <c r="E2024" s="49" t="s">
        <v>146</v>
      </c>
      <c r="F2024" s="49" t="s">
        <v>993</v>
      </c>
      <c r="G2024" s="49" t="s">
        <v>772</v>
      </c>
      <c r="H2024" s="49" t="s">
        <v>1132</v>
      </c>
      <c r="I2024" s="49" t="s">
        <v>885</v>
      </c>
    </row>
    <row r="2025" customFormat="false" ht="25.5" hidden="false" customHeight="true" outlineLevel="0" collapsed="false">
      <c r="A2025" s="49" t="s">
        <v>1118</v>
      </c>
      <c r="B2025" s="49" t="s">
        <v>939</v>
      </c>
      <c r="C2025" s="49" t="s">
        <v>1103</v>
      </c>
      <c r="D2025" s="49" t="s">
        <v>1100</v>
      </c>
      <c r="E2025" s="49" t="s">
        <v>146</v>
      </c>
      <c r="F2025" s="49" t="s">
        <v>993</v>
      </c>
      <c r="G2025" s="49" t="s">
        <v>772</v>
      </c>
      <c r="H2025" s="49" t="s">
        <v>1132</v>
      </c>
      <c r="I2025" s="49" t="s">
        <v>885</v>
      </c>
    </row>
    <row r="2026" customFormat="false" ht="25.5" hidden="false" customHeight="true" outlineLevel="0" collapsed="false">
      <c r="A2026" s="49" t="s">
        <v>1118</v>
      </c>
      <c r="B2026" s="49" t="s">
        <v>939</v>
      </c>
      <c r="C2026" s="49" t="s">
        <v>1558</v>
      </c>
      <c r="D2026" s="49" t="s">
        <v>1559</v>
      </c>
      <c r="E2026" s="49" t="s">
        <v>1533</v>
      </c>
      <c r="F2026" s="49" t="s">
        <v>1560</v>
      </c>
      <c r="G2026" s="49" t="s">
        <v>772</v>
      </c>
      <c r="H2026" s="49" t="s">
        <v>1132</v>
      </c>
      <c r="I2026" s="49" t="s">
        <v>885</v>
      </c>
    </row>
    <row r="2027" customFormat="false" ht="25.5" hidden="false" customHeight="true" outlineLevel="0" collapsed="false">
      <c r="A2027" s="49" t="s">
        <v>1118</v>
      </c>
      <c r="B2027" s="49" t="s">
        <v>939</v>
      </c>
      <c r="C2027" s="49" t="s">
        <v>1109</v>
      </c>
      <c r="D2027" s="49" t="s">
        <v>1110</v>
      </c>
      <c r="E2027" s="49" t="s">
        <v>1111</v>
      </c>
      <c r="F2027" s="49" t="s">
        <v>941</v>
      </c>
      <c r="G2027" s="49" t="s">
        <v>772</v>
      </c>
      <c r="H2027" s="49" t="s">
        <v>1637</v>
      </c>
      <c r="I2027" s="49" t="s">
        <v>885</v>
      </c>
    </row>
    <row r="2028" customFormat="false" ht="25.5" hidden="false" customHeight="true" outlineLevel="0" collapsed="false">
      <c r="A2028" s="49" t="s">
        <v>1118</v>
      </c>
      <c r="B2028" s="49" t="s">
        <v>939</v>
      </c>
      <c r="C2028" s="49" t="s">
        <v>1561</v>
      </c>
      <c r="D2028" s="49" t="s">
        <v>1110</v>
      </c>
      <c r="E2028" s="49" t="s">
        <v>1186</v>
      </c>
      <c r="F2028" s="49" t="s">
        <v>993</v>
      </c>
      <c r="G2028" s="49" t="s">
        <v>772</v>
      </c>
      <c r="H2028" s="49" t="s">
        <v>1132</v>
      </c>
      <c r="I2028" s="49" t="s">
        <v>885</v>
      </c>
    </row>
    <row r="2029" customFormat="false" ht="25.5" hidden="false" customHeight="true" outlineLevel="0" collapsed="false">
      <c r="A2029" s="51" t="s">
        <v>1118</v>
      </c>
      <c r="B2029" s="51" t="s">
        <v>939</v>
      </c>
      <c r="C2029" s="51" t="s">
        <v>990</v>
      </c>
      <c r="D2029" s="51" t="s">
        <v>991</v>
      </c>
      <c r="E2029" s="51" t="s">
        <v>992</v>
      </c>
      <c r="F2029" s="51" t="s">
        <v>993</v>
      </c>
      <c r="G2029" s="52" t="s">
        <v>910</v>
      </c>
      <c r="H2029" s="51" t="s">
        <v>1641</v>
      </c>
      <c r="I2029" s="51" t="s">
        <v>912</v>
      </c>
    </row>
    <row r="2030" customFormat="false" ht="25.5" hidden="false" customHeight="true" outlineLevel="0" collapsed="false">
      <c r="A2030" s="49" t="s">
        <v>1118</v>
      </c>
      <c r="B2030" s="49" t="s">
        <v>939</v>
      </c>
      <c r="C2030" s="49" t="s">
        <v>1112</v>
      </c>
      <c r="D2030" s="49" t="s">
        <v>991</v>
      </c>
      <c r="E2030" s="49" t="s">
        <v>1113</v>
      </c>
      <c r="F2030" s="49" t="s">
        <v>941</v>
      </c>
      <c r="G2030" s="49" t="s">
        <v>772</v>
      </c>
      <c r="H2030" s="49" t="s">
        <v>1637</v>
      </c>
      <c r="I2030" s="49" t="s">
        <v>885</v>
      </c>
    </row>
    <row r="2031" customFormat="false" ht="25.5" hidden="false" customHeight="true" outlineLevel="0" collapsed="false">
      <c r="A2031" s="49" t="s">
        <v>1120</v>
      </c>
      <c r="B2031" s="49" t="s">
        <v>1562</v>
      </c>
      <c r="C2031" s="49" t="s">
        <v>1563</v>
      </c>
      <c r="D2031" s="49" t="s">
        <v>1208</v>
      </c>
      <c r="E2031" s="49" t="s">
        <v>843</v>
      </c>
      <c r="F2031" s="49" t="s">
        <v>1564</v>
      </c>
      <c r="G2031" s="49" t="s">
        <v>772</v>
      </c>
      <c r="H2031" s="49" t="s">
        <v>1132</v>
      </c>
      <c r="I2031" s="49" t="s">
        <v>885</v>
      </c>
    </row>
    <row r="2032" customFormat="false" ht="25.5" hidden="false" customHeight="true" outlineLevel="0" collapsed="false">
      <c r="A2032" s="49" t="s">
        <v>1120</v>
      </c>
      <c r="B2032" s="49" t="s">
        <v>1562</v>
      </c>
      <c r="C2032" s="49" t="s">
        <v>1565</v>
      </c>
      <c r="D2032" s="49" t="s">
        <v>1199</v>
      </c>
      <c r="E2032" s="49" t="s">
        <v>1135</v>
      </c>
      <c r="F2032" s="49" t="s">
        <v>1566</v>
      </c>
      <c r="G2032" s="49" t="s">
        <v>772</v>
      </c>
      <c r="H2032" s="49" t="s">
        <v>1132</v>
      </c>
      <c r="I2032" s="49" t="s">
        <v>885</v>
      </c>
    </row>
    <row r="2033" customFormat="false" ht="25.5" hidden="false" customHeight="true" outlineLevel="0" collapsed="false">
      <c r="A2033" s="49" t="s">
        <v>1120</v>
      </c>
      <c r="B2033" s="49" t="s">
        <v>1562</v>
      </c>
      <c r="C2033" s="49" t="s">
        <v>1567</v>
      </c>
      <c r="D2033" s="49" t="s">
        <v>1218</v>
      </c>
      <c r="E2033" s="49" t="s">
        <v>1568</v>
      </c>
      <c r="F2033" s="49" t="s">
        <v>1569</v>
      </c>
      <c r="G2033" s="49" t="s">
        <v>772</v>
      </c>
      <c r="H2033" s="49" t="s">
        <v>1132</v>
      </c>
      <c r="I2033" s="49" t="s">
        <v>885</v>
      </c>
    </row>
    <row r="2034" customFormat="false" ht="25.5" hidden="false" customHeight="true" outlineLevel="0" collapsed="false">
      <c r="A2034" s="49" t="s">
        <v>1120</v>
      </c>
      <c r="B2034" s="49" t="s">
        <v>1562</v>
      </c>
      <c r="C2034" s="49" t="s">
        <v>1570</v>
      </c>
      <c r="D2034" s="49" t="s">
        <v>1208</v>
      </c>
      <c r="E2034" s="49" t="s">
        <v>1571</v>
      </c>
      <c r="F2034" s="49" t="s">
        <v>1572</v>
      </c>
      <c r="G2034" s="49" t="s">
        <v>772</v>
      </c>
      <c r="H2034" s="49" t="s">
        <v>1132</v>
      </c>
      <c r="I2034" s="49" t="s">
        <v>885</v>
      </c>
    </row>
    <row r="2035" customFormat="false" ht="25.5" hidden="false" customHeight="true" outlineLevel="0" collapsed="false">
      <c r="A2035" s="49" t="s">
        <v>1120</v>
      </c>
      <c r="B2035" s="49" t="s">
        <v>1562</v>
      </c>
      <c r="C2035" s="49" t="s">
        <v>1573</v>
      </c>
      <c r="D2035" s="49" t="s">
        <v>1151</v>
      </c>
      <c r="E2035" s="49" t="s">
        <v>1135</v>
      </c>
      <c r="F2035" s="49" t="s">
        <v>1574</v>
      </c>
      <c r="G2035" s="49" t="s">
        <v>772</v>
      </c>
      <c r="H2035" s="49" t="s">
        <v>1132</v>
      </c>
      <c r="I2035" s="49" t="s">
        <v>885</v>
      </c>
    </row>
    <row r="2036" customFormat="false" ht="25.5" hidden="false" customHeight="true" outlineLevel="0" collapsed="false">
      <c r="A2036" s="49" t="s">
        <v>1120</v>
      </c>
      <c r="B2036" s="49" t="s">
        <v>1562</v>
      </c>
      <c r="C2036" s="49" t="s">
        <v>1575</v>
      </c>
      <c r="D2036" s="49" t="s">
        <v>1218</v>
      </c>
      <c r="E2036" s="49" t="s">
        <v>1395</v>
      </c>
      <c r="F2036" s="49" t="s">
        <v>1533</v>
      </c>
      <c r="G2036" s="49" t="s">
        <v>772</v>
      </c>
      <c r="H2036" s="49" t="s">
        <v>1132</v>
      </c>
      <c r="I2036" s="49" t="s">
        <v>885</v>
      </c>
    </row>
    <row r="2037" customFormat="false" ht="25.5" hidden="false" customHeight="true" outlineLevel="0" collapsed="false">
      <c r="A2037" s="49" t="s">
        <v>1120</v>
      </c>
      <c r="B2037" s="49" t="s">
        <v>1562</v>
      </c>
      <c r="C2037" s="49" t="s">
        <v>1576</v>
      </c>
      <c r="D2037" s="49" t="s">
        <v>1199</v>
      </c>
      <c r="E2037" s="49" t="s">
        <v>1577</v>
      </c>
      <c r="F2037" s="49" t="s">
        <v>1578</v>
      </c>
      <c r="G2037" s="49" t="s">
        <v>772</v>
      </c>
      <c r="H2037" s="49" t="s">
        <v>1132</v>
      </c>
      <c r="I2037" s="49" t="s">
        <v>885</v>
      </c>
    </row>
    <row r="2038" customFormat="false" ht="25.5" hidden="false" customHeight="true" outlineLevel="0" collapsed="false">
      <c r="A2038" s="49" t="s">
        <v>1120</v>
      </c>
      <c r="B2038" s="49" t="s">
        <v>1562</v>
      </c>
      <c r="C2038" s="49" t="s">
        <v>1579</v>
      </c>
      <c r="D2038" s="49" t="s">
        <v>1208</v>
      </c>
      <c r="E2038" s="49" t="s">
        <v>146</v>
      </c>
      <c r="F2038" s="49" t="s">
        <v>1580</v>
      </c>
      <c r="G2038" s="49" t="s">
        <v>772</v>
      </c>
      <c r="H2038" s="49" t="s">
        <v>1132</v>
      </c>
      <c r="I2038" s="49" t="s">
        <v>885</v>
      </c>
    </row>
    <row r="2039" customFormat="false" ht="25.5" hidden="false" customHeight="true" outlineLevel="0" collapsed="false">
      <c r="A2039" s="49" t="s">
        <v>1120</v>
      </c>
      <c r="B2039" s="49" t="s">
        <v>1562</v>
      </c>
      <c r="C2039" s="49" t="s">
        <v>1581</v>
      </c>
      <c r="D2039" s="49" t="s">
        <v>1208</v>
      </c>
      <c r="E2039" s="49" t="s">
        <v>1226</v>
      </c>
      <c r="F2039" s="49" t="s">
        <v>1582</v>
      </c>
      <c r="G2039" s="49" t="s">
        <v>772</v>
      </c>
      <c r="H2039" s="49" t="s">
        <v>1132</v>
      </c>
      <c r="I2039" s="49" t="s">
        <v>885</v>
      </c>
    </row>
    <row r="2040" customFormat="false" ht="25.5" hidden="false" customHeight="true" outlineLevel="0" collapsed="false">
      <c r="A2040" s="49" t="s">
        <v>1120</v>
      </c>
      <c r="B2040" s="49" t="s">
        <v>1562</v>
      </c>
      <c r="C2040" s="49" t="s">
        <v>1583</v>
      </c>
      <c r="D2040" s="49" t="s">
        <v>1151</v>
      </c>
      <c r="E2040" s="49" t="s">
        <v>1395</v>
      </c>
      <c r="F2040" s="49" t="s">
        <v>1533</v>
      </c>
      <c r="G2040" s="49" t="s">
        <v>772</v>
      </c>
      <c r="H2040" s="49" t="s">
        <v>1132</v>
      </c>
      <c r="I2040" s="49" t="s">
        <v>885</v>
      </c>
    </row>
    <row r="2041" customFormat="false" ht="25.5" hidden="false" customHeight="true" outlineLevel="0" collapsed="false">
      <c r="A2041" s="49" t="s">
        <v>1120</v>
      </c>
      <c r="B2041" s="49" t="s">
        <v>1562</v>
      </c>
      <c r="C2041" s="49" t="s">
        <v>1584</v>
      </c>
      <c r="D2041" s="49" t="s">
        <v>1199</v>
      </c>
      <c r="E2041" s="49" t="s">
        <v>1186</v>
      </c>
      <c r="F2041" s="49" t="s">
        <v>1585</v>
      </c>
      <c r="G2041" s="49" t="s">
        <v>772</v>
      </c>
      <c r="H2041" s="49" t="s">
        <v>1132</v>
      </c>
      <c r="I2041" s="49" t="s">
        <v>885</v>
      </c>
    </row>
    <row r="2042" customFormat="false" ht="25.5" hidden="false" customHeight="true" outlineLevel="0" collapsed="false">
      <c r="A2042" s="49" t="s">
        <v>1120</v>
      </c>
      <c r="B2042" s="49" t="s">
        <v>1562</v>
      </c>
      <c r="C2042" s="49" t="s">
        <v>1586</v>
      </c>
      <c r="D2042" s="49" t="s">
        <v>1218</v>
      </c>
      <c r="E2042" s="49" t="s">
        <v>1135</v>
      </c>
      <c r="F2042" s="49" t="s">
        <v>1587</v>
      </c>
      <c r="G2042" s="49" t="s">
        <v>772</v>
      </c>
      <c r="H2042" s="49" t="s">
        <v>1132</v>
      </c>
      <c r="I2042" s="49" t="s">
        <v>885</v>
      </c>
    </row>
    <row r="2043" customFormat="false" ht="25.5" hidden="false" customHeight="true" outlineLevel="0" collapsed="false">
      <c r="A2043" s="49" t="s">
        <v>1120</v>
      </c>
      <c r="B2043" s="49" t="s">
        <v>1562</v>
      </c>
      <c r="C2043" s="49" t="s">
        <v>1171</v>
      </c>
      <c r="D2043" s="49" t="s">
        <v>1172</v>
      </c>
      <c r="E2043" s="49" t="s">
        <v>1173</v>
      </c>
      <c r="F2043" s="49" t="s">
        <v>1197</v>
      </c>
      <c r="G2043" s="49" t="s">
        <v>772</v>
      </c>
      <c r="H2043" s="49" t="s">
        <v>1132</v>
      </c>
      <c r="I2043" s="49" t="s">
        <v>885</v>
      </c>
    </row>
    <row r="2044" customFormat="false" ht="25.5" hidden="false" customHeight="true" outlineLevel="0" collapsed="false">
      <c r="A2044" s="49" t="s">
        <v>1120</v>
      </c>
      <c r="B2044" s="49" t="s">
        <v>1562</v>
      </c>
      <c r="C2044" s="49" t="s">
        <v>1588</v>
      </c>
      <c r="D2044" s="49" t="s">
        <v>1199</v>
      </c>
      <c r="E2044" s="49" t="s">
        <v>217</v>
      </c>
      <c r="F2044" s="49" t="s">
        <v>1589</v>
      </c>
      <c r="G2044" s="49" t="s">
        <v>772</v>
      </c>
      <c r="H2044" s="49" t="s">
        <v>1132</v>
      </c>
      <c r="I2044" s="49" t="s">
        <v>885</v>
      </c>
    </row>
    <row r="2045" customFormat="false" ht="25.5" hidden="false" customHeight="true" outlineLevel="0" collapsed="false">
      <c r="A2045" s="49" t="s">
        <v>1120</v>
      </c>
      <c r="B2045" s="49" t="s">
        <v>1562</v>
      </c>
      <c r="C2045" s="49" t="s">
        <v>1590</v>
      </c>
      <c r="D2045" s="49" t="s">
        <v>1151</v>
      </c>
      <c r="E2045" s="49" t="s">
        <v>1520</v>
      </c>
      <c r="F2045" s="49" t="s">
        <v>1591</v>
      </c>
      <c r="G2045" s="49" t="s">
        <v>772</v>
      </c>
      <c r="H2045" s="49" t="s">
        <v>1132</v>
      </c>
      <c r="I2045" s="49" t="s">
        <v>885</v>
      </c>
    </row>
    <row r="2046" customFormat="false" ht="25.5" hidden="false" customHeight="true" outlineLevel="0" collapsed="false">
      <c r="A2046" s="49" t="s">
        <v>1120</v>
      </c>
      <c r="B2046" s="49" t="s">
        <v>1562</v>
      </c>
      <c r="C2046" s="49" t="s">
        <v>1592</v>
      </c>
      <c r="D2046" s="49" t="s">
        <v>1148</v>
      </c>
      <c r="E2046" s="49" t="s">
        <v>217</v>
      </c>
      <c r="F2046" s="49" t="s">
        <v>1593</v>
      </c>
      <c r="G2046" s="49" t="s">
        <v>772</v>
      </c>
      <c r="H2046" s="49" t="s">
        <v>1132</v>
      </c>
      <c r="I2046" s="49" t="s">
        <v>885</v>
      </c>
    </row>
    <row r="2047" customFormat="false" ht="25.5" hidden="false" customHeight="true" outlineLevel="0" collapsed="false">
      <c r="A2047" s="49" t="s">
        <v>1120</v>
      </c>
      <c r="B2047" s="49" t="s">
        <v>1562</v>
      </c>
      <c r="C2047" s="49" t="s">
        <v>1594</v>
      </c>
      <c r="D2047" s="49" t="s">
        <v>1151</v>
      </c>
      <c r="E2047" s="49" t="s">
        <v>671</v>
      </c>
      <c r="F2047" s="49" t="s">
        <v>1595</v>
      </c>
      <c r="G2047" s="49" t="s">
        <v>772</v>
      </c>
      <c r="H2047" s="49" t="s">
        <v>1132</v>
      </c>
      <c r="I2047" s="49" t="s">
        <v>885</v>
      </c>
    </row>
    <row r="2048" customFormat="false" ht="25.5" hidden="false" customHeight="true" outlineLevel="0" collapsed="false">
      <c r="A2048" s="49" t="s">
        <v>1120</v>
      </c>
      <c r="B2048" s="49" t="s">
        <v>1127</v>
      </c>
      <c r="C2048" s="49" t="s">
        <v>1596</v>
      </c>
      <c r="D2048" s="49" t="s">
        <v>1218</v>
      </c>
      <c r="E2048" s="49" t="s">
        <v>1135</v>
      </c>
      <c r="F2048" s="49" t="s">
        <v>1216</v>
      </c>
      <c r="G2048" s="49" t="s">
        <v>772</v>
      </c>
      <c r="H2048" s="49" t="s">
        <v>1132</v>
      </c>
      <c r="I2048" s="49" t="s">
        <v>885</v>
      </c>
    </row>
    <row r="2049" customFormat="false" ht="25.5" hidden="false" customHeight="true" outlineLevel="0" collapsed="false">
      <c r="A2049" s="49" t="s">
        <v>1120</v>
      </c>
      <c r="B2049" s="49" t="s">
        <v>1127</v>
      </c>
      <c r="C2049" s="49" t="s">
        <v>1597</v>
      </c>
      <c r="D2049" s="49" t="s">
        <v>1218</v>
      </c>
      <c r="E2049" s="49" t="s">
        <v>1183</v>
      </c>
      <c r="F2049" s="49" t="s">
        <v>1598</v>
      </c>
      <c r="G2049" s="49" t="s">
        <v>772</v>
      </c>
      <c r="H2049" s="49" t="s">
        <v>1132</v>
      </c>
      <c r="I2049" s="49" t="s">
        <v>885</v>
      </c>
    </row>
    <row r="2050" customFormat="false" ht="25.5" hidden="false" customHeight="true" outlineLevel="0" collapsed="false">
      <c r="A2050" s="49" t="s">
        <v>1120</v>
      </c>
      <c r="B2050" s="49" t="s">
        <v>1127</v>
      </c>
      <c r="C2050" s="49" t="s">
        <v>1599</v>
      </c>
      <c r="D2050" s="49" t="s">
        <v>1151</v>
      </c>
      <c r="E2050" s="49" t="s">
        <v>1135</v>
      </c>
      <c r="F2050" s="49" t="s">
        <v>1600</v>
      </c>
      <c r="G2050" s="49" t="s">
        <v>772</v>
      </c>
      <c r="H2050" s="49" t="s">
        <v>1132</v>
      </c>
      <c r="I2050" s="49" t="s">
        <v>885</v>
      </c>
    </row>
    <row r="2051" customFormat="false" ht="25.5" hidden="false" customHeight="true" outlineLevel="0" collapsed="false">
      <c r="A2051" s="49" t="s">
        <v>1120</v>
      </c>
      <c r="B2051" s="49" t="s">
        <v>1127</v>
      </c>
      <c r="C2051" s="49" t="s">
        <v>1601</v>
      </c>
      <c r="D2051" s="49" t="s">
        <v>1218</v>
      </c>
      <c r="E2051" s="49" t="s">
        <v>893</v>
      </c>
      <c r="F2051" s="49" t="s">
        <v>1602</v>
      </c>
      <c r="G2051" s="49" t="s">
        <v>772</v>
      </c>
      <c r="H2051" s="49" t="s">
        <v>1132</v>
      </c>
      <c r="I2051" s="49" t="s">
        <v>885</v>
      </c>
    </row>
    <row r="2052" customFormat="false" ht="25.5" hidden="false" customHeight="true" outlineLevel="0" collapsed="false">
      <c r="A2052" s="49" t="s">
        <v>1120</v>
      </c>
      <c r="B2052" s="49" t="s">
        <v>1127</v>
      </c>
      <c r="C2052" s="49" t="s">
        <v>1603</v>
      </c>
      <c r="D2052" s="49" t="s">
        <v>1162</v>
      </c>
      <c r="E2052" s="49" t="s">
        <v>1163</v>
      </c>
      <c r="F2052" s="49" t="s">
        <v>1604</v>
      </c>
      <c r="G2052" s="49" t="s">
        <v>772</v>
      </c>
      <c r="H2052" s="49" t="s">
        <v>1132</v>
      </c>
      <c r="I2052" s="49" t="s">
        <v>885</v>
      </c>
    </row>
    <row r="2053" customFormat="false" ht="25.5" hidden="false" customHeight="true" outlineLevel="0" collapsed="false">
      <c r="A2053" s="49" t="s">
        <v>1120</v>
      </c>
      <c r="B2053" s="49" t="s">
        <v>1127</v>
      </c>
      <c r="C2053" s="49" t="s">
        <v>1605</v>
      </c>
      <c r="D2053" s="49" t="s">
        <v>1218</v>
      </c>
      <c r="E2053" s="49" t="s">
        <v>1135</v>
      </c>
      <c r="F2053" s="49" t="s">
        <v>1136</v>
      </c>
      <c r="G2053" s="49" t="s">
        <v>772</v>
      </c>
      <c r="H2053" s="49" t="s">
        <v>1132</v>
      </c>
      <c r="I2053" s="49" t="s">
        <v>885</v>
      </c>
    </row>
    <row r="2054" customFormat="false" ht="25.5" hidden="false" customHeight="true" outlineLevel="0" collapsed="false">
      <c r="A2054" s="49" t="s">
        <v>1120</v>
      </c>
      <c r="B2054" s="49" t="s">
        <v>1127</v>
      </c>
      <c r="C2054" s="49" t="s">
        <v>1606</v>
      </c>
      <c r="D2054" s="49" t="s">
        <v>1148</v>
      </c>
      <c r="E2054" s="49" t="s">
        <v>893</v>
      </c>
      <c r="F2054" s="49" t="s">
        <v>1607</v>
      </c>
      <c r="G2054" s="49" t="s">
        <v>772</v>
      </c>
      <c r="H2054" s="49" t="s">
        <v>1132</v>
      </c>
      <c r="I2054" s="49" t="s">
        <v>885</v>
      </c>
    </row>
    <row r="2055" customFormat="false" ht="25.5" hidden="false" customHeight="true" outlineLevel="0" collapsed="false">
      <c r="A2055" s="49" t="s">
        <v>1120</v>
      </c>
      <c r="B2055" s="49" t="s">
        <v>1127</v>
      </c>
      <c r="C2055" s="49" t="s">
        <v>1608</v>
      </c>
      <c r="D2055" s="49" t="s">
        <v>1218</v>
      </c>
      <c r="E2055" s="49" t="s">
        <v>1609</v>
      </c>
      <c r="F2055" s="49" t="s">
        <v>1610</v>
      </c>
      <c r="G2055" s="49" t="s">
        <v>772</v>
      </c>
      <c r="H2055" s="49" t="s">
        <v>1132</v>
      </c>
      <c r="I2055" s="49" t="s">
        <v>885</v>
      </c>
    </row>
    <row r="2056" customFormat="false" ht="25.5" hidden="false" customHeight="true" outlineLevel="0" collapsed="false">
      <c r="A2056" s="49" t="s">
        <v>1120</v>
      </c>
      <c r="B2056" s="49" t="s">
        <v>1127</v>
      </c>
      <c r="C2056" s="49" t="s">
        <v>1611</v>
      </c>
      <c r="D2056" s="49" t="s">
        <v>1151</v>
      </c>
      <c r="E2056" s="49" t="s">
        <v>1135</v>
      </c>
      <c r="F2056" s="49" t="s">
        <v>1600</v>
      </c>
      <c r="G2056" s="49" t="s">
        <v>772</v>
      </c>
      <c r="H2056" s="49" t="s">
        <v>1132</v>
      </c>
      <c r="I2056" s="49" t="s">
        <v>885</v>
      </c>
    </row>
    <row r="2057" customFormat="false" ht="25.5" hidden="false" customHeight="true" outlineLevel="0" collapsed="false">
      <c r="A2057" s="49" t="s">
        <v>1120</v>
      </c>
      <c r="B2057" s="49" t="s">
        <v>1127</v>
      </c>
      <c r="C2057" s="49" t="s">
        <v>1612</v>
      </c>
      <c r="D2057" s="49" t="s">
        <v>1218</v>
      </c>
      <c r="E2057" s="49" t="s">
        <v>1135</v>
      </c>
      <c r="F2057" s="49" t="s">
        <v>1170</v>
      </c>
      <c r="G2057" s="49" t="s">
        <v>772</v>
      </c>
      <c r="H2057" s="49" t="s">
        <v>1132</v>
      </c>
      <c r="I2057" s="49" t="s">
        <v>885</v>
      </c>
    </row>
    <row r="2058" customFormat="false" ht="25.5" hidden="false" customHeight="true" outlineLevel="0" collapsed="false">
      <c r="A2058" s="49" t="s">
        <v>1120</v>
      </c>
      <c r="B2058" s="49" t="s">
        <v>1127</v>
      </c>
      <c r="C2058" s="49" t="s">
        <v>1613</v>
      </c>
      <c r="D2058" s="49" t="s">
        <v>1208</v>
      </c>
      <c r="E2058" s="49" t="s">
        <v>1183</v>
      </c>
      <c r="F2058" s="49" t="s">
        <v>1614</v>
      </c>
      <c r="G2058" s="49" t="s">
        <v>772</v>
      </c>
      <c r="H2058" s="49" t="s">
        <v>1132</v>
      </c>
      <c r="I2058" s="49" t="s">
        <v>885</v>
      </c>
    </row>
    <row r="2059" customFormat="false" ht="25.5" hidden="false" customHeight="true" outlineLevel="0" collapsed="false">
      <c r="A2059" s="49" t="s">
        <v>1120</v>
      </c>
      <c r="B2059" s="49" t="s">
        <v>1127</v>
      </c>
      <c r="C2059" s="49" t="s">
        <v>1615</v>
      </c>
      <c r="D2059" s="49" t="s">
        <v>1129</v>
      </c>
      <c r="E2059" s="49" t="s">
        <v>1226</v>
      </c>
      <c r="F2059" s="49" t="s">
        <v>1616</v>
      </c>
      <c r="G2059" s="49" t="s">
        <v>772</v>
      </c>
      <c r="H2059" s="49" t="s">
        <v>1132</v>
      </c>
      <c r="I2059" s="49" t="s">
        <v>885</v>
      </c>
    </row>
    <row r="2060" customFormat="false" ht="25.5" hidden="false" customHeight="true" outlineLevel="0" collapsed="false">
      <c r="A2060" s="49" t="s">
        <v>1120</v>
      </c>
      <c r="B2060" s="49" t="s">
        <v>1127</v>
      </c>
      <c r="C2060" s="49" t="s">
        <v>1128</v>
      </c>
      <c r="D2060" s="49" t="s">
        <v>1129</v>
      </c>
      <c r="E2060" s="49" t="s">
        <v>1130</v>
      </c>
      <c r="F2060" s="49" t="s">
        <v>1131</v>
      </c>
      <c r="G2060" s="49" t="s">
        <v>772</v>
      </c>
      <c r="H2060" s="49" t="s">
        <v>1132</v>
      </c>
      <c r="I2060" s="49" t="s">
        <v>885</v>
      </c>
    </row>
    <row r="2061" customFormat="false" ht="25.5" hidden="false" customHeight="true" outlineLevel="0" collapsed="false">
      <c r="A2061" s="49" t="s">
        <v>1120</v>
      </c>
      <c r="B2061" s="49" t="s">
        <v>1127</v>
      </c>
      <c r="C2061" s="49" t="s">
        <v>1133</v>
      </c>
      <c r="D2061" s="49" t="s">
        <v>1134</v>
      </c>
      <c r="E2061" s="49" t="s">
        <v>1135</v>
      </c>
      <c r="F2061" s="49" t="s">
        <v>1136</v>
      </c>
      <c r="G2061" s="49" t="s">
        <v>772</v>
      </c>
      <c r="H2061" s="49" t="s">
        <v>1132</v>
      </c>
      <c r="I2061" s="49" t="s">
        <v>885</v>
      </c>
    </row>
    <row r="2062" customFormat="false" ht="25.5" hidden="false" customHeight="true" outlineLevel="0" collapsed="false">
      <c r="A2062" s="49" t="s">
        <v>1120</v>
      </c>
      <c r="B2062" s="49" t="s">
        <v>1127</v>
      </c>
      <c r="C2062" s="49" t="s">
        <v>1137</v>
      </c>
      <c r="D2062" s="49" t="s">
        <v>1129</v>
      </c>
      <c r="E2062" s="49" t="s">
        <v>1135</v>
      </c>
      <c r="F2062" s="49" t="s">
        <v>1138</v>
      </c>
      <c r="G2062" s="49" t="s">
        <v>772</v>
      </c>
      <c r="H2062" s="49" t="s">
        <v>1132</v>
      </c>
      <c r="I2062" s="49" t="s">
        <v>885</v>
      </c>
    </row>
    <row r="2063" customFormat="false" ht="25.5" hidden="false" customHeight="true" outlineLevel="0" collapsed="false">
      <c r="A2063" s="49" t="s">
        <v>1120</v>
      </c>
      <c r="B2063" s="49" t="s">
        <v>1127</v>
      </c>
      <c r="C2063" s="49" t="s">
        <v>1139</v>
      </c>
      <c r="D2063" s="49" t="s">
        <v>1134</v>
      </c>
      <c r="E2063" s="49" t="s">
        <v>1135</v>
      </c>
      <c r="F2063" s="49" t="s">
        <v>1136</v>
      </c>
      <c r="G2063" s="49" t="s">
        <v>772</v>
      </c>
      <c r="H2063" s="49" t="s">
        <v>1132</v>
      </c>
      <c r="I2063" s="49" t="s">
        <v>885</v>
      </c>
    </row>
    <row r="2064" customFormat="false" ht="25.5" hidden="false" customHeight="true" outlineLevel="0" collapsed="false">
      <c r="A2064" s="49" t="s">
        <v>1120</v>
      </c>
      <c r="B2064" s="49" t="s">
        <v>1127</v>
      </c>
      <c r="C2064" s="49" t="s">
        <v>1140</v>
      </c>
      <c r="D2064" s="49" t="s">
        <v>1141</v>
      </c>
      <c r="E2064" s="49" t="s">
        <v>1142</v>
      </c>
      <c r="F2064" s="49" t="s">
        <v>1143</v>
      </c>
      <c r="G2064" s="49" t="s">
        <v>772</v>
      </c>
      <c r="H2064" s="49" t="s">
        <v>1132</v>
      </c>
      <c r="I2064" s="49" t="s">
        <v>885</v>
      </c>
    </row>
    <row r="2065" customFormat="false" ht="25.5" hidden="false" customHeight="true" outlineLevel="0" collapsed="false">
      <c r="A2065" s="49" t="s">
        <v>1120</v>
      </c>
      <c r="B2065" s="49" t="s">
        <v>1127</v>
      </c>
      <c r="C2065" s="49" t="s">
        <v>1144</v>
      </c>
      <c r="D2065" s="49" t="s">
        <v>1134</v>
      </c>
      <c r="E2065" s="49" t="s">
        <v>1145</v>
      </c>
      <c r="F2065" s="49" t="s">
        <v>1146</v>
      </c>
      <c r="G2065" s="49" t="s">
        <v>772</v>
      </c>
      <c r="H2065" s="49" t="s">
        <v>1132</v>
      </c>
      <c r="I2065" s="49" t="s">
        <v>885</v>
      </c>
    </row>
    <row r="2066" customFormat="false" ht="25.5" hidden="false" customHeight="true" outlineLevel="0" collapsed="false">
      <c r="A2066" s="49" t="s">
        <v>1120</v>
      </c>
      <c r="B2066" s="49" t="s">
        <v>1127</v>
      </c>
      <c r="C2066" s="49" t="s">
        <v>1147</v>
      </c>
      <c r="D2066" s="49" t="s">
        <v>1148</v>
      </c>
      <c r="E2066" s="49" t="s">
        <v>1135</v>
      </c>
      <c r="F2066" s="49" t="s">
        <v>1136</v>
      </c>
      <c r="G2066" s="49" t="s">
        <v>772</v>
      </c>
      <c r="H2066" s="49" t="s">
        <v>1132</v>
      </c>
      <c r="I2066" s="49" t="s">
        <v>885</v>
      </c>
    </row>
    <row r="2067" customFormat="false" ht="25.5" hidden="false" customHeight="true" outlineLevel="0" collapsed="false">
      <c r="A2067" s="49" t="s">
        <v>1120</v>
      </c>
      <c r="B2067" s="49" t="s">
        <v>1127</v>
      </c>
      <c r="C2067" s="49" t="s">
        <v>1149</v>
      </c>
      <c r="D2067" s="49" t="s">
        <v>1134</v>
      </c>
      <c r="E2067" s="49" t="s">
        <v>1135</v>
      </c>
      <c r="F2067" s="49" t="s">
        <v>1136</v>
      </c>
      <c r="G2067" s="49" t="s">
        <v>772</v>
      </c>
      <c r="H2067" s="49" t="s">
        <v>1132</v>
      </c>
      <c r="I2067" s="49" t="s">
        <v>885</v>
      </c>
    </row>
    <row r="2068" customFormat="false" ht="25.5" hidden="false" customHeight="true" outlineLevel="0" collapsed="false">
      <c r="A2068" s="49" t="s">
        <v>1120</v>
      </c>
      <c r="B2068" s="49" t="s">
        <v>1127</v>
      </c>
      <c r="C2068" s="49" t="s">
        <v>1150</v>
      </c>
      <c r="D2068" s="49" t="s">
        <v>1151</v>
      </c>
      <c r="E2068" s="49" t="s">
        <v>1152</v>
      </c>
      <c r="F2068" s="49" t="s">
        <v>1153</v>
      </c>
      <c r="G2068" s="49" t="s">
        <v>772</v>
      </c>
      <c r="H2068" s="49" t="s">
        <v>1132</v>
      </c>
      <c r="I2068" s="49" t="s">
        <v>885</v>
      </c>
    </row>
    <row r="2069" customFormat="false" ht="25.5" hidden="false" customHeight="true" outlineLevel="0" collapsed="false">
      <c r="A2069" s="49" t="s">
        <v>1120</v>
      </c>
      <c r="B2069" s="49" t="s">
        <v>1127</v>
      </c>
      <c r="C2069" s="49" t="s">
        <v>1154</v>
      </c>
      <c r="D2069" s="49" t="s">
        <v>1134</v>
      </c>
      <c r="E2069" s="49" t="s">
        <v>1135</v>
      </c>
      <c r="F2069" s="49" t="s">
        <v>1136</v>
      </c>
      <c r="G2069" s="49" t="s">
        <v>772</v>
      </c>
      <c r="H2069" s="49" t="s">
        <v>1132</v>
      </c>
      <c r="I2069" s="49" t="s">
        <v>885</v>
      </c>
    </row>
    <row r="2070" customFormat="false" ht="25.5" hidden="false" customHeight="true" outlineLevel="0" collapsed="false">
      <c r="A2070" s="49" t="s">
        <v>1120</v>
      </c>
      <c r="B2070" s="49" t="s">
        <v>1127</v>
      </c>
      <c r="C2070" s="49" t="s">
        <v>1155</v>
      </c>
      <c r="D2070" s="49" t="s">
        <v>1156</v>
      </c>
      <c r="E2070" s="49" t="s">
        <v>1157</v>
      </c>
      <c r="F2070" s="49" t="s">
        <v>1158</v>
      </c>
      <c r="G2070" s="49" t="s">
        <v>772</v>
      </c>
      <c r="H2070" s="49" t="s">
        <v>1132</v>
      </c>
      <c r="I2070" s="49" t="s">
        <v>885</v>
      </c>
    </row>
    <row r="2071" customFormat="false" ht="25.5" hidden="false" customHeight="true" outlineLevel="0" collapsed="false">
      <c r="A2071" s="49" t="s">
        <v>1120</v>
      </c>
      <c r="B2071" s="49" t="s">
        <v>1127</v>
      </c>
      <c r="C2071" s="49" t="s">
        <v>1159</v>
      </c>
      <c r="D2071" s="49" t="s">
        <v>1148</v>
      </c>
      <c r="E2071" s="49" t="s">
        <v>1135</v>
      </c>
      <c r="F2071" s="49" t="s">
        <v>1136</v>
      </c>
      <c r="G2071" s="49" t="s">
        <v>772</v>
      </c>
      <c r="H2071" s="49" t="s">
        <v>1132</v>
      </c>
      <c r="I2071" s="49" t="s">
        <v>885</v>
      </c>
    </row>
    <row r="2072" customFormat="false" ht="25.5" hidden="false" customHeight="true" outlineLevel="0" collapsed="false">
      <c r="A2072" s="49" t="s">
        <v>1120</v>
      </c>
      <c r="B2072" s="49" t="s">
        <v>1127</v>
      </c>
      <c r="C2072" s="49" t="s">
        <v>1160</v>
      </c>
      <c r="D2072" s="49" t="s">
        <v>1134</v>
      </c>
      <c r="E2072" s="49" t="s">
        <v>1157</v>
      </c>
      <c r="F2072" s="49" t="s">
        <v>1158</v>
      </c>
      <c r="G2072" s="49" t="s">
        <v>772</v>
      </c>
      <c r="H2072" s="49" t="s">
        <v>1132</v>
      </c>
      <c r="I2072" s="49" t="s">
        <v>885</v>
      </c>
    </row>
    <row r="2073" customFormat="false" ht="25.5" hidden="false" customHeight="true" outlineLevel="0" collapsed="false">
      <c r="A2073" s="49" t="s">
        <v>1120</v>
      </c>
      <c r="B2073" s="49" t="s">
        <v>1127</v>
      </c>
      <c r="C2073" s="49" t="s">
        <v>1161</v>
      </c>
      <c r="D2073" s="49" t="s">
        <v>1162</v>
      </c>
      <c r="E2073" s="49" t="s">
        <v>1163</v>
      </c>
      <c r="F2073" s="49" t="s">
        <v>1164</v>
      </c>
      <c r="G2073" s="49" t="s">
        <v>772</v>
      </c>
      <c r="H2073" s="49" t="s">
        <v>1132</v>
      </c>
      <c r="I2073" s="49" t="s">
        <v>885</v>
      </c>
    </row>
    <row r="2074" customFormat="false" ht="25.5" hidden="false" customHeight="true" outlineLevel="0" collapsed="false">
      <c r="A2074" s="49" t="s">
        <v>1120</v>
      </c>
      <c r="B2074" s="49" t="s">
        <v>1127</v>
      </c>
      <c r="C2074" s="49" t="s">
        <v>1165</v>
      </c>
      <c r="D2074" s="49" t="s">
        <v>1156</v>
      </c>
      <c r="E2074" s="49" t="s">
        <v>146</v>
      </c>
      <c r="F2074" s="49" t="s">
        <v>1166</v>
      </c>
      <c r="G2074" s="49" t="s">
        <v>772</v>
      </c>
      <c r="H2074" s="49" t="s">
        <v>1132</v>
      </c>
      <c r="I2074" s="49" t="s">
        <v>885</v>
      </c>
    </row>
    <row r="2075" customFormat="false" ht="25.5" hidden="false" customHeight="true" outlineLevel="0" collapsed="false">
      <c r="A2075" s="49" t="s">
        <v>1120</v>
      </c>
      <c r="B2075" s="49" t="s">
        <v>1127</v>
      </c>
      <c r="C2075" s="49" t="s">
        <v>1167</v>
      </c>
      <c r="D2075" s="49" t="s">
        <v>1141</v>
      </c>
      <c r="E2075" s="49" t="s">
        <v>1135</v>
      </c>
      <c r="F2075" s="49" t="s">
        <v>1136</v>
      </c>
      <c r="G2075" s="49" t="s">
        <v>772</v>
      </c>
      <c r="H2075" s="49" t="s">
        <v>1132</v>
      </c>
      <c r="I2075" s="49" t="s">
        <v>885</v>
      </c>
    </row>
    <row r="2076" customFormat="false" ht="25.5" hidden="false" customHeight="true" outlineLevel="0" collapsed="false">
      <c r="A2076" s="49" t="s">
        <v>1120</v>
      </c>
      <c r="B2076" s="49" t="s">
        <v>1127</v>
      </c>
      <c r="C2076" s="49" t="s">
        <v>1168</v>
      </c>
      <c r="D2076" s="49" t="s">
        <v>1141</v>
      </c>
      <c r="E2076" s="49" t="s">
        <v>1145</v>
      </c>
      <c r="F2076" s="49" t="s">
        <v>1146</v>
      </c>
      <c r="G2076" s="49" t="s">
        <v>772</v>
      </c>
      <c r="H2076" s="49" t="s">
        <v>1132</v>
      </c>
      <c r="I2076" s="49" t="s">
        <v>885</v>
      </c>
    </row>
    <row r="2077" customFormat="false" ht="25.5" hidden="false" customHeight="true" outlineLevel="0" collapsed="false">
      <c r="A2077" s="49" t="s">
        <v>1120</v>
      </c>
      <c r="B2077" s="49" t="s">
        <v>1127</v>
      </c>
      <c r="C2077" s="49" t="s">
        <v>1169</v>
      </c>
      <c r="D2077" s="49" t="s">
        <v>1148</v>
      </c>
      <c r="E2077" s="49" t="s">
        <v>1135</v>
      </c>
      <c r="F2077" s="49" t="s">
        <v>1170</v>
      </c>
      <c r="G2077" s="49" t="s">
        <v>772</v>
      </c>
      <c r="H2077" s="49" t="s">
        <v>1132</v>
      </c>
      <c r="I2077" s="49" t="s">
        <v>885</v>
      </c>
    </row>
    <row r="2078" customFormat="false" ht="25.5" hidden="false" customHeight="true" outlineLevel="0" collapsed="false">
      <c r="A2078" s="49" t="s">
        <v>1120</v>
      </c>
      <c r="B2078" s="49" t="s">
        <v>1127</v>
      </c>
      <c r="C2078" s="49" t="s">
        <v>1171</v>
      </c>
      <c r="D2078" s="49" t="s">
        <v>1172</v>
      </c>
      <c r="E2078" s="49" t="s">
        <v>1173</v>
      </c>
      <c r="F2078" s="49" t="s">
        <v>1174</v>
      </c>
      <c r="G2078" s="49" t="s">
        <v>772</v>
      </c>
      <c r="H2078" s="49" t="s">
        <v>1132</v>
      </c>
      <c r="I2078" s="49" t="s">
        <v>885</v>
      </c>
    </row>
    <row r="2079" customFormat="false" ht="25.5" hidden="false" customHeight="true" outlineLevel="0" collapsed="false">
      <c r="A2079" s="49" t="s">
        <v>1120</v>
      </c>
      <c r="B2079" s="49" t="s">
        <v>1127</v>
      </c>
      <c r="C2079" s="49" t="s">
        <v>1175</v>
      </c>
      <c r="D2079" s="49" t="s">
        <v>1162</v>
      </c>
      <c r="E2079" s="49" t="s">
        <v>893</v>
      </c>
      <c r="F2079" s="49" t="s">
        <v>1176</v>
      </c>
      <c r="G2079" s="49" t="s">
        <v>772</v>
      </c>
      <c r="H2079" s="49" t="s">
        <v>1132</v>
      </c>
      <c r="I2079" s="49" t="s">
        <v>885</v>
      </c>
    </row>
    <row r="2080" customFormat="false" ht="25.5" hidden="false" customHeight="true" outlineLevel="0" collapsed="false">
      <c r="A2080" s="49" t="s">
        <v>1120</v>
      </c>
      <c r="B2080" s="49" t="s">
        <v>1127</v>
      </c>
      <c r="C2080" s="49" t="s">
        <v>1177</v>
      </c>
      <c r="D2080" s="49" t="s">
        <v>1148</v>
      </c>
      <c r="E2080" s="49" t="s">
        <v>217</v>
      </c>
      <c r="F2080" s="49" t="s">
        <v>1178</v>
      </c>
      <c r="G2080" s="49" t="s">
        <v>772</v>
      </c>
      <c r="H2080" s="49" t="s">
        <v>1132</v>
      </c>
      <c r="I2080" s="49" t="s">
        <v>885</v>
      </c>
    </row>
    <row r="2081" customFormat="false" ht="25.5" hidden="false" customHeight="true" outlineLevel="0" collapsed="false">
      <c r="A2081" s="49" t="s">
        <v>1120</v>
      </c>
      <c r="B2081" s="49" t="s">
        <v>1127</v>
      </c>
      <c r="C2081" s="49" t="s">
        <v>1179</v>
      </c>
      <c r="D2081" s="49" t="s">
        <v>1151</v>
      </c>
      <c r="E2081" s="49" t="s">
        <v>1180</v>
      </c>
      <c r="F2081" s="49" t="s">
        <v>1181</v>
      </c>
      <c r="G2081" s="49" t="s">
        <v>772</v>
      </c>
      <c r="H2081" s="49" t="s">
        <v>1132</v>
      </c>
      <c r="I2081" s="49" t="s">
        <v>885</v>
      </c>
    </row>
    <row r="2082" customFormat="false" ht="25.5" hidden="false" customHeight="true" outlineLevel="0" collapsed="false">
      <c r="A2082" s="49" t="s">
        <v>1120</v>
      </c>
      <c r="B2082" s="49" t="s">
        <v>1127</v>
      </c>
      <c r="C2082" s="49" t="s">
        <v>1182</v>
      </c>
      <c r="D2082" s="49" t="s">
        <v>1148</v>
      </c>
      <c r="E2082" s="49" t="s">
        <v>1183</v>
      </c>
      <c r="F2082" s="49" t="s">
        <v>1184</v>
      </c>
      <c r="G2082" s="49" t="s">
        <v>772</v>
      </c>
      <c r="H2082" s="49" t="s">
        <v>1132</v>
      </c>
      <c r="I2082" s="49" t="s">
        <v>885</v>
      </c>
    </row>
    <row r="2083" customFormat="false" ht="25.5" hidden="false" customHeight="true" outlineLevel="0" collapsed="false">
      <c r="A2083" s="49" t="s">
        <v>1120</v>
      </c>
      <c r="B2083" s="49" t="s">
        <v>1127</v>
      </c>
      <c r="C2083" s="49" t="s">
        <v>1185</v>
      </c>
      <c r="D2083" s="49" t="s">
        <v>1134</v>
      </c>
      <c r="E2083" s="49" t="s">
        <v>1186</v>
      </c>
      <c r="F2083" s="49" t="s">
        <v>1187</v>
      </c>
      <c r="G2083" s="49" t="s">
        <v>772</v>
      </c>
      <c r="H2083" s="49" t="s">
        <v>1132</v>
      </c>
      <c r="I2083" s="49" t="s">
        <v>885</v>
      </c>
    </row>
    <row r="2084" customFormat="false" ht="25.5" hidden="false" customHeight="true" outlineLevel="0" collapsed="false">
      <c r="A2084" s="49" t="s">
        <v>1120</v>
      </c>
      <c r="B2084" s="49" t="s">
        <v>1127</v>
      </c>
      <c r="C2084" s="49" t="s">
        <v>1188</v>
      </c>
      <c r="D2084" s="49" t="s">
        <v>1134</v>
      </c>
      <c r="E2084" s="49" t="s">
        <v>1189</v>
      </c>
      <c r="F2084" s="49" t="s">
        <v>1190</v>
      </c>
      <c r="G2084" s="49" t="s">
        <v>772</v>
      </c>
      <c r="H2084" s="49" t="s">
        <v>1132</v>
      </c>
      <c r="I2084" s="49" t="s">
        <v>885</v>
      </c>
    </row>
    <row r="2085" customFormat="false" ht="25.5" hidden="false" customHeight="true" outlineLevel="0" collapsed="false">
      <c r="A2085" s="49" t="s">
        <v>1120</v>
      </c>
      <c r="B2085" s="49" t="s">
        <v>1127</v>
      </c>
      <c r="C2085" s="49" t="s">
        <v>1191</v>
      </c>
      <c r="D2085" s="49" t="s">
        <v>1151</v>
      </c>
      <c r="E2085" s="49" t="s">
        <v>1142</v>
      </c>
      <c r="F2085" s="49" t="s">
        <v>1192</v>
      </c>
      <c r="G2085" s="49" t="s">
        <v>772</v>
      </c>
      <c r="H2085" s="49" t="s">
        <v>1132</v>
      </c>
      <c r="I2085" s="49" t="s">
        <v>885</v>
      </c>
    </row>
    <row r="2086" customFormat="false" ht="25.5" hidden="false" customHeight="true" outlineLevel="0" collapsed="false">
      <c r="A2086" s="49" t="s">
        <v>1120</v>
      </c>
      <c r="B2086" s="49" t="s">
        <v>1127</v>
      </c>
      <c r="C2086" s="49" t="s">
        <v>1193</v>
      </c>
      <c r="D2086" s="49" t="s">
        <v>1148</v>
      </c>
      <c r="E2086" s="49" t="s">
        <v>1194</v>
      </c>
      <c r="F2086" s="49" t="s">
        <v>1195</v>
      </c>
      <c r="G2086" s="49" t="s">
        <v>772</v>
      </c>
      <c r="H2086" s="49" t="s">
        <v>1132</v>
      </c>
      <c r="I2086" s="49" t="s">
        <v>885</v>
      </c>
    </row>
    <row r="2087" customFormat="false" ht="25.5" hidden="false" customHeight="true" outlineLevel="0" collapsed="false">
      <c r="A2087" s="49" t="s">
        <v>1120</v>
      </c>
      <c r="B2087" s="49" t="s">
        <v>1196</v>
      </c>
      <c r="C2087" s="49" t="s">
        <v>1171</v>
      </c>
      <c r="D2087" s="49" t="s">
        <v>1172</v>
      </c>
      <c r="E2087" s="49" t="s">
        <v>1173</v>
      </c>
      <c r="F2087" s="49" t="s">
        <v>1197</v>
      </c>
      <c r="G2087" s="49" t="s">
        <v>772</v>
      </c>
      <c r="H2087" s="49" t="s">
        <v>1132</v>
      </c>
      <c r="I2087" s="49" t="s">
        <v>885</v>
      </c>
    </row>
    <row r="2088" customFormat="false" ht="25.5" hidden="false" customHeight="true" outlineLevel="0" collapsed="false">
      <c r="A2088" s="49" t="s">
        <v>1120</v>
      </c>
      <c r="B2088" s="49" t="s">
        <v>1196</v>
      </c>
      <c r="C2088" s="49" t="s">
        <v>1198</v>
      </c>
      <c r="D2088" s="49" t="s">
        <v>1199</v>
      </c>
      <c r="E2088" s="49" t="s">
        <v>1200</v>
      </c>
      <c r="F2088" s="49" t="s">
        <v>1201</v>
      </c>
      <c r="G2088" s="49" t="s">
        <v>772</v>
      </c>
      <c r="H2088" s="49" t="s">
        <v>1132</v>
      </c>
      <c r="I2088" s="49" t="s">
        <v>885</v>
      </c>
    </row>
    <row r="2089" customFormat="false" ht="25.5" hidden="false" customHeight="true" outlineLevel="0" collapsed="false">
      <c r="A2089" s="49" t="s">
        <v>1120</v>
      </c>
      <c r="B2089" s="49" t="s">
        <v>1196</v>
      </c>
      <c r="C2089" s="49" t="s">
        <v>1202</v>
      </c>
      <c r="D2089" s="49" t="s">
        <v>1151</v>
      </c>
      <c r="E2089" s="49" t="s">
        <v>217</v>
      </c>
      <c r="F2089" s="49" t="s">
        <v>1203</v>
      </c>
      <c r="G2089" s="49" t="s">
        <v>772</v>
      </c>
      <c r="H2089" s="49" t="s">
        <v>1132</v>
      </c>
      <c r="I2089" s="49" t="s">
        <v>885</v>
      </c>
    </row>
    <row r="2090" customFormat="false" ht="25.5" hidden="false" customHeight="true" outlineLevel="0" collapsed="false">
      <c r="A2090" s="49" t="s">
        <v>1120</v>
      </c>
      <c r="B2090" s="49" t="s">
        <v>1196</v>
      </c>
      <c r="C2090" s="49" t="s">
        <v>1204</v>
      </c>
      <c r="D2090" s="49" t="s">
        <v>1151</v>
      </c>
      <c r="E2090" s="49" t="s">
        <v>1205</v>
      </c>
      <c r="F2090" s="49" t="s">
        <v>1206</v>
      </c>
      <c r="G2090" s="49" t="s">
        <v>772</v>
      </c>
      <c r="H2090" s="49" t="s">
        <v>1132</v>
      </c>
      <c r="I2090" s="49" t="s">
        <v>885</v>
      </c>
    </row>
    <row r="2091" customFormat="false" ht="25.5" hidden="false" customHeight="true" outlineLevel="0" collapsed="false">
      <c r="A2091" s="49" t="s">
        <v>1120</v>
      </c>
      <c r="B2091" s="49" t="s">
        <v>1196</v>
      </c>
      <c r="C2091" s="49" t="s">
        <v>1207</v>
      </c>
      <c r="D2091" s="49" t="s">
        <v>1208</v>
      </c>
      <c r="E2091" s="49" t="s">
        <v>1183</v>
      </c>
      <c r="F2091" s="49" t="s">
        <v>1209</v>
      </c>
      <c r="G2091" s="49" t="s">
        <v>772</v>
      </c>
      <c r="H2091" s="49" t="s">
        <v>1132</v>
      </c>
      <c r="I2091" s="49" t="s">
        <v>885</v>
      </c>
    </row>
    <row r="2092" customFormat="false" ht="25.5" hidden="false" customHeight="true" outlineLevel="0" collapsed="false">
      <c r="A2092" s="49" t="s">
        <v>1120</v>
      </c>
      <c r="B2092" s="49" t="s">
        <v>1196</v>
      </c>
      <c r="C2092" s="49" t="s">
        <v>1210</v>
      </c>
      <c r="D2092" s="49" t="s">
        <v>1141</v>
      </c>
      <c r="E2092" s="49" t="s">
        <v>1135</v>
      </c>
      <c r="F2092" s="49" t="s">
        <v>1211</v>
      </c>
      <c r="G2092" s="49" t="s">
        <v>772</v>
      </c>
      <c r="H2092" s="49" t="s">
        <v>1132</v>
      </c>
      <c r="I2092" s="49" t="s">
        <v>885</v>
      </c>
    </row>
    <row r="2093" customFormat="false" ht="25.5" hidden="false" customHeight="true" outlineLevel="0" collapsed="false">
      <c r="A2093" s="49" t="s">
        <v>1120</v>
      </c>
      <c r="B2093" s="49" t="s">
        <v>1196</v>
      </c>
      <c r="C2093" s="49" t="s">
        <v>1212</v>
      </c>
      <c r="D2093" s="49" t="s">
        <v>1156</v>
      </c>
      <c r="E2093" s="49" t="s">
        <v>1213</v>
      </c>
      <c r="F2093" s="49" t="s">
        <v>1214</v>
      </c>
      <c r="G2093" s="49" t="s">
        <v>772</v>
      </c>
      <c r="H2093" s="49" t="s">
        <v>1132</v>
      </c>
      <c r="I2093" s="49" t="s">
        <v>885</v>
      </c>
    </row>
    <row r="2094" customFormat="false" ht="25.5" hidden="false" customHeight="true" outlineLevel="0" collapsed="false">
      <c r="A2094" s="49" t="s">
        <v>1120</v>
      </c>
      <c r="B2094" s="49" t="s">
        <v>1196</v>
      </c>
      <c r="C2094" s="49" t="s">
        <v>1215</v>
      </c>
      <c r="D2094" s="49" t="s">
        <v>1151</v>
      </c>
      <c r="E2094" s="49" t="s">
        <v>1135</v>
      </c>
      <c r="F2094" s="49" t="s">
        <v>1216</v>
      </c>
      <c r="G2094" s="49" t="s">
        <v>772</v>
      </c>
      <c r="H2094" s="49" t="s">
        <v>1132</v>
      </c>
      <c r="I2094" s="49" t="s">
        <v>885</v>
      </c>
    </row>
    <row r="2095" customFormat="false" ht="25.5" hidden="false" customHeight="true" outlineLevel="0" collapsed="false">
      <c r="A2095" s="49" t="s">
        <v>1120</v>
      </c>
      <c r="B2095" s="49" t="s">
        <v>1196</v>
      </c>
      <c r="C2095" s="49" t="s">
        <v>1217</v>
      </c>
      <c r="D2095" s="49" t="s">
        <v>1218</v>
      </c>
      <c r="E2095" s="49" t="s">
        <v>146</v>
      </c>
      <c r="F2095" s="49" t="s">
        <v>1219</v>
      </c>
      <c r="G2095" s="49" t="s">
        <v>772</v>
      </c>
      <c r="H2095" s="49" t="s">
        <v>1132</v>
      </c>
      <c r="I2095" s="49" t="s">
        <v>885</v>
      </c>
    </row>
    <row r="2096" customFormat="false" ht="25.5" hidden="false" customHeight="true" outlineLevel="0" collapsed="false">
      <c r="A2096" s="49" t="s">
        <v>1120</v>
      </c>
      <c r="B2096" s="49" t="s">
        <v>1196</v>
      </c>
      <c r="C2096" s="49" t="s">
        <v>1220</v>
      </c>
      <c r="D2096" s="49" t="s">
        <v>1129</v>
      </c>
      <c r="E2096" s="49" t="s">
        <v>1183</v>
      </c>
      <c r="F2096" s="49" t="s">
        <v>1221</v>
      </c>
      <c r="G2096" s="49" t="s">
        <v>772</v>
      </c>
      <c r="H2096" s="49" t="s">
        <v>1132</v>
      </c>
      <c r="I2096" s="49" t="s">
        <v>885</v>
      </c>
    </row>
    <row r="2097" customFormat="false" ht="25.5" hidden="false" customHeight="true" outlineLevel="0" collapsed="false">
      <c r="A2097" s="49" t="s">
        <v>1120</v>
      </c>
      <c r="B2097" s="49" t="s">
        <v>1196</v>
      </c>
      <c r="C2097" s="49" t="s">
        <v>1222</v>
      </c>
      <c r="D2097" s="49" t="s">
        <v>1141</v>
      </c>
      <c r="E2097" s="49" t="s">
        <v>1223</v>
      </c>
      <c r="F2097" s="49" t="s">
        <v>1224</v>
      </c>
      <c r="G2097" s="49" t="s">
        <v>772</v>
      </c>
      <c r="H2097" s="49" t="s">
        <v>1132</v>
      </c>
      <c r="I2097" s="49" t="s">
        <v>885</v>
      </c>
    </row>
    <row r="2098" customFormat="false" ht="25.5" hidden="false" customHeight="true" outlineLevel="0" collapsed="false">
      <c r="A2098" s="49" t="s">
        <v>1120</v>
      </c>
      <c r="B2098" s="49" t="s">
        <v>1196</v>
      </c>
      <c r="C2098" s="49" t="s">
        <v>1225</v>
      </c>
      <c r="D2098" s="49" t="s">
        <v>1141</v>
      </c>
      <c r="E2098" s="49" t="s">
        <v>1226</v>
      </c>
      <c r="F2098" s="49" t="s">
        <v>1227</v>
      </c>
      <c r="G2098" s="49" t="s">
        <v>772</v>
      </c>
      <c r="H2098" s="49" t="s">
        <v>1132</v>
      </c>
      <c r="I2098" s="49" t="s">
        <v>885</v>
      </c>
    </row>
    <row r="2099" customFormat="false" ht="25.5" hidden="false" customHeight="true" outlineLevel="0" collapsed="false">
      <c r="A2099" s="49" t="s">
        <v>1120</v>
      </c>
      <c r="B2099" s="49" t="s">
        <v>1196</v>
      </c>
      <c r="C2099" s="49" t="s">
        <v>1228</v>
      </c>
      <c r="D2099" s="49" t="s">
        <v>1199</v>
      </c>
      <c r="E2099" s="49" t="s">
        <v>1135</v>
      </c>
      <c r="F2099" s="49" t="s">
        <v>1229</v>
      </c>
      <c r="G2099" s="49" t="s">
        <v>772</v>
      </c>
      <c r="H2099" s="49" t="s">
        <v>1132</v>
      </c>
      <c r="I2099" s="49" t="s">
        <v>885</v>
      </c>
    </row>
    <row r="2100" customFormat="false" ht="25.5" hidden="false" customHeight="true" outlineLevel="0" collapsed="false">
      <c r="A2100" s="49" t="s">
        <v>1120</v>
      </c>
      <c r="B2100" s="49" t="s">
        <v>1196</v>
      </c>
      <c r="C2100" s="49" t="s">
        <v>1230</v>
      </c>
      <c r="D2100" s="49" t="s">
        <v>1208</v>
      </c>
      <c r="E2100" s="49" t="s">
        <v>1183</v>
      </c>
      <c r="F2100" s="49" t="s">
        <v>1231</v>
      </c>
      <c r="G2100" s="49" t="s">
        <v>772</v>
      </c>
      <c r="H2100" s="49" t="s">
        <v>1132</v>
      </c>
      <c r="I2100" s="49" t="s">
        <v>885</v>
      </c>
    </row>
    <row r="2101" customFormat="false" ht="25.5" hidden="false" customHeight="true" outlineLevel="0" collapsed="false">
      <c r="A2101" s="49" t="s">
        <v>1120</v>
      </c>
      <c r="B2101" s="49" t="s">
        <v>1196</v>
      </c>
      <c r="C2101" s="49" t="s">
        <v>1232</v>
      </c>
      <c r="D2101" s="49" t="s">
        <v>1208</v>
      </c>
      <c r="E2101" s="49" t="s">
        <v>1135</v>
      </c>
      <c r="F2101" s="49" t="s">
        <v>1229</v>
      </c>
      <c r="G2101" s="49" t="s">
        <v>772</v>
      </c>
      <c r="H2101" s="49" t="s">
        <v>1132</v>
      </c>
      <c r="I2101" s="49" t="s">
        <v>885</v>
      </c>
    </row>
    <row r="2102" customFormat="false" ht="25.5" hidden="false" customHeight="true" outlineLevel="0" collapsed="false">
      <c r="A2102" s="49" t="s">
        <v>1120</v>
      </c>
      <c r="B2102" s="49" t="s">
        <v>1196</v>
      </c>
      <c r="C2102" s="49" t="s">
        <v>1233</v>
      </c>
      <c r="D2102" s="49" t="s">
        <v>1129</v>
      </c>
      <c r="E2102" s="49" t="s">
        <v>1234</v>
      </c>
      <c r="F2102" s="49" t="s">
        <v>1235</v>
      </c>
      <c r="G2102" s="49" t="s">
        <v>772</v>
      </c>
      <c r="H2102" s="49" t="s">
        <v>1132</v>
      </c>
      <c r="I2102" s="49" t="s">
        <v>885</v>
      </c>
    </row>
    <row r="2103" customFormat="false" ht="25.5" hidden="false" customHeight="true" outlineLevel="0" collapsed="false">
      <c r="A2103" s="49" t="s">
        <v>1120</v>
      </c>
      <c r="B2103" s="49" t="s">
        <v>1196</v>
      </c>
      <c r="C2103" s="49" t="s">
        <v>1236</v>
      </c>
      <c r="D2103" s="49" t="s">
        <v>1199</v>
      </c>
      <c r="E2103" s="49" t="s">
        <v>1237</v>
      </c>
      <c r="F2103" s="49" t="s">
        <v>1238</v>
      </c>
      <c r="G2103" s="49" t="s">
        <v>772</v>
      </c>
      <c r="H2103" s="49" t="s">
        <v>1132</v>
      </c>
      <c r="I2103" s="49" t="s">
        <v>885</v>
      </c>
    </row>
    <row r="2104" customFormat="false" ht="25.5" hidden="false" customHeight="true" outlineLevel="0" collapsed="false">
      <c r="A2104" s="49" t="s">
        <v>1120</v>
      </c>
      <c r="B2104" s="49" t="s">
        <v>1196</v>
      </c>
      <c r="C2104" s="49" t="s">
        <v>1239</v>
      </c>
      <c r="D2104" s="49" t="s">
        <v>1134</v>
      </c>
      <c r="E2104" s="49" t="s">
        <v>1240</v>
      </c>
      <c r="F2104" s="49" t="s">
        <v>1241</v>
      </c>
      <c r="G2104" s="49" t="s">
        <v>772</v>
      </c>
      <c r="H2104" s="49" t="s">
        <v>1132</v>
      </c>
      <c r="I2104" s="49" t="s">
        <v>885</v>
      </c>
    </row>
    <row r="2105" customFormat="false" ht="25.5" hidden="false" customHeight="true" outlineLevel="0" collapsed="false">
      <c r="A2105" s="49" t="s">
        <v>1120</v>
      </c>
      <c r="B2105" s="49" t="s">
        <v>1196</v>
      </c>
      <c r="C2105" s="49" t="s">
        <v>1236</v>
      </c>
      <c r="D2105" s="49" t="s">
        <v>1199</v>
      </c>
      <c r="E2105" s="49" t="s">
        <v>1237</v>
      </c>
      <c r="F2105" s="49" t="s">
        <v>1242</v>
      </c>
      <c r="G2105" s="49" t="s">
        <v>772</v>
      </c>
      <c r="H2105" s="49" t="s">
        <v>1132</v>
      </c>
      <c r="I2105" s="49" t="s">
        <v>885</v>
      </c>
    </row>
    <row r="2106" customFormat="false" ht="25.5" hidden="false" customHeight="true" outlineLevel="0" collapsed="false">
      <c r="A2106" s="49" t="s">
        <v>1120</v>
      </c>
      <c r="B2106" s="49" t="s">
        <v>1196</v>
      </c>
      <c r="C2106" s="49" t="s">
        <v>1243</v>
      </c>
      <c r="D2106" s="49" t="s">
        <v>1151</v>
      </c>
      <c r="E2106" s="49" t="s">
        <v>217</v>
      </c>
      <c r="F2106" s="49" t="s">
        <v>1244</v>
      </c>
      <c r="G2106" s="49" t="s">
        <v>772</v>
      </c>
      <c r="H2106" s="49" t="s">
        <v>1132</v>
      </c>
      <c r="I2106" s="49" t="s">
        <v>885</v>
      </c>
    </row>
    <row r="2107" customFormat="false" ht="25.5" hidden="false" customHeight="true" outlineLevel="0" collapsed="false">
      <c r="A2107" s="49" t="s">
        <v>1120</v>
      </c>
      <c r="B2107" s="49" t="s">
        <v>1196</v>
      </c>
      <c r="C2107" s="49" t="s">
        <v>1245</v>
      </c>
      <c r="D2107" s="49" t="s">
        <v>1151</v>
      </c>
      <c r="E2107" s="49" t="s">
        <v>1183</v>
      </c>
      <c r="F2107" s="49" t="s">
        <v>1246</v>
      </c>
      <c r="G2107" s="49" t="s">
        <v>772</v>
      </c>
      <c r="H2107" s="49" t="s">
        <v>1132</v>
      </c>
      <c r="I2107" s="49" t="s">
        <v>885</v>
      </c>
    </row>
    <row r="2108" customFormat="false" ht="25.5" hidden="false" customHeight="true" outlineLevel="0" collapsed="false">
      <c r="A2108" s="49" t="s">
        <v>1120</v>
      </c>
      <c r="B2108" s="49" t="s">
        <v>1247</v>
      </c>
      <c r="C2108" s="49" t="s">
        <v>1171</v>
      </c>
      <c r="D2108" s="49" t="s">
        <v>1172</v>
      </c>
      <c r="E2108" s="49" t="s">
        <v>1173</v>
      </c>
      <c r="F2108" s="49" t="s">
        <v>1248</v>
      </c>
      <c r="G2108" s="49" t="s">
        <v>772</v>
      </c>
      <c r="H2108" s="49" t="s">
        <v>1132</v>
      </c>
      <c r="I2108" s="49" t="s">
        <v>885</v>
      </c>
    </row>
    <row r="2109" customFormat="false" ht="25.5" hidden="false" customHeight="true" outlineLevel="0" collapsed="false">
      <c r="A2109" s="49" t="s">
        <v>1120</v>
      </c>
      <c r="B2109" s="49" t="s">
        <v>1247</v>
      </c>
      <c r="C2109" s="49" t="s">
        <v>1249</v>
      </c>
      <c r="D2109" s="49" t="s">
        <v>1218</v>
      </c>
      <c r="E2109" s="49" t="s">
        <v>1250</v>
      </c>
      <c r="F2109" s="49" t="s">
        <v>1251</v>
      </c>
      <c r="G2109" s="49" t="s">
        <v>772</v>
      </c>
      <c r="H2109" s="49" t="s">
        <v>1132</v>
      </c>
      <c r="I2109" s="49" t="s">
        <v>885</v>
      </c>
    </row>
    <row r="2110" customFormat="false" ht="25.5" hidden="false" customHeight="true" outlineLevel="0" collapsed="false">
      <c r="A2110" s="49" t="s">
        <v>1120</v>
      </c>
      <c r="B2110" s="49" t="s">
        <v>1247</v>
      </c>
      <c r="C2110" s="49" t="s">
        <v>1252</v>
      </c>
      <c r="D2110" s="49" t="s">
        <v>1148</v>
      </c>
      <c r="E2110" s="49" t="s">
        <v>1183</v>
      </c>
      <c r="F2110" s="49" t="s">
        <v>1253</v>
      </c>
      <c r="G2110" s="49" t="s">
        <v>772</v>
      </c>
      <c r="H2110" s="49" t="s">
        <v>1132</v>
      </c>
      <c r="I2110" s="49" t="s">
        <v>885</v>
      </c>
    </row>
    <row r="2111" customFormat="false" ht="25.5" hidden="false" customHeight="true" outlineLevel="0" collapsed="false">
      <c r="A2111" s="49" t="s">
        <v>1120</v>
      </c>
      <c r="B2111" s="49" t="s">
        <v>1247</v>
      </c>
      <c r="C2111" s="49" t="s">
        <v>1254</v>
      </c>
      <c r="D2111" s="49" t="s">
        <v>1141</v>
      </c>
      <c r="E2111" s="49" t="s">
        <v>1135</v>
      </c>
      <c r="F2111" s="49" t="s">
        <v>1255</v>
      </c>
      <c r="G2111" s="49" t="s">
        <v>772</v>
      </c>
      <c r="H2111" s="49" t="s">
        <v>1132</v>
      </c>
      <c r="I2111" s="49" t="s">
        <v>885</v>
      </c>
    </row>
    <row r="2112" customFormat="false" ht="25.5" hidden="false" customHeight="true" outlineLevel="0" collapsed="false">
      <c r="A2112" s="49" t="s">
        <v>1120</v>
      </c>
      <c r="B2112" s="49" t="s">
        <v>1247</v>
      </c>
      <c r="C2112" s="49" t="s">
        <v>1256</v>
      </c>
      <c r="D2112" s="49" t="s">
        <v>1218</v>
      </c>
      <c r="E2112" s="49" t="s">
        <v>1135</v>
      </c>
      <c r="F2112" s="49" t="s">
        <v>1257</v>
      </c>
      <c r="G2112" s="49" t="s">
        <v>772</v>
      </c>
      <c r="H2112" s="49" t="s">
        <v>1132</v>
      </c>
      <c r="I2112" s="49" t="s">
        <v>885</v>
      </c>
    </row>
    <row r="2113" customFormat="false" ht="25.5" hidden="false" customHeight="true" outlineLevel="0" collapsed="false">
      <c r="A2113" s="49" t="s">
        <v>1120</v>
      </c>
      <c r="B2113" s="49" t="s">
        <v>1247</v>
      </c>
      <c r="C2113" s="49" t="s">
        <v>1258</v>
      </c>
      <c r="D2113" s="49" t="s">
        <v>1156</v>
      </c>
      <c r="E2113" s="49" t="s">
        <v>217</v>
      </c>
      <c r="F2113" s="49" t="s">
        <v>1259</v>
      </c>
      <c r="G2113" s="49" t="s">
        <v>772</v>
      </c>
      <c r="H2113" s="49" t="s">
        <v>1132</v>
      </c>
      <c r="I2113" s="49" t="s">
        <v>885</v>
      </c>
    </row>
    <row r="2114" customFormat="false" ht="25.5" hidden="false" customHeight="true" outlineLevel="0" collapsed="false">
      <c r="A2114" s="49" t="s">
        <v>1120</v>
      </c>
      <c r="B2114" s="49" t="s">
        <v>1247</v>
      </c>
      <c r="C2114" s="49" t="s">
        <v>1260</v>
      </c>
      <c r="D2114" s="49" t="s">
        <v>1208</v>
      </c>
      <c r="E2114" s="49" t="s">
        <v>1183</v>
      </c>
      <c r="F2114" s="49" t="s">
        <v>1261</v>
      </c>
      <c r="G2114" s="49" t="s">
        <v>772</v>
      </c>
      <c r="H2114" s="49" t="s">
        <v>1132</v>
      </c>
      <c r="I2114" s="49" t="s">
        <v>885</v>
      </c>
    </row>
    <row r="2115" customFormat="false" ht="25.5" hidden="false" customHeight="true" outlineLevel="0" collapsed="false">
      <c r="A2115" s="49" t="s">
        <v>1120</v>
      </c>
      <c r="B2115" s="49" t="s">
        <v>1247</v>
      </c>
      <c r="C2115" s="49" t="s">
        <v>1262</v>
      </c>
      <c r="D2115" s="49" t="s">
        <v>1162</v>
      </c>
      <c r="E2115" s="49" t="s">
        <v>217</v>
      </c>
      <c r="F2115" s="49" t="s">
        <v>1263</v>
      </c>
      <c r="G2115" s="49" t="s">
        <v>772</v>
      </c>
      <c r="H2115" s="49" t="s">
        <v>1132</v>
      </c>
      <c r="I2115" s="49" t="s">
        <v>885</v>
      </c>
    </row>
    <row r="2116" customFormat="false" ht="25.5" hidden="false" customHeight="true" outlineLevel="0" collapsed="false">
      <c r="A2116" s="49" t="s">
        <v>1120</v>
      </c>
      <c r="B2116" s="49" t="s">
        <v>1247</v>
      </c>
      <c r="C2116" s="49" t="s">
        <v>1264</v>
      </c>
      <c r="D2116" s="49" t="s">
        <v>1134</v>
      </c>
      <c r="E2116" s="49" t="s">
        <v>1265</v>
      </c>
      <c r="F2116" s="49" t="s">
        <v>1266</v>
      </c>
      <c r="G2116" s="49" t="s">
        <v>772</v>
      </c>
      <c r="H2116" s="49" t="s">
        <v>1132</v>
      </c>
      <c r="I2116" s="49" t="s">
        <v>885</v>
      </c>
    </row>
    <row r="2117" customFormat="false" ht="25.5" hidden="false" customHeight="true" outlineLevel="0" collapsed="false">
      <c r="A2117" s="49" t="s">
        <v>1120</v>
      </c>
      <c r="B2117" s="49" t="s">
        <v>1247</v>
      </c>
      <c r="C2117" s="49" t="s">
        <v>1267</v>
      </c>
      <c r="D2117" s="49" t="s">
        <v>1141</v>
      </c>
      <c r="E2117" s="49" t="s">
        <v>1268</v>
      </c>
      <c r="F2117" s="49" t="s">
        <v>1269</v>
      </c>
      <c r="G2117" s="49" t="s">
        <v>772</v>
      </c>
      <c r="H2117" s="49" t="s">
        <v>1132</v>
      </c>
      <c r="I2117" s="49" t="s">
        <v>885</v>
      </c>
    </row>
    <row r="2118" customFormat="false" ht="25.5" hidden="false" customHeight="true" outlineLevel="0" collapsed="false">
      <c r="A2118" s="49" t="s">
        <v>1120</v>
      </c>
      <c r="B2118" s="49" t="s">
        <v>1247</v>
      </c>
      <c r="C2118" s="49" t="s">
        <v>1270</v>
      </c>
      <c r="D2118" s="49" t="s">
        <v>1208</v>
      </c>
      <c r="E2118" s="49" t="s">
        <v>1271</v>
      </c>
      <c r="F2118" s="49" t="s">
        <v>1272</v>
      </c>
      <c r="G2118" s="49" t="s">
        <v>772</v>
      </c>
      <c r="H2118" s="49" t="s">
        <v>1132</v>
      </c>
      <c r="I2118" s="49" t="s">
        <v>885</v>
      </c>
    </row>
    <row r="2119" customFormat="false" ht="25.5" hidden="false" customHeight="true" outlineLevel="0" collapsed="false">
      <c r="A2119" s="49" t="s">
        <v>1120</v>
      </c>
      <c r="B2119" s="49" t="s">
        <v>1247</v>
      </c>
      <c r="C2119" s="49" t="s">
        <v>1273</v>
      </c>
      <c r="D2119" s="49" t="s">
        <v>1218</v>
      </c>
      <c r="E2119" s="49" t="s">
        <v>893</v>
      </c>
      <c r="F2119" s="49" t="s">
        <v>1274</v>
      </c>
      <c r="G2119" s="49" t="s">
        <v>772</v>
      </c>
      <c r="H2119" s="49" t="s">
        <v>1132</v>
      </c>
      <c r="I2119" s="49" t="s">
        <v>885</v>
      </c>
    </row>
    <row r="2120" customFormat="false" ht="25.5" hidden="false" customHeight="true" outlineLevel="0" collapsed="false">
      <c r="A2120" s="49" t="s">
        <v>1120</v>
      </c>
      <c r="B2120" s="49" t="s">
        <v>1247</v>
      </c>
      <c r="C2120" s="49" t="s">
        <v>1275</v>
      </c>
      <c r="D2120" s="49" t="s">
        <v>1156</v>
      </c>
      <c r="E2120" s="49" t="s">
        <v>893</v>
      </c>
      <c r="F2120" s="49" t="s">
        <v>1274</v>
      </c>
      <c r="G2120" s="49" t="s">
        <v>772</v>
      </c>
      <c r="H2120" s="49" t="s">
        <v>1132</v>
      </c>
      <c r="I2120" s="49" t="s">
        <v>885</v>
      </c>
    </row>
    <row r="2121" customFormat="false" ht="25.5" hidden="false" customHeight="true" outlineLevel="0" collapsed="false">
      <c r="A2121" s="49" t="s">
        <v>1120</v>
      </c>
      <c r="B2121" s="49" t="s">
        <v>1247</v>
      </c>
      <c r="C2121" s="49" t="s">
        <v>1276</v>
      </c>
      <c r="D2121" s="49" t="s">
        <v>1134</v>
      </c>
      <c r="E2121" s="49" t="s">
        <v>1183</v>
      </c>
      <c r="F2121" s="49" t="s">
        <v>1277</v>
      </c>
      <c r="G2121" s="49" t="s">
        <v>772</v>
      </c>
      <c r="H2121" s="49" t="s">
        <v>1132</v>
      </c>
      <c r="I2121" s="49" t="s">
        <v>885</v>
      </c>
    </row>
    <row r="2122" customFormat="false" ht="25.5" hidden="false" customHeight="true" outlineLevel="0" collapsed="false">
      <c r="A2122" s="49" t="s">
        <v>1120</v>
      </c>
      <c r="B2122" s="49" t="s">
        <v>1247</v>
      </c>
      <c r="C2122" s="49" t="s">
        <v>1278</v>
      </c>
      <c r="D2122" s="49" t="s">
        <v>1208</v>
      </c>
      <c r="E2122" s="49" t="s">
        <v>1279</v>
      </c>
      <c r="F2122" s="49" t="s">
        <v>1280</v>
      </c>
      <c r="G2122" s="49" t="s">
        <v>772</v>
      </c>
      <c r="H2122" s="49" t="s">
        <v>1132</v>
      </c>
      <c r="I2122" s="49" t="s">
        <v>885</v>
      </c>
    </row>
    <row r="2123" customFormat="false" ht="25.5" hidden="false" customHeight="true" outlineLevel="0" collapsed="false">
      <c r="A2123" s="49" t="s">
        <v>1120</v>
      </c>
      <c r="B2123" s="49" t="s">
        <v>1247</v>
      </c>
      <c r="C2123" s="49" t="s">
        <v>1281</v>
      </c>
      <c r="D2123" s="49" t="s">
        <v>1162</v>
      </c>
      <c r="E2123" s="49" t="s">
        <v>1163</v>
      </c>
      <c r="F2123" s="49" t="s">
        <v>1282</v>
      </c>
      <c r="G2123" s="49" t="s">
        <v>772</v>
      </c>
      <c r="H2123" s="49" t="s">
        <v>1132</v>
      </c>
      <c r="I2123" s="49" t="s">
        <v>885</v>
      </c>
    </row>
    <row r="2124" customFormat="false" ht="25.5" hidden="false" customHeight="true" outlineLevel="0" collapsed="false">
      <c r="A2124" s="49" t="s">
        <v>1120</v>
      </c>
      <c r="B2124" s="49" t="s">
        <v>1247</v>
      </c>
      <c r="C2124" s="49" t="s">
        <v>1283</v>
      </c>
      <c r="D2124" s="49" t="s">
        <v>1199</v>
      </c>
      <c r="E2124" s="49" t="s">
        <v>1284</v>
      </c>
      <c r="F2124" s="49" t="s">
        <v>1285</v>
      </c>
      <c r="G2124" s="49" t="s">
        <v>772</v>
      </c>
      <c r="H2124" s="49" t="s">
        <v>1132</v>
      </c>
      <c r="I2124" s="49" t="s">
        <v>885</v>
      </c>
    </row>
    <row r="2125" customFormat="false" ht="25.5" hidden="false" customHeight="true" outlineLevel="0" collapsed="false">
      <c r="A2125" s="49" t="s">
        <v>1120</v>
      </c>
      <c r="B2125" s="49" t="s">
        <v>1247</v>
      </c>
      <c r="C2125" s="49" t="s">
        <v>1286</v>
      </c>
      <c r="D2125" s="49" t="s">
        <v>1208</v>
      </c>
      <c r="E2125" s="49" t="s">
        <v>217</v>
      </c>
      <c r="F2125" s="49" t="s">
        <v>1287</v>
      </c>
      <c r="G2125" s="49" t="s">
        <v>772</v>
      </c>
      <c r="H2125" s="49" t="s">
        <v>1132</v>
      </c>
      <c r="I2125" s="49" t="s">
        <v>885</v>
      </c>
    </row>
    <row r="2126" customFormat="false" ht="25.5" hidden="false" customHeight="true" outlineLevel="0" collapsed="false">
      <c r="A2126" s="49" t="s">
        <v>1120</v>
      </c>
      <c r="B2126" s="49" t="s">
        <v>1247</v>
      </c>
      <c r="C2126" s="49" t="s">
        <v>1288</v>
      </c>
      <c r="D2126" s="49" t="s">
        <v>1218</v>
      </c>
      <c r="E2126" s="49" t="s">
        <v>1289</v>
      </c>
      <c r="F2126" s="49" t="s">
        <v>1290</v>
      </c>
      <c r="G2126" s="49" t="s">
        <v>772</v>
      </c>
      <c r="H2126" s="49" t="s">
        <v>1132</v>
      </c>
      <c r="I2126" s="49" t="s">
        <v>885</v>
      </c>
    </row>
    <row r="2127" customFormat="false" ht="25.5" hidden="false" customHeight="true" outlineLevel="0" collapsed="false">
      <c r="A2127" s="49" t="s">
        <v>1120</v>
      </c>
      <c r="B2127" s="49" t="s">
        <v>1247</v>
      </c>
      <c r="C2127" s="49" t="s">
        <v>1291</v>
      </c>
      <c r="D2127" s="49" t="s">
        <v>1292</v>
      </c>
      <c r="E2127" s="49" t="s">
        <v>1157</v>
      </c>
      <c r="F2127" s="49" t="s">
        <v>1293</v>
      </c>
      <c r="G2127" s="49" t="s">
        <v>772</v>
      </c>
      <c r="H2127" s="49" t="s">
        <v>1132</v>
      </c>
      <c r="I2127" s="49" t="s">
        <v>885</v>
      </c>
    </row>
    <row r="2128" customFormat="false" ht="25.5" hidden="false" customHeight="true" outlineLevel="0" collapsed="false">
      <c r="A2128" s="49" t="s">
        <v>1120</v>
      </c>
      <c r="B2128" s="49" t="s">
        <v>1294</v>
      </c>
      <c r="C2128" s="49" t="s">
        <v>1171</v>
      </c>
      <c r="D2128" s="49" t="s">
        <v>1172</v>
      </c>
      <c r="E2128" s="49" t="s">
        <v>1173</v>
      </c>
      <c r="F2128" s="49" t="s">
        <v>1174</v>
      </c>
      <c r="G2128" s="49" t="s">
        <v>772</v>
      </c>
      <c r="H2128" s="49" t="s">
        <v>1132</v>
      </c>
      <c r="I2128" s="49" t="s">
        <v>885</v>
      </c>
    </row>
    <row r="2129" customFormat="false" ht="25.5" hidden="false" customHeight="true" outlineLevel="0" collapsed="false">
      <c r="A2129" s="49" t="s">
        <v>1120</v>
      </c>
      <c r="B2129" s="49" t="s">
        <v>1294</v>
      </c>
      <c r="C2129" s="49" t="s">
        <v>1295</v>
      </c>
      <c r="D2129" s="49" t="s">
        <v>1292</v>
      </c>
      <c r="E2129" s="49" t="s">
        <v>1296</v>
      </c>
      <c r="F2129" s="49" t="s">
        <v>1297</v>
      </c>
      <c r="G2129" s="49" t="s">
        <v>772</v>
      </c>
      <c r="H2129" s="49" t="s">
        <v>1132</v>
      </c>
      <c r="I2129" s="49" t="s">
        <v>885</v>
      </c>
    </row>
    <row r="2130" customFormat="false" ht="25.5" hidden="false" customHeight="true" outlineLevel="0" collapsed="false">
      <c r="A2130" s="49" t="s">
        <v>1120</v>
      </c>
      <c r="B2130" s="49" t="s">
        <v>1294</v>
      </c>
      <c r="C2130" s="49" t="s">
        <v>1298</v>
      </c>
      <c r="D2130" s="49" t="s">
        <v>1141</v>
      </c>
      <c r="E2130" s="49" t="s">
        <v>1183</v>
      </c>
      <c r="F2130" s="49" t="s">
        <v>1299</v>
      </c>
      <c r="G2130" s="49" t="s">
        <v>772</v>
      </c>
      <c r="H2130" s="49" t="s">
        <v>1132</v>
      </c>
      <c r="I2130" s="49" t="s">
        <v>885</v>
      </c>
    </row>
    <row r="2131" customFormat="false" ht="25.5" hidden="false" customHeight="true" outlineLevel="0" collapsed="false">
      <c r="A2131" s="49" t="s">
        <v>1120</v>
      </c>
      <c r="B2131" s="49" t="s">
        <v>1294</v>
      </c>
      <c r="C2131" s="49" t="s">
        <v>1300</v>
      </c>
      <c r="D2131" s="49" t="s">
        <v>1218</v>
      </c>
      <c r="E2131" s="49" t="s">
        <v>1183</v>
      </c>
      <c r="F2131" s="49" t="s">
        <v>1301</v>
      </c>
      <c r="G2131" s="49" t="s">
        <v>772</v>
      </c>
      <c r="H2131" s="49" t="s">
        <v>1132</v>
      </c>
      <c r="I2131" s="49" t="s">
        <v>885</v>
      </c>
    </row>
    <row r="2132" customFormat="false" ht="25.5" hidden="false" customHeight="true" outlineLevel="0" collapsed="false">
      <c r="A2132" s="49" t="s">
        <v>1120</v>
      </c>
      <c r="B2132" s="49" t="s">
        <v>1294</v>
      </c>
      <c r="C2132" s="49" t="s">
        <v>1302</v>
      </c>
      <c r="D2132" s="49" t="s">
        <v>1199</v>
      </c>
      <c r="E2132" s="49" t="s">
        <v>1183</v>
      </c>
      <c r="F2132" s="49" t="s">
        <v>1303</v>
      </c>
      <c r="G2132" s="49" t="s">
        <v>772</v>
      </c>
      <c r="H2132" s="49" t="s">
        <v>1132</v>
      </c>
      <c r="I2132" s="49" t="s">
        <v>885</v>
      </c>
    </row>
    <row r="2133" customFormat="false" ht="25.5" hidden="false" customHeight="true" outlineLevel="0" collapsed="false">
      <c r="A2133" s="49" t="s">
        <v>1120</v>
      </c>
      <c r="B2133" s="49" t="s">
        <v>1294</v>
      </c>
      <c r="C2133" s="49" t="s">
        <v>1304</v>
      </c>
      <c r="D2133" s="49" t="s">
        <v>1156</v>
      </c>
      <c r="E2133" s="49" t="s">
        <v>1265</v>
      </c>
      <c r="F2133" s="49" t="s">
        <v>1305</v>
      </c>
      <c r="G2133" s="49" t="s">
        <v>772</v>
      </c>
      <c r="H2133" s="49" t="s">
        <v>1132</v>
      </c>
      <c r="I2133" s="49" t="s">
        <v>885</v>
      </c>
    </row>
    <row r="2134" customFormat="false" ht="25.5" hidden="false" customHeight="true" outlineLevel="0" collapsed="false">
      <c r="A2134" s="49" t="s">
        <v>1120</v>
      </c>
      <c r="B2134" s="49" t="s">
        <v>1294</v>
      </c>
      <c r="C2134" s="49" t="s">
        <v>1306</v>
      </c>
      <c r="D2134" s="49" t="s">
        <v>1148</v>
      </c>
      <c r="E2134" s="49" t="s">
        <v>1226</v>
      </c>
      <c r="F2134" s="49" t="s">
        <v>1307</v>
      </c>
      <c r="G2134" s="49" t="s">
        <v>772</v>
      </c>
      <c r="H2134" s="49" t="s">
        <v>1132</v>
      </c>
      <c r="I2134" s="49" t="s">
        <v>885</v>
      </c>
    </row>
    <row r="2135" customFormat="false" ht="25.5" hidden="false" customHeight="true" outlineLevel="0" collapsed="false">
      <c r="A2135" s="49" t="s">
        <v>1120</v>
      </c>
      <c r="B2135" s="49" t="s">
        <v>1294</v>
      </c>
      <c r="C2135" s="49" t="s">
        <v>1308</v>
      </c>
      <c r="D2135" s="49" t="s">
        <v>1156</v>
      </c>
      <c r="E2135" s="49" t="s">
        <v>1309</v>
      </c>
      <c r="F2135" s="49" t="s">
        <v>1310</v>
      </c>
      <c r="G2135" s="49" t="s">
        <v>772</v>
      </c>
      <c r="H2135" s="49" t="s">
        <v>1132</v>
      </c>
      <c r="I2135" s="49" t="s">
        <v>885</v>
      </c>
    </row>
    <row r="2136" customFormat="false" ht="25.5" hidden="false" customHeight="true" outlineLevel="0" collapsed="false">
      <c r="A2136" s="49" t="s">
        <v>1120</v>
      </c>
      <c r="B2136" s="49" t="s">
        <v>1294</v>
      </c>
      <c r="C2136" s="49" t="s">
        <v>1311</v>
      </c>
      <c r="D2136" s="49" t="s">
        <v>1199</v>
      </c>
      <c r="E2136" s="49" t="s">
        <v>217</v>
      </c>
      <c r="F2136" s="49" t="s">
        <v>1312</v>
      </c>
      <c r="G2136" s="49" t="s">
        <v>772</v>
      </c>
      <c r="H2136" s="49" t="s">
        <v>1132</v>
      </c>
      <c r="I2136" s="49" t="s">
        <v>885</v>
      </c>
    </row>
    <row r="2137" customFormat="false" ht="25.5" hidden="false" customHeight="true" outlineLevel="0" collapsed="false">
      <c r="A2137" s="49" t="s">
        <v>1120</v>
      </c>
      <c r="B2137" s="49" t="s">
        <v>1294</v>
      </c>
      <c r="C2137" s="49" t="s">
        <v>1313</v>
      </c>
      <c r="D2137" s="49" t="s">
        <v>1208</v>
      </c>
      <c r="E2137" s="49" t="s">
        <v>1183</v>
      </c>
      <c r="F2137" s="49" t="s">
        <v>1314</v>
      </c>
      <c r="G2137" s="49" t="s">
        <v>772</v>
      </c>
      <c r="H2137" s="49" t="s">
        <v>1132</v>
      </c>
      <c r="I2137" s="49" t="s">
        <v>885</v>
      </c>
    </row>
    <row r="2138" customFormat="false" ht="25.5" hidden="false" customHeight="true" outlineLevel="0" collapsed="false">
      <c r="A2138" s="49" t="s">
        <v>1120</v>
      </c>
      <c r="B2138" s="49" t="s">
        <v>1294</v>
      </c>
      <c r="C2138" s="49" t="s">
        <v>1315</v>
      </c>
      <c r="D2138" s="49" t="s">
        <v>1208</v>
      </c>
      <c r="E2138" s="49" t="s">
        <v>1186</v>
      </c>
      <c r="F2138" s="49" t="s">
        <v>1316</v>
      </c>
      <c r="G2138" s="49" t="s">
        <v>772</v>
      </c>
      <c r="H2138" s="49" t="s">
        <v>1132</v>
      </c>
      <c r="I2138" s="49" t="s">
        <v>885</v>
      </c>
    </row>
    <row r="2139" customFormat="false" ht="25.5" hidden="false" customHeight="true" outlineLevel="0" collapsed="false">
      <c r="A2139" s="49" t="s">
        <v>1120</v>
      </c>
      <c r="B2139" s="49" t="s">
        <v>1294</v>
      </c>
      <c r="C2139" s="49" t="s">
        <v>1317</v>
      </c>
      <c r="D2139" s="49" t="s">
        <v>1151</v>
      </c>
      <c r="E2139" s="49" t="s">
        <v>1265</v>
      </c>
      <c r="F2139" s="49" t="s">
        <v>1318</v>
      </c>
      <c r="G2139" s="49" t="s">
        <v>772</v>
      </c>
      <c r="H2139" s="49" t="s">
        <v>1132</v>
      </c>
      <c r="I2139" s="49" t="s">
        <v>885</v>
      </c>
    </row>
    <row r="2140" customFormat="false" ht="25.5" hidden="false" customHeight="true" outlineLevel="0" collapsed="false">
      <c r="A2140" s="49" t="s">
        <v>1120</v>
      </c>
      <c r="B2140" s="49" t="s">
        <v>1294</v>
      </c>
      <c r="C2140" s="49" t="s">
        <v>1319</v>
      </c>
      <c r="D2140" s="49" t="s">
        <v>1156</v>
      </c>
      <c r="E2140" s="49" t="s">
        <v>1183</v>
      </c>
      <c r="F2140" s="49" t="s">
        <v>1320</v>
      </c>
      <c r="G2140" s="49" t="s">
        <v>772</v>
      </c>
      <c r="H2140" s="49" t="s">
        <v>1132</v>
      </c>
      <c r="I2140" s="49" t="s">
        <v>885</v>
      </c>
    </row>
    <row r="2141" customFormat="false" ht="25.5" hidden="false" customHeight="true" outlineLevel="0" collapsed="false">
      <c r="A2141" s="49" t="s">
        <v>1120</v>
      </c>
      <c r="B2141" s="49" t="s">
        <v>1294</v>
      </c>
      <c r="C2141" s="49" t="s">
        <v>1321</v>
      </c>
      <c r="D2141" s="49" t="s">
        <v>1151</v>
      </c>
      <c r="E2141" s="49" t="s">
        <v>1265</v>
      </c>
      <c r="F2141" s="49" t="s">
        <v>1227</v>
      </c>
      <c r="G2141" s="49" t="s">
        <v>772</v>
      </c>
      <c r="H2141" s="49" t="s">
        <v>1132</v>
      </c>
      <c r="I2141" s="49" t="s">
        <v>885</v>
      </c>
    </row>
    <row r="2142" customFormat="false" ht="25.5" hidden="false" customHeight="true" outlineLevel="0" collapsed="false">
      <c r="A2142" s="49" t="s">
        <v>1120</v>
      </c>
      <c r="B2142" s="49" t="s">
        <v>1294</v>
      </c>
      <c r="C2142" s="49" t="s">
        <v>1322</v>
      </c>
      <c r="D2142" s="49" t="s">
        <v>1208</v>
      </c>
      <c r="E2142" s="49" t="s">
        <v>1183</v>
      </c>
      <c r="F2142" s="49" t="s">
        <v>1323</v>
      </c>
      <c r="G2142" s="49" t="s">
        <v>772</v>
      </c>
      <c r="H2142" s="49" t="s">
        <v>1132</v>
      </c>
      <c r="I2142" s="49" t="s">
        <v>885</v>
      </c>
    </row>
    <row r="2143" customFormat="false" ht="25.5" hidden="false" customHeight="true" outlineLevel="0" collapsed="false">
      <c r="A2143" s="49" t="s">
        <v>1120</v>
      </c>
      <c r="B2143" s="49" t="s">
        <v>1294</v>
      </c>
      <c r="C2143" s="49" t="s">
        <v>1324</v>
      </c>
      <c r="D2143" s="49" t="s">
        <v>1129</v>
      </c>
      <c r="E2143" s="49" t="s">
        <v>1183</v>
      </c>
      <c r="F2143" s="49" t="s">
        <v>1325</v>
      </c>
      <c r="G2143" s="49" t="s">
        <v>772</v>
      </c>
      <c r="H2143" s="49" t="s">
        <v>1132</v>
      </c>
      <c r="I2143" s="49" t="s">
        <v>885</v>
      </c>
    </row>
    <row r="2144" customFormat="false" ht="25.5" hidden="false" customHeight="true" outlineLevel="0" collapsed="false">
      <c r="A2144" s="49" t="s">
        <v>1120</v>
      </c>
      <c r="B2144" s="49" t="s">
        <v>1294</v>
      </c>
      <c r="C2144" s="49" t="s">
        <v>1326</v>
      </c>
      <c r="D2144" s="49" t="s">
        <v>1129</v>
      </c>
      <c r="E2144" s="49" t="s">
        <v>893</v>
      </c>
      <c r="F2144" s="49" t="s">
        <v>1327</v>
      </c>
      <c r="G2144" s="49" t="s">
        <v>772</v>
      </c>
      <c r="H2144" s="49" t="s">
        <v>1132</v>
      </c>
      <c r="I2144" s="49" t="s">
        <v>885</v>
      </c>
    </row>
    <row r="2145" customFormat="false" ht="25.5" hidden="false" customHeight="true" outlineLevel="0" collapsed="false">
      <c r="A2145" s="49" t="s">
        <v>1120</v>
      </c>
      <c r="B2145" s="49" t="s">
        <v>1294</v>
      </c>
      <c r="C2145" s="49" t="s">
        <v>1328</v>
      </c>
      <c r="D2145" s="49" t="s">
        <v>1129</v>
      </c>
      <c r="E2145" s="49" t="s">
        <v>1183</v>
      </c>
      <c r="F2145" s="49" t="s">
        <v>1329</v>
      </c>
      <c r="G2145" s="49" t="s">
        <v>772</v>
      </c>
      <c r="H2145" s="49" t="s">
        <v>1132</v>
      </c>
      <c r="I2145" s="49" t="s">
        <v>885</v>
      </c>
    </row>
    <row r="2146" customFormat="false" ht="25.5" hidden="false" customHeight="true" outlineLevel="0" collapsed="false">
      <c r="A2146" s="49" t="s">
        <v>1120</v>
      </c>
      <c r="B2146" s="49" t="s">
        <v>1294</v>
      </c>
      <c r="C2146" s="49" t="s">
        <v>1330</v>
      </c>
      <c r="D2146" s="49" t="s">
        <v>1134</v>
      </c>
      <c r="E2146" s="49" t="s">
        <v>1183</v>
      </c>
      <c r="F2146" s="49" t="s">
        <v>1331</v>
      </c>
      <c r="G2146" s="49" t="s">
        <v>772</v>
      </c>
      <c r="H2146" s="49" t="s">
        <v>1132</v>
      </c>
      <c r="I2146" s="49" t="s">
        <v>885</v>
      </c>
    </row>
    <row r="2147" customFormat="false" ht="25.5" hidden="false" customHeight="true" outlineLevel="0" collapsed="false">
      <c r="A2147" s="49" t="s">
        <v>1120</v>
      </c>
      <c r="B2147" s="49" t="s">
        <v>1294</v>
      </c>
      <c r="C2147" s="49" t="s">
        <v>1332</v>
      </c>
      <c r="D2147" s="49" t="s">
        <v>1156</v>
      </c>
      <c r="E2147" s="49" t="s">
        <v>1333</v>
      </c>
      <c r="F2147" s="49" t="s">
        <v>1334</v>
      </c>
      <c r="G2147" s="49" t="s">
        <v>772</v>
      </c>
      <c r="H2147" s="49" t="s">
        <v>1132</v>
      </c>
      <c r="I2147" s="49" t="s">
        <v>885</v>
      </c>
    </row>
    <row r="2148" customFormat="false" ht="25.5" hidden="false" customHeight="true" outlineLevel="0" collapsed="false">
      <c r="A2148" s="49" t="s">
        <v>1120</v>
      </c>
      <c r="B2148" s="49" t="s">
        <v>1294</v>
      </c>
      <c r="C2148" s="49" t="s">
        <v>1335</v>
      </c>
      <c r="D2148" s="49" t="s">
        <v>1199</v>
      </c>
      <c r="E2148" s="49" t="s">
        <v>1183</v>
      </c>
      <c r="F2148" s="49" t="s">
        <v>1336</v>
      </c>
      <c r="G2148" s="49" t="s">
        <v>772</v>
      </c>
      <c r="H2148" s="49" t="s">
        <v>1132</v>
      </c>
      <c r="I2148" s="49" t="s">
        <v>885</v>
      </c>
    </row>
    <row r="2149" customFormat="false" ht="25.5" hidden="false" customHeight="true" outlineLevel="0" collapsed="false">
      <c r="A2149" s="49" t="s">
        <v>1120</v>
      </c>
      <c r="B2149" s="49" t="s">
        <v>1294</v>
      </c>
      <c r="C2149" s="49" t="s">
        <v>1337</v>
      </c>
      <c r="D2149" s="49" t="s">
        <v>1134</v>
      </c>
      <c r="E2149" s="49" t="s">
        <v>217</v>
      </c>
      <c r="F2149" s="49" t="s">
        <v>1338</v>
      </c>
      <c r="G2149" s="49" t="s">
        <v>772</v>
      </c>
      <c r="H2149" s="49" t="s">
        <v>1132</v>
      </c>
      <c r="I2149" s="49" t="s">
        <v>885</v>
      </c>
    </row>
    <row r="2150" customFormat="false" ht="25.5" hidden="false" customHeight="true" outlineLevel="0" collapsed="false">
      <c r="A2150" s="49" t="s">
        <v>1120</v>
      </c>
      <c r="B2150" s="49" t="s">
        <v>1294</v>
      </c>
      <c r="C2150" s="49" t="s">
        <v>1339</v>
      </c>
      <c r="D2150" s="49" t="s">
        <v>1208</v>
      </c>
      <c r="E2150" s="49" t="s">
        <v>40</v>
      </c>
      <c r="F2150" s="49" t="s">
        <v>1340</v>
      </c>
      <c r="G2150" s="49" t="s">
        <v>772</v>
      </c>
      <c r="H2150" s="49" t="s">
        <v>1132</v>
      </c>
      <c r="I2150" s="49" t="s">
        <v>885</v>
      </c>
    </row>
    <row r="2151" customFormat="false" ht="25.5" hidden="false" customHeight="true" outlineLevel="0" collapsed="false">
      <c r="A2151" s="49" t="s">
        <v>1120</v>
      </c>
      <c r="B2151" s="49" t="s">
        <v>1341</v>
      </c>
      <c r="C2151" s="49" t="s">
        <v>1171</v>
      </c>
      <c r="D2151" s="49" t="s">
        <v>1172</v>
      </c>
      <c r="E2151" s="49" t="s">
        <v>1173</v>
      </c>
      <c r="F2151" s="49" t="s">
        <v>1174</v>
      </c>
      <c r="G2151" s="49" t="s">
        <v>772</v>
      </c>
      <c r="H2151" s="49" t="s">
        <v>1132</v>
      </c>
      <c r="I2151" s="49" t="s">
        <v>885</v>
      </c>
    </row>
    <row r="2152" customFormat="false" ht="25.5" hidden="false" customHeight="true" outlineLevel="0" collapsed="false">
      <c r="A2152" s="49" t="s">
        <v>1120</v>
      </c>
      <c r="B2152" s="49" t="s">
        <v>1341</v>
      </c>
      <c r="C2152" s="49" t="s">
        <v>1342</v>
      </c>
      <c r="D2152" s="49" t="s">
        <v>1292</v>
      </c>
      <c r="E2152" s="49" t="s">
        <v>1113</v>
      </c>
      <c r="F2152" s="49" t="s">
        <v>1343</v>
      </c>
      <c r="G2152" s="49" t="s">
        <v>772</v>
      </c>
      <c r="H2152" s="49" t="s">
        <v>1132</v>
      </c>
      <c r="I2152" s="49" t="s">
        <v>885</v>
      </c>
    </row>
    <row r="2153" customFormat="false" ht="25.5" hidden="false" customHeight="true" outlineLevel="0" collapsed="false">
      <c r="A2153" s="49" t="s">
        <v>1120</v>
      </c>
      <c r="B2153" s="49" t="s">
        <v>1341</v>
      </c>
      <c r="C2153" s="49" t="s">
        <v>1344</v>
      </c>
      <c r="D2153" s="49" t="s">
        <v>1208</v>
      </c>
      <c r="E2153" s="49" t="s">
        <v>1183</v>
      </c>
      <c r="F2153" s="49" t="s">
        <v>1345</v>
      </c>
      <c r="G2153" s="49" t="s">
        <v>772</v>
      </c>
      <c r="H2153" s="49" t="s">
        <v>1132</v>
      </c>
      <c r="I2153" s="49" t="s">
        <v>885</v>
      </c>
    </row>
    <row r="2154" customFormat="false" ht="25.5" hidden="false" customHeight="true" outlineLevel="0" collapsed="false">
      <c r="A2154" s="49" t="s">
        <v>1120</v>
      </c>
      <c r="B2154" s="49" t="s">
        <v>1341</v>
      </c>
      <c r="C2154" s="49" t="s">
        <v>1346</v>
      </c>
      <c r="D2154" s="49" t="s">
        <v>1218</v>
      </c>
      <c r="E2154" s="49" t="s">
        <v>1347</v>
      </c>
      <c r="F2154" s="49" t="s">
        <v>1348</v>
      </c>
      <c r="G2154" s="49" t="s">
        <v>772</v>
      </c>
      <c r="H2154" s="49" t="s">
        <v>1132</v>
      </c>
      <c r="I2154" s="49" t="s">
        <v>885</v>
      </c>
    </row>
    <row r="2155" customFormat="false" ht="25.5" hidden="false" customHeight="true" outlineLevel="0" collapsed="false">
      <c r="A2155" s="49" t="s">
        <v>1120</v>
      </c>
      <c r="B2155" s="49" t="s">
        <v>1341</v>
      </c>
      <c r="C2155" s="49" t="s">
        <v>1349</v>
      </c>
      <c r="D2155" s="49" t="s">
        <v>1218</v>
      </c>
      <c r="E2155" s="49" t="s">
        <v>1183</v>
      </c>
      <c r="F2155" s="49" t="s">
        <v>1350</v>
      </c>
      <c r="G2155" s="49" t="s">
        <v>772</v>
      </c>
      <c r="H2155" s="49" t="s">
        <v>1132</v>
      </c>
      <c r="I2155" s="49" t="s">
        <v>885</v>
      </c>
    </row>
    <row r="2156" customFormat="false" ht="25.5" hidden="false" customHeight="true" outlineLevel="0" collapsed="false">
      <c r="A2156" s="49" t="s">
        <v>1120</v>
      </c>
      <c r="B2156" s="49" t="s">
        <v>1341</v>
      </c>
      <c r="C2156" s="49" t="s">
        <v>1351</v>
      </c>
      <c r="D2156" s="49" t="s">
        <v>1134</v>
      </c>
      <c r="E2156" s="49" t="s">
        <v>1055</v>
      </c>
      <c r="F2156" s="49" t="s">
        <v>1352</v>
      </c>
      <c r="G2156" s="49" t="s">
        <v>772</v>
      </c>
      <c r="H2156" s="49" t="s">
        <v>1132</v>
      </c>
      <c r="I2156" s="49" t="s">
        <v>885</v>
      </c>
    </row>
    <row r="2157" customFormat="false" ht="25.5" hidden="false" customHeight="true" outlineLevel="0" collapsed="false">
      <c r="A2157" s="49" t="s">
        <v>1120</v>
      </c>
      <c r="B2157" s="49" t="s">
        <v>1341</v>
      </c>
      <c r="C2157" s="49" t="s">
        <v>1353</v>
      </c>
      <c r="D2157" s="49" t="s">
        <v>1134</v>
      </c>
      <c r="E2157" s="49" t="s">
        <v>1226</v>
      </c>
      <c r="F2157" s="49" t="s">
        <v>1354</v>
      </c>
      <c r="G2157" s="49" t="s">
        <v>772</v>
      </c>
      <c r="H2157" s="49" t="s">
        <v>1132</v>
      </c>
      <c r="I2157" s="49" t="s">
        <v>885</v>
      </c>
    </row>
    <row r="2158" customFormat="false" ht="25.5" hidden="false" customHeight="true" outlineLevel="0" collapsed="false">
      <c r="A2158" s="49" t="s">
        <v>1120</v>
      </c>
      <c r="B2158" s="49" t="s">
        <v>1341</v>
      </c>
      <c r="C2158" s="49" t="s">
        <v>1355</v>
      </c>
      <c r="D2158" s="49" t="s">
        <v>1148</v>
      </c>
      <c r="E2158" s="49" t="s">
        <v>1356</v>
      </c>
      <c r="F2158" s="49" t="s">
        <v>1357</v>
      </c>
      <c r="G2158" s="49" t="s">
        <v>772</v>
      </c>
      <c r="H2158" s="49" t="s">
        <v>1132</v>
      </c>
      <c r="I2158" s="49" t="s">
        <v>885</v>
      </c>
    </row>
    <row r="2159" customFormat="false" ht="25.5" hidden="false" customHeight="true" outlineLevel="0" collapsed="false">
      <c r="A2159" s="49" t="s">
        <v>1120</v>
      </c>
      <c r="B2159" s="49" t="s">
        <v>1341</v>
      </c>
      <c r="C2159" s="49" t="s">
        <v>1358</v>
      </c>
      <c r="D2159" s="49" t="s">
        <v>1218</v>
      </c>
      <c r="E2159" s="49" t="s">
        <v>1359</v>
      </c>
      <c r="F2159" s="49" t="s">
        <v>1360</v>
      </c>
      <c r="G2159" s="49" t="s">
        <v>772</v>
      </c>
      <c r="H2159" s="49" t="s">
        <v>1132</v>
      </c>
      <c r="I2159" s="49" t="s">
        <v>885</v>
      </c>
    </row>
    <row r="2160" customFormat="false" ht="25.5" hidden="false" customHeight="true" outlineLevel="0" collapsed="false">
      <c r="A2160" s="49" t="s">
        <v>1120</v>
      </c>
      <c r="B2160" s="49" t="s">
        <v>1341</v>
      </c>
      <c r="C2160" s="49" t="s">
        <v>1361</v>
      </c>
      <c r="D2160" s="49" t="s">
        <v>1148</v>
      </c>
      <c r="E2160" s="49" t="s">
        <v>1183</v>
      </c>
      <c r="F2160" s="49" t="s">
        <v>1362</v>
      </c>
      <c r="G2160" s="49" t="s">
        <v>772</v>
      </c>
      <c r="H2160" s="49" t="s">
        <v>1132</v>
      </c>
      <c r="I2160" s="49" t="s">
        <v>885</v>
      </c>
    </row>
    <row r="2161" customFormat="false" ht="25.5" hidden="false" customHeight="true" outlineLevel="0" collapsed="false">
      <c r="A2161" s="49" t="s">
        <v>1120</v>
      </c>
      <c r="B2161" s="49" t="s">
        <v>1341</v>
      </c>
      <c r="C2161" s="49" t="s">
        <v>1363</v>
      </c>
      <c r="D2161" s="49" t="s">
        <v>1148</v>
      </c>
      <c r="E2161" s="49" t="s">
        <v>1364</v>
      </c>
      <c r="F2161" s="49" t="s">
        <v>1365</v>
      </c>
      <c r="G2161" s="49" t="s">
        <v>772</v>
      </c>
      <c r="H2161" s="49" t="s">
        <v>1132</v>
      </c>
      <c r="I2161" s="49" t="s">
        <v>885</v>
      </c>
    </row>
    <row r="2162" customFormat="false" ht="25.5" hidden="false" customHeight="true" outlineLevel="0" collapsed="false">
      <c r="A2162" s="49" t="s">
        <v>1120</v>
      </c>
      <c r="B2162" s="49" t="s">
        <v>1341</v>
      </c>
      <c r="C2162" s="49" t="s">
        <v>1366</v>
      </c>
      <c r="D2162" s="49" t="s">
        <v>1148</v>
      </c>
      <c r="E2162" s="49" t="s">
        <v>1183</v>
      </c>
      <c r="F2162" s="49" t="s">
        <v>1367</v>
      </c>
      <c r="G2162" s="49" t="s">
        <v>772</v>
      </c>
      <c r="H2162" s="49" t="s">
        <v>1132</v>
      </c>
      <c r="I2162" s="49" t="s">
        <v>885</v>
      </c>
    </row>
    <row r="2163" customFormat="false" ht="25.5" hidden="false" customHeight="true" outlineLevel="0" collapsed="false">
      <c r="A2163" s="49" t="s">
        <v>1120</v>
      </c>
      <c r="B2163" s="49" t="s">
        <v>1341</v>
      </c>
      <c r="C2163" s="49" t="s">
        <v>1368</v>
      </c>
      <c r="D2163" s="49" t="s">
        <v>1218</v>
      </c>
      <c r="E2163" s="49" t="s">
        <v>217</v>
      </c>
      <c r="F2163" s="49" t="s">
        <v>1369</v>
      </c>
      <c r="G2163" s="49" t="s">
        <v>772</v>
      </c>
      <c r="H2163" s="49" t="s">
        <v>1132</v>
      </c>
      <c r="I2163" s="49" t="s">
        <v>885</v>
      </c>
    </row>
    <row r="2164" customFormat="false" ht="25.5" hidden="false" customHeight="true" outlineLevel="0" collapsed="false">
      <c r="A2164" s="49" t="s">
        <v>1120</v>
      </c>
      <c r="B2164" s="49" t="s">
        <v>1341</v>
      </c>
      <c r="C2164" s="49" t="s">
        <v>1370</v>
      </c>
      <c r="D2164" s="49" t="s">
        <v>1208</v>
      </c>
      <c r="E2164" s="49" t="s">
        <v>893</v>
      </c>
      <c r="F2164" s="49" t="s">
        <v>1371</v>
      </c>
      <c r="G2164" s="49" t="s">
        <v>772</v>
      </c>
      <c r="H2164" s="49" t="s">
        <v>1132</v>
      </c>
      <c r="I2164" s="49" t="s">
        <v>885</v>
      </c>
    </row>
    <row r="2165" customFormat="false" ht="25.5" hidden="false" customHeight="true" outlineLevel="0" collapsed="false">
      <c r="A2165" s="49" t="s">
        <v>1120</v>
      </c>
      <c r="B2165" s="49" t="s">
        <v>1341</v>
      </c>
      <c r="C2165" s="49" t="s">
        <v>1372</v>
      </c>
      <c r="D2165" s="49" t="s">
        <v>1199</v>
      </c>
      <c r="E2165" s="49" t="s">
        <v>1135</v>
      </c>
      <c r="F2165" s="49" t="s">
        <v>1373</v>
      </c>
      <c r="G2165" s="49" t="s">
        <v>772</v>
      </c>
      <c r="H2165" s="49" t="s">
        <v>1132</v>
      </c>
      <c r="I2165" s="49" t="s">
        <v>885</v>
      </c>
    </row>
    <row r="2166" customFormat="false" ht="25.5" hidden="false" customHeight="true" outlineLevel="0" collapsed="false">
      <c r="A2166" s="49" t="s">
        <v>1120</v>
      </c>
      <c r="B2166" s="49" t="s">
        <v>1341</v>
      </c>
      <c r="C2166" s="49" t="s">
        <v>1374</v>
      </c>
      <c r="D2166" s="49" t="s">
        <v>1208</v>
      </c>
      <c r="E2166" s="49" t="s">
        <v>1183</v>
      </c>
      <c r="F2166" s="49" t="s">
        <v>1375</v>
      </c>
      <c r="G2166" s="49" t="s">
        <v>772</v>
      </c>
      <c r="H2166" s="49" t="s">
        <v>1132</v>
      </c>
      <c r="I2166" s="49" t="s">
        <v>885</v>
      </c>
    </row>
    <row r="2167" customFormat="false" ht="25.5" hidden="false" customHeight="true" outlineLevel="0" collapsed="false">
      <c r="A2167" s="49" t="s">
        <v>1120</v>
      </c>
      <c r="B2167" s="49" t="s">
        <v>1341</v>
      </c>
      <c r="C2167" s="49" t="s">
        <v>1376</v>
      </c>
      <c r="D2167" s="49" t="s">
        <v>1208</v>
      </c>
      <c r="E2167" s="49" t="s">
        <v>1377</v>
      </c>
      <c r="F2167" s="49" t="s">
        <v>1378</v>
      </c>
      <c r="G2167" s="49" t="s">
        <v>772</v>
      </c>
      <c r="H2167" s="49" t="s">
        <v>1132</v>
      </c>
      <c r="I2167" s="49" t="s">
        <v>885</v>
      </c>
    </row>
    <row r="2168" customFormat="false" ht="25.5" hidden="false" customHeight="true" outlineLevel="0" collapsed="false">
      <c r="A2168" s="49" t="s">
        <v>1120</v>
      </c>
      <c r="B2168" s="49" t="s">
        <v>1341</v>
      </c>
      <c r="C2168" s="49" t="s">
        <v>1379</v>
      </c>
      <c r="D2168" s="49" t="s">
        <v>1199</v>
      </c>
      <c r="E2168" s="49" t="s">
        <v>1183</v>
      </c>
      <c r="F2168" s="49" t="s">
        <v>1380</v>
      </c>
      <c r="G2168" s="49" t="s">
        <v>772</v>
      </c>
      <c r="H2168" s="49" t="s">
        <v>1132</v>
      </c>
      <c r="I2168" s="49" t="s">
        <v>885</v>
      </c>
    </row>
    <row r="2169" customFormat="false" ht="25.5" hidden="false" customHeight="true" outlineLevel="0" collapsed="false">
      <c r="A2169" s="49" t="s">
        <v>1120</v>
      </c>
      <c r="B2169" s="49" t="s">
        <v>1341</v>
      </c>
      <c r="C2169" s="49" t="s">
        <v>1381</v>
      </c>
      <c r="D2169" s="49" t="s">
        <v>1162</v>
      </c>
      <c r="E2169" s="49" t="s">
        <v>1382</v>
      </c>
      <c r="F2169" s="49" t="s">
        <v>1383</v>
      </c>
      <c r="G2169" s="49" t="s">
        <v>772</v>
      </c>
      <c r="H2169" s="49" t="s">
        <v>1132</v>
      </c>
      <c r="I2169" s="49" t="s">
        <v>885</v>
      </c>
    </row>
    <row r="2170" customFormat="false" ht="25.5" hidden="false" customHeight="true" outlineLevel="0" collapsed="false">
      <c r="A2170" s="49" t="s">
        <v>1120</v>
      </c>
      <c r="B2170" s="49" t="s">
        <v>1341</v>
      </c>
      <c r="C2170" s="49" t="s">
        <v>1384</v>
      </c>
      <c r="D2170" s="49" t="s">
        <v>1292</v>
      </c>
      <c r="E2170" s="49" t="s">
        <v>1189</v>
      </c>
      <c r="F2170" s="49" t="s">
        <v>1385</v>
      </c>
      <c r="G2170" s="49" t="s">
        <v>772</v>
      </c>
      <c r="H2170" s="49" t="s">
        <v>1132</v>
      </c>
      <c r="I2170" s="49" t="s">
        <v>885</v>
      </c>
    </row>
    <row r="2171" customFormat="false" ht="25.5" hidden="false" customHeight="true" outlineLevel="0" collapsed="false">
      <c r="A2171" s="49" t="s">
        <v>1120</v>
      </c>
      <c r="B2171" s="49" t="s">
        <v>1341</v>
      </c>
      <c r="C2171" s="49" t="s">
        <v>1386</v>
      </c>
      <c r="D2171" s="49" t="s">
        <v>1156</v>
      </c>
      <c r="E2171" s="49" t="s">
        <v>1183</v>
      </c>
      <c r="F2171" s="49" t="s">
        <v>1387</v>
      </c>
      <c r="G2171" s="49" t="s">
        <v>772</v>
      </c>
      <c r="H2171" s="49" t="s">
        <v>1132</v>
      </c>
      <c r="I2171" s="49" t="s">
        <v>885</v>
      </c>
    </row>
    <row r="2172" customFormat="false" ht="25.5" hidden="false" customHeight="true" outlineLevel="0" collapsed="false">
      <c r="A2172" s="49" t="s">
        <v>1120</v>
      </c>
      <c r="B2172" s="49" t="s">
        <v>1341</v>
      </c>
      <c r="C2172" s="49" t="s">
        <v>1388</v>
      </c>
      <c r="D2172" s="49" t="s">
        <v>1162</v>
      </c>
      <c r="E2172" s="49" t="s">
        <v>1163</v>
      </c>
      <c r="F2172" s="49" t="s">
        <v>1389</v>
      </c>
      <c r="G2172" s="49" t="s">
        <v>772</v>
      </c>
      <c r="H2172" s="49" t="s">
        <v>1132</v>
      </c>
      <c r="I2172" s="49" t="s">
        <v>885</v>
      </c>
    </row>
    <row r="2173" customFormat="false" ht="25.5" hidden="false" customHeight="true" outlineLevel="0" collapsed="false">
      <c r="A2173" s="49" t="s">
        <v>1120</v>
      </c>
      <c r="B2173" s="49" t="s">
        <v>1341</v>
      </c>
      <c r="C2173" s="49" t="s">
        <v>1390</v>
      </c>
      <c r="D2173" s="49" t="s">
        <v>1162</v>
      </c>
      <c r="E2173" s="49" t="s">
        <v>1163</v>
      </c>
      <c r="F2173" s="49" t="s">
        <v>1391</v>
      </c>
      <c r="G2173" s="49" t="s">
        <v>772</v>
      </c>
      <c r="H2173" s="49" t="s">
        <v>1132</v>
      </c>
      <c r="I2173" s="49" t="s">
        <v>885</v>
      </c>
    </row>
    <row r="2174" customFormat="false" ht="25.5" hidden="false" customHeight="true" outlineLevel="0" collapsed="false">
      <c r="A2174" s="49" t="s">
        <v>1120</v>
      </c>
      <c r="B2174" s="49" t="s">
        <v>1341</v>
      </c>
      <c r="C2174" s="49" t="s">
        <v>1392</v>
      </c>
      <c r="D2174" s="49" t="s">
        <v>1162</v>
      </c>
      <c r="E2174" s="49" t="s">
        <v>1163</v>
      </c>
      <c r="F2174" s="49" t="s">
        <v>952</v>
      </c>
      <c r="G2174" s="49" t="s">
        <v>772</v>
      </c>
      <c r="H2174" s="49" t="s">
        <v>1132</v>
      </c>
      <c r="I2174" s="49" t="s">
        <v>885</v>
      </c>
    </row>
    <row r="2175" customFormat="false" ht="25.5" hidden="false" customHeight="true" outlineLevel="0" collapsed="false">
      <c r="A2175" s="49" t="s">
        <v>1120</v>
      </c>
      <c r="B2175" s="49" t="s">
        <v>1341</v>
      </c>
      <c r="C2175" s="49" t="s">
        <v>1372</v>
      </c>
      <c r="D2175" s="49" t="s">
        <v>1199</v>
      </c>
      <c r="E2175" s="49" t="s">
        <v>217</v>
      </c>
      <c r="F2175" s="49" t="s">
        <v>1393</v>
      </c>
      <c r="G2175" s="49" t="s">
        <v>772</v>
      </c>
      <c r="H2175" s="49" t="s">
        <v>1132</v>
      </c>
      <c r="I2175" s="49" t="s">
        <v>885</v>
      </c>
    </row>
    <row r="2176" customFormat="false" ht="25.5" hidden="false" customHeight="true" outlineLevel="0" collapsed="false">
      <c r="A2176" s="49" t="s">
        <v>1120</v>
      </c>
      <c r="B2176" s="49" t="s">
        <v>1341</v>
      </c>
      <c r="C2176" s="49" t="s">
        <v>1394</v>
      </c>
      <c r="D2176" s="49" t="s">
        <v>1129</v>
      </c>
      <c r="E2176" s="49" t="s">
        <v>1395</v>
      </c>
      <c r="F2176" s="49" t="s">
        <v>1396</v>
      </c>
      <c r="G2176" s="49" t="s">
        <v>772</v>
      </c>
      <c r="H2176" s="49" t="s">
        <v>1132</v>
      </c>
      <c r="I2176" s="49" t="s">
        <v>885</v>
      </c>
    </row>
    <row r="2177" customFormat="false" ht="25.5" hidden="false" customHeight="true" outlineLevel="0" collapsed="false">
      <c r="A2177" s="49" t="s">
        <v>1120</v>
      </c>
      <c r="B2177" s="49" t="s">
        <v>1341</v>
      </c>
      <c r="C2177" s="49" t="s">
        <v>1397</v>
      </c>
      <c r="D2177" s="49" t="s">
        <v>1148</v>
      </c>
      <c r="E2177" s="49" t="s">
        <v>1395</v>
      </c>
      <c r="F2177" s="49" t="s">
        <v>1398</v>
      </c>
      <c r="G2177" s="49" t="s">
        <v>772</v>
      </c>
      <c r="H2177" s="49" t="s">
        <v>1132</v>
      </c>
      <c r="I2177" s="49" t="s">
        <v>885</v>
      </c>
    </row>
    <row r="2178" customFormat="false" ht="25.5" hidden="false" customHeight="true" outlineLevel="0" collapsed="false">
      <c r="A2178" s="49" t="s">
        <v>1120</v>
      </c>
      <c r="B2178" s="49" t="s">
        <v>1341</v>
      </c>
      <c r="C2178" s="49" t="s">
        <v>1399</v>
      </c>
      <c r="D2178" s="49" t="s">
        <v>1199</v>
      </c>
      <c r="E2178" s="49" t="s">
        <v>217</v>
      </c>
      <c r="F2178" s="49" t="s">
        <v>1400</v>
      </c>
      <c r="G2178" s="49" t="s">
        <v>772</v>
      </c>
      <c r="H2178" s="49" t="s">
        <v>1132</v>
      </c>
      <c r="I2178" s="49" t="s">
        <v>885</v>
      </c>
    </row>
    <row r="2179" customFormat="false" ht="25.5" hidden="false" customHeight="true" outlineLevel="0" collapsed="false">
      <c r="A2179" s="49" t="s">
        <v>1120</v>
      </c>
      <c r="B2179" s="49" t="s">
        <v>1341</v>
      </c>
      <c r="C2179" s="49" t="s">
        <v>1401</v>
      </c>
      <c r="D2179" s="49" t="s">
        <v>1199</v>
      </c>
      <c r="E2179" s="49" t="s">
        <v>146</v>
      </c>
      <c r="F2179" s="49" t="s">
        <v>1402</v>
      </c>
      <c r="G2179" s="49" t="s">
        <v>772</v>
      </c>
      <c r="H2179" s="49" t="s">
        <v>1132</v>
      </c>
      <c r="I2179" s="49" t="s">
        <v>885</v>
      </c>
    </row>
    <row r="2180" customFormat="false" ht="25.5" hidden="false" customHeight="true" outlineLevel="0" collapsed="false">
      <c r="A2180" s="49" t="s">
        <v>1120</v>
      </c>
      <c r="B2180" s="49" t="s">
        <v>1403</v>
      </c>
      <c r="C2180" s="49" t="s">
        <v>1171</v>
      </c>
      <c r="D2180" s="49" t="s">
        <v>1172</v>
      </c>
      <c r="E2180" s="49" t="s">
        <v>1173</v>
      </c>
      <c r="F2180" s="49" t="s">
        <v>1174</v>
      </c>
      <c r="G2180" s="49" t="s">
        <v>772</v>
      </c>
      <c r="H2180" s="49" t="s">
        <v>1132</v>
      </c>
      <c r="I2180" s="49" t="s">
        <v>885</v>
      </c>
    </row>
    <row r="2181" customFormat="false" ht="25.5" hidden="false" customHeight="true" outlineLevel="0" collapsed="false">
      <c r="A2181" s="49" t="s">
        <v>1120</v>
      </c>
      <c r="B2181" s="49" t="s">
        <v>1403</v>
      </c>
      <c r="C2181" s="49" t="s">
        <v>1404</v>
      </c>
      <c r="D2181" s="49" t="s">
        <v>1151</v>
      </c>
      <c r="E2181" s="49" t="s">
        <v>1405</v>
      </c>
      <c r="F2181" s="49" t="s">
        <v>1406</v>
      </c>
      <c r="G2181" s="49" t="s">
        <v>772</v>
      </c>
      <c r="H2181" s="49" t="s">
        <v>1132</v>
      </c>
      <c r="I2181" s="49" t="s">
        <v>885</v>
      </c>
    </row>
    <row r="2182" customFormat="false" ht="25.5" hidden="false" customHeight="true" outlineLevel="0" collapsed="false">
      <c r="A2182" s="49" t="s">
        <v>1120</v>
      </c>
      <c r="B2182" s="49" t="s">
        <v>1403</v>
      </c>
      <c r="C2182" s="49" t="s">
        <v>1407</v>
      </c>
      <c r="D2182" s="49" t="s">
        <v>1141</v>
      </c>
      <c r="E2182" s="49" t="s">
        <v>1183</v>
      </c>
      <c r="F2182" s="49" t="s">
        <v>1408</v>
      </c>
      <c r="G2182" s="49" t="s">
        <v>772</v>
      </c>
      <c r="H2182" s="49" t="s">
        <v>1132</v>
      </c>
      <c r="I2182" s="49" t="s">
        <v>885</v>
      </c>
    </row>
    <row r="2183" customFormat="false" ht="25.5" hidden="false" customHeight="true" outlineLevel="0" collapsed="false">
      <c r="A2183" s="49" t="s">
        <v>1120</v>
      </c>
      <c r="B2183" s="49" t="s">
        <v>1403</v>
      </c>
      <c r="C2183" s="49" t="s">
        <v>1409</v>
      </c>
      <c r="D2183" s="49" t="s">
        <v>1208</v>
      </c>
      <c r="E2183" s="49" t="s">
        <v>1410</v>
      </c>
      <c r="F2183" s="49" t="s">
        <v>1411</v>
      </c>
      <c r="G2183" s="49" t="s">
        <v>772</v>
      </c>
      <c r="H2183" s="49" t="s">
        <v>1132</v>
      </c>
      <c r="I2183" s="49" t="s">
        <v>885</v>
      </c>
    </row>
    <row r="2184" customFormat="false" ht="25.5" hidden="false" customHeight="true" outlineLevel="0" collapsed="false">
      <c r="A2184" s="49" t="s">
        <v>1120</v>
      </c>
      <c r="B2184" s="49" t="s">
        <v>1403</v>
      </c>
      <c r="C2184" s="49" t="s">
        <v>1412</v>
      </c>
      <c r="D2184" s="49" t="s">
        <v>1199</v>
      </c>
      <c r="E2184" s="49" t="s">
        <v>1183</v>
      </c>
      <c r="F2184" s="49" t="s">
        <v>1413</v>
      </c>
      <c r="G2184" s="49" t="s">
        <v>772</v>
      </c>
      <c r="H2184" s="49" t="s">
        <v>1132</v>
      </c>
      <c r="I2184" s="49" t="s">
        <v>885</v>
      </c>
    </row>
    <row r="2185" customFormat="false" ht="25.5" hidden="false" customHeight="true" outlineLevel="0" collapsed="false">
      <c r="A2185" s="49" t="s">
        <v>1120</v>
      </c>
      <c r="B2185" s="49" t="s">
        <v>1403</v>
      </c>
      <c r="C2185" s="49" t="s">
        <v>1414</v>
      </c>
      <c r="D2185" s="49" t="s">
        <v>1156</v>
      </c>
      <c r="E2185" s="49" t="s">
        <v>1183</v>
      </c>
      <c r="F2185" s="49" t="s">
        <v>1415</v>
      </c>
      <c r="G2185" s="49" t="s">
        <v>772</v>
      </c>
      <c r="H2185" s="49" t="s">
        <v>1132</v>
      </c>
      <c r="I2185" s="49" t="s">
        <v>885</v>
      </c>
    </row>
    <row r="2186" customFormat="false" ht="25.5" hidden="false" customHeight="true" outlineLevel="0" collapsed="false">
      <c r="A2186" s="49" t="s">
        <v>1120</v>
      </c>
      <c r="B2186" s="49" t="s">
        <v>1403</v>
      </c>
      <c r="C2186" s="49" t="s">
        <v>1416</v>
      </c>
      <c r="D2186" s="49" t="s">
        <v>1134</v>
      </c>
      <c r="E2186" s="49" t="s">
        <v>1226</v>
      </c>
      <c r="F2186" s="49" t="s">
        <v>1417</v>
      </c>
      <c r="G2186" s="49" t="s">
        <v>772</v>
      </c>
      <c r="H2186" s="49" t="s">
        <v>1132</v>
      </c>
      <c r="I2186" s="49" t="s">
        <v>885</v>
      </c>
    </row>
    <row r="2187" customFormat="false" ht="25.5" hidden="false" customHeight="true" outlineLevel="0" collapsed="false">
      <c r="A2187" s="49" t="s">
        <v>1120</v>
      </c>
      <c r="B2187" s="49" t="s">
        <v>1403</v>
      </c>
      <c r="C2187" s="49" t="s">
        <v>1418</v>
      </c>
      <c r="D2187" s="49" t="s">
        <v>1129</v>
      </c>
      <c r="E2187" s="49" t="s">
        <v>1183</v>
      </c>
      <c r="F2187" s="49" t="s">
        <v>1419</v>
      </c>
      <c r="G2187" s="49" t="s">
        <v>772</v>
      </c>
      <c r="H2187" s="49" t="s">
        <v>1132</v>
      </c>
      <c r="I2187" s="49" t="s">
        <v>885</v>
      </c>
    </row>
    <row r="2188" customFormat="false" ht="25.5" hidden="false" customHeight="true" outlineLevel="0" collapsed="false">
      <c r="A2188" s="49" t="s">
        <v>1120</v>
      </c>
      <c r="B2188" s="49" t="s">
        <v>1403</v>
      </c>
      <c r="C2188" s="49" t="s">
        <v>1420</v>
      </c>
      <c r="D2188" s="49" t="s">
        <v>1129</v>
      </c>
      <c r="E2188" s="49" t="s">
        <v>146</v>
      </c>
      <c r="F2188" s="49" t="s">
        <v>1421</v>
      </c>
      <c r="G2188" s="49" t="s">
        <v>772</v>
      </c>
      <c r="H2188" s="49" t="s">
        <v>1132</v>
      </c>
      <c r="I2188" s="49" t="s">
        <v>885</v>
      </c>
    </row>
    <row r="2189" customFormat="false" ht="25.5" hidden="false" customHeight="true" outlineLevel="0" collapsed="false">
      <c r="A2189" s="49" t="s">
        <v>1120</v>
      </c>
      <c r="B2189" s="49" t="s">
        <v>1403</v>
      </c>
      <c r="C2189" s="49" t="s">
        <v>1422</v>
      </c>
      <c r="D2189" s="49" t="s">
        <v>1292</v>
      </c>
      <c r="E2189" s="49" t="s">
        <v>1135</v>
      </c>
      <c r="F2189" s="49" t="s">
        <v>1423</v>
      </c>
      <c r="G2189" s="49" t="s">
        <v>772</v>
      </c>
      <c r="H2189" s="49" t="s">
        <v>1132</v>
      </c>
      <c r="I2189" s="49" t="s">
        <v>885</v>
      </c>
    </row>
    <row r="2190" customFormat="false" ht="25.5" hidden="false" customHeight="true" outlineLevel="0" collapsed="false">
      <c r="A2190" s="49" t="s">
        <v>1120</v>
      </c>
      <c r="B2190" s="49" t="s">
        <v>1403</v>
      </c>
      <c r="C2190" s="49" t="s">
        <v>1424</v>
      </c>
      <c r="D2190" s="49" t="s">
        <v>1148</v>
      </c>
      <c r="E2190" s="49" t="s">
        <v>1135</v>
      </c>
      <c r="F2190" s="49" t="s">
        <v>1423</v>
      </c>
      <c r="G2190" s="49" t="s">
        <v>772</v>
      </c>
      <c r="H2190" s="49" t="s">
        <v>1132</v>
      </c>
      <c r="I2190" s="49" t="s">
        <v>885</v>
      </c>
    </row>
    <row r="2191" customFormat="false" ht="25.5" hidden="false" customHeight="true" outlineLevel="0" collapsed="false">
      <c r="A2191" s="49" t="s">
        <v>1120</v>
      </c>
      <c r="B2191" s="49" t="s">
        <v>1403</v>
      </c>
      <c r="C2191" s="49" t="s">
        <v>1425</v>
      </c>
      <c r="D2191" s="49" t="s">
        <v>1199</v>
      </c>
      <c r="E2191" s="49" t="s">
        <v>1183</v>
      </c>
      <c r="F2191" s="49" t="s">
        <v>1415</v>
      </c>
      <c r="G2191" s="49" t="s">
        <v>772</v>
      </c>
      <c r="H2191" s="49" t="s">
        <v>1132</v>
      </c>
      <c r="I2191" s="49" t="s">
        <v>885</v>
      </c>
    </row>
    <row r="2192" customFormat="false" ht="25.5" hidden="false" customHeight="true" outlineLevel="0" collapsed="false">
      <c r="A2192" s="49" t="s">
        <v>1120</v>
      </c>
      <c r="B2192" s="49" t="s">
        <v>1403</v>
      </c>
      <c r="C2192" s="49" t="s">
        <v>1426</v>
      </c>
      <c r="D2192" s="49" t="s">
        <v>1208</v>
      </c>
      <c r="E2192" s="49" t="s">
        <v>1427</v>
      </c>
      <c r="F2192" s="49" t="s">
        <v>1428</v>
      </c>
      <c r="G2192" s="49" t="s">
        <v>772</v>
      </c>
      <c r="H2192" s="49" t="s">
        <v>1132</v>
      </c>
      <c r="I2192" s="49" t="s">
        <v>885</v>
      </c>
    </row>
    <row r="2193" customFormat="false" ht="25.5" hidden="false" customHeight="true" outlineLevel="0" collapsed="false">
      <c r="A2193" s="49" t="s">
        <v>1120</v>
      </c>
      <c r="B2193" s="49" t="s">
        <v>1403</v>
      </c>
      <c r="C2193" s="49" t="s">
        <v>1429</v>
      </c>
      <c r="D2193" s="49" t="s">
        <v>1129</v>
      </c>
      <c r="E2193" s="49" t="s">
        <v>1223</v>
      </c>
      <c r="F2193" s="49" t="s">
        <v>1430</v>
      </c>
      <c r="G2193" s="49" t="s">
        <v>772</v>
      </c>
      <c r="H2193" s="49" t="s">
        <v>1132</v>
      </c>
      <c r="I2193" s="49" t="s">
        <v>885</v>
      </c>
    </row>
    <row r="2194" customFormat="false" ht="25.5" hidden="false" customHeight="true" outlineLevel="0" collapsed="false">
      <c r="A2194" s="49" t="s">
        <v>1120</v>
      </c>
      <c r="B2194" s="49" t="s">
        <v>1403</v>
      </c>
      <c r="C2194" s="49" t="s">
        <v>1431</v>
      </c>
      <c r="D2194" s="49" t="s">
        <v>1208</v>
      </c>
      <c r="E2194" s="49" t="s">
        <v>1432</v>
      </c>
      <c r="F2194" s="49" t="s">
        <v>1433</v>
      </c>
      <c r="G2194" s="49" t="s">
        <v>772</v>
      </c>
      <c r="H2194" s="49" t="s">
        <v>1132</v>
      </c>
      <c r="I2194" s="49" t="s">
        <v>885</v>
      </c>
    </row>
    <row r="2195" customFormat="false" ht="25.5" hidden="false" customHeight="true" outlineLevel="0" collapsed="false">
      <c r="A2195" s="49" t="s">
        <v>1120</v>
      </c>
      <c r="B2195" s="49" t="s">
        <v>1403</v>
      </c>
      <c r="C2195" s="49" t="s">
        <v>1434</v>
      </c>
      <c r="D2195" s="49" t="s">
        <v>1162</v>
      </c>
      <c r="E2195" s="49" t="s">
        <v>1163</v>
      </c>
      <c r="F2195" s="49" t="s">
        <v>1435</v>
      </c>
      <c r="G2195" s="49" t="s">
        <v>772</v>
      </c>
      <c r="H2195" s="49" t="s">
        <v>1132</v>
      </c>
      <c r="I2195" s="49" t="s">
        <v>885</v>
      </c>
    </row>
    <row r="2196" customFormat="false" ht="25.5" hidden="false" customHeight="true" outlineLevel="0" collapsed="false">
      <c r="A2196" s="49" t="s">
        <v>1120</v>
      </c>
      <c r="B2196" s="49" t="s">
        <v>1403</v>
      </c>
      <c r="C2196" s="49" t="s">
        <v>1436</v>
      </c>
      <c r="D2196" s="49" t="s">
        <v>1199</v>
      </c>
      <c r="E2196" s="49" t="s">
        <v>146</v>
      </c>
      <c r="F2196" s="49" t="s">
        <v>1437</v>
      </c>
      <c r="G2196" s="49" t="s">
        <v>772</v>
      </c>
      <c r="H2196" s="49" t="s">
        <v>1132</v>
      </c>
      <c r="I2196" s="49" t="s">
        <v>885</v>
      </c>
    </row>
    <row r="2197" customFormat="false" ht="25.5" hidden="false" customHeight="true" outlineLevel="0" collapsed="false">
      <c r="A2197" s="49" t="s">
        <v>1120</v>
      </c>
      <c r="B2197" s="49" t="s">
        <v>1403</v>
      </c>
      <c r="C2197" s="49" t="s">
        <v>1438</v>
      </c>
      <c r="D2197" s="49" t="s">
        <v>1151</v>
      </c>
      <c r="E2197" s="49" t="s">
        <v>1183</v>
      </c>
      <c r="F2197" s="49" t="s">
        <v>1439</v>
      </c>
      <c r="G2197" s="49" t="s">
        <v>772</v>
      </c>
      <c r="H2197" s="49" t="s">
        <v>1132</v>
      </c>
      <c r="I2197" s="49" t="s">
        <v>885</v>
      </c>
    </row>
    <row r="2198" customFormat="false" ht="25.5" hidden="false" customHeight="true" outlineLevel="0" collapsed="false">
      <c r="A2198" s="49" t="s">
        <v>1120</v>
      </c>
      <c r="B2198" s="49" t="s">
        <v>1403</v>
      </c>
      <c r="C2198" s="49" t="s">
        <v>1440</v>
      </c>
      <c r="D2198" s="49" t="s">
        <v>1134</v>
      </c>
      <c r="E2198" s="49" t="s">
        <v>217</v>
      </c>
      <c r="F2198" s="49" t="s">
        <v>1441</v>
      </c>
      <c r="G2198" s="49" t="s">
        <v>772</v>
      </c>
      <c r="H2198" s="49" t="s">
        <v>1132</v>
      </c>
      <c r="I2198" s="49" t="s">
        <v>885</v>
      </c>
    </row>
    <row r="2199" customFormat="false" ht="25.5" hidden="false" customHeight="true" outlineLevel="0" collapsed="false">
      <c r="A2199" s="49" t="s">
        <v>1120</v>
      </c>
      <c r="B2199" s="49" t="s">
        <v>1403</v>
      </c>
      <c r="C2199" s="49" t="s">
        <v>1442</v>
      </c>
      <c r="D2199" s="49" t="s">
        <v>1151</v>
      </c>
      <c r="E2199" s="49" t="s">
        <v>1443</v>
      </c>
      <c r="F2199" s="49" t="s">
        <v>1444</v>
      </c>
      <c r="G2199" s="49" t="s">
        <v>772</v>
      </c>
      <c r="H2199" s="49" t="s">
        <v>1132</v>
      </c>
      <c r="I2199" s="49" t="s">
        <v>885</v>
      </c>
    </row>
    <row r="2200" customFormat="false" ht="25.5" hidden="false" customHeight="true" outlineLevel="0" collapsed="false">
      <c r="A2200" s="49" t="s">
        <v>1120</v>
      </c>
      <c r="B2200" s="49" t="s">
        <v>1403</v>
      </c>
      <c r="C2200" s="49" t="s">
        <v>1445</v>
      </c>
      <c r="D2200" s="49" t="s">
        <v>1199</v>
      </c>
      <c r="E2200" s="49" t="s">
        <v>1183</v>
      </c>
      <c r="F2200" s="49" t="s">
        <v>1446</v>
      </c>
      <c r="G2200" s="49" t="s">
        <v>772</v>
      </c>
      <c r="H2200" s="49" t="s">
        <v>1132</v>
      </c>
      <c r="I2200" s="49" t="s">
        <v>885</v>
      </c>
    </row>
    <row r="2201" customFormat="false" ht="25.5" hidden="false" customHeight="true" outlineLevel="0" collapsed="false">
      <c r="A2201" s="49" t="s">
        <v>1120</v>
      </c>
      <c r="B2201" s="49" t="s">
        <v>1447</v>
      </c>
      <c r="C2201" s="49" t="s">
        <v>1171</v>
      </c>
      <c r="D2201" s="49" t="s">
        <v>1172</v>
      </c>
      <c r="E2201" s="49" t="s">
        <v>1173</v>
      </c>
      <c r="F2201" s="49" t="s">
        <v>1174</v>
      </c>
      <c r="G2201" s="49" t="s">
        <v>772</v>
      </c>
      <c r="H2201" s="49" t="s">
        <v>1132</v>
      </c>
      <c r="I2201" s="49" t="s">
        <v>885</v>
      </c>
    </row>
    <row r="2202" customFormat="false" ht="25.5" hidden="false" customHeight="true" outlineLevel="0" collapsed="false">
      <c r="A2202" s="49" t="s">
        <v>1120</v>
      </c>
      <c r="B2202" s="49" t="s">
        <v>1447</v>
      </c>
      <c r="C2202" s="49" t="s">
        <v>1448</v>
      </c>
      <c r="D2202" s="49" t="s">
        <v>1141</v>
      </c>
      <c r="E2202" s="49" t="s">
        <v>1449</v>
      </c>
      <c r="F2202" s="49" t="s">
        <v>1450</v>
      </c>
      <c r="G2202" s="49" t="s">
        <v>772</v>
      </c>
      <c r="H2202" s="49" t="s">
        <v>1132</v>
      </c>
      <c r="I2202" s="49" t="s">
        <v>885</v>
      </c>
    </row>
    <row r="2203" customFormat="false" ht="25.5" hidden="false" customHeight="true" outlineLevel="0" collapsed="false">
      <c r="A2203" s="49" t="s">
        <v>1120</v>
      </c>
      <c r="B2203" s="49" t="s">
        <v>1447</v>
      </c>
      <c r="C2203" s="49" t="s">
        <v>1451</v>
      </c>
      <c r="D2203" s="49" t="s">
        <v>1129</v>
      </c>
      <c r="E2203" s="49" t="s">
        <v>1452</v>
      </c>
      <c r="F2203" s="49" t="s">
        <v>1453</v>
      </c>
      <c r="G2203" s="49" t="s">
        <v>772</v>
      </c>
      <c r="H2203" s="49" t="s">
        <v>1132</v>
      </c>
      <c r="I2203" s="49" t="s">
        <v>885</v>
      </c>
    </row>
    <row r="2204" customFormat="false" ht="25.5" hidden="false" customHeight="true" outlineLevel="0" collapsed="false">
      <c r="A2204" s="49" t="s">
        <v>1120</v>
      </c>
      <c r="B2204" s="49" t="s">
        <v>1447</v>
      </c>
      <c r="C2204" s="49" t="s">
        <v>1454</v>
      </c>
      <c r="D2204" s="49" t="s">
        <v>1156</v>
      </c>
      <c r="E2204" s="49" t="s">
        <v>1455</v>
      </c>
      <c r="F2204" s="49" t="s">
        <v>1456</v>
      </c>
      <c r="G2204" s="49" t="s">
        <v>772</v>
      </c>
      <c r="H2204" s="49" t="s">
        <v>1132</v>
      </c>
      <c r="I2204" s="49" t="s">
        <v>885</v>
      </c>
    </row>
    <row r="2205" customFormat="false" ht="25.5" hidden="false" customHeight="true" outlineLevel="0" collapsed="false">
      <c r="A2205" s="49" t="s">
        <v>1120</v>
      </c>
      <c r="B2205" s="49" t="s">
        <v>1447</v>
      </c>
      <c r="C2205" s="49" t="s">
        <v>1457</v>
      </c>
      <c r="D2205" s="49" t="s">
        <v>1156</v>
      </c>
      <c r="E2205" s="49" t="s">
        <v>1455</v>
      </c>
      <c r="F2205" s="49" t="s">
        <v>1456</v>
      </c>
      <c r="G2205" s="49" t="s">
        <v>772</v>
      </c>
      <c r="H2205" s="49" t="s">
        <v>1132</v>
      </c>
      <c r="I2205" s="49" t="s">
        <v>885</v>
      </c>
    </row>
    <row r="2206" customFormat="false" ht="25.5" hidden="false" customHeight="true" outlineLevel="0" collapsed="false">
      <c r="A2206" s="49" t="s">
        <v>1120</v>
      </c>
      <c r="B2206" s="49" t="s">
        <v>1447</v>
      </c>
      <c r="C2206" s="49" t="s">
        <v>1458</v>
      </c>
      <c r="D2206" s="49" t="s">
        <v>1208</v>
      </c>
      <c r="E2206" s="49" t="s">
        <v>1183</v>
      </c>
      <c r="F2206" s="49" t="s">
        <v>1459</v>
      </c>
      <c r="G2206" s="49" t="s">
        <v>772</v>
      </c>
      <c r="H2206" s="49" t="s">
        <v>1132</v>
      </c>
      <c r="I2206" s="49" t="s">
        <v>885</v>
      </c>
    </row>
    <row r="2207" customFormat="false" ht="25.5" hidden="false" customHeight="true" outlineLevel="0" collapsed="false">
      <c r="A2207" s="49" t="s">
        <v>1120</v>
      </c>
      <c r="B2207" s="49" t="s">
        <v>1447</v>
      </c>
      <c r="C2207" s="49" t="s">
        <v>1460</v>
      </c>
      <c r="D2207" s="49" t="s">
        <v>1141</v>
      </c>
      <c r="E2207" s="49" t="s">
        <v>1183</v>
      </c>
      <c r="F2207" s="49" t="s">
        <v>1461</v>
      </c>
      <c r="G2207" s="49" t="s">
        <v>772</v>
      </c>
      <c r="H2207" s="49" t="s">
        <v>1132</v>
      </c>
      <c r="I2207" s="49" t="s">
        <v>885</v>
      </c>
    </row>
    <row r="2208" customFormat="false" ht="25.5" hidden="false" customHeight="true" outlineLevel="0" collapsed="false">
      <c r="A2208" s="49" t="s">
        <v>1120</v>
      </c>
      <c r="B2208" s="49" t="s">
        <v>1447</v>
      </c>
      <c r="C2208" s="49" t="s">
        <v>1462</v>
      </c>
      <c r="D2208" s="49" t="s">
        <v>1156</v>
      </c>
      <c r="E2208" s="49" t="s">
        <v>1183</v>
      </c>
      <c r="F2208" s="49" t="s">
        <v>1463</v>
      </c>
      <c r="G2208" s="49" t="s">
        <v>772</v>
      </c>
      <c r="H2208" s="49" t="s">
        <v>1132</v>
      </c>
      <c r="I2208" s="49" t="s">
        <v>885</v>
      </c>
    </row>
    <row r="2209" customFormat="false" ht="25.5" hidden="false" customHeight="true" outlineLevel="0" collapsed="false">
      <c r="A2209" s="49" t="s">
        <v>1120</v>
      </c>
      <c r="B2209" s="49" t="s">
        <v>1447</v>
      </c>
      <c r="C2209" s="49" t="s">
        <v>1464</v>
      </c>
      <c r="D2209" s="49" t="s">
        <v>1218</v>
      </c>
      <c r="E2209" s="49" t="s">
        <v>1183</v>
      </c>
      <c r="F2209" s="49" t="s">
        <v>1465</v>
      </c>
      <c r="G2209" s="49" t="s">
        <v>772</v>
      </c>
      <c r="H2209" s="49" t="s">
        <v>1132</v>
      </c>
      <c r="I2209" s="49" t="s">
        <v>885</v>
      </c>
    </row>
    <row r="2210" customFormat="false" ht="25.5" hidden="false" customHeight="true" outlineLevel="0" collapsed="false">
      <c r="A2210" s="49" t="s">
        <v>1120</v>
      </c>
      <c r="B2210" s="49" t="s">
        <v>1447</v>
      </c>
      <c r="C2210" s="49" t="s">
        <v>1466</v>
      </c>
      <c r="D2210" s="49" t="s">
        <v>1141</v>
      </c>
      <c r="E2210" s="49" t="s">
        <v>1183</v>
      </c>
      <c r="F2210" s="49" t="s">
        <v>1467</v>
      </c>
      <c r="G2210" s="49" t="s">
        <v>772</v>
      </c>
      <c r="H2210" s="49" t="s">
        <v>1132</v>
      </c>
      <c r="I2210" s="49" t="s">
        <v>885</v>
      </c>
    </row>
    <row r="2211" customFormat="false" ht="25.5" hidden="false" customHeight="true" outlineLevel="0" collapsed="false">
      <c r="A2211" s="49" t="s">
        <v>1120</v>
      </c>
      <c r="B2211" s="49" t="s">
        <v>1447</v>
      </c>
      <c r="C2211" s="49" t="s">
        <v>1468</v>
      </c>
      <c r="D2211" s="49" t="s">
        <v>1292</v>
      </c>
      <c r="E2211" s="49" t="s">
        <v>1183</v>
      </c>
      <c r="F2211" s="49" t="s">
        <v>1469</v>
      </c>
      <c r="G2211" s="49" t="s">
        <v>772</v>
      </c>
      <c r="H2211" s="49" t="s">
        <v>1132</v>
      </c>
      <c r="I2211" s="49" t="s">
        <v>885</v>
      </c>
    </row>
    <row r="2212" customFormat="false" ht="25.5" hidden="false" customHeight="true" outlineLevel="0" collapsed="false">
      <c r="A2212" s="49" t="s">
        <v>1120</v>
      </c>
      <c r="B2212" s="49" t="s">
        <v>1447</v>
      </c>
      <c r="C2212" s="49" t="s">
        <v>1470</v>
      </c>
      <c r="D2212" s="49" t="s">
        <v>1218</v>
      </c>
      <c r="E2212" s="49" t="s">
        <v>1183</v>
      </c>
      <c r="F2212" s="49" t="s">
        <v>1471</v>
      </c>
      <c r="G2212" s="49" t="s">
        <v>772</v>
      </c>
      <c r="H2212" s="49" t="s">
        <v>1132</v>
      </c>
      <c r="I2212" s="49" t="s">
        <v>885</v>
      </c>
    </row>
    <row r="2213" customFormat="false" ht="25.5" hidden="false" customHeight="true" outlineLevel="0" collapsed="false">
      <c r="A2213" s="49" t="s">
        <v>1120</v>
      </c>
      <c r="B2213" s="49" t="s">
        <v>1447</v>
      </c>
      <c r="C2213" s="49" t="s">
        <v>1472</v>
      </c>
      <c r="D2213" s="49" t="s">
        <v>1134</v>
      </c>
      <c r="E2213" s="49" t="s">
        <v>1405</v>
      </c>
      <c r="F2213" s="49" t="s">
        <v>1473</v>
      </c>
      <c r="G2213" s="49" t="s">
        <v>772</v>
      </c>
      <c r="H2213" s="49" t="s">
        <v>1132</v>
      </c>
      <c r="I2213" s="49" t="s">
        <v>885</v>
      </c>
    </row>
    <row r="2214" customFormat="false" ht="25.5" hidden="false" customHeight="true" outlineLevel="0" collapsed="false">
      <c r="A2214" s="49" t="s">
        <v>1120</v>
      </c>
      <c r="B2214" s="49" t="s">
        <v>1447</v>
      </c>
      <c r="C2214" s="49" t="s">
        <v>1474</v>
      </c>
      <c r="D2214" s="49" t="s">
        <v>1208</v>
      </c>
      <c r="E2214" s="49" t="s">
        <v>1475</v>
      </c>
      <c r="F2214" s="49" t="s">
        <v>1476</v>
      </c>
      <c r="G2214" s="49" t="s">
        <v>772</v>
      </c>
      <c r="H2214" s="49" t="s">
        <v>1132</v>
      </c>
      <c r="I2214" s="49" t="s">
        <v>885</v>
      </c>
    </row>
    <row r="2215" customFormat="false" ht="25.5" hidden="false" customHeight="true" outlineLevel="0" collapsed="false">
      <c r="A2215" s="49" t="s">
        <v>1120</v>
      </c>
      <c r="B2215" s="49" t="s">
        <v>1447</v>
      </c>
      <c r="C2215" s="49" t="s">
        <v>1477</v>
      </c>
      <c r="D2215" s="49" t="s">
        <v>1162</v>
      </c>
      <c r="E2215" s="49" t="s">
        <v>1478</v>
      </c>
      <c r="F2215" s="49" t="s">
        <v>1479</v>
      </c>
      <c r="G2215" s="49" t="s">
        <v>772</v>
      </c>
      <c r="H2215" s="49" t="s">
        <v>1132</v>
      </c>
      <c r="I2215" s="49" t="s">
        <v>885</v>
      </c>
    </row>
    <row r="2216" customFormat="false" ht="25.5" hidden="false" customHeight="true" outlineLevel="0" collapsed="false">
      <c r="A2216" s="49" t="s">
        <v>1120</v>
      </c>
      <c r="B2216" s="49" t="s">
        <v>1447</v>
      </c>
      <c r="C2216" s="49" t="s">
        <v>1480</v>
      </c>
      <c r="D2216" s="49" t="s">
        <v>1199</v>
      </c>
      <c r="E2216" s="49" t="s">
        <v>1135</v>
      </c>
      <c r="F2216" s="49" t="s">
        <v>1473</v>
      </c>
      <c r="G2216" s="49" t="s">
        <v>772</v>
      </c>
      <c r="H2216" s="49" t="s">
        <v>1132</v>
      </c>
      <c r="I2216" s="49" t="s">
        <v>885</v>
      </c>
    </row>
    <row r="2217" customFormat="false" ht="25.5" hidden="false" customHeight="true" outlineLevel="0" collapsed="false">
      <c r="A2217" s="49" t="s">
        <v>1120</v>
      </c>
      <c r="B2217" s="49" t="s">
        <v>1447</v>
      </c>
      <c r="C2217" s="49" t="s">
        <v>1481</v>
      </c>
      <c r="D2217" s="49" t="s">
        <v>1292</v>
      </c>
      <c r="E2217" s="49" t="s">
        <v>1135</v>
      </c>
      <c r="F2217" s="49" t="s">
        <v>1473</v>
      </c>
      <c r="G2217" s="49" t="s">
        <v>772</v>
      </c>
      <c r="H2217" s="49" t="s">
        <v>1132</v>
      </c>
      <c r="I2217" s="49" t="s">
        <v>885</v>
      </c>
    </row>
    <row r="2218" customFormat="false" ht="25.5" hidden="false" customHeight="true" outlineLevel="0" collapsed="false">
      <c r="A2218" s="49" t="s">
        <v>1120</v>
      </c>
      <c r="B2218" s="49" t="s">
        <v>1447</v>
      </c>
      <c r="C2218" s="49" t="s">
        <v>1482</v>
      </c>
      <c r="D2218" s="49" t="s">
        <v>1199</v>
      </c>
      <c r="E2218" s="49" t="s">
        <v>1483</v>
      </c>
      <c r="F2218" s="49" t="s">
        <v>1484</v>
      </c>
      <c r="G2218" s="49" t="s">
        <v>772</v>
      </c>
      <c r="H2218" s="49" t="s">
        <v>1132</v>
      </c>
      <c r="I2218" s="49" t="s">
        <v>885</v>
      </c>
    </row>
    <row r="2219" customFormat="false" ht="25.5" hidden="false" customHeight="true" outlineLevel="0" collapsed="false">
      <c r="A2219" s="49" t="s">
        <v>1120</v>
      </c>
      <c r="B2219" s="49" t="s">
        <v>1447</v>
      </c>
      <c r="C2219" s="49" t="s">
        <v>1485</v>
      </c>
      <c r="D2219" s="49" t="s">
        <v>1151</v>
      </c>
      <c r="E2219" s="49" t="s">
        <v>1135</v>
      </c>
      <c r="F2219" s="49" t="s">
        <v>1473</v>
      </c>
      <c r="G2219" s="49" t="s">
        <v>772</v>
      </c>
      <c r="H2219" s="49" t="s">
        <v>1132</v>
      </c>
      <c r="I2219" s="49" t="s">
        <v>885</v>
      </c>
    </row>
    <row r="2220" customFormat="false" ht="25.5" hidden="false" customHeight="true" outlineLevel="0" collapsed="false">
      <c r="A2220" s="49" t="s">
        <v>1120</v>
      </c>
      <c r="B2220" s="49" t="s">
        <v>1447</v>
      </c>
      <c r="C2220" s="49" t="s">
        <v>1486</v>
      </c>
      <c r="D2220" s="49" t="s">
        <v>1199</v>
      </c>
      <c r="E2220" s="49" t="s">
        <v>1135</v>
      </c>
      <c r="F2220" s="49" t="s">
        <v>1473</v>
      </c>
      <c r="G2220" s="49" t="s">
        <v>772</v>
      </c>
      <c r="H2220" s="49" t="s">
        <v>1132</v>
      </c>
      <c r="I2220" s="49" t="s">
        <v>885</v>
      </c>
    </row>
    <row r="2221" customFormat="false" ht="25.5" hidden="false" customHeight="true" outlineLevel="0" collapsed="false">
      <c r="A2221" s="49" t="s">
        <v>1120</v>
      </c>
      <c r="B2221" s="49" t="s">
        <v>1447</v>
      </c>
      <c r="C2221" s="49" t="s">
        <v>1487</v>
      </c>
      <c r="D2221" s="49" t="s">
        <v>1148</v>
      </c>
      <c r="E2221" s="49" t="s">
        <v>1135</v>
      </c>
      <c r="F2221" s="49" t="s">
        <v>1473</v>
      </c>
      <c r="G2221" s="49" t="s">
        <v>772</v>
      </c>
      <c r="H2221" s="49" t="s">
        <v>1132</v>
      </c>
      <c r="I2221" s="49" t="s">
        <v>885</v>
      </c>
    </row>
    <row r="2222" customFormat="false" ht="25.5" hidden="false" customHeight="true" outlineLevel="0" collapsed="false">
      <c r="A2222" s="49" t="s">
        <v>1120</v>
      </c>
      <c r="B2222" s="49" t="s">
        <v>1447</v>
      </c>
      <c r="C2222" s="49" t="s">
        <v>1488</v>
      </c>
      <c r="D2222" s="49" t="s">
        <v>1151</v>
      </c>
      <c r="E2222" s="49" t="s">
        <v>1135</v>
      </c>
      <c r="F2222" s="49" t="s">
        <v>1473</v>
      </c>
      <c r="G2222" s="49" t="s">
        <v>772</v>
      </c>
      <c r="H2222" s="49" t="s">
        <v>1132</v>
      </c>
      <c r="I2222" s="49" t="s">
        <v>885</v>
      </c>
    </row>
    <row r="2223" customFormat="false" ht="25.5" hidden="false" customHeight="true" outlineLevel="0" collapsed="false">
      <c r="A2223" s="49" t="s">
        <v>1120</v>
      </c>
      <c r="B2223" s="49" t="s">
        <v>1447</v>
      </c>
      <c r="C2223" s="49" t="s">
        <v>1489</v>
      </c>
      <c r="D2223" s="49" t="s">
        <v>1151</v>
      </c>
      <c r="E2223" s="49" t="s">
        <v>1135</v>
      </c>
      <c r="F2223" s="49" t="s">
        <v>1473</v>
      </c>
      <c r="G2223" s="49" t="s">
        <v>772</v>
      </c>
      <c r="H2223" s="49" t="s">
        <v>1132</v>
      </c>
      <c r="I2223" s="49" t="s">
        <v>885</v>
      </c>
    </row>
    <row r="2224" customFormat="false" ht="25.5" hidden="false" customHeight="true" outlineLevel="0" collapsed="false">
      <c r="A2224" s="49" t="s">
        <v>1120</v>
      </c>
      <c r="B2224" s="49" t="s">
        <v>1447</v>
      </c>
      <c r="C2224" s="49" t="s">
        <v>1490</v>
      </c>
      <c r="D2224" s="49" t="s">
        <v>1141</v>
      </c>
      <c r="E2224" s="49" t="s">
        <v>1135</v>
      </c>
      <c r="F2224" s="49" t="s">
        <v>1473</v>
      </c>
      <c r="G2224" s="49" t="s">
        <v>772</v>
      </c>
      <c r="H2224" s="49" t="s">
        <v>1132</v>
      </c>
      <c r="I2224" s="49" t="s">
        <v>885</v>
      </c>
    </row>
    <row r="2225" customFormat="false" ht="25.5" hidden="false" customHeight="true" outlineLevel="0" collapsed="false">
      <c r="A2225" s="49" t="s">
        <v>1120</v>
      </c>
      <c r="B2225" s="49" t="s">
        <v>1447</v>
      </c>
      <c r="C2225" s="49" t="s">
        <v>1491</v>
      </c>
      <c r="D2225" s="49" t="s">
        <v>1218</v>
      </c>
      <c r="E2225" s="49" t="s">
        <v>1135</v>
      </c>
      <c r="F2225" s="49" t="s">
        <v>1473</v>
      </c>
      <c r="G2225" s="49" t="s">
        <v>772</v>
      </c>
      <c r="H2225" s="49" t="s">
        <v>1132</v>
      </c>
      <c r="I2225" s="49" t="s">
        <v>885</v>
      </c>
    </row>
    <row r="2226" customFormat="false" ht="25.5" hidden="false" customHeight="true" outlineLevel="0" collapsed="false">
      <c r="A2226" s="49" t="s">
        <v>1120</v>
      </c>
      <c r="B2226" s="49" t="s">
        <v>1447</v>
      </c>
      <c r="C2226" s="49" t="s">
        <v>1492</v>
      </c>
      <c r="D2226" s="49" t="s">
        <v>1156</v>
      </c>
      <c r="E2226" s="49" t="s">
        <v>1135</v>
      </c>
      <c r="F2226" s="49" t="s">
        <v>1473</v>
      </c>
      <c r="G2226" s="49" t="s">
        <v>772</v>
      </c>
      <c r="H2226" s="49" t="s">
        <v>1132</v>
      </c>
      <c r="I2226" s="49" t="s">
        <v>885</v>
      </c>
    </row>
    <row r="2227" customFormat="false" ht="25.5" hidden="false" customHeight="true" outlineLevel="0" collapsed="false">
      <c r="A2227" s="49" t="s">
        <v>1120</v>
      </c>
      <c r="B2227" s="49" t="s">
        <v>1447</v>
      </c>
      <c r="C2227" s="49" t="s">
        <v>1493</v>
      </c>
      <c r="D2227" s="49" t="s">
        <v>1134</v>
      </c>
      <c r="E2227" s="49" t="s">
        <v>1183</v>
      </c>
      <c r="F2227" s="49" t="s">
        <v>1408</v>
      </c>
      <c r="G2227" s="49" t="s">
        <v>772</v>
      </c>
      <c r="H2227" s="49" t="s">
        <v>1132</v>
      </c>
      <c r="I2227" s="49" t="s">
        <v>885</v>
      </c>
    </row>
    <row r="2228" customFormat="false" ht="25.5" hidden="false" customHeight="true" outlineLevel="0" collapsed="false">
      <c r="A2228" s="49" t="s">
        <v>1120</v>
      </c>
      <c r="B2228" s="49" t="s">
        <v>1447</v>
      </c>
      <c r="C2228" s="49" t="s">
        <v>1494</v>
      </c>
      <c r="D2228" s="49" t="s">
        <v>1151</v>
      </c>
      <c r="E2228" s="49" t="s">
        <v>1135</v>
      </c>
      <c r="F2228" s="49" t="s">
        <v>1473</v>
      </c>
      <c r="G2228" s="49" t="s">
        <v>772</v>
      </c>
      <c r="H2228" s="49" t="s">
        <v>1132</v>
      </c>
      <c r="I2228" s="49" t="s">
        <v>885</v>
      </c>
    </row>
    <row r="2229" customFormat="false" ht="25.5" hidden="false" customHeight="true" outlineLevel="0" collapsed="false">
      <c r="A2229" s="49" t="s">
        <v>1120</v>
      </c>
      <c r="B2229" s="49" t="s">
        <v>879</v>
      </c>
      <c r="C2229" s="49" t="s">
        <v>880</v>
      </c>
      <c r="D2229" s="49" t="s">
        <v>881</v>
      </c>
      <c r="E2229" s="49" t="s">
        <v>882</v>
      </c>
      <c r="F2229" s="49" t="s">
        <v>883</v>
      </c>
      <c r="G2229" s="49" t="s">
        <v>772</v>
      </c>
      <c r="H2229" s="49" t="s">
        <v>1132</v>
      </c>
      <c r="I2229" s="49" t="s">
        <v>885</v>
      </c>
    </row>
    <row r="2230" customFormat="false" ht="25.5" hidden="false" customHeight="true" outlineLevel="0" collapsed="false">
      <c r="A2230" s="49" t="s">
        <v>1120</v>
      </c>
      <c r="B2230" s="49" t="s">
        <v>879</v>
      </c>
      <c r="C2230" s="49" t="s">
        <v>943</v>
      </c>
      <c r="D2230" s="49" t="s">
        <v>944</v>
      </c>
      <c r="E2230" s="49" t="s">
        <v>843</v>
      </c>
      <c r="F2230" s="49" t="s">
        <v>945</v>
      </c>
      <c r="G2230" s="49" t="s">
        <v>776</v>
      </c>
      <c r="H2230" s="49" t="s">
        <v>1642</v>
      </c>
      <c r="I2230" s="49" t="s">
        <v>885</v>
      </c>
    </row>
    <row r="2231" customFormat="false" ht="25.5" hidden="false" customHeight="true" outlineLevel="0" collapsed="false">
      <c r="A2231" s="49" t="s">
        <v>1120</v>
      </c>
      <c r="B2231" s="49" t="s">
        <v>879</v>
      </c>
      <c r="C2231" s="49" t="s">
        <v>949</v>
      </c>
      <c r="D2231" s="49"/>
      <c r="E2231" s="49" t="s">
        <v>811</v>
      </c>
      <c r="F2231" s="49"/>
      <c r="G2231" s="49" t="s">
        <v>776</v>
      </c>
      <c r="H2231" s="49" t="s">
        <v>1642</v>
      </c>
      <c r="I2231" s="49" t="s">
        <v>885</v>
      </c>
    </row>
    <row r="2232" customFormat="false" ht="25.5" hidden="false" customHeight="true" outlineLevel="0" collapsed="false">
      <c r="A2232" s="49" t="s">
        <v>1120</v>
      </c>
      <c r="B2232" s="49" t="s">
        <v>879</v>
      </c>
      <c r="C2232" s="49" t="s">
        <v>998</v>
      </c>
      <c r="D2232" s="49" t="s">
        <v>881</v>
      </c>
      <c r="E2232" s="49" t="s">
        <v>146</v>
      </c>
      <c r="F2232" s="49"/>
      <c r="G2232" s="49" t="s">
        <v>776</v>
      </c>
      <c r="H2232" s="49" t="s">
        <v>1642</v>
      </c>
      <c r="I2232" s="49" t="s">
        <v>885</v>
      </c>
    </row>
    <row r="2233" customFormat="false" ht="25.5" hidden="false" customHeight="true" outlineLevel="0" collapsed="false">
      <c r="A2233" s="49" t="s">
        <v>1120</v>
      </c>
      <c r="B2233" s="49" t="s">
        <v>879</v>
      </c>
      <c r="C2233" s="49" t="s">
        <v>999</v>
      </c>
      <c r="D2233" s="49" t="s">
        <v>890</v>
      </c>
      <c r="E2233" s="49" t="s">
        <v>146</v>
      </c>
      <c r="F2233" s="49" t="s">
        <v>1000</v>
      </c>
      <c r="G2233" s="49" t="s">
        <v>776</v>
      </c>
      <c r="H2233" s="49" t="s">
        <v>1642</v>
      </c>
      <c r="I2233" s="49" t="s">
        <v>885</v>
      </c>
    </row>
    <row r="2234" customFormat="false" ht="25.5" hidden="false" customHeight="true" outlineLevel="0" collapsed="false">
      <c r="A2234" s="49" t="s">
        <v>1120</v>
      </c>
      <c r="B2234" s="49" t="s">
        <v>879</v>
      </c>
      <c r="C2234" s="49" t="s">
        <v>1001</v>
      </c>
      <c r="D2234" s="49"/>
      <c r="E2234" s="49" t="s">
        <v>146</v>
      </c>
      <c r="F2234" s="49"/>
      <c r="G2234" s="49" t="s">
        <v>776</v>
      </c>
      <c r="H2234" s="49" t="s">
        <v>1642</v>
      </c>
      <c r="I2234" s="49" t="s">
        <v>885</v>
      </c>
    </row>
    <row r="2235" customFormat="false" ht="25.5" hidden="false" customHeight="true" outlineLevel="0" collapsed="false">
      <c r="A2235" s="49" t="s">
        <v>1120</v>
      </c>
      <c r="B2235" s="49" t="s">
        <v>891</v>
      </c>
      <c r="C2235" s="49" t="s">
        <v>1498</v>
      </c>
      <c r="D2235" s="49" t="s">
        <v>1499</v>
      </c>
      <c r="E2235" s="49" t="s">
        <v>1142</v>
      </c>
      <c r="F2235" s="49" t="s">
        <v>1500</v>
      </c>
      <c r="G2235" s="49" t="s">
        <v>772</v>
      </c>
      <c r="H2235" s="49" t="s">
        <v>1132</v>
      </c>
      <c r="I2235" s="49" t="s">
        <v>885</v>
      </c>
    </row>
    <row r="2236" customFormat="false" ht="25.5" hidden="false" customHeight="true" outlineLevel="0" collapsed="false">
      <c r="A2236" s="49" t="s">
        <v>1120</v>
      </c>
      <c r="B2236" s="49" t="s">
        <v>891</v>
      </c>
      <c r="C2236" s="49" t="s">
        <v>1002</v>
      </c>
      <c r="D2236" s="49" t="s">
        <v>898</v>
      </c>
      <c r="E2236" s="49" t="s">
        <v>146</v>
      </c>
      <c r="F2236" s="49"/>
      <c r="G2236" s="49" t="s">
        <v>776</v>
      </c>
      <c r="H2236" s="49" t="s">
        <v>1642</v>
      </c>
      <c r="I2236" s="49" t="s">
        <v>885</v>
      </c>
    </row>
    <row r="2237" customFormat="false" ht="25.5" hidden="false" customHeight="true" outlineLevel="0" collapsed="false">
      <c r="A2237" s="49" t="s">
        <v>1120</v>
      </c>
      <c r="B2237" s="49" t="s">
        <v>891</v>
      </c>
      <c r="C2237" s="49" t="s">
        <v>1501</v>
      </c>
      <c r="D2237" s="49" t="s">
        <v>1004</v>
      </c>
      <c r="E2237" s="49" t="s">
        <v>1502</v>
      </c>
      <c r="F2237" s="49" t="s">
        <v>1008</v>
      </c>
      <c r="G2237" s="49" t="s">
        <v>772</v>
      </c>
      <c r="H2237" s="49" t="s">
        <v>1132</v>
      </c>
      <c r="I2237" s="49" t="s">
        <v>885</v>
      </c>
    </row>
    <row r="2238" customFormat="false" ht="25.5" hidden="false" customHeight="true" outlineLevel="0" collapsed="false">
      <c r="A2238" s="49" t="s">
        <v>1120</v>
      </c>
      <c r="B2238" s="49" t="s">
        <v>891</v>
      </c>
      <c r="C2238" s="49" t="s">
        <v>1003</v>
      </c>
      <c r="D2238" s="49" t="s">
        <v>1004</v>
      </c>
      <c r="E2238" s="49" t="s">
        <v>146</v>
      </c>
      <c r="F2238" s="49"/>
      <c r="G2238" s="49" t="s">
        <v>776</v>
      </c>
      <c r="H2238" s="49" t="s">
        <v>1642</v>
      </c>
      <c r="I2238" s="49" t="s">
        <v>885</v>
      </c>
    </row>
    <row r="2239" customFormat="false" ht="25.5" hidden="false" customHeight="true" outlineLevel="0" collapsed="false">
      <c r="A2239" s="49" t="s">
        <v>1120</v>
      </c>
      <c r="B2239" s="49" t="s">
        <v>891</v>
      </c>
      <c r="C2239" s="49" t="s">
        <v>892</v>
      </c>
      <c r="D2239" s="49"/>
      <c r="E2239" s="49" t="s">
        <v>893</v>
      </c>
      <c r="F2239" s="49" t="s">
        <v>894</v>
      </c>
      <c r="G2239" s="49" t="s">
        <v>776</v>
      </c>
      <c r="H2239" s="49" t="s">
        <v>1643</v>
      </c>
      <c r="I2239" s="49" t="s">
        <v>885</v>
      </c>
    </row>
    <row r="2240" customFormat="false" ht="25.5" hidden="false" customHeight="true" outlineLevel="0" collapsed="false">
      <c r="A2240" s="49" t="s">
        <v>1120</v>
      </c>
      <c r="B2240" s="49" t="s">
        <v>891</v>
      </c>
      <c r="C2240" s="49" t="s">
        <v>1006</v>
      </c>
      <c r="D2240" s="49" t="s">
        <v>1007</v>
      </c>
      <c r="E2240" s="49" t="s">
        <v>146</v>
      </c>
      <c r="F2240" s="49" t="s">
        <v>1008</v>
      </c>
      <c r="G2240" s="49" t="s">
        <v>776</v>
      </c>
      <c r="H2240" s="49" t="s">
        <v>1642</v>
      </c>
      <c r="I2240" s="49" t="s">
        <v>885</v>
      </c>
    </row>
    <row r="2241" customFormat="false" ht="25.5" hidden="false" customHeight="true" outlineLevel="0" collapsed="false">
      <c r="A2241" s="49" t="s">
        <v>1120</v>
      </c>
      <c r="B2241" s="49" t="s">
        <v>1009</v>
      </c>
      <c r="C2241" s="49" t="s">
        <v>1504</v>
      </c>
      <c r="D2241" s="49" t="s">
        <v>1011</v>
      </c>
      <c r="E2241" s="49" t="s">
        <v>1189</v>
      </c>
      <c r="F2241" s="49" t="s">
        <v>1505</v>
      </c>
      <c r="G2241" s="49" t="s">
        <v>772</v>
      </c>
      <c r="H2241" s="49" t="s">
        <v>1132</v>
      </c>
      <c r="I2241" s="49" t="s">
        <v>885</v>
      </c>
    </row>
    <row r="2242" customFormat="false" ht="25.5" hidden="false" customHeight="true" outlineLevel="0" collapsed="false">
      <c r="A2242" s="49" t="s">
        <v>1120</v>
      </c>
      <c r="B2242" s="49" t="s">
        <v>1009</v>
      </c>
      <c r="C2242" s="49" t="s">
        <v>1010</v>
      </c>
      <c r="D2242" s="49" t="s">
        <v>1011</v>
      </c>
      <c r="E2242" s="49" t="s">
        <v>146</v>
      </c>
      <c r="F2242" s="49"/>
      <c r="G2242" s="49" t="s">
        <v>776</v>
      </c>
      <c r="H2242" s="49" t="s">
        <v>1642</v>
      </c>
      <c r="I2242" s="49" t="s">
        <v>885</v>
      </c>
    </row>
    <row r="2243" customFormat="false" ht="25.5" hidden="false" customHeight="true" outlineLevel="0" collapsed="false">
      <c r="A2243" s="51" t="s">
        <v>1120</v>
      </c>
      <c r="B2243" s="51" t="s">
        <v>1009</v>
      </c>
      <c r="C2243" s="51" t="s">
        <v>1012</v>
      </c>
      <c r="D2243" s="51" t="s">
        <v>1011</v>
      </c>
      <c r="E2243" s="51" t="s">
        <v>1013</v>
      </c>
      <c r="F2243" s="51"/>
      <c r="G2243" s="52" t="s">
        <v>910</v>
      </c>
      <c r="H2243" s="51" t="s">
        <v>1644</v>
      </c>
      <c r="I2243" s="51" t="s">
        <v>912</v>
      </c>
    </row>
    <row r="2244" customFormat="false" ht="25.5" hidden="false" customHeight="true" outlineLevel="0" collapsed="false">
      <c r="A2244" s="49" t="s">
        <v>1120</v>
      </c>
      <c r="B2244" s="49" t="s">
        <v>1009</v>
      </c>
      <c r="C2244" s="49" t="s">
        <v>1014</v>
      </c>
      <c r="D2244" s="49" t="s">
        <v>1011</v>
      </c>
      <c r="E2244" s="49" t="s">
        <v>1015</v>
      </c>
      <c r="F2244" s="49" t="s">
        <v>1016</v>
      </c>
      <c r="G2244" s="49" t="s">
        <v>776</v>
      </c>
      <c r="H2244" s="49" t="s">
        <v>1642</v>
      </c>
      <c r="I2244" s="49" t="s">
        <v>885</v>
      </c>
    </row>
    <row r="2245" customFormat="false" ht="25.5" hidden="false" customHeight="true" outlineLevel="0" collapsed="false">
      <c r="A2245" s="49" t="s">
        <v>1120</v>
      </c>
      <c r="B2245" s="49" t="s">
        <v>1009</v>
      </c>
      <c r="C2245" s="49" t="s">
        <v>1017</v>
      </c>
      <c r="D2245" s="49" t="s">
        <v>1011</v>
      </c>
      <c r="E2245" s="49" t="s">
        <v>146</v>
      </c>
      <c r="F2245" s="49"/>
      <c r="G2245" s="49" t="s">
        <v>776</v>
      </c>
      <c r="H2245" s="49" t="s">
        <v>1642</v>
      </c>
      <c r="I2245" s="49" t="s">
        <v>885</v>
      </c>
    </row>
    <row r="2246" customFormat="false" ht="25.5" hidden="false" customHeight="true" outlineLevel="0" collapsed="false">
      <c r="A2246" s="49" t="s">
        <v>1120</v>
      </c>
      <c r="B2246" s="49" t="s">
        <v>950</v>
      </c>
      <c r="C2246" s="49" t="s">
        <v>1106</v>
      </c>
      <c r="D2246" s="49" t="s">
        <v>929</v>
      </c>
      <c r="E2246" s="49" t="s">
        <v>1107</v>
      </c>
      <c r="F2246" s="49"/>
      <c r="G2246" s="49" t="s">
        <v>772</v>
      </c>
      <c r="H2246" s="49" t="s">
        <v>1645</v>
      </c>
      <c r="I2246" s="49" t="s">
        <v>885</v>
      </c>
    </row>
    <row r="2247" customFormat="false" ht="25.5" hidden="false" customHeight="true" outlineLevel="0" collapsed="false">
      <c r="A2247" s="49" t="s">
        <v>1120</v>
      </c>
      <c r="B2247" s="49" t="s">
        <v>950</v>
      </c>
      <c r="C2247" s="49" t="s">
        <v>1018</v>
      </c>
      <c r="D2247" s="49" t="s">
        <v>1019</v>
      </c>
      <c r="E2247" s="49" t="s">
        <v>1020</v>
      </c>
      <c r="F2247" s="49"/>
      <c r="G2247" s="49" t="s">
        <v>776</v>
      </c>
      <c r="H2247" s="49" t="s">
        <v>1642</v>
      </c>
      <c r="I2247" s="49" t="s">
        <v>885</v>
      </c>
    </row>
    <row r="2248" customFormat="false" ht="25.5" hidden="false" customHeight="true" outlineLevel="0" collapsed="false">
      <c r="A2248" s="49" t="s">
        <v>1120</v>
      </c>
      <c r="B2248" s="49" t="s">
        <v>950</v>
      </c>
      <c r="C2248" s="49" t="s">
        <v>951</v>
      </c>
      <c r="D2248" s="49"/>
      <c r="E2248" s="49" t="s">
        <v>217</v>
      </c>
      <c r="F2248" s="49" t="s">
        <v>952</v>
      </c>
      <c r="G2248" s="49" t="s">
        <v>772</v>
      </c>
      <c r="H2248" s="49" t="s">
        <v>1132</v>
      </c>
      <c r="I2248" s="49" t="s">
        <v>885</v>
      </c>
    </row>
    <row r="2249" customFormat="false" ht="25.5" hidden="false" customHeight="true" outlineLevel="0" collapsed="false">
      <c r="A2249" s="49" t="s">
        <v>1120</v>
      </c>
      <c r="B2249" s="49" t="s">
        <v>950</v>
      </c>
      <c r="C2249" s="49" t="s">
        <v>953</v>
      </c>
      <c r="D2249" s="49" t="s">
        <v>954</v>
      </c>
      <c r="E2249" s="49" t="s">
        <v>217</v>
      </c>
      <c r="F2249" s="49" t="s">
        <v>955</v>
      </c>
      <c r="G2249" s="49" t="s">
        <v>772</v>
      </c>
      <c r="H2249" s="49" t="s">
        <v>1132</v>
      </c>
      <c r="I2249" s="49" t="s">
        <v>885</v>
      </c>
    </row>
    <row r="2250" customFormat="false" ht="25.5" hidden="false" customHeight="true" outlineLevel="0" collapsed="false">
      <c r="A2250" s="49" t="s">
        <v>1120</v>
      </c>
      <c r="B2250" s="49" t="s">
        <v>950</v>
      </c>
      <c r="C2250" s="49" t="s">
        <v>1021</v>
      </c>
      <c r="D2250" s="49" t="s">
        <v>954</v>
      </c>
      <c r="E2250" s="49" t="s">
        <v>146</v>
      </c>
      <c r="F2250" s="49"/>
      <c r="G2250" s="49" t="s">
        <v>776</v>
      </c>
      <c r="H2250" s="49" t="s">
        <v>1642</v>
      </c>
      <c r="I2250" s="49" t="s">
        <v>885</v>
      </c>
    </row>
    <row r="2251" customFormat="false" ht="25.5" hidden="false" customHeight="true" outlineLevel="0" collapsed="false">
      <c r="A2251" s="49" t="s">
        <v>1120</v>
      </c>
      <c r="B2251" s="49" t="s">
        <v>950</v>
      </c>
      <c r="C2251" s="49" t="s">
        <v>1022</v>
      </c>
      <c r="D2251" s="49" t="s">
        <v>1019</v>
      </c>
      <c r="E2251" s="49" t="s">
        <v>1023</v>
      </c>
      <c r="F2251" s="49"/>
      <c r="G2251" s="49" t="s">
        <v>776</v>
      </c>
      <c r="H2251" s="49" t="s">
        <v>1642</v>
      </c>
      <c r="I2251" s="49" t="s">
        <v>885</v>
      </c>
    </row>
    <row r="2252" customFormat="false" ht="25.5" hidden="false" customHeight="true" outlineLevel="0" collapsed="false">
      <c r="A2252" s="51" t="s">
        <v>1120</v>
      </c>
      <c r="B2252" s="51" t="s">
        <v>950</v>
      </c>
      <c r="C2252" s="51" t="s">
        <v>956</v>
      </c>
      <c r="D2252" s="51" t="s">
        <v>954</v>
      </c>
      <c r="E2252" s="51" t="s">
        <v>957</v>
      </c>
      <c r="F2252" s="51" t="s">
        <v>958</v>
      </c>
      <c r="G2252" s="52" t="s">
        <v>910</v>
      </c>
      <c r="H2252" s="51" t="s">
        <v>1644</v>
      </c>
      <c r="I2252" s="51" t="s">
        <v>912</v>
      </c>
    </row>
    <row r="2253" customFormat="false" ht="25.5" hidden="false" customHeight="true" outlineLevel="0" collapsed="false">
      <c r="A2253" s="49" t="s">
        <v>1120</v>
      </c>
      <c r="B2253" s="49" t="s">
        <v>950</v>
      </c>
      <c r="C2253" s="49" t="s">
        <v>1024</v>
      </c>
      <c r="D2253" s="49" t="s">
        <v>1025</v>
      </c>
      <c r="E2253" s="49" t="s">
        <v>146</v>
      </c>
      <c r="F2253" s="49" t="s">
        <v>1026</v>
      </c>
      <c r="G2253" s="49" t="s">
        <v>776</v>
      </c>
      <c r="H2253" s="49" t="s">
        <v>1642</v>
      </c>
      <c r="I2253" s="49" t="s">
        <v>885</v>
      </c>
    </row>
    <row r="2254" customFormat="false" ht="25.5" hidden="false" customHeight="true" outlineLevel="0" collapsed="false">
      <c r="A2254" s="49" t="s">
        <v>1120</v>
      </c>
      <c r="B2254" s="49" t="s">
        <v>950</v>
      </c>
      <c r="C2254" s="49" t="s">
        <v>1027</v>
      </c>
      <c r="D2254" s="49" t="s">
        <v>1025</v>
      </c>
      <c r="E2254" s="49" t="s">
        <v>146</v>
      </c>
      <c r="F2254" s="49"/>
      <c r="G2254" s="49" t="s">
        <v>776</v>
      </c>
      <c r="H2254" s="49" t="s">
        <v>1642</v>
      </c>
      <c r="I2254" s="49" t="s">
        <v>885</v>
      </c>
    </row>
    <row r="2255" customFormat="false" ht="25.5" hidden="false" customHeight="true" outlineLevel="0" collapsed="false">
      <c r="A2255" s="49" t="s">
        <v>1120</v>
      </c>
      <c r="B2255" s="49" t="s">
        <v>896</v>
      </c>
      <c r="C2255" s="49" t="s">
        <v>1028</v>
      </c>
      <c r="D2255" s="49" t="s">
        <v>1029</v>
      </c>
      <c r="E2255" s="49" t="s">
        <v>146</v>
      </c>
      <c r="F2255" s="49" t="s">
        <v>1030</v>
      </c>
      <c r="G2255" s="49" t="s">
        <v>776</v>
      </c>
      <c r="H2255" s="49" t="s">
        <v>1642</v>
      </c>
      <c r="I2255" s="49" t="s">
        <v>885</v>
      </c>
    </row>
    <row r="2256" customFormat="false" ht="25.5" hidden="false" customHeight="true" outlineLevel="0" collapsed="false">
      <c r="A2256" s="49" t="s">
        <v>1120</v>
      </c>
      <c r="B2256" s="49" t="s">
        <v>896</v>
      </c>
      <c r="C2256" s="49" t="s">
        <v>897</v>
      </c>
      <c r="D2256" s="49" t="s">
        <v>898</v>
      </c>
      <c r="E2256" s="49" t="s">
        <v>899</v>
      </c>
      <c r="F2256" s="49"/>
      <c r="G2256" s="49" t="s">
        <v>776</v>
      </c>
      <c r="H2256" s="49" t="s">
        <v>1643</v>
      </c>
      <c r="I2256" s="49" t="s">
        <v>885</v>
      </c>
    </row>
    <row r="2257" customFormat="false" ht="25.5" hidden="false" customHeight="true" outlineLevel="0" collapsed="false">
      <c r="A2257" s="49" t="s">
        <v>1120</v>
      </c>
      <c r="B2257" s="49" t="s">
        <v>896</v>
      </c>
      <c r="C2257" s="49" t="s">
        <v>900</v>
      </c>
      <c r="D2257" s="49" t="s">
        <v>898</v>
      </c>
      <c r="E2257" s="49" t="s">
        <v>893</v>
      </c>
      <c r="F2257" s="49"/>
      <c r="G2257" s="49" t="s">
        <v>776</v>
      </c>
      <c r="H2257" s="49" t="s">
        <v>1643</v>
      </c>
      <c r="I2257" s="49" t="s">
        <v>885</v>
      </c>
    </row>
    <row r="2258" customFormat="false" ht="25.5" hidden="false" customHeight="true" outlineLevel="0" collapsed="false">
      <c r="A2258" s="49" t="s">
        <v>1120</v>
      </c>
      <c r="B2258" s="49" t="s">
        <v>896</v>
      </c>
      <c r="C2258" s="49" t="s">
        <v>901</v>
      </c>
      <c r="D2258" s="49" t="s">
        <v>898</v>
      </c>
      <c r="E2258" s="49" t="s">
        <v>893</v>
      </c>
      <c r="F2258" s="49"/>
      <c r="G2258" s="49" t="s">
        <v>776</v>
      </c>
      <c r="H2258" s="49" t="s">
        <v>1643</v>
      </c>
      <c r="I2258" s="49" t="s">
        <v>885</v>
      </c>
    </row>
    <row r="2259" customFormat="false" ht="25.5" hidden="false" customHeight="true" outlineLevel="0" collapsed="false">
      <c r="A2259" s="49" t="s">
        <v>1120</v>
      </c>
      <c r="B2259" s="49" t="s">
        <v>896</v>
      </c>
      <c r="C2259" s="49" t="s">
        <v>902</v>
      </c>
      <c r="D2259" s="49" t="s">
        <v>903</v>
      </c>
      <c r="E2259" s="49" t="s">
        <v>893</v>
      </c>
      <c r="F2259" s="49"/>
      <c r="G2259" s="49" t="s">
        <v>776</v>
      </c>
      <c r="H2259" s="49" t="s">
        <v>1643</v>
      </c>
      <c r="I2259" s="49" t="s">
        <v>885</v>
      </c>
    </row>
    <row r="2260" customFormat="false" ht="25.5" hidden="false" customHeight="true" outlineLevel="0" collapsed="false">
      <c r="A2260" s="49" t="s">
        <v>1120</v>
      </c>
      <c r="B2260" s="49" t="s">
        <v>896</v>
      </c>
      <c r="C2260" s="49" t="s">
        <v>904</v>
      </c>
      <c r="D2260" s="49"/>
      <c r="E2260" s="49" t="s">
        <v>893</v>
      </c>
      <c r="F2260" s="49"/>
      <c r="G2260" s="49" t="s">
        <v>776</v>
      </c>
      <c r="H2260" s="49" t="s">
        <v>1643</v>
      </c>
      <c r="I2260" s="49" t="s">
        <v>885</v>
      </c>
    </row>
    <row r="2261" customFormat="false" ht="25.5" hidden="false" customHeight="true" outlineLevel="0" collapsed="false">
      <c r="A2261" s="49" t="s">
        <v>1120</v>
      </c>
      <c r="B2261" s="49" t="s">
        <v>896</v>
      </c>
      <c r="C2261" s="49" t="s">
        <v>905</v>
      </c>
      <c r="D2261" s="49"/>
      <c r="E2261" s="49" t="s">
        <v>893</v>
      </c>
      <c r="F2261" s="49"/>
      <c r="G2261" s="49" t="s">
        <v>776</v>
      </c>
      <c r="H2261" s="49" t="s">
        <v>1643</v>
      </c>
      <c r="I2261" s="49" t="s">
        <v>885</v>
      </c>
    </row>
    <row r="2262" customFormat="false" ht="25.5" hidden="false" customHeight="true" outlineLevel="0" collapsed="false">
      <c r="A2262" s="49" t="s">
        <v>1120</v>
      </c>
      <c r="B2262" s="49" t="s">
        <v>896</v>
      </c>
      <c r="C2262" s="49" t="s">
        <v>906</v>
      </c>
      <c r="D2262" s="49"/>
      <c r="E2262" s="49" t="s">
        <v>893</v>
      </c>
      <c r="F2262" s="49"/>
      <c r="G2262" s="49" t="s">
        <v>776</v>
      </c>
      <c r="H2262" s="49" t="s">
        <v>1643</v>
      </c>
      <c r="I2262" s="49" t="s">
        <v>885</v>
      </c>
    </row>
    <row r="2263" customFormat="false" ht="25.5" hidden="false" customHeight="true" outlineLevel="0" collapsed="false">
      <c r="A2263" s="49" t="s">
        <v>1120</v>
      </c>
      <c r="B2263" s="49" t="s">
        <v>907</v>
      </c>
      <c r="C2263" s="49" t="s">
        <v>1507</v>
      </c>
      <c r="D2263" s="49" t="s">
        <v>1032</v>
      </c>
      <c r="E2263" s="49" t="s">
        <v>1142</v>
      </c>
      <c r="F2263" s="49" t="s">
        <v>1500</v>
      </c>
      <c r="G2263" s="49" t="s">
        <v>772</v>
      </c>
      <c r="H2263" s="49" t="s">
        <v>1132</v>
      </c>
      <c r="I2263" s="49" t="s">
        <v>885</v>
      </c>
    </row>
    <row r="2264" customFormat="false" ht="25.5" hidden="false" customHeight="true" outlineLevel="0" collapsed="false">
      <c r="A2264" s="49" t="s">
        <v>1120</v>
      </c>
      <c r="B2264" s="49" t="s">
        <v>907</v>
      </c>
      <c r="C2264" s="49" t="s">
        <v>1508</v>
      </c>
      <c r="D2264" s="49" t="s">
        <v>1034</v>
      </c>
      <c r="E2264" s="49" t="s">
        <v>1142</v>
      </c>
      <c r="F2264" s="49" t="s">
        <v>1500</v>
      </c>
      <c r="G2264" s="49" t="s">
        <v>772</v>
      </c>
      <c r="H2264" s="49" t="s">
        <v>1132</v>
      </c>
      <c r="I2264" s="49" t="s">
        <v>885</v>
      </c>
    </row>
    <row r="2265" customFormat="false" ht="25.5" hidden="false" customHeight="true" outlineLevel="0" collapsed="false">
      <c r="A2265" s="49" t="s">
        <v>1120</v>
      </c>
      <c r="B2265" s="49" t="s">
        <v>907</v>
      </c>
      <c r="C2265" s="49" t="s">
        <v>1509</v>
      </c>
      <c r="D2265" s="49" t="s">
        <v>1032</v>
      </c>
      <c r="E2265" s="49" t="s">
        <v>1189</v>
      </c>
      <c r="F2265" s="49" t="s">
        <v>1500</v>
      </c>
      <c r="G2265" s="49" t="s">
        <v>772</v>
      </c>
      <c r="H2265" s="49" t="s">
        <v>1132</v>
      </c>
      <c r="I2265" s="49" t="s">
        <v>885</v>
      </c>
    </row>
    <row r="2266" customFormat="false" ht="25.5" hidden="false" customHeight="true" outlineLevel="0" collapsed="false">
      <c r="A2266" s="49" t="s">
        <v>1120</v>
      </c>
      <c r="B2266" s="49" t="s">
        <v>907</v>
      </c>
      <c r="C2266" s="49" t="s">
        <v>1031</v>
      </c>
      <c r="D2266" s="49" t="s">
        <v>1032</v>
      </c>
      <c r="E2266" s="49" t="s">
        <v>146</v>
      </c>
      <c r="F2266" s="49"/>
      <c r="G2266" s="49" t="s">
        <v>776</v>
      </c>
      <c r="H2266" s="49" t="s">
        <v>1642</v>
      </c>
      <c r="I2266" s="49" t="s">
        <v>885</v>
      </c>
    </row>
    <row r="2267" customFormat="false" ht="25.5" hidden="false" customHeight="true" outlineLevel="0" collapsed="false">
      <c r="A2267" s="49" t="s">
        <v>1120</v>
      </c>
      <c r="B2267" s="49" t="s">
        <v>907</v>
      </c>
      <c r="C2267" s="49" t="s">
        <v>1033</v>
      </c>
      <c r="D2267" s="49" t="s">
        <v>1034</v>
      </c>
      <c r="E2267" s="49" t="s">
        <v>146</v>
      </c>
      <c r="F2267" s="49"/>
      <c r="G2267" s="49" t="s">
        <v>776</v>
      </c>
      <c r="H2267" s="49" t="s">
        <v>1642</v>
      </c>
      <c r="I2267" s="49" t="s">
        <v>885</v>
      </c>
    </row>
    <row r="2268" customFormat="false" ht="25.5" hidden="false" customHeight="true" outlineLevel="0" collapsed="false">
      <c r="A2268" s="49" t="s">
        <v>1120</v>
      </c>
      <c r="B2268" s="49" t="s">
        <v>907</v>
      </c>
      <c r="C2268" s="49" t="s">
        <v>1035</v>
      </c>
      <c r="D2268" s="49" t="s">
        <v>1034</v>
      </c>
      <c r="E2268" s="49" t="s">
        <v>1036</v>
      </c>
      <c r="F2268" s="49" t="s">
        <v>1037</v>
      </c>
      <c r="G2268" s="49" t="s">
        <v>776</v>
      </c>
      <c r="H2268" s="49" t="s">
        <v>1642</v>
      </c>
      <c r="I2268" s="49" t="s">
        <v>885</v>
      </c>
    </row>
    <row r="2269" customFormat="false" ht="25.5" hidden="false" customHeight="true" outlineLevel="0" collapsed="false">
      <c r="A2269" s="49" t="s">
        <v>1120</v>
      </c>
      <c r="B2269" s="49" t="s">
        <v>907</v>
      </c>
      <c r="C2269" s="49" t="s">
        <v>1038</v>
      </c>
      <c r="D2269" s="49" t="s">
        <v>1039</v>
      </c>
      <c r="E2269" s="49" t="s">
        <v>146</v>
      </c>
      <c r="F2269" s="49"/>
      <c r="G2269" s="49" t="s">
        <v>776</v>
      </c>
      <c r="H2269" s="49" t="s">
        <v>1642</v>
      </c>
      <c r="I2269" s="49" t="s">
        <v>885</v>
      </c>
    </row>
    <row r="2270" customFormat="false" ht="25.5" hidden="false" customHeight="true" outlineLevel="0" collapsed="false">
      <c r="A2270" s="49" t="s">
        <v>1120</v>
      </c>
      <c r="B2270" s="49" t="s">
        <v>907</v>
      </c>
      <c r="C2270" s="49" t="s">
        <v>908</v>
      </c>
      <c r="D2270" s="49"/>
      <c r="E2270" s="49" t="s">
        <v>909</v>
      </c>
      <c r="F2270" s="49"/>
      <c r="G2270" s="49" t="s">
        <v>776</v>
      </c>
      <c r="H2270" s="49" t="s">
        <v>1642</v>
      </c>
      <c r="I2270" s="49" t="s">
        <v>885</v>
      </c>
    </row>
    <row r="2271" customFormat="false" ht="25.5" hidden="false" customHeight="true" outlineLevel="0" collapsed="false">
      <c r="A2271" s="49" t="s">
        <v>1120</v>
      </c>
      <c r="B2271" s="49" t="s">
        <v>907</v>
      </c>
      <c r="C2271" s="49" t="s">
        <v>913</v>
      </c>
      <c r="D2271" s="49"/>
      <c r="E2271" s="49" t="s">
        <v>893</v>
      </c>
      <c r="F2271" s="49"/>
      <c r="G2271" s="49" t="s">
        <v>776</v>
      </c>
      <c r="H2271" s="49" t="s">
        <v>1643</v>
      </c>
      <c r="I2271" s="49" t="s">
        <v>885</v>
      </c>
    </row>
    <row r="2272" customFormat="false" ht="25.5" hidden="false" customHeight="true" outlineLevel="0" collapsed="false">
      <c r="A2272" s="49" t="s">
        <v>1120</v>
      </c>
      <c r="B2272" s="49" t="s">
        <v>907</v>
      </c>
      <c r="C2272" s="49" t="s">
        <v>914</v>
      </c>
      <c r="D2272" s="49"/>
      <c r="E2272" s="49" t="s">
        <v>893</v>
      </c>
      <c r="F2272" s="49"/>
      <c r="G2272" s="49" t="s">
        <v>776</v>
      </c>
      <c r="H2272" s="49" t="s">
        <v>1643</v>
      </c>
      <c r="I2272" s="49" t="s">
        <v>885</v>
      </c>
    </row>
    <row r="2273" customFormat="false" ht="25.5" hidden="false" customHeight="true" outlineLevel="0" collapsed="false">
      <c r="A2273" s="49" t="s">
        <v>1120</v>
      </c>
      <c r="B2273" s="49" t="s">
        <v>907</v>
      </c>
      <c r="C2273" s="49" t="s">
        <v>1040</v>
      </c>
      <c r="D2273" s="49" t="s">
        <v>1039</v>
      </c>
      <c r="E2273" s="49" t="s">
        <v>146</v>
      </c>
      <c r="F2273" s="49"/>
      <c r="G2273" s="49" t="s">
        <v>776</v>
      </c>
      <c r="H2273" s="49" t="s">
        <v>1642</v>
      </c>
      <c r="I2273" s="49" t="s">
        <v>885</v>
      </c>
    </row>
    <row r="2274" customFormat="false" ht="25.5" hidden="false" customHeight="true" outlineLevel="0" collapsed="false">
      <c r="A2274" s="49" t="s">
        <v>1120</v>
      </c>
      <c r="B2274" s="49" t="s">
        <v>907</v>
      </c>
      <c r="C2274" s="49" t="s">
        <v>1510</v>
      </c>
      <c r="D2274" s="49"/>
      <c r="E2274" s="49" t="s">
        <v>1511</v>
      </c>
      <c r="F2274" s="49" t="s">
        <v>1512</v>
      </c>
      <c r="G2274" s="49" t="s">
        <v>772</v>
      </c>
      <c r="H2274" s="49" t="s">
        <v>1132</v>
      </c>
      <c r="I2274" s="49" t="s">
        <v>885</v>
      </c>
    </row>
    <row r="2275" customFormat="false" ht="25.5" hidden="false" customHeight="true" outlineLevel="0" collapsed="false">
      <c r="A2275" s="49" t="s">
        <v>1120</v>
      </c>
      <c r="B2275" s="49" t="s">
        <v>907</v>
      </c>
      <c r="C2275" s="49" t="s">
        <v>960</v>
      </c>
      <c r="D2275" s="49"/>
      <c r="E2275" s="49" t="s">
        <v>217</v>
      </c>
      <c r="F2275" s="49" t="s">
        <v>961</v>
      </c>
      <c r="G2275" s="49" t="s">
        <v>772</v>
      </c>
      <c r="H2275" s="49" t="s">
        <v>1132</v>
      </c>
      <c r="I2275" s="49" t="s">
        <v>885</v>
      </c>
    </row>
    <row r="2276" customFormat="false" ht="25.5" hidden="false" customHeight="true" outlineLevel="0" collapsed="false">
      <c r="A2276" s="49" t="s">
        <v>1120</v>
      </c>
      <c r="B2276" s="49" t="s">
        <v>915</v>
      </c>
      <c r="C2276" s="49" t="s">
        <v>1513</v>
      </c>
      <c r="D2276" s="49" t="s">
        <v>1029</v>
      </c>
      <c r="E2276" s="49" t="s">
        <v>1186</v>
      </c>
      <c r="F2276" s="49" t="s">
        <v>1514</v>
      </c>
      <c r="G2276" s="49" t="s">
        <v>772</v>
      </c>
      <c r="H2276" s="49" t="s">
        <v>1132</v>
      </c>
      <c r="I2276" s="49" t="s">
        <v>885</v>
      </c>
    </row>
    <row r="2277" customFormat="false" ht="25.5" hidden="false" customHeight="true" outlineLevel="0" collapsed="false">
      <c r="A2277" s="49" t="s">
        <v>1120</v>
      </c>
      <c r="B2277" s="49" t="s">
        <v>915</v>
      </c>
      <c r="C2277" s="49" t="s">
        <v>1515</v>
      </c>
      <c r="D2277" s="49" t="s">
        <v>929</v>
      </c>
      <c r="E2277" s="49" t="s">
        <v>1186</v>
      </c>
      <c r="F2277" s="49" t="s">
        <v>1516</v>
      </c>
      <c r="G2277" s="49" t="s">
        <v>772</v>
      </c>
      <c r="H2277" s="49" t="s">
        <v>1132</v>
      </c>
      <c r="I2277" s="49" t="s">
        <v>885</v>
      </c>
    </row>
    <row r="2278" customFormat="false" ht="25.5" hidden="false" customHeight="true" outlineLevel="0" collapsed="false">
      <c r="A2278" s="49" t="s">
        <v>1120</v>
      </c>
      <c r="B2278" s="49" t="s">
        <v>915</v>
      </c>
      <c r="C2278" s="49" t="s">
        <v>1041</v>
      </c>
      <c r="D2278" s="49" t="s">
        <v>1034</v>
      </c>
      <c r="E2278" s="49" t="s">
        <v>146</v>
      </c>
      <c r="F2278" s="49"/>
      <c r="G2278" s="49" t="s">
        <v>776</v>
      </c>
      <c r="H2278" s="49" t="s">
        <v>1642</v>
      </c>
      <c r="I2278" s="49" t="s">
        <v>885</v>
      </c>
    </row>
    <row r="2279" customFormat="false" ht="25.5" hidden="false" customHeight="true" outlineLevel="0" collapsed="false">
      <c r="A2279" s="49" t="s">
        <v>1120</v>
      </c>
      <c r="B2279" s="49" t="s">
        <v>915</v>
      </c>
      <c r="C2279" s="49" t="s">
        <v>1042</v>
      </c>
      <c r="D2279" s="49" t="s">
        <v>1034</v>
      </c>
      <c r="E2279" s="49" t="s">
        <v>146</v>
      </c>
      <c r="F2279" s="49"/>
      <c r="G2279" s="49" t="s">
        <v>776</v>
      </c>
      <c r="H2279" s="49" t="s">
        <v>1642</v>
      </c>
      <c r="I2279" s="49" t="s">
        <v>885</v>
      </c>
    </row>
    <row r="2280" customFormat="false" ht="25.5" hidden="false" customHeight="true" outlineLevel="0" collapsed="false">
      <c r="A2280" s="49" t="s">
        <v>1120</v>
      </c>
      <c r="B2280" s="49" t="s">
        <v>915</v>
      </c>
      <c r="C2280" s="49" t="s">
        <v>1043</v>
      </c>
      <c r="D2280" s="49" t="s">
        <v>903</v>
      </c>
      <c r="E2280" s="49" t="s">
        <v>146</v>
      </c>
      <c r="F2280" s="49"/>
      <c r="G2280" s="49" t="s">
        <v>776</v>
      </c>
      <c r="H2280" s="49" t="s">
        <v>1642</v>
      </c>
      <c r="I2280" s="49" t="s">
        <v>885</v>
      </c>
    </row>
    <row r="2281" customFormat="false" ht="25.5" hidden="false" customHeight="true" outlineLevel="0" collapsed="false">
      <c r="A2281" s="49" t="s">
        <v>1120</v>
      </c>
      <c r="B2281" s="49" t="s">
        <v>915</v>
      </c>
      <c r="C2281" s="49" t="s">
        <v>916</v>
      </c>
      <c r="D2281" s="49"/>
      <c r="E2281" s="49" t="s">
        <v>893</v>
      </c>
      <c r="F2281" s="49"/>
      <c r="G2281" s="49" t="s">
        <v>776</v>
      </c>
      <c r="H2281" s="49" t="s">
        <v>1643</v>
      </c>
      <c r="I2281" s="49" t="s">
        <v>885</v>
      </c>
    </row>
    <row r="2282" customFormat="false" ht="25.5" hidden="false" customHeight="true" outlineLevel="0" collapsed="false">
      <c r="A2282" s="49" t="s">
        <v>1120</v>
      </c>
      <c r="B2282" s="49" t="s">
        <v>915</v>
      </c>
      <c r="C2282" s="49" t="s">
        <v>1044</v>
      </c>
      <c r="D2282" s="49" t="s">
        <v>1045</v>
      </c>
      <c r="E2282" s="49" t="s">
        <v>146</v>
      </c>
      <c r="F2282" s="49" t="s">
        <v>1046</v>
      </c>
      <c r="G2282" s="49" t="s">
        <v>776</v>
      </c>
      <c r="H2282" s="49" t="s">
        <v>1642</v>
      </c>
      <c r="I2282" s="49" t="s">
        <v>885</v>
      </c>
    </row>
    <row r="2283" customFormat="false" ht="25.5" hidden="false" customHeight="true" outlineLevel="0" collapsed="false">
      <c r="A2283" s="49" t="s">
        <v>1120</v>
      </c>
      <c r="B2283" s="49" t="s">
        <v>1047</v>
      </c>
      <c r="C2283" s="49" t="s">
        <v>1517</v>
      </c>
      <c r="D2283" s="49" t="s">
        <v>965</v>
      </c>
      <c r="E2283" s="49" t="s">
        <v>1186</v>
      </c>
      <c r="F2283" s="49" t="s">
        <v>1518</v>
      </c>
      <c r="G2283" s="49" t="s">
        <v>772</v>
      </c>
      <c r="H2283" s="49" t="s">
        <v>1132</v>
      </c>
      <c r="I2283" s="49" t="s">
        <v>885</v>
      </c>
    </row>
    <row r="2284" customFormat="false" ht="25.5" hidden="false" customHeight="true" outlineLevel="0" collapsed="false">
      <c r="A2284" s="49" t="s">
        <v>1120</v>
      </c>
      <c r="B2284" s="49" t="s">
        <v>1047</v>
      </c>
      <c r="C2284" s="49" t="s">
        <v>1048</v>
      </c>
      <c r="D2284" s="49" t="s">
        <v>1049</v>
      </c>
      <c r="E2284" s="49" t="s">
        <v>146</v>
      </c>
      <c r="F2284" s="49"/>
      <c r="G2284" s="49" t="s">
        <v>776</v>
      </c>
      <c r="H2284" s="49" t="s">
        <v>1642</v>
      </c>
      <c r="I2284" s="49" t="s">
        <v>885</v>
      </c>
    </row>
    <row r="2285" customFormat="false" ht="25.5" hidden="false" customHeight="true" outlineLevel="0" collapsed="false">
      <c r="A2285" s="49" t="s">
        <v>1120</v>
      </c>
      <c r="B2285" s="49" t="s">
        <v>1047</v>
      </c>
      <c r="C2285" s="49" t="s">
        <v>1050</v>
      </c>
      <c r="D2285" s="49" t="s">
        <v>991</v>
      </c>
      <c r="E2285" s="49" t="s">
        <v>146</v>
      </c>
      <c r="F2285" s="49"/>
      <c r="G2285" s="49" t="s">
        <v>776</v>
      </c>
      <c r="H2285" s="49" t="s">
        <v>1642</v>
      </c>
      <c r="I2285" s="49" t="s">
        <v>885</v>
      </c>
    </row>
    <row r="2286" customFormat="false" ht="25.5" hidden="false" customHeight="true" outlineLevel="0" collapsed="false">
      <c r="A2286" s="49" t="s">
        <v>1120</v>
      </c>
      <c r="B2286" s="49" t="s">
        <v>1047</v>
      </c>
      <c r="C2286" s="49" t="s">
        <v>1051</v>
      </c>
      <c r="D2286" s="49" t="s">
        <v>991</v>
      </c>
      <c r="E2286" s="49" t="s">
        <v>146</v>
      </c>
      <c r="F2286" s="49"/>
      <c r="G2286" s="49" t="s">
        <v>776</v>
      </c>
      <c r="H2286" s="49" t="s">
        <v>1642</v>
      </c>
      <c r="I2286" s="49" t="s">
        <v>885</v>
      </c>
    </row>
    <row r="2287" customFormat="false" ht="25.5" hidden="false" customHeight="true" outlineLevel="0" collapsed="false">
      <c r="A2287" s="49" t="s">
        <v>1120</v>
      </c>
      <c r="B2287" s="49" t="s">
        <v>917</v>
      </c>
      <c r="C2287" s="49" t="s">
        <v>1519</v>
      </c>
      <c r="D2287" s="49" t="s">
        <v>968</v>
      </c>
      <c r="E2287" s="49" t="s">
        <v>1520</v>
      </c>
      <c r="F2287" s="49" t="s">
        <v>1352</v>
      </c>
      <c r="G2287" s="49" t="s">
        <v>772</v>
      </c>
      <c r="H2287" s="49" t="s">
        <v>1132</v>
      </c>
      <c r="I2287" s="49" t="s">
        <v>885</v>
      </c>
    </row>
    <row r="2288" customFormat="false" ht="25.5" hidden="false" customHeight="true" outlineLevel="0" collapsed="false">
      <c r="A2288" s="49" t="s">
        <v>1120</v>
      </c>
      <c r="B2288" s="49" t="s">
        <v>917</v>
      </c>
      <c r="C2288" s="49" t="s">
        <v>1521</v>
      </c>
      <c r="D2288" s="49" t="s">
        <v>1522</v>
      </c>
      <c r="E2288" s="49" t="s">
        <v>1186</v>
      </c>
      <c r="F2288" s="49" t="s">
        <v>1523</v>
      </c>
      <c r="G2288" s="49" t="s">
        <v>772</v>
      </c>
      <c r="H2288" s="49" t="s">
        <v>1132</v>
      </c>
      <c r="I2288" s="49" t="s">
        <v>885</v>
      </c>
    </row>
    <row r="2289" customFormat="false" ht="25.5" hidden="false" customHeight="true" outlineLevel="0" collapsed="false">
      <c r="A2289" s="49" t="s">
        <v>1120</v>
      </c>
      <c r="B2289" s="49" t="s">
        <v>917</v>
      </c>
      <c r="C2289" s="49" t="s">
        <v>1524</v>
      </c>
      <c r="D2289" s="49" t="s">
        <v>965</v>
      </c>
      <c r="E2289" s="49" t="s">
        <v>1520</v>
      </c>
      <c r="F2289" s="49" t="s">
        <v>1525</v>
      </c>
      <c r="G2289" s="49" t="s">
        <v>772</v>
      </c>
      <c r="H2289" s="49" t="s">
        <v>1132</v>
      </c>
      <c r="I2289" s="49" t="s">
        <v>885</v>
      </c>
    </row>
    <row r="2290" customFormat="false" ht="25.5" hidden="false" customHeight="true" outlineLevel="0" collapsed="false">
      <c r="A2290" s="49" t="s">
        <v>1120</v>
      </c>
      <c r="B2290" s="49" t="s">
        <v>917</v>
      </c>
      <c r="C2290" s="49" t="s">
        <v>1526</v>
      </c>
      <c r="D2290" s="49" t="s">
        <v>919</v>
      </c>
      <c r="E2290" s="49" t="s">
        <v>1527</v>
      </c>
      <c r="F2290" s="49" t="s">
        <v>1528</v>
      </c>
      <c r="G2290" s="49" t="s">
        <v>772</v>
      </c>
      <c r="H2290" s="49" t="s">
        <v>1132</v>
      </c>
      <c r="I2290" s="49" t="s">
        <v>885</v>
      </c>
    </row>
    <row r="2291" customFormat="false" ht="25.5" hidden="false" customHeight="true" outlineLevel="0" collapsed="false">
      <c r="A2291" s="49" t="s">
        <v>1120</v>
      </c>
      <c r="B2291" s="49" t="s">
        <v>917</v>
      </c>
      <c r="C2291" s="49" t="s">
        <v>964</v>
      </c>
      <c r="D2291" s="49" t="s">
        <v>965</v>
      </c>
      <c r="E2291" s="49" t="s">
        <v>217</v>
      </c>
      <c r="F2291" s="49" t="s">
        <v>966</v>
      </c>
      <c r="G2291" s="49" t="s">
        <v>772</v>
      </c>
      <c r="H2291" s="49" t="s">
        <v>1132</v>
      </c>
      <c r="I2291" s="49" t="s">
        <v>885</v>
      </c>
    </row>
    <row r="2292" customFormat="false" ht="25.5" hidden="false" customHeight="true" outlineLevel="0" collapsed="false">
      <c r="A2292" s="49" t="s">
        <v>1120</v>
      </c>
      <c r="B2292" s="49" t="s">
        <v>917</v>
      </c>
      <c r="C2292" s="49" t="s">
        <v>967</v>
      </c>
      <c r="D2292" s="49" t="s">
        <v>968</v>
      </c>
      <c r="E2292" s="49" t="s">
        <v>969</v>
      </c>
      <c r="F2292" s="49" t="s">
        <v>970</v>
      </c>
      <c r="G2292" s="49" t="s">
        <v>772</v>
      </c>
      <c r="H2292" s="49" t="s">
        <v>1132</v>
      </c>
      <c r="I2292" s="49" t="s">
        <v>885</v>
      </c>
    </row>
    <row r="2293" customFormat="false" ht="25.5" hidden="false" customHeight="true" outlineLevel="0" collapsed="false">
      <c r="A2293" s="49" t="s">
        <v>1120</v>
      </c>
      <c r="B2293" s="49" t="s">
        <v>917</v>
      </c>
      <c r="C2293" s="49" t="s">
        <v>1529</v>
      </c>
      <c r="D2293" s="49" t="s">
        <v>1530</v>
      </c>
      <c r="E2293" s="49" t="s">
        <v>1500</v>
      </c>
      <c r="F2293" s="49" t="s">
        <v>1531</v>
      </c>
      <c r="G2293" s="49" t="s">
        <v>772</v>
      </c>
      <c r="H2293" s="49" t="s">
        <v>1132</v>
      </c>
      <c r="I2293" s="49" t="s">
        <v>885</v>
      </c>
    </row>
    <row r="2294" customFormat="false" ht="25.5" hidden="false" customHeight="true" outlineLevel="0" collapsed="false">
      <c r="A2294" s="49" t="s">
        <v>1120</v>
      </c>
      <c r="B2294" s="49" t="s">
        <v>917</v>
      </c>
      <c r="C2294" s="49" t="s">
        <v>918</v>
      </c>
      <c r="D2294" s="49" t="s">
        <v>919</v>
      </c>
      <c r="E2294" s="49" t="s">
        <v>882</v>
      </c>
      <c r="F2294" s="49" t="s">
        <v>920</v>
      </c>
      <c r="G2294" s="49" t="s">
        <v>772</v>
      </c>
      <c r="H2294" s="49" t="s">
        <v>1132</v>
      </c>
      <c r="I2294" s="49" t="s">
        <v>885</v>
      </c>
    </row>
    <row r="2295" customFormat="false" ht="25.5" hidden="false" customHeight="true" outlineLevel="0" collapsed="false">
      <c r="A2295" s="49" t="s">
        <v>1120</v>
      </c>
      <c r="B2295" s="49" t="s">
        <v>917</v>
      </c>
      <c r="C2295" s="49" t="s">
        <v>921</v>
      </c>
      <c r="D2295" s="49" t="s">
        <v>922</v>
      </c>
      <c r="E2295" s="49" t="s">
        <v>882</v>
      </c>
      <c r="F2295" s="49" t="s">
        <v>923</v>
      </c>
      <c r="G2295" s="49" t="s">
        <v>772</v>
      </c>
      <c r="H2295" s="49" t="s">
        <v>1132</v>
      </c>
      <c r="I2295" s="49" t="s">
        <v>885</v>
      </c>
    </row>
    <row r="2296" customFormat="false" ht="25.5" hidden="false" customHeight="true" outlineLevel="0" collapsed="false">
      <c r="A2296" s="49" t="s">
        <v>1120</v>
      </c>
      <c r="B2296" s="49" t="s">
        <v>917</v>
      </c>
      <c r="C2296" s="49" t="s">
        <v>1532</v>
      </c>
      <c r="D2296" s="49" t="s">
        <v>919</v>
      </c>
      <c r="E2296" s="49" t="s">
        <v>1533</v>
      </c>
      <c r="F2296" s="49" t="s">
        <v>1534</v>
      </c>
      <c r="G2296" s="49" t="s">
        <v>772</v>
      </c>
      <c r="H2296" s="49" t="s">
        <v>1132</v>
      </c>
      <c r="I2296" s="49" t="s">
        <v>885</v>
      </c>
    </row>
    <row r="2297" customFormat="false" ht="25.5" hidden="false" customHeight="true" outlineLevel="0" collapsed="false">
      <c r="A2297" s="49" t="s">
        <v>1120</v>
      </c>
      <c r="B2297" s="49" t="s">
        <v>917</v>
      </c>
      <c r="C2297" s="49" t="s">
        <v>1052</v>
      </c>
      <c r="D2297" s="49" t="s">
        <v>968</v>
      </c>
      <c r="E2297" s="49" t="s">
        <v>146</v>
      </c>
      <c r="F2297" s="49" t="s">
        <v>1053</v>
      </c>
      <c r="G2297" s="49" t="s">
        <v>776</v>
      </c>
      <c r="H2297" s="49" t="s">
        <v>1642</v>
      </c>
      <c r="I2297" s="49" t="s">
        <v>885</v>
      </c>
    </row>
    <row r="2298" customFormat="false" ht="25.5" hidden="false" customHeight="true" outlineLevel="0" collapsed="false">
      <c r="A2298" s="49" t="s">
        <v>1120</v>
      </c>
      <c r="B2298" s="49" t="s">
        <v>917</v>
      </c>
      <c r="C2298" s="49" t="s">
        <v>1054</v>
      </c>
      <c r="D2298" s="49" t="s">
        <v>965</v>
      </c>
      <c r="E2298" s="49" t="s">
        <v>1055</v>
      </c>
      <c r="F2298" s="49" t="s">
        <v>1056</v>
      </c>
      <c r="G2298" s="49" t="s">
        <v>776</v>
      </c>
      <c r="H2298" s="49" t="s">
        <v>1642</v>
      </c>
      <c r="I2298" s="49" t="s">
        <v>885</v>
      </c>
    </row>
    <row r="2299" customFormat="false" ht="25.5" hidden="false" customHeight="true" outlineLevel="0" collapsed="false">
      <c r="A2299" s="49" t="s">
        <v>1120</v>
      </c>
      <c r="B2299" s="49" t="s">
        <v>917</v>
      </c>
      <c r="C2299" s="49" t="s">
        <v>924</v>
      </c>
      <c r="D2299" s="49"/>
      <c r="E2299" s="49" t="s">
        <v>893</v>
      </c>
      <c r="F2299" s="49"/>
      <c r="G2299" s="49" t="s">
        <v>776</v>
      </c>
      <c r="H2299" s="49" t="s">
        <v>1643</v>
      </c>
      <c r="I2299" s="49" t="s">
        <v>885</v>
      </c>
    </row>
    <row r="2300" customFormat="false" ht="25.5" hidden="false" customHeight="true" outlineLevel="0" collapsed="false">
      <c r="A2300" s="49" t="s">
        <v>1120</v>
      </c>
      <c r="B2300" s="49" t="s">
        <v>917</v>
      </c>
      <c r="C2300" s="49" t="s">
        <v>1535</v>
      </c>
      <c r="D2300" s="49" t="s">
        <v>929</v>
      </c>
      <c r="E2300" s="49" t="s">
        <v>1536</v>
      </c>
      <c r="F2300" s="49" t="s">
        <v>1537</v>
      </c>
      <c r="G2300" s="49" t="s">
        <v>772</v>
      </c>
      <c r="H2300" s="49" t="s">
        <v>1132</v>
      </c>
      <c r="I2300" s="49" t="s">
        <v>885</v>
      </c>
    </row>
    <row r="2301" customFormat="false" ht="25.5" hidden="false" customHeight="true" outlineLevel="0" collapsed="false">
      <c r="A2301" s="49" t="s">
        <v>1120</v>
      </c>
      <c r="B2301" s="49" t="s">
        <v>917</v>
      </c>
      <c r="C2301" s="49" t="s">
        <v>1538</v>
      </c>
      <c r="D2301" s="49" t="s">
        <v>929</v>
      </c>
      <c r="E2301" s="49" t="s">
        <v>1536</v>
      </c>
      <c r="F2301" s="49" t="s">
        <v>1539</v>
      </c>
      <c r="G2301" s="49" t="s">
        <v>772</v>
      </c>
      <c r="H2301" s="49" t="s">
        <v>1132</v>
      </c>
      <c r="I2301" s="49" t="s">
        <v>885</v>
      </c>
    </row>
    <row r="2302" customFormat="false" ht="25.5" hidden="false" customHeight="true" outlineLevel="0" collapsed="false">
      <c r="A2302" s="49" t="s">
        <v>1120</v>
      </c>
      <c r="B2302" s="49" t="s">
        <v>917</v>
      </c>
      <c r="C2302" s="49" t="s">
        <v>1540</v>
      </c>
      <c r="D2302" s="49" t="s">
        <v>929</v>
      </c>
      <c r="E2302" s="49" t="s">
        <v>1541</v>
      </c>
      <c r="F2302" s="49" t="s">
        <v>1542</v>
      </c>
      <c r="G2302" s="49" t="s">
        <v>772</v>
      </c>
      <c r="H2302" s="49" t="s">
        <v>1132</v>
      </c>
      <c r="I2302" s="49" t="s">
        <v>885</v>
      </c>
    </row>
    <row r="2303" customFormat="false" ht="25.5" hidden="false" customHeight="true" outlineLevel="0" collapsed="false">
      <c r="A2303" s="49" t="s">
        <v>1120</v>
      </c>
      <c r="B2303" s="49" t="s">
        <v>925</v>
      </c>
      <c r="C2303" s="49" t="s">
        <v>1543</v>
      </c>
      <c r="D2303" s="49" t="s">
        <v>972</v>
      </c>
      <c r="E2303" s="49" t="s">
        <v>1186</v>
      </c>
      <c r="F2303" s="49" t="s">
        <v>1544</v>
      </c>
      <c r="G2303" s="49" t="s">
        <v>772</v>
      </c>
      <c r="H2303" s="49" t="s">
        <v>1132</v>
      </c>
      <c r="I2303" s="49" t="s">
        <v>885</v>
      </c>
    </row>
    <row r="2304" customFormat="false" ht="25.5" hidden="false" customHeight="true" outlineLevel="0" collapsed="false">
      <c r="A2304" s="49" t="s">
        <v>1120</v>
      </c>
      <c r="B2304" s="49" t="s">
        <v>925</v>
      </c>
      <c r="C2304" s="49" t="s">
        <v>1057</v>
      </c>
      <c r="D2304" s="49" t="s">
        <v>968</v>
      </c>
      <c r="E2304" s="49" t="s">
        <v>146</v>
      </c>
      <c r="F2304" s="49" t="s">
        <v>1058</v>
      </c>
      <c r="G2304" s="49" t="s">
        <v>776</v>
      </c>
      <c r="H2304" s="49" t="s">
        <v>1642</v>
      </c>
      <c r="I2304" s="49" t="s">
        <v>885</v>
      </c>
    </row>
    <row r="2305" customFormat="false" ht="25.5" hidden="false" customHeight="true" outlineLevel="0" collapsed="false">
      <c r="A2305" s="49" t="s">
        <v>1120</v>
      </c>
      <c r="B2305" s="49" t="s">
        <v>925</v>
      </c>
      <c r="C2305" s="49" t="s">
        <v>1059</v>
      </c>
      <c r="D2305" s="49" t="s">
        <v>968</v>
      </c>
      <c r="E2305" s="49" t="s">
        <v>146</v>
      </c>
      <c r="F2305" s="49"/>
      <c r="G2305" s="49" t="s">
        <v>776</v>
      </c>
      <c r="H2305" s="49" t="s">
        <v>1642</v>
      </c>
      <c r="I2305" s="49" t="s">
        <v>885</v>
      </c>
    </row>
    <row r="2306" customFormat="false" ht="25.5" hidden="false" customHeight="true" outlineLevel="0" collapsed="false">
      <c r="A2306" s="49" t="s">
        <v>1120</v>
      </c>
      <c r="B2306" s="49" t="s">
        <v>925</v>
      </c>
      <c r="C2306" s="49" t="s">
        <v>1060</v>
      </c>
      <c r="D2306" s="49" t="s">
        <v>1061</v>
      </c>
      <c r="E2306" s="49" t="s">
        <v>146</v>
      </c>
      <c r="F2306" s="49" t="s">
        <v>1062</v>
      </c>
      <c r="G2306" s="49" t="s">
        <v>776</v>
      </c>
      <c r="H2306" s="49" t="s">
        <v>1642</v>
      </c>
      <c r="I2306" s="49" t="s">
        <v>885</v>
      </c>
    </row>
    <row r="2307" customFormat="false" ht="25.5" hidden="false" customHeight="true" outlineLevel="0" collapsed="false">
      <c r="A2307" s="49" t="s">
        <v>1120</v>
      </c>
      <c r="B2307" s="49" t="s">
        <v>925</v>
      </c>
      <c r="C2307" s="49" t="s">
        <v>1063</v>
      </c>
      <c r="D2307" s="49" t="s">
        <v>972</v>
      </c>
      <c r="E2307" s="49" t="s">
        <v>146</v>
      </c>
      <c r="F2307" s="49" t="s">
        <v>1058</v>
      </c>
      <c r="G2307" s="49" t="s">
        <v>776</v>
      </c>
      <c r="H2307" s="49" t="s">
        <v>1642</v>
      </c>
      <c r="I2307" s="49" t="s">
        <v>885</v>
      </c>
    </row>
    <row r="2308" customFormat="false" ht="25.5" hidden="false" customHeight="true" outlineLevel="0" collapsed="false">
      <c r="A2308" s="49" t="s">
        <v>1120</v>
      </c>
      <c r="B2308" s="49" t="s">
        <v>925</v>
      </c>
      <c r="C2308" s="49" t="s">
        <v>1064</v>
      </c>
      <c r="D2308" s="49" t="s">
        <v>972</v>
      </c>
      <c r="E2308" s="49" t="s">
        <v>146</v>
      </c>
      <c r="F2308" s="49" t="s">
        <v>1065</v>
      </c>
      <c r="G2308" s="49" t="s">
        <v>776</v>
      </c>
      <c r="H2308" s="49" t="s">
        <v>1642</v>
      </c>
      <c r="I2308" s="49" t="s">
        <v>885</v>
      </c>
    </row>
    <row r="2309" customFormat="false" ht="25.5" hidden="false" customHeight="true" outlineLevel="0" collapsed="false">
      <c r="A2309" s="51" t="s">
        <v>1120</v>
      </c>
      <c r="B2309" s="51" t="s">
        <v>925</v>
      </c>
      <c r="C2309" s="51" t="s">
        <v>973</v>
      </c>
      <c r="D2309" s="51" t="s">
        <v>968</v>
      </c>
      <c r="E2309" s="51" t="s">
        <v>974</v>
      </c>
      <c r="F2309" s="51" t="s">
        <v>975</v>
      </c>
      <c r="G2309" s="52" t="s">
        <v>910</v>
      </c>
      <c r="H2309" s="51" t="s">
        <v>1646</v>
      </c>
      <c r="I2309" s="51" t="s">
        <v>912</v>
      </c>
    </row>
    <row r="2310" customFormat="false" ht="25.5" hidden="false" customHeight="true" outlineLevel="0" collapsed="false">
      <c r="A2310" s="49" t="s">
        <v>1120</v>
      </c>
      <c r="B2310" s="49" t="s">
        <v>925</v>
      </c>
      <c r="C2310" s="49" t="s">
        <v>1067</v>
      </c>
      <c r="D2310" s="49" t="s">
        <v>1068</v>
      </c>
      <c r="E2310" s="49" t="s">
        <v>1069</v>
      </c>
      <c r="F2310" s="49"/>
      <c r="G2310" s="49" t="s">
        <v>776</v>
      </c>
      <c r="H2310" s="49" t="s">
        <v>1642</v>
      </c>
      <c r="I2310" s="49" t="s">
        <v>885</v>
      </c>
    </row>
    <row r="2311" customFormat="false" ht="25.5" hidden="false" customHeight="true" outlineLevel="0" collapsed="false">
      <c r="A2311" s="49" t="s">
        <v>1120</v>
      </c>
      <c r="B2311" s="49" t="s">
        <v>925</v>
      </c>
      <c r="C2311" s="49" t="s">
        <v>926</v>
      </c>
      <c r="D2311" s="49"/>
      <c r="E2311" s="49" t="s">
        <v>882</v>
      </c>
      <c r="F2311" s="49" t="s">
        <v>927</v>
      </c>
      <c r="G2311" s="49" t="s">
        <v>772</v>
      </c>
      <c r="H2311" s="49" t="s">
        <v>1132</v>
      </c>
      <c r="I2311" s="49" t="s">
        <v>885</v>
      </c>
    </row>
    <row r="2312" customFormat="false" ht="25.5" hidden="false" customHeight="true" outlineLevel="0" collapsed="false">
      <c r="A2312" s="49" t="s">
        <v>1120</v>
      </c>
      <c r="B2312" s="49" t="s">
        <v>925</v>
      </c>
      <c r="C2312" s="49" t="s">
        <v>976</v>
      </c>
      <c r="D2312" s="49"/>
      <c r="E2312" s="49" t="s">
        <v>217</v>
      </c>
      <c r="F2312" s="49" t="s">
        <v>927</v>
      </c>
      <c r="G2312" s="49" t="s">
        <v>772</v>
      </c>
      <c r="H2312" s="49" t="s">
        <v>1132</v>
      </c>
      <c r="I2312" s="49" t="s">
        <v>885</v>
      </c>
    </row>
    <row r="2313" customFormat="false" ht="25.5" hidden="false" customHeight="true" outlineLevel="0" collapsed="false">
      <c r="A2313" s="49" t="s">
        <v>1120</v>
      </c>
      <c r="B2313" s="49" t="s">
        <v>925</v>
      </c>
      <c r="C2313" s="49" t="s">
        <v>1070</v>
      </c>
      <c r="D2313" s="49" t="s">
        <v>929</v>
      </c>
      <c r="E2313" s="49" t="s">
        <v>146</v>
      </c>
      <c r="F2313" s="49" t="s">
        <v>1071</v>
      </c>
      <c r="G2313" s="49" t="s">
        <v>776</v>
      </c>
      <c r="H2313" s="49" t="s">
        <v>1642</v>
      </c>
      <c r="I2313" s="49" t="s">
        <v>885</v>
      </c>
    </row>
    <row r="2314" customFormat="false" ht="25.5" hidden="false" customHeight="true" outlineLevel="0" collapsed="false">
      <c r="A2314" s="49" t="s">
        <v>1120</v>
      </c>
      <c r="B2314" s="49" t="s">
        <v>977</v>
      </c>
      <c r="C2314" s="49" t="s">
        <v>1546</v>
      </c>
      <c r="D2314" s="49" t="s">
        <v>1073</v>
      </c>
      <c r="E2314" s="49" t="s">
        <v>1547</v>
      </c>
      <c r="F2314" s="49" t="s">
        <v>1548</v>
      </c>
      <c r="G2314" s="49" t="s">
        <v>772</v>
      </c>
      <c r="H2314" s="49" t="s">
        <v>1132</v>
      </c>
      <c r="I2314" s="49" t="s">
        <v>885</v>
      </c>
    </row>
    <row r="2315" customFormat="false" ht="25.5" hidden="false" customHeight="true" outlineLevel="0" collapsed="false">
      <c r="A2315" s="49" t="s">
        <v>1120</v>
      </c>
      <c r="B2315" s="49" t="s">
        <v>977</v>
      </c>
      <c r="C2315" s="49" t="s">
        <v>1072</v>
      </c>
      <c r="D2315" s="49" t="s">
        <v>1073</v>
      </c>
      <c r="E2315" s="49" t="s">
        <v>146</v>
      </c>
      <c r="F2315" s="49"/>
      <c r="G2315" s="49" t="s">
        <v>776</v>
      </c>
      <c r="H2315" s="49" t="s">
        <v>1642</v>
      </c>
      <c r="I2315" s="49" t="s">
        <v>885</v>
      </c>
    </row>
    <row r="2316" customFormat="false" ht="25.5" hidden="false" customHeight="true" outlineLevel="0" collapsed="false">
      <c r="A2316" s="49" t="s">
        <v>1120</v>
      </c>
      <c r="B2316" s="49" t="s">
        <v>977</v>
      </c>
      <c r="C2316" s="49" t="s">
        <v>1549</v>
      </c>
      <c r="D2316" s="49" t="s">
        <v>1073</v>
      </c>
      <c r="E2316" s="49" t="s">
        <v>1533</v>
      </c>
      <c r="F2316" s="49" t="s">
        <v>1550</v>
      </c>
      <c r="G2316" s="49" t="s">
        <v>772</v>
      </c>
      <c r="H2316" s="49" t="s">
        <v>1132</v>
      </c>
      <c r="I2316" s="49" t="s">
        <v>885</v>
      </c>
    </row>
    <row r="2317" customFormat="false" ht="25.5" hidden="false" customHeight="true" outlineLevel="0" collapsed="false">
      <c r="A2317" s="51" t="s">
        <v>1120</v>
      </c>
      <c r="B2317" s="51" t="s">
        <v>977</v>
      </c>
      <c r="C2317" s="51" t="s">
        <v>1074</v>
      </c>
      <c r="D2317" s="51" t="s">
        <v>1075</v>
      </c>
      <c r="E2317" s="51" t="s">
        <v>1076</v>
      </c>
      <c r="F2317" s="51"/>
      <c r="G2317" s="52" t="s">
        <v>910</v>
      </c>
      <c r="H2317" s="51" t="s">
        <v>1644</v>
      </c>
      <c r="I2317" s="51" t="s">
        <v>912</v>
      </c>
    </row>
    <row r="2318" customFormat="false" ht="25.5" hidden="false" customHeight="true" outlineLevel="0" collapsed="false">
      <c r="A2318" s="49" t="s">
        <v>1120</v>
      </c>
      <c r="B2318" s="49" t="s">
        <v>977</v>
      </c>
      <c r="C2318" s="49" t="s">
        <v>979</v>
      </c>
      <c r="D2318" s="49" t="s">
        <v>980</v>
      </c>
      <c r="E2318" s="49" t="s">
        <v>981</v>
      </c>
      <c r="F2318" s="49" t="s">
        <v>982</v>
      </c>
      <c r="G2318" s="49" t="s">
        <v>776</v>
      </c>
      <c r="H2318" s="49" t="s">
        <v>1642</v>
      </c>
      <c r="I2318" s="49" t="s">
        <v>885</v>
      </c>
    </row>
    <row r="2319" customFormat="false" ht="25.5" hidden="false" customHeight="true" outlineLevel="0" collapsed="false">
      <c r="A2319" s="49" t="s">
        <v>1120</v>
      </c>
      <c r="B2319" s="49" t="s">
        <v>977</v>
      </c>
      <c r="C2319" s="49" t="s">
        <v>1077</v>
      </c>
      <c r="D2319" s="49" t="s">
        <v>980</v>
      </c>
      <c r="E2319" s="49" t="s">
        <v>1078</v>
      </c>
      <c r="F2319" s="49"/>
      <c r="G2319" s="49" t="s">
        <v>776</v>
      </c>
      <c r="H2319" s="49" t="s">
        <v>1642</v>
      </c>
      <c r="I2319" s="49" t="s">
        <v>885</v>
      </c>
    </row>
    <row r="2320" customFormat="false" ht="25.5" hidden="false" customHeight="true" outlineLevel="0" collapsed="false">
      <c r="A2320" s="49" t="s">
        <v>1120</v>
      </c>
      <c r="B2320" s="49" t="s">
        <v>977</v>
      </c>
      <c r="C2320" s="49" t="s">
        <v>1079</v>
      </c>
      <c r="D2320" s="49" t="s">
        <v>1073</v>
      </c>
      <c r="E2320" s="49" t="s">
        <v>1080</v>
      </c>
      <c r="F2320" s="49"/>
      <c r="G2320" s="49" t="s">
        <v>776</v>
      </c>
      <c r="H2320" s="49" t="s">
        <v>1642</v>
      </c>
      <c r="I2320" s="49" t="s">
        <v>885</v>
      </c>
    </row>
    <row r="2321" customFormat="false" ht="25.5" hidden="false" customHeight="true" outlineLevel="0" collapsed="false">
      <c r="A2321" s="49" t="s">
        <v>1120</v>
      </c>
      <c r="B2321" s="49" t="s">
        <v>977</v>
      </c>
      <c r="C2321" s="49" t="s">
        <v>1081</v>
      </c>
      <c r="D2321" s="49" t="s">
        <v>1073</v>
      </c>
      <c r="E2321" s="49" t="s">
        <v>1082</v>
      </c>
      <c r="F2321" s="49" t="s">
        <v>1083</v>
      </c>
      <c r="G2321" s="49" t="s">
        <v>776</v>
      </c>
      <c r="H2321" s="49" t="s">
        <v>1642</v>
      </c>
      <c r="I2321" s="49" t="s">
        <v>885</v>
      </c>
    </row>
    <row r="2322" customFormat="false" ht="25.5" hidden="false" customHeight="true" outlineLevel="0" collapsed="false">
      <c r="A2322" s="49" t="s">
        <v>1120</v>
      </c>
      <c r="B2322" s="49" t="s">
        <v>977</v>
      </c>
      <c r="C2322" s="49" t="s">
        <v>1084</v>
      </c>
      <c r="D2322" s="49" t="s">
        <v>1073</v>
      </c>
      <c r="E2322" s="49" t="s">
        <v>1085</v>
      </c>
      <c r="F2322" s="49"/>
      <c r="G2322" s="49" t="s">
        <v>776</v>
      </c>
      <c r="H2322" s="49" t="s">
        <v>1642</v>
      </c>
      <c r="I2322" s="49" t="s">
        <v>885</v>
      </c>
    </row>
    <row r="2323" customFormat="false" ht="25.5" hidden="false" customHeight="true" outlineLevel="0" collapsed="false">
      <c r="A2323" s="49" t="s">
        <v>1120</v>
      </c>
      <c r="B2323" s="49" t="s">
        <v>932</v>
      </c>
      <c r="C2323" s="49" t="s">
        <v>933</v>
      </c>
      <c r="D2323" s="49"/>
      <c r="E2323" s="49" t="s">
        <v>882</v>
      </c>
      <c r="F2323" s="49" t="s">
        <v>934</v>
      </c>
      <c r="G2323" s="49" t="s">
        <v>772</v>
      </c>
      <c r="H2323" s="49" t="s">
        <v>1132</v>
      </c>
      <c r="I2323" s="49" t="s">
        <v>885</v>
      </c>
    </row>
    <row r="2324" customFormat="false" ht="25.5" hidden="false" customHeight="true" outlineLevel="0" collapsed="false">
      <c r="A2324" s="49" t="s">
        <v>1120</v>
      </c>
      <c r="B2324" s="49" t="s">
        <v>932</v>
      </c>
      <c r="C2324" s="49" t="s">
        <v>1552</v>
      </c>
      <c r="D2324" s="49"/>
      <c r="E2324" s="49" t="s">
        <v>1553</v>
      </c>
      <c r="F2324" s="49" t="s">
        <v>1554</v>
      </c>
      <c r="G2324" s="49" t="s">
        <v>772</v>
      </c>
      <c r="H2324" s="49" t="s">
        <v>1132</v>
      </c>
      <c r="I2324" s="49" t="s">
        <v>885</v>
      </c>
    </row>
    <row r="2325" customFormat="false" ht="25.5" hidden="false" customHeight="true" outlineLevel="0" collapsed="false">
      <c r="A2325" s="49" t="s">
        <v>1120</v>
      </c>
      <c r="B2325" s="49" t="s">
        <v>932</v>
      </c>
      <c r="C2325" s="49" t="s">
        <v>1555</v>
      </c>
      <c r="D2325" s="49" t="s">
        <v>1090</v>
      </c>
      <c r="E2325" s="49" t="s">
        <v>1186</v>
      </c>
      <c r="F2325" s="49" t="s">
        <v>1556</v>
      </c>
      <c r="G2325" s="49" t="s">
        <v>772</v>
      </c>
      <c r="H2325" s="49" t="s">
        <v>1132</v>
      </c>
      <c r="I2325" s="49" t="s">
        <v>885</v>
      </c>
    </row>
    <row r="2326" customFormat="false" ht="25.5" hidden="false" customHeight="true" outlineLevel="0" collapsed="false">
      <c r="A2326" s="49" t="s">
        <v>1120</v>
      </c>
      <c r="B2326" s="49" t="s">
        <v>932</v>
      </c>
      <c r="C2326" s="49" t="s">
        <v>984</v>
      </c>
      <c r="D2326" s="49" t="s">
        <v>936</v>
      </c>
      <c r="E2326" s="49" t="s">
        <v>985</v>
      </c>
      <c r="F2326" s="49" t="s">
        <v>986</v>
      </c>
      <c r="G2326" s="49" t="s">
        <v>776</v>
      </c>
      <c r="H2326" s="49" t="s">
        <v>1642</v>
      </c>
      <c r="I2326" s="49" t="s">
        <v>885</v>
      </c>
    </row>
    <row r="2327" customFormat="false" ht="25.5" hidden="false" customHeight="true" outlineLevel="0" collapsed="false">
      <c r="A2327" s="49" t="s">
        <v>1120</v>
      </c>
      <c r="B2327" s="49" t="s">
        <v>932</v>
      </c>
      <c r="C2327" s="49" t="s">
        <v>1086</v>
      </c>
      <c r="D2327" s="49" t="s">
        <v>929</v>
      </c>
      <c r="E2327" s="49" t="s">
        <v>1087</v>
      </c>
      <c r="F2327" s="49" t="s">
        <v>1088</v>
      </c>
      <c r="G2327" s="49" t="s">
        <v>776</v>
      </c>
      <c r="H2327" s="49" t="s">
        <v>1642</v>
      </c>
      <c r="I2327" s="49" t="s">
        <v>885</v>
      </c>
    </row>
    <row r="2328" customFormat="false" ht="25.5" hidden="false" customHeight="true" outlineLevel="0" collapsed="false">
      <c r="A2328" s="49" t="s">
        <v>1120</v>
      </c>
      <c r="B2328" s="49" t="s">
        <v>932</v>
      </c>
      <c r="C2328" s="49" t="s">
        <v>1089</v>
      </c>
      <c r="D2328" s="49" t="s">
        <v>1090</v>
      </c>
      <c r="E2328" s="49" t="s">
        <v>1091</v>
      </c>
      <c r="F2328" s="49" t="s">
        <v>1092</v>
      </c>
      <c r="G2328" s="49" t="s">
        <v>776</v>
      </c>
      <c r="H2328" s="49" t="s">
        <v>1642</v>
      </c>
      <c r="I2328" s="49" t="s">
        <v>885</v>
      </c>
    </row>
    <row r="2329" customFormat="false" ht="25.5" hidden="false" customHeight="true" outlineLevel="0" collapsed="false">
      <c r="A2329" s="49" t="s">
        <v>1120</v>
      </c>
      <c r="B2329" s="49" t="s">
        <v>932</v>
      </c>
      <c r="C2329" s="49" t="s">
        <v>1093</v>
      </c>
      <c r="D2329" s="49" t="s">
        <v>936</v>
      </c>
      <c r="E2329" s="49" t="s">
        <v>146</v>
      </c>
      <c r="F2329" s="49" t="s">
        <v>1094</v>
      </c>
      <c r="G2329" s="49" t="s">
        <v>776</v>
      </c>
      <c r="H2329" s="49" t="s">
        <v>1642</v>
      </c>
      <c r="I2329" s="49" t="s">
        <v>885</v>
      </c>
    </row>
    <row r="2330" customFormat="false" ht="25.5" hidden="false" customHeight="true" outlineLevel="0" collapsed="false">
      <c r="A2330" s="49" t="s">
        <v>1120</v>
      </c>
      <c r="B2330" s="49" t="s">
        <v>932</v>
      </c>
      <c r="C2330" s="49" t="s">
        <v>935</v>
      </c>
      <c r="D2330" s="49" t="s">
        <v>936</v>
      </c>
      <c r="E2330" s="49" t="s">
        <v>882</v>
      </c>
      <c r="F2330" s="49" t="s">
        <v>937</v>
      </c>
      <c r="G2330" s="49" t="s">
        <v>772</v>
      </c>
      <c r="H2330" s="49" t="s">
        <v>1132</v>
      </c>
      <c r="I2330" s="49" t="s">
        <v>885</v>
      </c>
    </row>
    <row r="2331" customFormat="false" ht="25.5" hidden="false" customHeight="true" outlineLevel="0" collapsed="false">
      <c r="A2331" s="49" t="s">
        <v>1120</v>
      </c>
      <c r="B2331" s="49" t="s">
        <v>932</v>
      </c>
      <c r="C2331" s="49" t="s">
        <v>938</v>
      </c>
      <c r="D2331" s="49"/>
      <c r="E2331" s="49" t="s">
        <v>893</v>
      </c>
      <c r="F2331" s="49"/>
      <c r="G2331" s="49" t="s">
        <v>776</v>
      </c>
      <c r="H2331" s="49" t="s">
        <v>1643</v>
      </c>
      <c r="I2331" s="49" t="s">
        <v>885</v>
      </c>
    </row>
    <row r="2332" customFormat="false" ht="25.5" hidden="false" customHeight="true" outlineLevel="0" collapsed="false">
      <c r="A2332" s="49" t="s">
        <v>1120</v>
      </c>
      <c r="B2332" s="49" t="s">
        <v>932</v>
      </c>
      <c r="C2332" s="49" t="s">
        <v>1095</v>
      </c>
      <c r="D2332" s="49"/>
      <c r="E2332" s="49" t="s">
        <v>146</v>
      </c>
      <c r="F2332" s="49"/>
      <c r="G2332" s="49" t="s">
        <v>776</v>
      </c>
      <c r="H2332" s="49" t="s">
        <v>1642</v>
      </c>
      <c r="I2332" s="49" t="s">
        <v>885</v>
      </c>
    </row>
    <row r="2333" customFormat="false" ht="25.5" hidden="false" customHeight="true" outlineLevel="0" collapsed="false">
      <c r="A2333" s="49" t="s">
        <v>1120</v>
      </c>
      <c r="B2333" s="49" t="s">
        <v>932</v>
      </c>
      <c r="C2333" s="49" t="s">
        <v>1096</v>
      </c>
      <c r="D2333" s="49" t="s">
        <v>936</v>
      </c>
      <c r="E2333" s="49" t="s">
        <v>1097</v>
      </c>
      <c r="F2333" s="49" t="s">
        <v>1098</v>
      </c>
      <c r="G2333" s="49" t="s">
        <v>776</v>
      </c>
      <c r="H2333" s="49" t="s">
        <v>1642</v>
      </c>
      <c r="I2333" s="49" t="s">
        <v>885</v>
      </c>
    </row>
    <row r="2334" customFormat="false" ht="25.5" hidden="false" customHeight="true" outlineLevel="0" collapsed="false">
      <c r="A2334" s="49" t="s">
        <v>1120</v>
      </c>
      <c r="B2334" s="49" t="s">
        <v>939</v>
      </c>
      <c r="C2334" s="49" t="s">
        <v>940</v>
      </c>
      <c r="D2334" s="49"/>
      <c r="E2334" s="49" t="s">
        <v>893</v>
      </c>
      <c r="F2334" s="49" t="s">
        <v>941</v>
      </c>
      <c r="G2334" s="49" t="s">
        <v>776</v>
      </c>
      <c r="H2334" s="49" t="s">
        <v>1643</v>
      </c>
      <c r="I2334" s="49" t="s">
        <v>885</v>
      </c>
    </row>
    <row r="2335" customFormat="false" ht="25.5" hidden="false" customHeight="true" outlineLevel="0" collapsed="false">
      <c r="A2335" s="49" t="s">
        <v>1120</v>
      </c>
      <c r="B2335" s="49" t="s">
        <v>939</v>
      </c>
      <c r="C2335" s="49" t="s">
        <v>1099</v>
      </c>
      <c r="D2335" s="49" t="s">
        <v>1100</v>
      </c>
      <c r="E2335" s="49" t="s">
        <v>1101</v>
      </c>
      <c r="F2335" s="49" t="s">
        <v>993</v>
      </c>
      <c r="G2335" s="49" t="s">
        <v>776</v>
      </c>
      <c r="H2335" s="49" t="s">
        <v>1642</v>
      </c>
      <c r="I2335" s="49" t="s">
        <v>885</v>
      </c>
    </row>
    <row r="2336" customFormat="false" ht="25.5" hidden="false" customHeight="true" outlineLevel="0" collapsed="false">
      <c r="A2336" s="49" t="s">
        <v>1120</v>
      </c>
      <c r="B2336" s="49" t="s">
        <v>939</v>
      </c>
      <c r="C2336" s="49" t="s">
        <v>1557</v>
      </c>
      <c r="D2336" s="49" t="s">
        <v>988</v>
      </c>
      <c r="E2336" s="49" t="s">
        <v>1186</v>
      </c>
      <c r="F2336" s="49" t="s">
        <v>993</v>
      </c>
      <c r="G2336" s="49" t="s">
        <v>772</v>
      </c>
      <c r="H2336" s="49" t="s">
        <v>1132</v>
      </c>
      <c r="I2336" s="49" t="s">
        <v>885</v>
      </c>
    </row>
    <row r="2337" customFormat="false" ht="25.5" hidden="false" customHeight="true" outlineLevel="0" collapsed="false">
      <c r="A2337" s="49" t="s">
        <v>1120</v>
      </c>
      <c r="B2337" s="49" t="s">
        <v>939</v>
      </c>
      <c r="C2337" s="49" t="s">
        <v>987</v>
      </c>
      <c r="D2337" s="49" t="s">
        <v>988</v>
      </c>
      <c r="E2337" s="49" t="s">
        <v>217</v>
      </c>
      <c r="F2337" s="49" t="s">
        <v>989</v>
      </c>
      <c r="G2337" s="49" t="s">
        <v>772</v>
      </c>
      <c r="H2337" s="49" t="s">
        <v>1132</v>
      </c>
      <c r="I2337" s="49" t="s">
        <v>885</v>
      </c>
    </row>
    <row r="2338" customFormat="false" ht="25.5" hidden="false" customHeight="true" outlineLevel="0" collapsed="false">
      <c r="A2338" s="49" t="s">
        <v>1120</v>
      </c>
      <c r="B2338" s="49" t="s">
        <v>939</v>
      </c>
      <c r="C2338" s="49" t="s">
        <v>1102</v>
      </c>
      <c r="D2338" s="49" t="s">
        <v>988</v>
      </c>
      <c r="E2338" s="49" t="s">
        <v>146</v>
      </c>
      <c r="F2338" s="49" t="s">
        <v>993</v>
      </c>
      <c r="G2338" s="49" t="s">
        <v>776</v>
      </c>
      <c r="H2338" s="49" t="s">
        <v>1642</v>
      </c>
      <c r="I2338" s="49" t="s">
        <v>885</v>
      </c>
    </row>
    <row r="2339" customFormat="false" ht="25.5" hidden="false" customHeight="true" outlineLevel="0" collapsed="false">
      <c r="A2339" s="49" t="s">
        <v>1120</v>
      </c>
      <c r="B2339" s="49" t="s">
        <v>939</v>
      </c>
      <c r="C2339" s="49" t="s">
        <v>1103</v>
      </c>
      <c r="D2339" s="49" t="s">
        <v>1100</v>
      </c>
      <c r="E2339" s="49" t="s">
        <v>146</v>
      </c>
      <c r="F2339" s="49" t="s">
        <v>993</v>
      </c>
      <c r="G2339" s="49" t="s">
        <v>776</v>
      </c>
      <c r="H2339" s="49" t="s">
        <v>1642</v>
      </c>
      <c r="I2339" s="49" t="s">
        <v>885</v>
      </c>
    </row>
    <row r="2340" customFormat="false" ht="25.5" hidden="false" customHeight="true" outlineLevel="0" collapsed="false">
      <c r="A2340" s="49" t="s">
        <v>1120</v>
      </c>
      <c r="B2340" s="49" t="s">
        <v>939</v>
      </c>
      <c r="C2340" s="49" t="s">
        <v>1558</v>
      </c>
      <c r="D2340" s="49" t="s">
        <v>1559</v>
      </c>
      <c r="E2340" s="49" t="s">
        <v>1533</v>
      </c>
      <c r="F2340" s="49" t="s">
        <v>1560</v>
      </c>
      <c r="G2340" s="49" t="s">
        <v>772</v>
      </c>
      <c r="H2340" s="49" t="s">
        <v>1132</v>
      </c>
      <c r="I2340" s="49" t="s">
        <v>885</v>
      </c>
    </row>
    <row r="2341" customFormat="false" ht="25.5" hidden="false" customHeight="true" outlineLevel="0" collapsed="false">
      <c r="A2341" s="49" t="s">
        <v>1120</v>
      </c>
      <c r="B2341" s="49" t="s">
        <v>939</v>
      </c>
      <c r="C2341" s="49" t="s">
        <v>1109</v>
      </c>
      <c r="D2341" s="49" t="s">
        <v>1110</v>
      </c>
      <c r="E2341" s="49" t="s">
        <v>1111</v>
      </c>
      <c r="F2341" s="49" t="s">
        <v>941</v>
      </c>
      <c r="G2341" s="49" t="s">
        <v>772</v>
      </c>
      <c r="H2341" s="49" t="s">
        <v>1645</v>
      </c>
      <c r="I2341" s="49" t="s">
        <v>885</v>
      </c>
    </row>
    <row r="2342" customFormat="false" ht="25.5" hidden="false" customHeight="true" outlineLevel="0" collapsed="false">
      <c r="A2342" s="49" t="s">
        <v>1120</v>
      </c>
      <c r="B2342" s="49" t="s">
        <v>939</v>
      </c>
      <c r="C2342" s="49" t="s">
        <v>1561</v>
      </c>
      <c r="D2342" s="49" t="s">
        <v>1110</v>
      </c>
      <c r="E2342" s="49" t="s">
        <v>1186</v>
      </c>
      <c r="F2342" s="49" t="s">
        <v>993</v>
      </c>
      <c r="G2342" s="49" t="s">
        <v>772</v>
      </c>
      <c r="H2342" s="49" t="s">
        <v>1132</v>
      </c>
      <c r="I2342" s="49" t="s">
        <v>885</v>
      </c>
    </row>
    <row r="2343" customFormat="false" ht="25.5" hidden="false" customHeight="true" outlineLevel="0" collapsed="false">
      <c r="A2343" s="49" t="s">
        <v>1120</v>
      </c>
      <c r="B2343" s="49" t="s">
        <v>939</v>
      </c>
      <c r="C2343" s="49" t="s">
        <v>990</v>
      </c>
      <c r="D2343" s="49" t="s">
        <v>991</v>
      </c>
      <c r="E2343" s="49" t="s">
        <v>992</v>
      </c>
      <c r="F2343" s="49" t="s">
        <v>993</v>
      </c>
      <c r="G2343" s="49" t="s">
        <v>772</v>
      </c>
      <c r="H2343" s="49" t="s">
        <v>1132</v>
      </c>
      <c r="I2343" s="49" t="s">
        <v>885</v>
      </c>
    </row>
    <row r="2344" customFormat="false" ht="25.5" hidden="false" customHeight="true" outlineLevel="0" collapsed="false">
      <c r="A2344" s="49" t="s">
        <v>1120</v>
      </c>
      <c r="B2344" s="49" t="s">
        <v>939</v>
      </c>
      <c r="C2344" s="49" t="s">
        <v>1112</v>
      </c>
      <c r="D2344" s="49" t="s">
        <v>991</v>
      </c>
      <c r="E2344" s="49" t="s">
        <v>1113</v>
      </c>
      <c r="F2344" s="49" t="s">
        <v>941</v>
      </c>
      <c r="G2344" s="49" t="s">
        <v>772</v>
      </c>
      <c r="H2344" s="49" t="s">
        <v>1645</v>
      </c>
      <c r="I2344" s="49" t="s">
        <v>885</v>
      </c>
    </row>
    <row r="2345" customFormat="false" ht="25.5" hidden="false" customHeight="true" outlineLevel="0" collapsed="false">
      <c r="A2345" s="49" t="s">
        <v>1122</v>
      </c>
      <c r="B2345" s="49" t="s">
        <v>1562</v>
      </c>
      <c r="C2345" s="49" t="s">
        <v>1563</v>
      </c>
      <c r="D2345" s="49" t="s">
        <v>1208</v>
      </c>
      <c r="E2345" s="49" t="s">
        <v>843</v>
      </c>
      <c r="F2345" s="49" t="s">
        <v>1564</v>
      </c>
      <c r="G2345" s="49" t="s">
        <v>772</v>
      </c>
      <c r="H2345" s="49" t="s">
        <v>1132</v>
      </c>
      <c r="I2345" s="49" t="s">
        <v>885</v>
      </c>
    </row>
    <row r="2346" customFormat="false" ht="25.5" hidden="false" customHeight="true" outlineLevel="0" collapsed="false">
      <c r="A2346" s="49" t="s">
        <v>1122</v>
      </c>
      <c r="B2346" s="49" t="s">
        <v>1562</v>
      </c>
      <c r="C2346" s="49" t="s">
        <v>1565</v>
      </c>
      <c r="D2346" s="49" t="s">
        <v>1199</v>
      </c>
      <c r="E2346" s="49" t="s">
        <v>1135</v>
      </c>
      <c r="F2346" s="49" t="s">
        <v>1566</v>
      </c>
      <c r="G2346" s="49" t="s">
        <v>772</v>
      </c>
      <c r="H2346" s="49" t="s">
        <v>1132</v>
      </c>
      <c r="I2346" s="49" t="s">
        <v>885</v>
      </c>
    </row>
    <row r="2347" customFormat="false" ht="25.5" hidden="false" customHeight="true" outlineLevel="0" collapsed="false">
      <c r="A2347" s="49" t="s">
        <v>1122</v>
      </c>
      <c r="B2347" s="49" t="s">
        <v>1562</v>
      </c>
      <c r="C2347" s="49" t="s">
        <v>1567</v>
      </c>
      <c r="D2347" s="49" t="s">
        <v>1218</v>
      </c>
      <c r="E2347" s="49" t="s">
        <v>1568</v>
      </c>
      <c r="F2347" s="49" t="s">
        <v>1569</v>
      </c>
      <c r="G2347" s="49" t="s">
        <v>772</v>
      </c>
      <c r="H2347" s="49" t="s">
        <v>1132</v>
      </c>
      <c r="I2347" s="49" t="s">
        <v>885</v>
      </c>
    </row>
    <row r="2348" customFormat="false" ht="25.5" hidden="false" customHeight="true" outlineLevel="0" collapsed="false">
      <c r="A2348" s="49" t="s">
        <v>1122</v>
      </c>
      <c r="B2348" s="49" t="s">
        <v>1562</v>
      </c>
      <c r="C2348" s="49" t="s">
        <v>1570</v>
      </c>
      <c r="D2348" s="49" t="s">
        <v>1208</v>
      </c>
      <c r="E2348" s="49" t="s">
        <v>1571</v>
      </c>
      <c r="F2348" s="49" t="s">
        <v>1572</v>
      </c>
      <c r="G2348" s="49" t="s">
        <v>772</v>
      </c>
      <c r="H2348" s="49" t="s">
        <v>1132</v>
      </c>
      <c r="I2348" s="49" t="s">
        <v>885</v>
      </c>
    </row>
    <row r="2349" customFormat="false" ht="25.5" hidden="false" customHeight="true" outlineLevel="0" collapsed="false">
      <c r="A2349" s="49" t="s">
        <v>1122</v>
      </c>
      <c r="B2349" s="49" t="s">
        <v>1562</v>
      </c>
      <c r="C2349" s="49" t="s">
        <v>1573</v>
      </c>
      <c r="D2349" s="49" t="s">
        <v>1151</v>
      </c>
      <c r="E2349" s="49" t="s">
        <v>1135</v>
      </c>
      <c r="F2349" s="49" t="s">
        <v>1574</v>
      </c>
      <c r="G2349" s="49" t="s">
        <v>772</v>
      </c>
      <c r="H2349" s="49" t="s">
        <v>1132</v>
      </c>
      <c r="I2349" s="49" t="s">
        <v>885</v>
      </c>
    </row>
    <row r="2350" customFormat="false" ht="25.5" hidden="false" customHeight="true" outlineLevel="0" collapsed="false">
      <c r="A2350" s="49" t="s">
        <v>1122</v>
      </c>
      <c r="B2350" s="49" t="s">
        <v>1562</v>
      </c>
      <c r="C2350" s="49" t="s">
        <v>1575</v>
      </c>
      <c r="D2350" s="49" t="s">
        <v>1218</v>
      </c>
      <c r="E2350" s="49" t="s">
        <v>1395</v>
      </c>
      <c r="F2350" s="49" t="s">
        <v>1533</v>
      </c>
      <c r="G2350" s="49" t="s">
        <v>772</v>
      </c>
      <c r="H2350" s="49" t="s">
        <v>1132</v>
      </c>
      <c r="I2350" s="49" t="s">
        <v>885</v>
      </c>
    </row>
    <row r="2351" customFormat="false" ht="25.5" hidden="false" customHeight="true" outlineLevel="0" collapsed="false">
      <c r="A2351" s="49" t="s">
        <v>1122</v>
      </c>
      <c r="B2351" s="49" t="s">
        <v>1562</v>
      </c>
      <c r="C2351" s="49" t="s">
        <v>1576</v>
      </c>
      <c r="D2351" s="49" t="s">
        <v>1199</v>
      </c>
      <c r="E2351" s="49" t="s">
        <v>1577</v>
      </c>
      <c r="F2351" s="49" t="s">
        <v>1578</v>
      </c>
      <c r="G2351" s="49" t="s">
        <v>772</v>
      </c>
      <c r="H2351" s="49" t="s">
        <v>1132</v>
      </c>
      <c r="I2351" s="49" t="s">
        <v>885</v>
      </c>
    </row>
    <row r="2352" customFormat="false" ht="25.5" hidden="false" customHeight="true" outlineLevel="0" collapsed="false">
      <c r="A2352" s="49" t="s">
        <v>1122</v>
      </c>
      <c r="B2352" s="49" t="s">
        <v>1562</v>
      </c>
      <c r="C2352" s="49" t="s">
        <v>1579</v>
      </c>
      <c r="D2352" s="49" t="s">
        <v>1208</v>
      </c>
      <c r="E2352" s="49" t="s">
        <v>146</v>
      </c>
      <c r="F2352" s="49" t="s">
        <v>1580</v>
      </c>
      <c r="G2352" s="49" t="s">
        <v>772</v>
      </c>
      <c r="H2352" s="49" t="s">
        <v>1132</v>
      </c>
      <c r="I2352" s="49" t="s">
        <v>885</v>
      </c>
    </row>
    <row r="2353" customFormat="false" ht="25.5" hidden="false" customHeight="true" outlineLevel="0" collapsed="false">
      <c r="A2353" s="49" t="s">
        <v>1122</v>
      </c>
      <c r="B2353" s="49" t="s">
        <v>1562</v>
      </c>
      <c r="C2353" s="49" t="s">
        <v>1581</v>
      </c>
      <c r="D2353" s="49" t="s">
        <v>1208</v>
      </c>
      <c r="E2353" s="49" t="s">
        <v>1226</v>
      </c>
      <c r="F2353" s="49" t="s">
        <v>1582</v>
      </c>
      <c r="G2353" s="49" t="s">
        <v>772</v>
      </c>
      <c r="H2353" s="49" t="s">
        <v>1132</v>
      </c>
      <c r="I2353" s="49" t="s">
        <v>885</v>
      </c>
    </row>
    <row r="2354" customFormat="false" ht="25.5" hidden="false" customHeight="true" outlineLevel="0" collapsed="false">
      <c r="A2354" s="49" t="s">
        <v>1122</v>
      </c>
      <c r="B2354" s="49" t="s">
        <v>1562</v>
      </c>
      <c r="C2354" s="49" t="s">
        <v>1583</v>
      </c>
      <c r="D2354" s="49" t="s">
        <v>1151</v>
      </c>
      <c r="E2354" s="49" t="s">
        <v>1395</v>
      </c>
      <c r="F2354" s="49" t="s">
        <v>1533</v>
      </c>
      <c r="G2354" s="49" t="s">
        <v>772</v>
      </c>
      <c r="H2354" s="49" t="s">
        <v>1132</v>
      </c>
      <c r="I2354" s="49" t="s">
        <v>885</v>
      </c>
    </row>
    <row r="2355" customFormat="false" ht="25.5" hidden="false" customHeight="true" outlineLevel="0" collapsed="false">
      <c r="A2355" s="49" t="s">
        <v>1122</v>
      </c>
      <c r="B2355" s="49" t="s">
        <v>1562</v>
      </c>
      <c r="C2355" s="49" t="s">
        <v>1584</v>
      </c>
      <c r="D2355" s="49" t="s">
        <v>1199</v>
      </c>
      <c r="E2355" s="49" t="s">
        <v>1186</v>
      </c>
      <c r="F2355" s="49" t="s">
        <v>1585</v>
      </c>
      <c r="G2355" s="49" t="s">
        <v>772</v>
      </c>
      <c r="H2355" s="49" t="s">
        <v>1132</v>
      </c>
      <c r="I2355" s="49" t="s">
        <v>885</v>
      </c>
    </row>
    <row r="2356" customFormat="false" ht="25.5" hidden="false" customHeight="true" outlineLevel="0" collapsed="false">
      <c r="A2356" s="49" t="s">
        <v>1122</v>
      </c>
      <c r="B2356" s="49" t="s">
        <v>1562</v>
      </c>
      <c r="C2356" s="49" t="s">
        <v>1586</v>
      </c>
      <c r="D2356" s="49" t="s">
        <v>1218</v>
      </c>
      <c r="E2356" s="49" t="s">
        <v>1135</v>
      </c>
      <c r="F2356" s="49" t="s">
        <v>1587</v>
      </c>
      <c r="G2356" s="49" t="s">
        <v>772</v>
      </c>
      <c r="H2356" s="49" t="s">
        <v>1132</v>
      </c>
      <c r="I2356" s="49" t="s">
        <v>885</v>
      </c>
    </row>
    <row r="2357" customFormat="false" ht="25.5" hidden="false" customHeight="true" outlineLevel="0" collapsed="false">
      <c r="A2357" s="49" t="s">
        <v>1122</v>
      </c>
      <c r="B2357" s="49" t="s">
        <v>1562</v>
      </c>
      <c r="C2357" s="49" t="s">
        <v>1171</v>
      </c>
      <c r="D2357" s="49" t="s">
        <v>1172</v>
      </c>
      <c r="E2357" s="49" t="s">
        <v>1173</v>
      </c>
      <c r="F2357" s="49" t="s">
        <v>1197</v>
      </c>
      <c r="G2357" s="49" t="s">
        <v>772</v>
      </c>
      <c r="H2357" s="49" t="s">
        <v>1132</v>
      </c>
      <c r="I2357" s="49" t="s">
        <v>885</v>
      </c>
    </row>
    <row r="2358" customFormat="false" ht="25.5" hidden="false" customHeight="true" outlineLevel="0" collapsed="false">
      <c r="A2358" s="49" t="s">
        <v>1122</v>
      </c>
      <c r="B2358" s="49" t="s">
        <v>1562</v>
      </c>
      <c r="C2358" s="49" t="s">
        <v>1588</v>
      </c>
      <c r="D2358" s="49" t="s">
        <v>1199</v>
      </c>
      <c r="E2358" s="49" t="s">
        <v>217</v>
      </c>
      <c r="F2358" s="49" t="s">
        <v>1589</v>
      </c>
      <c r="G2358" s="49" t="s">
        <v>772</v>
      </c>
      <c r="H2358" s="49" t="s">
        <v>1132</v>
      </c>
      <c r="I2358" s="49" t="s">
        <v>885</v>
      </c>
    </row>
    <row r="2359" customFormat="false" ht="25.5" hidden="false" customHeight="true" outlineLevel="0" collapsed="false">
      <c r="A2359" s="49" t="s">
        <v>1122</v>
      </c>
      <c r="B2359" s="49" t="s">
        <v>1562</v>
      </c>
      <c r="C2359" s="49" t="s">
        <v>1590</v>
      </c>
      <c r="D2359" s="49" t="s">
        <v>1151</v>
      </c>
      <c r="E2359" s="49" t="s">
        <v>1520</v>
      </c>
      <c r="F2359" s="49" t="s">
        <v>1591</v>
      </c>
      <c r="G2359" s="49" t="s">
        <v>772</v>
      </c>
      <c r="H2359" s="49" t="s">
        <v>1132</v>
      </c>
      <c r="I2359" s="49" t="s">
        <v>885</v>
      </c>
    </row>
    <row r="2360" customFormat="false" ht="25.5" hidden="false" customHeight="true" outlineLevel="0" collapsed="false">
      <c r="A2360" s="49" t="s">
        <v>1122</v>
      </c>
      <c r="B2360" s="49" t="s">
        <v>1562</v>
      </c>
      <c r="C2360" s="49" t="s">
        <v>1592</v>
      </c>
      <c r="D2360" s="49" t="s">
        <v>1148</v>
      </c>
      <c r="E2360" s="49" t="s">
        <v>217</v>
      </c>
      <c r="F2360" s="49" t="s">
        <v>1593</v>
      </c>
      <c r="G2360" s="49" t="s">
        <v>772</v>
      </c>
      <c r="H2360" s="49" t="s">
        <v>1132</v>
      </c>
      <c r="I2360" s="49" t="s">
        <v>885</v>
      </c>
    </row>
    <row r="2361" customFormat="false" ht="25.5" hidden="false" customHeight="true" outlineLevel="0" collapsed="false">
      <c r="A2361" s="49" t="s">
        <v>1122</v>
      </c>
      <c r="B2361" s="49" t="s">
        <v>1562</v>
      </c>
      <c r="C2361" s="49" t="s">
        <v>1594</v>
      </c>
      <c r="D2361" s="49" t="s">
        <v>1151</v>
      </c>
      <c r="E2361" s="49" t="s">
        <v>671</v>
      </c>
      <c r="F2361" s="49" t="s">
        <v>1595</v>
      </c>
      <c r="G2361" s="49" t="s">
        <v>772</v>
      </c>
      <c r="H2361" s="49" t="s">
        <v>1132</v>
      </c>
      <c r="I2361" s="49" t="s">
        <v>885</v>
      </c>
    </row>
    <row r="2362" customFormat="false" ht="25.5" hidden="false" customHeight="true" outlineLevel="0" collapsed="false">
      <c r="A2362" s="49" t="s">
        <v>1122</v>
      </c>
      <c r="B2362" s="49" t="s">
        <v>1127</v>
      </c>
      <c r="C2362" s="49" t="s">
        <v>1596</v>
      </c>
      <c r="D2362" s="49" t="s">
        <v>1218</v>
      </c>
      <c r="E2362" s="49" t="s">
        <v>1135</v>
      </c>
      <c r="F2362" s="49" t="s">
        <v>1216</v>
      </c>
      <c r="G2362" s="49" t="s">
        <v>772</v>
      </c>
      <c r="H2362" s="49" t="s">
        <v>1132</v>
      </c>
      <c r="I2362" s="49" t="s">
        <v>885</v>
      </c>
    </row>
    <row r="2363" customFormat="false" ht="25.5" hidden="false" customHeight="true" outlineLevel="0" collapsed="false">
      <c r="A2363" s="49" t="s">
        <v>1122</v>
      </c>
      <c r="B2363" s="49" t="s">
        <v>1127</v>
      </c>
      <c r="C2363" s="49" t="s">
        <v>1597</v>
      </c>
      <c r="D2363" s="49" t="s">
        <v>1218</v>
      </c>
      <c r="E2363" s="49" t="s">
        <v>1183</v>
      </c>
      <c r="F2363" s="49" t="s">
        <v>1598</v>
      </c>
      <c r="G2363" s="49" t="s">
        <v>772</v>
      </c>
      <c r="H2363" s="49" t="s">
        <v>1132</v>
      </c>
      <c r="I2363" s="49" t="s">
        <v>885</v>
      </c>
    </row>
    <row r="2364" customFormat="false" ht="25.5" hidden="false" customHeight="true" outlineLevel="0" collapsed="false">
      <c r="A2364" s="49" t="s">
        <v>1122</v>
      </c>
      <c r="B2364" s="49" t="s">
        <v>1127</v>
      </c>
      <c r="C2364" s="49" t="s">
        <v>1599</v>
      </c>
      <c r="D2364" s="49" t="s">
        <v>1151</v>
      </c>
      <c r="E2364" s="49" t="s">
        <v>1135</v>
      </c>
      <c r="F2364" s="49" t="s">
        <v>1600</v>
      </c>
      <c r="G2364" s="49" t="s">
        <v>772</v>
      </c>
      <c r="H2364" s="49" t="s">
        <v>1132</v>
      </c>
      <c r="I2364" s="49" t="s">
        <v>885</v>
      </c>
    </row>
    <row r="2365" customFormat="false" ht="25.5" hidden="false" customHeight="true" outlineLevel="0" collapsed="false">
      <c r="A2365" s="49" t="s">
        <v>1122</v>
      </c>
      <c r="B2365" s="49" t="s">
        <v>1127</v>
      </c>
      <c r="C2365" s="49" t="s">
        <v>1601</v>
      </c>
      <c r="D2365" s="49" t="s">
        <v>1218</v>
      </c>
      <c r="E2365" s="49" t="s">
        <v>893</v>
      </c>
      <c r="F2365" s="49" t="s">
        <v>1602</v>
      </c>
      <c r="G2365" s="49" t="s">
        <v>772</v>
      </c>
      <c r="H2365" s="49" t="s">
        <v>1132</v>
      </c>
      <c r="I2365" s="49" t="s">
        <v>885</v>
      </c>
    </row>
    <row r="2366" customFormat="false" ht="25.5" hidden="false" customHeight="true" outlineLevel="0" collapsed="false">
      <c r="A2366" s="49" t="s">
        <v>1122</v>
      </c>
      <c r="B2366" s="49" t="s">
        <v>1127</v>
      </c>
      <c r="C2366" s="49" t="s">
        <v>1603</v>
      </c>
      <c r="D2366" s="49" t="s">
        <v>1162</v>
      </c>
      <c r="E2366" s="49" t="s">
        <v>1163</v>
      </c>
      <c r="F2366" s="49" t="s">
        <v>1604</v>
      </c>
      <c r="G2366" s="49" t="s">
        <v>772</v>
      </c>
      <c r="H2366" s="49" t="s">
        <v>1132</v>
      </c>
      <c r="I2366" s="49" t="s">
        <v>885</v>
      </c>
    </row>
    <row r="2367" customFormat="false" ht="25.5" hidden="false" customHeight="true" outlineLevel="0" collapsed="false">
      <c r="A2367" s="49" t="s">
        <v>1122</v>
      </c>
      <c r="B2367" s="49" t="s">
        <v>1127</v>
      </c>
      <c r="C2367" s="49" t="s">
        <v>1605</v>
      </c>
      <c r="D2367" s="49" t="s">
        <v>1218</v>
      </c>
      <c r="E2367" s="49" t="s">
        <v>1135</v>
      </c>
      <c r="F2367" s="49" t="s">
        <v>1136</v>
      </c>
      <c r="G2367" s="49" t="s">
        <v>772</v>
      </c>
      <c r="H2367" s="49" t="s">
        <v>1132</v>
      </c>
      <c r="I2367" s="49" t="s">
        <v>885</v>
      </c>
    </row>
    <row r="2368" customFormat="false" ht="25.5" hidden="false" customHeight="true" outlineLevel="0" collapsed="false">
      <c r="A2368" s="49" t="s">
        <v>1122</v>
      </c>
      <c r="B2368" s="49" t="s">
        <v>1127</v>
      </c>
      <c r="C2368" s="49" t="s">
        <v>1606</v>
      </c>
      <c r="D2368" s="49" t="s">
        <v>1148</v>
      </c>
      <c r="E2368" s="49" t="s">
        <v>893</v>
      </c>
      <c r="F2368" s="49" t="s">
        <v>1607</v>
      </c>
      <c r="G2368" s="49" t="s">
        <v>772</v>
      </c>
      <c r="H2368" s="49" t="s">
        <v>1132</v>
      </c>
      <c r="I2368" s="49" t="s">
        <v>885</v>
      </c>
    </row>
    <row r="2369" customFormat="false" ht="25.5" hidden="false" customHeight="true" outlineLevel="0" collapsed="false">
      <c r="A2369" s="49" t="s">
        <v>1122</v>
      </c>
      <c r="B2369" s="49" t="s">
        <v>1127</v>
      </c>
      <c r="C2369" s="49" t="s">
        <v>1608</v>
      </c>
      <c r="D2369" s="49" t="s">
        <v>1218</v>
      </c>
      <c r="E2369" s="49" t="s">
        <v>1609</v>
      </c>
      <c r="F2369" s="49" t="s">
        <v>1610</v>
      </c>
      <c r="G2369" s="49" t="s">
        <v>772</v>
      </c>
      <c r="H2369" s="49" t="s">
        <v>1132</v>
      </c>
      <c r="I2369" s="49" t="s">
        <v>885</v>
      </c>
    </row>
    <row r="2370" customFormat="false" ht="25.5" hidden="false" customHeight="true" outlineLevel="0" collapsed="false">
      <c r="A2370" s="49" t="s">
        <v>1122</v>
      </c>
      <c r="B2370" s="49" t="s">
        <v>1127</v>
      </c>
      <c r="C2370" s="49" t="s">
        <v>1611</v>
      </c>
      <c r="D2370" s="49" t="s">
        <v>1151</v>
      </c>
      <c r="E2370" s="49" t="s">
        <v>1135</v>
      </c>
      <c r="F2370" s="49" t="s">
        <v>1600</v>
      </c>
      <c r="G2370" s="49" t="s">
        <v>772</v>
      </c>
      <c r="H2370" s="49" t="s">
        <v>1132</v>
      </c>
      <c r="I2370" s="49" t="s">
        <v>885</v>
      </c>
    </row>
    <row r="2371" customFormat="false" ht="25.5" hidden="false" customHeight="true" outlineLevel="0" collapsed="false">
      <c r="A2371" s="49" t="s">
        <v>1122</v>
      </c>
      <c r="B2371" s="49" t="s">
        <v>1127</v>
      </c>
      <c r="C2371" s="49" t="s">
        <v>1612</v>
      </c>
      <c r="D2371" s="49" t="s">
        <v>1218</v>
      </c>
      <c r="E2371" s="49" t="s">
        <v>1135</v>
      </c>
      <c r="F2371" s="49" t="s">
        <v>1170</v>
      </c>
      <c r="G2371" s="49" t="s">
        <v>772</v>
      </c>
      <c r="H2371" s="49" t="s">
        <v>1132</v>
      </c>
      <c r="I2371" s="49" t="s">
        <v>885</v>
      </c>
    </row>
    <row r="2372" customFormat="false" ht="25.5" hidden="false" customHeight="true" outlineLevel="0" collapsed="false">
      <c r="A2372" s="49" t="s">
        <v>1122</v>
      </c>
      <c r="B2372" s="49" t="s">
        <v>1127</v>
      </c>
      <c r="C2372" s="49" t="s">
        <v>1613</v>
      </c>
      <c r="D2372" s="49" t="s">
        <v>1208</v>
      </c>
      <c r="E2372" s="49" t="s">
        <v>1183</v>
      </c>
      <c r="F2372" s="49" t="s">
        <v>1614</v>
      </c>
      <c r="G2372" s="49" t="s">
        <v>772</v>
      </c>
      <c r="H2372" s="49" t="s">
        <v>1132</v>
      </c>
      <c r="I2372" s="49" t="s">
        <v>885</v>
      </c>
    </row>
    <row r="2373" customFormat="false" ht="25.5" hidden="false" customHeight="true" outlineLevel="0" collapsed="false">
      <c r="A2373" s="49" t="s">
        <v>1122</v>
      </c>
      <c r="B2373" s="49" t="s">
        <v>1127</v>
      </c>
      <c r="C2373" s="49" t="s">
        <v>1615</v>
      </c>
      <c r="D2373" s="49" t="s">
        <v>1129</v>
      </c>
      <c r="E2373" s="49" t="s">
        <v>1226</v>
      </c>
      <c r="F2373" s="49" t="s">
        <v>1616</v>
      </c>
      <c r="G2373" s="49" t="s">
        <v>772</v>
      </c>
      <c r="H2373" s="49" t="s">
        <v>1132</v>
      </c>
      <c r="I2373" s="49" t="s">
        <v>885</v>
      </c>
    </row>
    <row r="2374" customFormat="false" ht="25.5" hidden="false" customHeight="true" outlineLevel="0" collapsed="false">
      <c r="A2374" s="49" t="s">
        <v>1122</v>
      </c>
      <c r="B2374" s="49" t="s">
        <v>1127</v>
      </c>
      <c r="C2374" s="49" t="s">
        <v>1128</v>
      </c>
      <c r="D2374" s="49" t="s">
        <v>1129</v>
      </c>
      <c r="E2374" s="49" t="s">
        <v>1130</v>
      </c>
      <c r="F2374" s="49" t="s">
        <v>1131</v>
      </c>
      <c r="G2374" s="49" t="s">
        <v>772</v>
      </c>
      <c r="H2374" s="49" t="s">
        <v>1132</v>
      </c>
      <c r="I2374" s="49" t="s">
        <v>885</v>
      </c>
    </row>
    <row r="2375" customFormat="false" ht="25.5" hidden="false" customHeight="true" outlineLevel="0" collapsed="false">
      <c r="A2375" s="49" t="s">
        <v>1122</v>
      </c>
      <c r="B2375" s="49" t="s">
        <v>1127</v>
      </c>
      <c r="C2375" s="49" t="s">
        <v>1133</v>
      </c>
      <c r="D2375" s="49" t="s">
        <v>1134</v>
      </c>
      <c r="E2375" s="49" t="s">
        <v>1135</v>
      </c>
      <c r="F2375" s="49" t="s">
        <v>1136</v>
      </c>
      <c r="G2375" s="49" t="s">
        <v>772</v>
      </c>
      <c r="H2375" s="49" t="s">
        <v>1132</v>
      </c>
      <c r="I2375" s="49" t="s">
        <v>885</v>
      </c>
    </row>
    <row r="2376" customFormat="false" ht="25.5" hidden="false" customHeight="true" outlineLevel="0" collapsed="false">
      <c r="A2376" s="49" t="s">
        <v>1122</v>
      </c>
      <c r="B2376" s="49" t="s">
        <v>1127</v>
      </c>
      <c r="C2376" s="49" t="s">
        <v>1137</v>
      </c>
      <c r="D2376" s="49" t="s">
        <v>1129</v>
      </c>
      <c r="E2376" s="49" t="s">
        <v>1135</v>
      </c>
      <c r="F2376" s="49" t="s">
        <v>1138</v>
      </c>
      <c r="G2376" s="49" t="s">
        <v>772</v>
      </c>
      <c r="H2376" s="49" t="s">
        <v>1132</v>
      </c>
      <c r="I2376" s="49" t="s">
        <v>885</v>
      </c>
    </row>
    <row r="2377" customFormat="false" ht="25.5" hidden="false" customHeight="true" outlineLevel="0" collapsed="false">
      <c r="A2377" s="49" t="s">
        <v>1122</v>
      </c>
      <c r="B2377" s="49" t="s">
        <v>1127</v>
      </c>
      <c r="C2377" s="49" t="s">
        <v>1139</v>
      </c>
      <c r="D2377" s="49" t="s">
        <v>1134</v>
      </c>
      <c r="E2377" s="49" t="s">
        <v>1135</v>
      </c>
      <c r="F2377" s="49" t="s">
        <v>1136</v>
      </c>
      <c r="G2377" s="49" t="s">
        <v>772</v>
      </c>
      <c r="H2377" s="49" t="s">
        <v>1132</v>
      </c>
      <c r="I2377" s="49" t="s">
        <v>885</v>
      </c>
    </row>
    <row r="2378" customFormat="false" ht="25.5" hidden="false" customHeight="true" outlineLevel="0" collapsed="false">
      <c r="A2378" s="49" t="s">
        <v>1122</v>
      </c>
      <c r="B2378" s="49" t="s">
        <v>1127</v>
      </c>
      <c r="C2378" s="49" t="s">
        <v>1140</v>
      </c>
      <c r="D2378" s="49" t="s">
        <v>1141</v>
      </c>
      <c r="E2378" s="49" t="s">
        <v>1142</v>
      </c>
      <c r="F2378" s="49" t="s">
        <v>1143</v>
      </c>
      <c r="G2378" s="49" t="s">
        <v>772</v>
      </c>
      <c r="H2378" s="49" t="s">
        <v>1132</v>
      </c>
      <c r="I2378" s="49" t="s">
        <v>885</v>
      </c>
    </row>
    <row r="2379" customFormat="false" ht="25.5" hidden="false" customHeight="true" outlineLevel="0" collapsed="false">
      <c r="A2379" s="49" t="s">
        <v>1122</v>
      </c>
      <c r="B2379" s="49" t="s">
        <v>1127</v>
      </c>
      <c r="C2379" s="49" t="s">
        <v>1144</v>
      </c>
      <c r="D2379" s="49" t="s">
        <v>1134</v>
      </c>
      <c r="E2379" s="49" t="s">
        <v>1145</v>
      </c>
      <c r="F2379" s="49" t="s">
        <v>1146</v>
      </c>
      <c r="G2379" s="49" t="s">
        <v>772</v>
      </c>
      <c r="H2379" s="49" t="s">
        <v>1132</v>
      </c>
      <c r="I2379" s="49" t="s">
        <v>885</v>
      </c>
    </row>
    <row r="2380" customFormat="false" ht="25.5" hidden="false" customHeight="true" outlineLevel="0" collapsed="false">
      <c r="A2380" s="49" t="s">
        <v>1122</v>
      </c>
      <c r="B2380" s="49" t="s">
        <v>1127</v>
      </c>
      <c r="C2380" s="49" t="s">
        <v>1147</v>
      </c>
      <c r="D2380" s="49" t="s">
        <v>1148</v>
      </c>
      <c r="E2380" s="49" t="s">
        <v>1135</v>
      </c>
      <c r="F2380" s="49" t="s">
        <v>1136</v>
      </c>
      <c r="G2380" s="49" t="s">
        <v>772</v>
      </c>
      <c r="H2380" s="49" t="s">
        <v>1132</v>
      </c>
      <c r="I2380" s="49" t="s">
        <v>885</v>
      </c>
    </row>
    <row r="2381" customFormat="false" ht="25.5" hidden="false" customHeight="true" outlineLevel="0" collapsed="false">
      <c r="A2381" s="49" t="s">
        <v>1122</v>
      </c>
      <c r="B2381" s="49" t="s">
        <v>1127</v>
      </c>
      <c r="C2381" s="49" t="s">
        <v>1149</v>
      </c>
      <c r="D2381" s="49" t="s">
        <v>1134</v>
      </c>
      <c r="E2381" s="49" t="s">
        <v>1135</v>
      </c>
      <c r="F2381" s="49" t="s">
        <v>1136</v>
      </c>
      <c r="G2381" s="49" t="s">
        <v>772</v>
      </c>
      <c r="H2381" s="49" t="s">
        <v>1132</v>
      </c>
      <c r="I2381" s="49" t="s">
        <v>885</v>
      </c>
    </row>
    <row r="2382" customFormat="false" ht="25.5" hidden="false" customHeight="true" outlineLevel="0" collapsed="false">
      <c r="A2382" s="49" t="s">
        <v>1122</v>
      </c>
      <c r="B2382" s="49" t="s">
        <v>1127</v>
      </c>
      <c r="C2382" s="49" t="s">
        <v>1150</v>
      </c>
      <c r="D2382" s="49" t="s">
        <v>1151</v>
      </c>
      <c r="E2382" s="49" t="s">
        <v>1152</v>
      </c>
      <c r="F2382" s="49" t="s">
        <v>1153</v>
      </c>
      <c r="G2382" s="49" t="s">
        <v>772</v>
      </c>
      <c r="H2382" s="49" t="s">
        <v>1132</v>
      </c>
      <c r="I2382" s="49" t="s">
        <v>885</v>
      </c>
    </row>
    <row r="2383" customFormat="false" ht="25.5" hidden="false" customHeight="true" outlineLevel="0" collapsed="false">
      <c r="A2383" s="49" t="s">
        <v>1122</v>
      </c>
      <c r="B2383" s="49" t="s">
        <v>1127</v>
      </c>
      <c r="C2383" s="49" t="s">
        <v>1154</v>
      </c>
      <c r="D2383" s="49" t="s">
        <v>1134</v>
      </c>
      <c r="E2383" s="49" t="s">
        <v>1135</v>
      </c>
      <c r="F2383" s="49" t="s">
        <v>1136</v>
      </c>
      <c r="G2383" s="49" t="s">
        <v>772</v>
      </c>
      <c r="H2383" s="49" t="s">
        <v>1132</v>
      </c>
      <c r="I2383" s="49" t="s">
        <v>885</v>
      </c>
    </row>
    <row r="2384" customFormat="false" ht="25.5" hidden="false" customHeight="true" outlineLevel="0" collapsed="false">
      <c r="A2384" s="49" t="s">
        <v>1122</v>
      </c>
      <c r="B2384" s="49" t="s">
        <v>1127</v>
      </c>
      <c r="C2384" s="49" t="s">
        <v>1155</v>
      </c>
      <c r="D2384" s="49" t="s">
        <v>1156</v>
      </c>
      <c r="E2384" s="49" t="s">
        <v>1157</v>
      </c>
      <c r="F2384" s="49" t="s">
        <v>1158</v>
      </c>
      <c r="G2384" s="49" t="s">
        <v>772</v>
      </c>
      <c r="H2384" s="49" t="s">
        <v>1132</v>
      </c>
      <c r="I2384" s="49" t="s">
        <v>885</v>
      </c>
    </row>
    <row r="2385" customFormat="false" ht="25.5" hidden="false" customHeight="true" outlineLevel="0" collapsed="false">
      <c r="A2385" s="49" t="s">
        <v>1122</v>
      </c>
      <c r="B2385" s="49" t="s">
        <v>1127</v>
      </c>
      <c r="C2385" s="49" t="s">
        <v>1159</v>
      </c>
      <c r="D2385" s="49" t="s">
        <v>1148</v>
      </c>
      <c r="E2385" s="49" t="s">
        <v>1135</v>
      </c>
      <c r="F2385" s="49" t="s">
        <v>1136</v>
      </c>
      <c r="G2385" s="49" t="s">
        <v>772</v>
      </c>
      <c r="H2385" s="49" t="s">
        <v>1132</v>
      </c>
      <c r="I2385" s="49" t="s">
        <v>885</v>
      </c>
    </row>
    <row r="2386" customFormat="false" ht="25.5" hidden="false" customHeight="true" outlineLevel="0" collapsed="false">
      <c r="A2386" s="49" t="s">
        <v>1122</v>
      </c>
      <c r="B2386" s="49" t="s">
        <v>1127</v>
      </c>
      <c r="C2386" s="49" t="s">
        <v>1160</v>
      </c>
      <c r="D2386" s="49" t="s">
        <v>1134</v>
      </c>
      <c r="E2386" s="49" t="s">
        <v>1157</v>
      </c>
      <c r="F2386" s="49" t="s">
        <v>1158</v>
      </c>
      <c r="G2386" s="49" t="s">
        <v>772</v>
      </c>
      <c r="H2386" s="49" t="s">
        <v>1132</v>
      </c>
      <c r="I2386" s="49" t="s">
        <v>885</v>
      </c>
    </row>
    <row r="2387" customFormat="false" ht="25.5" hidden="false" customHeight="true" outlineLevel="0" collapsed="false">
      <c r="A2387" s="49" t="s">
        <v>1122</v>
      </c>
      <c r="B2387" s="49" t="s">
        <v>1127</v>
      </c>
      <c r="C2387" s="49" t="s">
        <v>1161</v>
      </c>
      <c r="D2387" s="49" t="s">
        <v>1162</v>
      </c>
      <c r="E2387" s="49" t="s">
        <v>1163</v>
      </c>
      <c r="F2387" s="49" t="s">
        <v>1164</v>
      </c>
      <c r="G2387" s="49" t="s">
        <v>772</v>
      </c>
      <c r="H2387" s="49" t="s">
        <v>1132</v>
      </c>
      <c r="I2387" s="49" t="s">
        <v>885</v>
      </c>
    </row>
    <row r="2388" customFormat="false" ht="25.5" hidden="false" customHeight="true" outlineLevel="0" collapsed="false">
      <c r="A2388" s="49" t="s">
        <v>1122</v>
      </c>
      <c r="B2388" s="49" t="s">
        <v>1127</v>
      </c>
      <c r="C2388" s="49" t="s">
        <v>1165</v>
      </c>
      <c r="D2388" s="49" t="s">
        <v>1156</v>
      </c>
      <c r="E2388" s="49" t="s">
        <v>146</v>
      </c>
      <c r="F2388" s="49" t="s">
        <v>1166</v>
      </c>
      <c r="G2388" s="49" t="s">
        <v>772</v>
      </c>
      <c r="H2388" s="49" t="s">
        <v>1132</v>
      </c>
      <c r="I2388" s="49" t="s">
        <v>885</v>
      </c>
    </row>
    <row r="2389" customFormat="false" ht="25.5" hidden="false" customHeight="true" outlineLevel="0" collapsed="false">
      <c r="A2389" s="49" t="s">
        <v>1122</v>
      </c>
      <c r="B2389" s="49" t="s">
        <v>1127</v>
      </c>
      <c r="C2389" s="49" t="s">
        <v>1167</v>
      </c>
      <c r="D2389" s="49" t="s">
        <v>1141</v>
      </c>
      <c r="E2389" s="49" t="s">
        <v>1135</v>
      </c>
      <c r="F2389" s="49" t="s">
        <v>1136</v>
      </c>
      <c r="G2389" s="49" t="s">
        <v>772</v>
      </c>
      <c r="H2389" s="49" t="s">
        <v>1132</v>
      </c>
      <c r="I2389" s="49" t="s">
        <v>885</v>
      </c>
    </row>
    <row r="2390" customFormat="false" ht="25.5" hidden="false" customHeight="true" outlineLevel="0" collapsed="false">
      <c r="A2390" s="49" t="s">
        <v>1122</v>
      </c>
      <c r="B2390" s="49" t="s">
        <v>1127</v>
      </c>
      <c r="C2390" s="49" t="s">
        <v>1168</v>
      </c>
      <c r="D2390" s="49" t="s">
        <v>1141</v>
      </c>
      <c r="E2390" s="49" t="s">
        <v>1145</v>
      </c>
      <c r="F2390" s="49" t="s">
        <v>1146</v>
      </c>
      <c r="G2390" s="49" t="s">
        <v>772</v>
      </c>
      <c r="H2390" s="49" t="s">
        <v>1132</v>
      </c>
      <c r="I2390" s="49" t="s">
        <v>885</v>
      </c>
    </row>
    <row r="2391" customFormat="false" ht="25.5" hidden="false" customHeight="true" outlineLevel="0" collapsed="false">
      <c r="A2391" s="49" t="s">
        <v>1122</v>
      </c>
      <c r="B2391" s="49" t="s">
        <v>1127</v>
      </c>
      <c r="C2391" s="49" t="s">
        <v>1169</v>
      </c>
      <c r="D2391" s="49" t="s">
        <v>1148</v>
      </c>
      <c r="E2391" s="49" t="s">
        <v>1135</v>
      </c>
      <c r="F2391" s="49" t="s">
        <v>1170</v>
      </c>
      <c r="G2391" s="49" t="s">
        <v>772</v>
      </c>
      <c r="H2391" s="49" t="s">
        <v>1132</v>
      </c>
      <c r="I2391" s="49" t="s">
        <v>885</v>
      </c>
    </row>
    <row r="2392" customFormat="false" ht="25.5" hidden="false" customHeight="true" outlineLevel="0" collapsed="false">
      <c r="A2392" s="49" t="s">
        <v>1122</v>
      </c>
      <c r="B2392" s="49" t="s">
        <v>1127</v>
      </c>
      <c r="C2392" s="49" t="s">
        <v>1171</v>
      </c>
      <c r="D2392" s="49" t="s">
        <v>1172</v>
      </c>
      <c r="E2392" s="49" t="s">
        <v>1173</v>
      </c>
      <c r="F2392" s="49" t="s">
        <v>1174</v>
      </c>
      <c r="G2392" s="49" t="s">
        <v>772</v>
      </c>
      <c r="H2392" s="49" t="s">
        <v>1132</v>
      </c>
      <c r="I2392" s="49" t="s">
        <v>885</v>
      </c>
    </row>
    <row r="2393" customFormat="false" ht="25.5" hidden="false" customHeight="true" outlineLevel="0" collapsed="false">
      <c r="A2393" s="49" t="s">
        <v>1122</v>
      </c>
      <c r="B2393" s="49" t="s">
        <v>1127</v>
      </c>
      <c r="C2393" s="49" t="s">
        <v>1175</v>
      </c>
      <c r="D2393" s="49" t="s">
        <v>1162</v>
      </c>
      <c r="E2393" s="49" t="s">
        <v>893</v>
      </c>
      <c r="F2393" s="49" t="s">
        <v>1176</v>
      </c>
      <c r="G2393" s="49" t="s">
        <v>772</v>
      </c>
      <c r="H2393" s="49" t="s">
        <v>1132</v>
      </c>
      <c r="I2393" s="49" t="s">
        <v>885</v>
      </c>
    </row>
    <row r="2394" customFormat="false" ht="25.5" hidden="false" customHeight="true" outlineLevel="0" collapsed="false">
      <c r="A2394" s="49" t="s">
        <v>1122</v>
      </c>
      <c r="B2394" s="49" t="s">
        <v>1127</v>
      </c>
      <c r="C2394" s="49" t="s">
        <v>1177</v>
      </c>
      <c r="D2394" s="49" t="s">
        <v>1148</v>
      </c>
      <c r="E2394" s="49" t="s">
        <v>217</v>
      </c>
      <c r="F2394" s="49" t="s">
        <v>1178</v>
      </c>
      <c r="G2394" s="49" t="s">
        <v>772</v>
      </c>
      <c r="H2394" s="49" t="s">
        <v>1132</v>
      </c>
      <c r="I2394" s="49" t="s">
        <v>885</v>
      </c>
    </row>
    <row r="2395" customFormat="false" ht="25.5" hidden="false" customHeight="true" outlineLevel="0" collapsed="false">
      <c r="A2395" s="49" t="s">
        <v>1122</v>
      </c>
      <c r="B2395" s="49" t="s">
        <v>1127</v>
      </c>
      <c r="C2395" s="49" t="s">
        <v>1179</v>
      </c>
      <c r="D2395" s="49" t="s">
        <v>1151</v>
      </c>
      <c r="E2395" s="49" t="s">
        <v>1180</v>
      </c>
      <c r="F2395" s="49" t="s">
        <v>1181</v>
      </c>
      <c r="G2395" s="49" t="s">
        <v>772</v>
      </c>
      <c r="H2395" s="49" t="s">
        <v>1132</v>
      </c>
      <c r="I2395" s="49" t="s">
        <v>885</v>
      </c>
    </row>
    <row r="2396" customFormat="false" ht="25.5" hidden="false" customHeight="true" outlineLevel="0" collapsed="false">
      <c r="A2396" s="49" t="s">
        <v>1122</v>
      </c>
      <c r="B2396" s="49" t="s">
        <v>1127</v>
      </c>
      <c r="C2396" s="49" t="s">
        <v>1182</v>
      </c>
      <c r="D2396" s="49" t="s">
        <v>1148</v>
      </c>
      <c r="E2396" s="49" t="s">
        <v>1183</v>
      </c>
      <c r="F2396" s="49" t="s">
        <v>1184</v>
      </c>
      <c r="G2396" s="49" t="s">
        <v>772</v>
      </c>
      <c r="H2396" s="49" t="s">
        <v>1132</v>
      </c>
      <c r="I2396" s="49" t="s">
        <v>885</v>
      </c>
    </row>
    <row r="2397" customFormat="false" ht="25.5" hidden="false" customHeight="true" outlineLevel="0" collapsed="false">
      <c r="A2397" s="49" t="s">
        <v>1122</v>
      </c>
      <c r="B2397" s="49" t="s">
        <v>1127</v>
      </c>
      <c r="C2397" s="49" t="s">
        <v>1185</v>
      </c>
      <c r="D2397" s="49" t="s">
        <v>1134</v>
      </c>
      <c r="E2397" s="49" t="s">
        <v>1186</v>
      </c>
      <c r="F2397" s="49" t="s">
        <v>1187</v>
      </c>
      <c r="G2397" s="49" t="s">
        <v>772</v>
      </c>
      <c r="H2397" s="49" t="s">
        <v>1132</v>
      </c>
      <c r="I2397" s="49" t="s">
        <v>885</v>
      </c>
    </row>
    <row r="2398" customFormat="false" ht="25.5" hidden="false" customHeight="true" outlineLevel="0" collapsed="false">
      <c r="A2398" s="49" t="s">
        <v>1122</v>
      </c>
      <c r="B2398" s="49" t="s">
        <v>1127</v>
      </c>
      <c r="C2398" s="49" t="s">
        <v>1188</v>
      </c>
      <c r="D2398" s="49" t="s">
        <v>1134</v>
      </c>
      <c r="E2398" s="49" t="s">
        <v>1189</v>
      </c>
      <c r="F2398" s="49" t="s">
        <v>1190</v>
      </c>
      <c r="G2398" s="49" t="s">
        <v>772</v>
      </c>
      <c r="H2398" s="49" t="s">
        <v>1132</v>
      </c>
      <c r="I2398" s="49" t="s">
        <v>885</v>
      </c>
    </row>
    <row r="2399" customFormat="false" ht="25.5" hidden="false" customHeight="true" outlineLevel="0" collapsed="false">
      <c r="A2399" s="49" t="s">
        <v>1122</v>
      </c>
      <c r="B2399" s="49" t="s">
        <v>1127</v>
      </c>
      <c r="C2399" s="49" t="s">
        <v>1191</v>
      </c>
      <c r="D2399" s="49" t="s">
        <v>1151</v>
      </c>
      <c r="E2399" s="49" t="s">
        <v>1142</v>
      </c>
      <c r="F2399" s="49" t="s">
        <v>1192</v>
      </c>
      <c r="G2399" s="49" t="s">
        <v>772</v>
      </c>
      <c r="H2399" s="49" t="s">
        <v>1132</v>
      </c>
      <c r="I2399" s="49" t="s">
        <v>885</v>
      </c>
    </row>
    <row r="2400" customFormat="false" ht="25.5" hidden="false" customHeight="true" outlineLevel="0" collapsed="false">
      <c r="A2400" s="49" t="s">
        <v>1122</v>
      </c>
      <c r="B2400" s="49" t="s">
        <v>1127</v>
      </c>
      <c r="C2400" s="49" t="s">
        <v>1193</v>
      </c>
      <c r="D2400" s="49" t="s">
        <v>1148</v>
      </c>
      <c r="E2400" s="49" t="s">
        <v>1194</v>
      </c>
      <c r="F2400" s="49" t="s">
        <v>1195</v>
      </c>
      <c r="G2400" s="49" t="s">
        <v>772</v>
      </c>
      <c r="H2400" s="49" t="s">
        <v>1132</v>
      </c>
      <c r="I2400" s="49" t="s">
        <v>885</v>
      </c>
    </row>
    <row r="2401" customFormat="false" ht="25.5" hidden="false" customHeight="true" outlineLevel="0" collapsed="false">
      <c r="A2401" s="49" t="s">
        <v>1122</v>
      </c>
      <c r="B2401" s="49" t="s">
        <v>1196</v>
      </c>
      <c r="C2401" s="49" t="s">
        <v>1171</v>
      </c>
      <c r="D2401" s="49" t="s">
        <v>1172</v>
      </c>
      <c r="E2401" s="49" t="s">
        <v>1173</v>
      </c>
      <c r="F2401" s="49" t="s">
        <v>1197</v>
      </c>
      <c r="G2401" s="49" t="s">
        <v>772</v>
      </c>
      <c r="H2401" s="49" t="s">
        <v>1132</v>
      </c>
      <c r="I2401" s="49" t="s">
        <v>885</v>
      </c>
    </row>
    <row r="2402" customFormat="false" ht="25.5" hidden="false" customHeight="true" outlineLevel="0" collapsed="false">
      <c r="A2402" s="49" t="s">
        <v>1122</v>
      </c>
      <c r="B2402" s="49" t="s">
        <v>1196</v>
      </c>
      <c r="C2402" s="49" t="s">
        <v>1198</v>
      </c>
      <c r="D2402" s="49" t="s">
        <v>1199</v>
      </c>
      <c r="E2402" s="49" t="s">
        <v>1200</v>
      </c>
      <c r="F2402" s="49" t="s">
        <v>1201</v>
      </c>
      <c r="G2402" s="49" t="s">
        <v>772</v>
      </c>
      <c r="H2402" s="49" t="s">
        <v>1132</v>
      </c>
      <c r="I2402" s="49" t="s">
        <v>885</v>
      </c>
    </row>
    <row r="2403" customFormat="false" ht="25.5" hidden="false" customHeight="true" outlineLevel="0" collapsed="false">
      <c r="A2403" s="49" t="s">
        <v>1122</v>
      </c>
      <c r="B2403" s="49" t="s">
        <v>1196</v>
      </c>
      <c r="C2403" s="49" t="s">
        <v>1202</v>
      </c>
      <c r="D2403" s="49" t="s">
        <v>1151</v>
      </c>
      <c r="E2403" s="49" t="s">
        <v>217</v>
      </c>
      <c r="F2403" s="49" t="s">
        <v>1203</v>
      </c>
      <c r="G2403" s="49" t="s">
        <v>772</v>
      </c>
      <c r="H2403" s="49" t="s">
        <v>1132</v>
      </c>
      <c r="I2403" s="49" t="s">
        <v>885</v>
      </c>
    </row>
    <row r="2404" customFormat="false" ht="25.5" hidden="false" customHeight="true" outlineLevel="0" collapsed="false">
      <c r="A2404" s="49" t="s">
        <v>1122</v>
      </c>
      <c r="B2404" s="49" t="s">
        <v>1196</v>
      </c>
      <c r="C2404" s="49" t="s">
        <v>1204</v>
      </c>
      <c r="D2404" s="49" t="s">
        <v>1151</v>
      </c>
      <c r="E2404" s="49" t="s">
        <v>1205</v>
      </c>
      <c r="F2404" s="49" t="s">
        <v>1206</v>
      </c>
      <c r="G2404" s="49" t="s">
        <v>772</v>
      </c>
      <c r="H2404" s="49" t="s">
        <v>1132</v>
      </c>
      <c r="I2404" s="49" t="s">
        <v>885</v>
      </c>
    </row>
    <row r="2405" customFormat="false" ht="25.5" hidden="false" customHeight="true" outlineLevel="0" collapsed="false">
      <c r="A2405" s="49" t="s">
        <v>1122</v>
      </c>
      <c r="B2405" s="49" t="s">
        <v>1196</v>
      </c>
      <c r="C2405" s="49" t="s">
        <v>1207</v>
      </c>
      <c r="D2405" s="49" t="s">
        <v>1208</v>
      </c>
      <c r="E2405" s="49" t="s">
        <v>1183</v>
      </c>
      <c r="F2405" s="49" t="s">
        <v>1209</v>
      </c>
      <c r="G2405" s="49" t="s">
        <v>772</v>
      </c>
      <c r="H2405" s="49" t="s">
        <v>1132</v>
      </c>
      <c r="I2405" s="49" t="s">
        <v>885</v>
      </c>
    </row>
    <row r="2406" customFormat="false" ht="25.5" hidden="false" customHeight="true" outlineLevel="0" collapsed="false">
      <c r="A2406" s="49" t="s">
        <v>1122</v>
      </c>
      <c r="B2406" s="49" t="s">
        <v>1196</v>
      </c>
      <c r="C2406" s="49" t="s">
        <v>1210</v>
      </c>
      <c r="D2406" s="49" t="s">
        <v>1141</v>
      </c>
      <c r="E2406" s="49" t="s">
        <v>1135</v>
      </c>
      <c r="F2406" s="49" t="s">
        <v>1211</v>
      </c>
      <c r="G2406" s="49" t="s">
        <v>772</v>
      </c>
      <c r="H2406" s="49" t="s">
        <v>1132</v>
      </c>
      <c r="I2406" s="49" t="s">
        <v>885</v>
      </c>
    </row>
    <row r="2407" customFormat="false" ht="25.5" hidden="false" customHeight="true" outlineLevel="0" collapsed="false">
      <c r="A2407" s="49" t="s">
        <v>1122</v>
      </c>
      <c r="B2407" s="49" t="s">
        <v>1196</v>
      </c>
      <c r="C2407" s="49" t="s">
        <v>1212</v>
      </c>
      <c r="D2407" s="49" t="s">
        <v>1156</v>
      </c>
      <c r="E2407" s="49" t="s">
        <v>1213</v>
      </c>
      <c r="F2407" s="49" t="s">
        <v>1214</v>
      </c>
      <c r="G2407" s="49" t="s">
        <v>772</v>
      </c>
      <c r="H2407" s="49" t="s">
        <v>1132</v>
      </c>
      <c r="I2407" s="49" t="s">
        <v>885</v>
      </c>
    </row>
    <row r="2408" customFormat="false" ht="25.5" hidden="false" customHeight="true" outlineLevel="0" collapsed="false">
      <c r="A2408" s="49" t="s">
        <v>1122</v>
      </c>
      <c r="B2408" s="49" t="s">
        <v>1196</v>
      </c>
      <c r="C2408" s="49" t="s">
        <v>1215</v>
      </c>
      <c r="D2408" s="49" t="s">
        <v>1151</v>
      </c>
      <c r="E2408" s="49" t="s">
        <v>1135</v>
      </c>
      <c r="F2408" s="49" t="s">
        <v>1216</v>
      </c>
      <c r="G2408" s="49" t="s">
        <v>772</v>
      </c>
      <c r="H2408" s="49" t="s">
        <v>1132</v>
      </c>
      <c r="I2408" s="49" t="s">
        <v>885</v>
      </c>
    </row>
    <row r="2409" customFormat="false" ht="25.5" hidden="false" customHeight="true" outlineLevel="0" collapsed="false">
      <c r="A2409" s="49" t="s">
        <v>1122</v>
      </c>
      <c r="B2409" s="49" t="s">
        <v>1196</v>
      </c>
      <c r="C2409" s="49" t="s">
        <v>1217</v>
      </c>
      <c r="D2409" s="49" t="s">
        <v>1218</v>
      </c>
      <c r="E2409" s="49" t="s">
        <v>146</v>
      </c>
      <c r="F2409" s="49" t="s">
        <v>1219</v>
      </c>
      <c r="G2409" s="49" t="s">
        <v>772</v>
      </c>
      <c r="H2409" s="49" t="s">
        <v>1132</v>
      </c>
      <c r="I2409" s="49" t="s">
        <v>885</v>
      </c>
    </row>
    <row r="2410" customFormat="false" ht="25.5" hidden="false" customHeight="true" outlineLevel="0" collapsed="false">
      <c r="A2410" s="49" t="s">
        <v>1122</v>
      </c>
      <c r="B2410" s="49" t="s">
        <v>1196</v>
      </c>
      <c r="C2410" s="49" t="s">
        <v>1220</v>
      </c>
      <c r="D2410" s="49" t="s">
        <v>1129</v>
      </c>
      <c r="E2410" s="49" t="s">
        <v>1183</v>
      </c>
      <c r="F2410" s="49" t="s">
        <v>1221</v>
      </c>
      <c r="G2410" s="49" t="s">
        <v>772</v>
      </c>
      <c r="H2410" s="49" t="s">
        <v>1132</v>
      </c>
      <c r="I2410" s="49" t="s">
        <v>885</v>
      </c>
    </row>
    <row r="2411" customFormat="false" ht="25.5" hidden="false" customHeight="true" outlineLevel="0" collapsed="false">
      <c r="A2411" s="49" t="s">
        <v>1122</v>
      </c>
      <c r="B2411" s="49" t="s">
        <v>1196</v>
      </c>
      <c r="C2411" s="49" t="s">
        <v>1222</v>
      </c>
      <c r="D2411" s="49" t="s">
        <v>1141</v>
      </c>
      <c r="E2411" s="49" t="s">
        <v>1223</v>
      </c>
      <c r="F2411" s="49" t="s">
        <v>1224</v>
      </c>
      <c r="G2411" s="49" t="s">
        <v>772</v>
      </c>
      <c r="H2411" s="49" t="s">
        <v>1132</v>
      </c>
      <c r="I2411" s="49" t="s">
        <v>885</v>
      </c>
    </row>
    <row r="2412" customFormat="false" ht="25.5" hidden="false" customHeight="true" outlineLevel="0" collapsed="false">
      <c r="A2412" s="49" t="s">
        <v>1122</v>
      </c>
      <c r="B2412" s="49" t="s">
        <v>1196</v>
      </c>
      <c r="C2412" s="49" t="s">
        <v>1225</v>
      </c>
      <c r="D2412" s="49" t="s">
        <v>1141</v>
      </c>
      <c r="E2412" s="49" t="s">
        <v>1226</v>
      </c>
      <c r="F2412" s="49" t="s">
        <v>1227</v>
      </c>
      <c r="G2412" s="49" t="s">
        <v>772</v>
      </c>
      <c r="H2412" s="49" t="s">
        <v>1132</v>
      </c>
      <c r="I2412" s="49" t="s">
        <v>885</v>
      </c>
    </row>
    <row r="2413" customFormat="false" ht="25.5" hidden="false" customHeight="true" outlineLevel="0" collapsed="false">
      <c r="A2413" s="49" t="s">
        <v>1122</v>
      </c>
      <c r="B2413" s="49" t="s">
        <v>1196</v>
      </c>
      <c r="C2413" s="49" t="s">
        <v>1228</v>
      </c>
      <c r="D2413" s="49" t="s">
        <v>1199</v>
      </c>
      <c r="E2413" s="49" t="s">
        <v>1135</v>
      </c>
      <c r="F2413" s="49" t="s">
        <v>1229</v>
      </c>
      <c r="G2413" s="49" t="s">
        <v>772</v>
      </c>
      <c r="H2413" s="49" t="s">
        <v>1132</v>
      </c>
      <c r="I2413" s="49" t="s">
        <v>885</v>
      </c>
    </row>
    <row r="2414" customFormat="false" ht="25.5" hidden="false" customHeight="true" outlineLevel="0" collapsed="false">
      <c r="A2414" s="49" t="s">
        <v>1122</v>
      </c>
      <c r="B2414" s="49" t="s">
        <v>1196</v>
      </c>
      <c r="C2414" s="49" t="s">
        <v>1230</v>
      </c>
      <c r="D2414" s="49" t="s">
        <v>1208</v>
      </c>
      <c r="E2414" s="49" t="s">
        <v>1183</v>
      </c>
      <c r="F2414" s="49" t="s">
        <v>1231</v>
      </c>
      <c r="G2414" s="49" t="s">
        <v>772</v>
      </c>
      <c r="H2414" s="49" t="s">
        <v>1132</v>
      </c>
      <c r="I2414" s="49" t="s">
        <v>885</v>
      </c>
    </row>
    <row r="2415" customFormat="false" ht="25.5" hidden="false" customHeight="true" outlineLevel="0" collapsed="false">
      <c r="A2415" s="49" t="s">
        <v>1122</v>
      </c>
      <c r="B2415" s="49" t="s">
        <v>1196</v>
      </c>
      <c r="C2415" s="49" t="s">
        <v>1232</v>
      </c>
      <c r="D2415" s="49" t="s">
        <v>1208</v>
      </c>
      <c r="E2415" s="49" t="s">
        <v>1135</v>
      </c>
      <c r="F2415" s="49" t="s">
        <v>1229</v>
      </c>
      <c r="G2415" s="49" t="s">
        <v>772</v>
      </c>
      <c r="H2415" s="49" t="s">
        <v>1132</v>
      </c>
      <c r="I2415" s="49" t="s">
        <v>885</v>
      </c>
    </row>
    <row r="2416" customFormat="false" ht="25.5" hidden="false" customHeight="true" outlineLevel="0" collapsed="false">
      <c r="A2416" s="49" t="s">
        <v>1122</v>
      </c>
      <c r="B2416" s="49" t="s">
        <v>1196</v>
      </c>
      <c r="C2416" s="49" t="s">
        <v>1233</v>
      </c>
      <c r="D2416" s="49" t="s">
        <v>1129</v>
      </c>
      <c r="E2416" s="49" t="s">
        <v>1234</v>
      </c>
      <c r="F2416" s="49" t="s">
        <v>1235</v>
      </c>
      <c r="G2416" s="49" t="s">
        <v>772</v>
      </c>
      <c r="H2416" s="49" t="s">
        <v>1132</v>
      </c>
      <c r="I2416" s="49" t="s">
        <v>885</v>
      </c>
    </row>
    <row r="2417" customFormat="false" ht="25.5" hidden="false" customHeight="true" outlineLevel="0" collapsed="false">
      <c r="A2417" s="49" t="s">
        <v>1122</v>
      </c>
      <c r="B2417" s="49" t="s">
        <v>1196</v>
      </c>
      <c r="C2417" s="49" t="s">
        <v>1236</v>
      </c>
      <c r="D2417" s="49" t="s">
        <v>1199</v>
      </c>
      <c r="E2417" s="49" t="s">
        <v>1237</v>
      </c>
      <c r="F2417" s="49" t="s">
        <v>1238</v>
      </c>
      <c r="G2417" s="49" t="s">
        <v>772</v>
      </c>
      <c r="H2417" s="49" t="s">
        <v>1132</v>
      </c>
      <c r="I2417" s="49" t="s">
        <v>885</v>
      </c>
    </row>
    <row r="2418" customFormat="false" ht="25.5" hidden="false" customHeight="true" outlineLevel="0" collapsed="false">
      <c r="A2418" s="49" t="s">
        <v>1122</v>
      </c>
      <c r="B2418" s="49" t="s">
        <v>1196</v>
      </c>
      <c r="C2418" s="49" t="s">
        <v>1239</v>
      </c>
      <c r="D2418" s="49" t="s">
        <v>1134</v>
      </c>
      <c r="E2418" s="49" t="s">
        <v>1240</v>
      </c>
      <c r="F2418" s="49" t="s">
        <v>1241</v>
      </c>
      <c r="G2418" s="49" t="s">
        <v>772</v>
      </c>
      <c r="H2418" s="49" t="s">
        <v>1132</v>
      </c>
      <c r="I2418" s="49" t="s">
        <v>885</v>
      </c>
    </row>
    <row r="2419" customFormat="false" ht="25.5" hidden="false" customHeight="true" outlineLevel="0" collapsed="false">
      <c r="A2419" s="49" t="s">
        <v>1122</v>
      </c>
      <c r="B2419" s="49" t="s">
        <v>1196</v>
      </c>
      <c r="C2419" s="49" t="s">
        <v>1236</v>
      </c>
      <c r="D2419" s="49" t="s">
        <v>1199</v>
      </c>
      <c r="E2419" s="49" t="s">
        <v>1237</v>
      </c>
      <c r="F2419" s="49" t="s">
        <v>1242</v>
      </c>
      <c r="G2419" s="49" t="s">
        <v>772</v>
      </c>
      <c r="H2419" s="49" t="s">
        <v>1132</v>
      </c>
      <c r="I2419" s="49" t="s">
        <v>885</v>
      </c>
    </row>
    <row r="2420" customFormat="false" ht="25.5" hidden="false" customHeight="true" outlineLevel="0" collapsed="false">
      <c r="A2420" s="49" t="s">
        <v>1122</v>
      </c>
      <c r="B2420" s="49" t="s">
        <v>1196</v>
      </c>
      <c r="C2420" s="49" t="s">
        <v>1243</v>
      </c>
      <c r="D2420" s="49" t="s">
        <v>1151</v>
      </c>
      <c r="E2420" s="49" t="s">
        <v>217</v>
      </c>
      <c r="F2420" s="49" t="s">
        <v>1244</v>
      </c>
      <c r="G2420" s="49" t="s">
        <v>772</v>
      </c>
      <c r="H2420" s="49" t="s">
        <v>1132</v>
      </c>
      <c r="I2420" s="49" t="s">
        <v>885</v>
      </c>
    </row>
    <row r="2421" customFormat="false" ht="25.5" hidden="false" customHeight="true" outlineLevel="0" collapsed="false">
      <c r="A2421" s="49" t="s">
        <v>1122</v>
      </c>
      <c r="B2421" s="49" t="s">
        <v>1196</v>
      </c>
      <c r="C2421" s="49" t="s">
        <v>1245</v>
      </c>
      <c r="D2421" s="49" t="s">
        <v>1151</v>
      </c>
      <c r="E2421" s="49" t="s">
        <v>1183</v>
      </c>
      <c r="F2421" s="49" t="s">
        <v>1246</v>
      </c>
      <c r="G2421" s="49" t="s">
        <v>772</v>
      </c>
      <c r="H2421" s="49" t="s">
        <v>1132</v>
      </c>
      <c r="I2421" s="49" t="s">
        <v>885</v>
      </c>
    </row>
    <row r="2422" customFormat="false" ht="25.5" hidden="false" customHeight="true" outlineLevel="0" collapsed="false">
      <c r="A2422" s="49" t="s">
        <v>1122</v>
      </c>
      <c r="B2422" s="49" t="s">
        <v>1247</v>
      </c>
      <c r="C2422" s="49" t="s">
        <v>1171</v>
      </c>
      <c r="D2422" s="49" t="s">
        <v>1172</v>
      </c>
      <c r="E2422" s="49" t="s">
        <v>1173</v>
      </c>
      <c r="F2422" s="49" t="s">
        <v>1248</v>
      </c>
      <c r="G2422" s="49" t="s">
        <v>772</v>
      </c>
      <c r="H2422" s="49" t="s">
        <v>1132</v>
      </c>
      <c r="I2422" s="49" t="s">
        <v>885</v>
      </c>
    </row>
    <row r="2423" customFormat="false" ht="25.5" hidden="false" customHeight="true" outlineLevel="0" collapsed="false">
      <c r="A2423" s="49" t="s">
        <v>1122</v>
      </c>
      <c r="B2423" s="49" t="s">
        <v>1247</v>
      </c>
      <c r="C2423" s="49" t="s">
        <v>1249</v>
      </c>
      <c r="D2423" s="49" t="s">
        <v>1218</v>
      </c>
      <c r="E2423" s="49" t="s">
        <v>1250</v>
      </c>
      <c r="F2423" s="49" t="s">
        <v>1251</v>
      </c>
      <c r="G2423" s="49" t="s">
        <v>772</v>
      </c>
      <c r="H2423" s="49" t="s">
        <v>1132</v>
      </c>
      <c r="I2423" s="49" t="s">
        <v>885</v>
      </c>
    </row>
    <row r="2424" customFormat="false" ht="25.5" hidden="false" customHeight="true" outlineLevel="0" collapsed="false">
      <c r="A2424" s="49" t="s">
        <v>1122</v>
      </c>
      <c r="B2424" s="49" t="s">
        <v>1247</v>
      </c>
      <c r="C2424" s="49" t="s">
        <v>1252</v>
      </c>
      <c r="D2424" s="49" t="s">
        <v>1148</v>
      </c>
      <c r="E2424" s="49" t="s">
        <v>1183</v>
      </c>
      <c r="F2424" s="49" t="s">
        <v>1253</v>
      </c>
      <c r="G2424" s="49" t="s">
        <v>772</v>
      </c>
      <c r="H2424" s="49" t="s">
        <v>1132</v>
      </c>
      <c r="I2424" s="49" t="s">
        <v>885</v>
      </c>
    </row>
    <row r="2425" customFormat="false" ht="25.5" hidden="false" customHeight="true" outlineLevel="0" collapsed="false">
      <c r="A2425" s="49" t="s">
        <v>1122</v>
      </c>
      <c r="B2425" s="49" t="s">
        <v>1247</v>
      </c>
      <c r="C2425" s="49" t="s">
        <v>1254</v>
      </c>
      <c r="D2425" s="49" t="s">
        <v>1141</v>
      </c>
      <c r="E2425" s="49" t="s">
        <v>1135</v>
      </c>
      <c r="F2425" s="49" t="s">
        <v>1255</v>
      </c>
      <c r="G2425" s="49" t="s">
        <v>772</v>
      </c>
      <c r="H2425" s="49" t="s">
        <v>1132</v>
      </c>
      <c r="I2425" s="49" t="s">
        <v>885</v>
      </c>
    </row>
    <row r="2426" customFormat="false" ht="25.5" hidden="false" customHeight="true" outlineLevel="0" collapsed="false">
      <c r="A2426" s="49" t="s">
        <v>1122</v>
      </c>
      <c r="B2426" s="49" t="s">
        <v>1247</v>
      </c>
      <c r="C2426" s="49" t="s">
        <v>1256</v>
      </c>
      <c r="D2426" s="49" t="s">
        <v>1218</v>
      </c>
      <c r="E2426" s="49" t="s">
        <v>1135</v>
      </c>
      <c r="F2426" s="49" t="s">
        <v>1257</v>
      </c>
      <c r="G2426" s="49" t="s">
        <v>772</v>
      </c>
      <c r="H2426" s="49" t="s">
        <v>1132</v>
      </c>
      <c r="I2426" s="49" t="s">
        <v>885</v>
      </c>
    </row>
    <row r="2427" customFormat="false" ht="25.5" hidden="false" customHeight="true" outlineLevel="0" collapsed="false">
      <c r="A2427" s="49" t="s">
        <v>1122</v>
      </c>
      <c r="B2427" s="49" t="s">
        <v>1247</v>
      </c>
      <c r="C2427" s="49" t="s">
        <v>1258</v>
      </c>
      <c r="D2427" s="49" t="s">
        <v>1156</v>
      </c>
      <c r="E2427" s="49" t="s">
        <v>217</v>
      </c>
      <c r="F2427" s="49" t="s">
        <v>1259</v>
      </c>
      <c r="G2427" s="49" t="s">
        <v>772</v>
      </c>
      <c r="H2427" s="49" t="s">
        <v>1132</v>
      </c>
      <c r="I2427" s="49" t="s">
        <v>885</v>
      </c>
    </row>
    <row r="2428" customFormat="false" ht="25.5" hidden="false" customHeight="true" outlineLevel="0" collapsed="false">
      <c r="A2428" s="49" t="s">
        <v>1122</v>
      </c>
      <c r="B2428" s="49" t="s">
        <v>1247</v>
      </c>
      <c r="C2428" s="49" t="s">
        <v>1260</v>
      </c>
      <c r="D2428" s="49" t="s">
        <v>1208</v>
      </c>
      <c r="E2428" s="49" t="s">
        <v>1183</v>
      </c>
      <c r="F2428" s="49" t="s">
        <v>1261</v>
      </c>
      <c r="G2428" s="49" t="s">
        <v>772</v>
      </c>
      <c r="H2428" s="49" t="s">
        <v>1132</v>
      </c>
      <c r="I2428" s="49" t="s">
        <v>885</v>
      </c>
    </row>
    <row r="2429" customFormat="false" ht="25.5" hidden="false" customHeight="true" outlineLevel="0" collapsed="false">
      <c r="A2429" s="49" t="s">
        <v>1122</v>
      </c>
      <c r="B2429" s="49" t="s">
        <v>1247</v>
      </c>
      <c r="C2429" s="49" t="s">
        <v>1262</v>
      </c>
      <c r="D2429" s="49" t="s">
        <v>1162</v>
      </c>
      <c r="E2429" s="49" t="s">
        <v>217</v>
      </c>
      <c r="F2429" s="49" t="s">
        <v>1263</v>
      </c>
      <c r="G2429" s="49" t="s">
        <v>772</v>
      </c>
      <c r="H2429" s="49" t="s">
        <v>1132</v>
      </c>
      <c r="I2429" s="49" t="s">
        <v>885</v>
      </c>
    </row>
    <row r="2430" customFormat="false" ht="25.5" hidden="false" customHeight="true" outlineLevel="0" collapsed="false">
      <c r="A2430" s="49" t="s">
        <v>1122</v>
      </c>
      <c r="B2430" s="49" t="s">
        <v>1247</v>
      </c>
      <c r="C2430" s="49" t="s">
        <v>1264</v>
      </c>
      <c r="D2430" s="49" t="s">
        <v>1134</v>
      </c>
      <c r="E2430" s="49" t="s">
        <v>1265</v>
      </c>
      <c r="F2430" s="49" t="s">
        <v>1266</v>
      </c>
      <c r="G2430" s="49" t="s">
        <v>772</v>
      </c>
      <c r="H2430" s="49" t="s">
        <v>1132</v>
      </c>
      <c r="I2430" s="49" t="s">
        <v>885</v>
      </c>
    </row>
    <row r="2431" customFormat="false" ht="25.5" hidden="false" customHeight="true" outlineLevel="0" collapsed="false">
      <c r="A2431" s="49" t="s">
        <v>1122</v>
      </c>
      <c r="B2431" s="49" t="s">
        <v>1247</v>
      </c>
      <c r="C2431" s="49" t="s">
        <v>1267</v>
      </c>
      <c r="D2431" s="49" t="s">
        <v>1141</v>
      </c>
      <c r="E2431" s="49" t="s">
        <v>1268</v>
      </c>
      <c r="F2431" s="49" t="s">
        <v>1269</v>
      </c>
      <c r="G2431" s="49" t="s">
        <v>772</v>
      </c>
      <c r="H2431" s="49" t="s">
        <v>1132</v>
      </c>
      <c r="I2431" s="49" t="s">
        <v>885</v>
      </c>
    </row>
    <row r="2432" customFormat="false" ht="25.5" hidden="false" customHeight="true" outlineLevel="0" collapsed="false">
      <c r="A2432" s="49" t="s">
        <v>1122</v>
      </c>
      <c r="B2432" s="49" t="s">
        <v>1247</v>
      </c>
      <c r="C2432" s="49" t="s">
        <v>1270</v>
      </c>
      <c r="D2432" s="49" t="s">
        <v>1208</v>
      </c>
      <c r="E2432" s="49" t="s">
        <v>1271</v>
      </c>
      <c r="F2432" s="49" t="s">
        <v>1272</v>
      </c>
      <c r="G2432" s="49" t="s">
        <v>772</v>
      </c>
      <c r="H2432" s="49" t="s">
        <v>1132</v>
      </c>
      <c r="I2432" s="49" t="s">
        <v>885</v>
      </c>
    </row>
    <row r="2433" customFormat="false" ht="25.5" hidden="false" customHeight="true" outlineLevel="0" collapsed="false">
      <c r="A2433" s="49" t="s">
        <v>1122</v>
      </c>
      <c r="B2433" s="49" t="s">
        <v>1247</v>
      </c>
      <c r="C2433" s="49" t="s">
        <v>1273</v>
      </c>
      <c r="D2433" s="49" t="s">
        <v>1218</v>
      </c>
      <c r="E2433" s="49" t="s">
        <v>893</v>
      </c>
      <c r="F2433" s="49" t="s">
        <v>1274</v>
      </c>
      <c r="G2433" s="49" t="s">
        <v>772</v>
      </c>
      <c r="H2433" s="49" t="s">
        <v>1132</v>
      </c>
      <c r="I2433" s="49" t="s">
        <v>885</v>
      </c>
    </row>
    <row r="2434" customFormat="false" ht="25.5" hidden="false" customHeight="true" outlineLevel="0" collapsed="false">
      <c r="A2434" s="49" t="s">
        <v>1122</v>
      </c>
      <c r="B2434" s="49" t="s">
        <v>1247</v>
      </c>
      <c r="C2434" s="49" t="s">
        <v>1275</v>
      </c>
      <c r="D2434" s="49" t="s">
        <v>1156</v>
      </c>
      <c r="E2434" s="49" t="s">
        <v>893</v>
      </c>
      <c r="F2434" s="49" t="s">
        <v>1274</v>
      </c>
      <c r="G2434" s="49" t="s">
        <v>772</v>
      </c>
      <c r="H2434" s="49" t="s">
        <v>1132</v>
      </c>
      <c r="I2434" s="49" t="s">
        <v>885</v>
      </c>
    </row>
    <row r="2435" customFormat="false" ht="25.5" hidden="false" customHeight="true" outlineLevel="0" collapsed="false">
      <c r="A2435" s="49" t="s">
        <v>1122</v>
      </c>
      <c r="B2435" s="49" t="s">
        <v>1247</v>
      </c>
      <c r="C2435" s="49" t="s">
        <v>1276</v>
      </c>
      <c r="D2435" s="49" t="s">
        <v>1134</v>
      </c>
      <c r="E2435" s="49" t="s">
        <v>1183</v>
      </c>
      <c r="F2435" s="49" t="s">
        <v>1277</v>
      </c>
      <c r="G2435" s="49" t="s">
        <v>772</v>
      </c>
      <c r="H2435" s="49" t="s">
        <v>1132</v>
      </c>
      <c r="I2435" s="49" t="s">
        <v>885</v>
      </c>
    </row>
    <row r="2436" customFormat="false" ht="25.5" hidden="false" customHeight="true" outlineLevel="0" collapsed="false">
      <c r="A2436" s="49" t="s">
        <v>1122</v>
      </c>
      <c r="B2436" s="49" t="s">
        <v>1247</v>
      </c>
      <c r="C2436" s="49" t="s">
        <v>1278</v>
      </c>
      <c r="D2436" s="49" t="s">
        <v>1208</v>
      </c>
      <c r="E2436" s="49" t="s">
        <v>1279</v>
      </c>
      <c r="F2436" s="49" t="s">
        <v>1280</v>
      </c>
      <c r="G2436" s="49" t="s">
        <v>772</v>
      </c>
      <c r="H2436" s="49" t="s">
        <v>1132</v>
      </c>
      <c r="I2436" s="49" t="s">
        <v>885</v>
      </c>
    </row>
    <row r="2437" customFormat="false" ht="25.5" hidden="false" customHeight="true" outlineLevel="0" collapsed="false">
      <c r="A2437" s="49" t="s">
        <v>1122</v>
      </c>
      <c r="B2437" s="49" t="s">
        <v>1247</v>
      </c>
      <c r="C2437" s="49" t="s">
        <v>1281</v>
      </c>
      <c r="D2437" s="49" t="s">
        <v>1162</v>
      </c>
      <c r="E2437" s="49" t="s">
        <v>1163</v>
      </c>
      <c r="F2437" s="49" t="s">
        <v>1282</v>
      </c>
      <c r="G2437" s="49" t="s">
        <v>772</v>
      </c>
      <c r="H2437" s="49" t="s">
        <v>1132</v>
      </c>
      <c r="I2437" s="49" t="s">
        <v>885</v>
      </c>
    </row>
    <row r="2438" customFormat="false" ht="25.5" hidden="false" customHeight="true" outlineLevel="0" collapsed="false">
      <c r="A2438" s="49" t="s">
        <v>1122</v>
      </c>
      <c r="B2438" s="49" t="s">
        <v>1247</v>
      </c>
      <c r="C2438" s="49" t="s">
        <v>1283</v>
      </c>
      <c r="D2438" s="49" t="s">
        <v>1199</v>
      </c>
      <c r="E2438" s="49" t="s">
        <v>1284</v>
      </c>
      <c r="F2438" s="49" t="s">
        <v>1285</v>
      </c>
      <c r="G2438" s="49" t="s">
        <v>772</v>
      </c>
      <c r="H2438" s="49" t="s">
        <v>1132</v>
      </c>
      <c r="I2438" s="49" t="s">
        <v>885</v>
      </c>
    </row>
    <row r="2439" customFormat="false" ht="25.5" hidden="false" customHeight="true" outlineLevel="0" collapsed="false">
      <c r="A2439" s="49" t="s">
        <v>1122</v>
      </c>
      <c r="B2439" s="49" t="s">
        <v>1247</v>
      </c>
      <c r="C2439" s="49" t="s">
        <v>1286</v>
      </c>
      <c r="D2439" s="49" t="s">
        <v>1208</v>
      </c>
      <c r="E2439" s="49" t="s">
        <v>217</v>
      </c>
      <c r="F2439" s="49" t="s">
        <v>1287</v>
      </c>
      <c r="G2439" s="49" t="s">
        <v>772</v>
      </c>
      <c r="H2439" s="49" t="s">
        <v>1132</v>
      </c>
      <c r="I2439" s="49" t="s">
        <v>885</v>
      </c>
    </row>
    <row r="2440" customFormat="false" ht="25.5" hidden="false" customHeight="true" outlineLevel="0" collapsed="false">
      <c r="A2440" s="49" t="s">
        <v>1122</v>
      </c>
      <c r="B2440" s="49" t="s">
        <v>1247</v>
      </c>
      <c r="C2440" s="49" t="s">
        <v>1288</v>
      </c>
      <c r="D2440" s="49" t="s">
        <v>1218</v>
      </c>
      <c r="E2440" s="49" t="s">
        <v>1289</v>
      </c>
      <c r="F2440" s="49" t="s">
        <v>1290</v>
      </c>
      <c r="G2440" s="49" t="s">
        <v>772</v>
      </c>
      <c r="H2440" s="49" t="s">
        <v>1132</v>
      </c>
      <c r="I2440" s="49" t="s">
        <v>885</v>
      </c>
    </row>
    <row r="2441" customFormat="false" ht="25.5" hidden="false" customHeight="true" outlineLevel="0" collapsed="false">
      <c r="A2441" s="49" t="s">
        <v>1122</v>
      </c>
      <c r="B2441" s="49" t="s">
        <v>1247</v>
      </c>
      <c r="C2441" s="49" t="s">
        <v>1291</v>
      </c>
      <c r="D2441" s="49" t="s">
        <v>1292</v>
      </c>
      <c r="E2441" s="49" t="s">
        <v>1157</v>
      </c>
      <c r="F2441" s="49" t="s">
        <v>1293</v>
      </c>
      <c r="G2441" s="49" t="s">
        <v>772</v>
      </c>
      <c r="H2441" s="49" t="s">
        <v>1132</v>
      </c>
      <c r="I2441" s="49" t="s">
        <v>885</v>
      </c>
    </row>
    <row r="2442" customFormat="false" ht="25.5" hidden="false" customHeight="true" outlineLevel="0" collapsed="false">
      <c r="A2442" s="49" t="s">
        <v>1122</v>
      </c>
      <c r="B2442" s="49" t="s">
        <v>1294</v>
      </c>
      <c r="C2442" s="49" t="s">
        <v>1171</v>
      </c>
      <c r="D2442" s="49" t="s">
        <v>1172</v>
      </c>
      <c r="E2442" s="49" t="s">
        <v>1173</v>
      </c>
      <c r="F2442" s="49" t="s">
        <v>1174</v>
      </c>
      <c r="G2442" s="49" t="s">
        <v>772</v>
      </c>
      <c r="H2442" s="49" t="s">
        <v>1132</v>
      </c>
      <c r="I2442" s="49" t="s">
        <v>885</v>
      </c>
    </row>
    <row r="2443" customFormat="false" ht="25.5" hidden="false" customHeight="true" outlineLevel="0" collapsed="false">
      <c r="A2443" s="49" t="s">
        <v>1122</v>
      </c>
      <c r="B2443" s="49" t="s">
        <v>1294</v>
      </c>
      <c r="C2443" s="49" t="s">
        <v>1295</v>
      </c>
      <c r="D2443" s="49" t="s">
        <v>1292</v>
      </c>
      <c r="E2443" s="49" t="s">
        <v>1296</v>
      </c>
      <c r="F2443" s="49" t="s">
        <v>1297</v>
      </c>
      <c r="G2443" s="49" t="s">
        <v>772</v>
      </c>
      <c r="H2443" s="49" t="s">
        <v>1132</v>
      </c>
      <c r="I2443" s="49" t="s">
        <v>885</v>
      </c>
    </row>
    <row r="2444" customFormat="false" ht="25.5" hidden="false" customHeight="true" outlineLevel="0" collapsed="false">
      <c r="A2444" s="49" t="s">
        <v>1122</v>
      </c>
      <c r="B2444" s="49" t="s">
        <v>1294</v>
      </c>
      <c r="C2444" s="49" t="s">
        <v>1298</v>
      </c>
      <c r="D2444" s="49" t="s">
        <v>1141</v>
      </c>
      <c r="E2444" s="49" t="s">
        <v>1183</v>
      </c>
      <c r="F2444" s="49" t="s">
        <v>1299</v>
      </c>
      <c r="G2444" s="49" t="s">
        <v>772</v>
      </c>
      <c r="H2444" s="49" t="s">
        <v>1132</v>
      </c>
      <c r="I2444" s="49" t="s">
        <v>885</v>
      </c>
    </row>
    <row r="2445" customFormat="false" ht="25.5" hidden="false" customHeight="true" outlineLevel="0" collapsed="false">
      <c r="A2445" s="49" t="s">
        <v>1122</v>
      </c>
      <c r="B2445" s="49" t="s">
        <v>1294</v>
      </c>
      <c r="C2445" s="49" t="s">
        <v>1300</v>
      </c>
      <c r="D2445" s="49" t="s">
        <v>1218</v>
      </c>
      <c r="E2445" s="49" t="s">
        <v>1183</v>
      </c>
      <c r="F2445" s="49" t="s">
        <v>1301</v>
      </c>
      <c r="G2445" s="49" t="s">
        <v>772</v>
      </c>
      <c r="H2445" s="49" t="s">
        <v>1132</v>
      </c>
      <c r="I2445" s="49" t="s">
        <v>885</v>
      </c>
    </row>
    <row r="2446" customFormat="false" ht="25.5" hidden="false" customHeight="true" outlineLevel="0" collapsed="false">
      <c r="A2446" s="49" t="s">
        <v>1122</v>
      </c>
      <c r="B2446" s="49" t="s">
        <v>1294</v>
      </c>
      <c r="C2446" s="49" t="s">
        <v>1302</v>
      </c>
      <c r="D2446" s="49" t="s">
        <v>1199</v>
      </c>
      <c r="E2446" s="49" t="s">
        <v>1183</v>
      </c>
      <c r="F2446" s="49" t="s">
        <v>1303</v>
      </c>
      <c r="G2446" s="49" t="s">
        <v>772</v>
      </c>
      <c r="H2446" s="49" t="s">
        <v>1132</v>
      </c>
      <c r="I2446" s="49" t="s">
        <v>885</v>
      </c>
    </row>
    <row r="2447" customFormat="false" ht="25.5" hidden="false" customHeight="true" outlineLevel="0" collapsed="false">
      <c r="A2447" s="49" t="s">
        <v>1122</v>
      </c>
      <c r="B2447" s="49" t="s">
        <v>1294</v>
      </c>
      <c r="C2447" s="49" t="s">
        <v>1304</v>
      </c>
      <c r="D2447" s="49" t="s">
        <v>1156</v>
      </c>
      <c r="E2447" s="49" t="s">
        <v>1265</v>
      </c>
      <c r="F2447" s="49" t="s">
        <v>1305</v>
      </c>
      <c r="G2447" s="49" t="s">
        <v>772</v>
      </c>
      <c r="H2447" s="49" t="s">
        <v>1132</v>
      </c>
      <c r="I2447" s="49" t="s">
        <v>885</v>
      </c>
    </row>
    <row r="2448" customFormat="false" ht="25.5" hidden="false" customHeight="true" outlineLevel="0" collapsed="false">
      <c r="A2448" s="49" t="s">
        <v>1122</v>
      </c>
      <c r="B2448" s="49" t="s">
        <v>1294</v>
      </c>
      <c r="C2448" s="49" t="s">
        <v>1306</v>
      </c>
      <c r="D2448" s="49" t="s">
        <v>1148</v>
      </c>
      <c r="E2448" s="49" t="s">
        <v>1226</v>
      </c>
      <c r="F2448" s="49" t="s">
        <v>1307</v>
      </c>
      <c r="G2448" s="49" t="s">
        <v>772</v>
      </c>
      <c r="H2448" s="49" t="s">
        <v>1132</v>
      </c>
      <c r="I2448" s="49" t="s">
        <v>885</v>
      </c>
    </row>
    <row r="2449" customFormat="false" ht="25.5" hidden="false" customHeight="true" outlineLevel="0" collapsed="false">
      <c r="A2449" s="49" t="s">
        <v>1122</v>
      </c>
      <c r="B2449" s="49" t="s">
        <v>1294</v>
      </c>
      <c r="C2449" s="49" t="s">
        <v>1308</v>
      </c>
      <c r="D2449" s="49" t="s">
        <v>1156</v>
      </c>
      <c r="E2449" s="49" t="s">
        <v>1309</v>
      </c>
      <c r="F2449" s="49" t="s">
        <v>1310</v>
      </c>
      <c r="G2449" s="49" t="s">
        <v>772</v>
      </c>
      <c r="H2449" s="49" t="s">
        <v>1132</v>
      </c>
      <c r="I2449" s="49" t="s">
        <v>885</v>
      </c>
    </row>
    <row r="2450" customFormat="false" ht="25.5" hidden="false" customHeight="true" outlineLevel="0" collapsed="false">
      <c r="A2450" s="49" t="s">
        <v>1122</v>
      </c>
      <c r="B2450" s="49" t="s">
        <v>1294</v>
      </c>
      <c r="C2450" s="49" t="s">
        <v>1311</v>
      </c>
      <c r="D2450" s="49" t="s">
        <v>1199</v>
      </c>
      <c r="E2450" s="49" t="s">
        <v>217</v>
      </c>
      <c r="F2450" s="49" t="s">
        <v>1312</v>
      </c>
      <c r="G2450" s="49" t="s">
        <v>772</v>
      </c>
      <c r="H2450" s="49" t="s">
        <v>1132</v>
      </c>
      <c r="I2450" s="49" t="s">
        <v>885</v>
      </c>
    </row>
    <row r="2451" customFormat="false" ht="25.5" hidden="false" customHeight="true" outlineLevel="0" collapsed="false">
      <c r="A2451" s="49" t="s">
        <v>1122</v>
      </c>
      <c r="B2451" s="49" t="s">
        <v>1294</v>
      </c>
      <c r="C2451" s="49" t="s">
        <v>1313</v>
      </c>
      <c r="D2451" s="49" t="s">
        <v>1208</v>
      </c>
      <c r="E2451" s="49" t="s">
        <v>1183</v>
      </c>
      <c r="F2451" s="49" t="s">
        <v>1314</v>
      </c>
      <c r="G2451" s="49" t="s">
        <v>772</v>
      </c>
      <c r="H2451" s="49" t="s">
        <v>1132</v>
      </c>
      <c r="I2451" s="49" t="s">
        <v>885</v>
      </c>
    </row>
    <row r="2452" customFormat="false" ht="25.5" hidden="false" customHeight="true" outlineLevel="0" collapsed="false">
      <c r="A2452" s="49" t="s">
        <v>1122</v>
      </c>
      <c r="B2452" s="49" t="s">
        <v>1294</v>
      </c>
      <c r="C2452" s="49" t="s">
        <v>1315</v>
      </c>
      <c r="D2452" s="49" t="s">
        <v>1208</v>
      </c>
      <c r="E2452" s="49" t="s">
        <v>1186</v>
      </c>
      <c r="F2452" s="49" t="s">
        <v>1316</v>
      </c>
      <c r="G2452" s="49" t="s">
        <v>772</v>
      </c>
      <c r="H2452" s="49" t="s">
        <v>1132</v>
      </c>
      <c r="I2452" s="49" t="s">
        <v>885</v>
      </c>
    </row>
    <row r="2453" customFormat="false" ht="25.5" hidden="false" customHeight="true" outlineLevel="0" collapsed="false">
      <c r="A2453" s="49" t="s">
        <v>1122</v>
      </c>
      <c r="B2453" s="49" t="s">
        <v>1294</v>
      </c>
      <c r="C2453" s="49" t="s">
        <v>1317</v>
      </c>
      <c r="D2453" s="49" t="s">
        <v>1151</v>
      </c>
      <c r="E2453" s="49" t="s">
        <v>1265</v>
      </c>
      <c r="F2453" s="49" t="s">
        <v>1318</v>
      </c>
      <c r="G2453" s="49" t="s">
        <v>772</v>
      </c>
      <c r="H2453" s="49" t="s">
        <v>1132</v>
      </c>
      <c r="I2453" s="49" t="s">
        <v>885</v>
      </c>
    </row>
    <row r="2454" customFormat="false" ht="25.5" hidden="false" customHeight="true" outlineLevel="0" collapsed="false">
      <c r="A2454" s="49" t="s">
        <v>1122</v>
      </c>
      <c r="B2454" s="49" t="s">
        <v>1294</v>
      </c>
      <c r="C2454" s="49" t="s">
        <v>1319</v>
      </c>
      <c r="D2454" s="49" t="s">
        <v>1156</v>
      </c>
      <c r="E2454" s="49" t="s">
        <v>1183</v>
      </c>
      <c r="F2454" s="49" t="s">
        <v>1320</v>
      </c>
      <c r="G2454" s="49" t="s">
        <v>772</v>
      </c>
      <c r="H2454" s="49" t="s">
        <v>1132</v>
      </c>
      <c r="I2454" s="49" t="s">
        <v>885</v>
      </c>
    </row>
    <row r="2455" customFormat="false" ht="25.5" hidden="false" customHeight="true" outlineLevel="0" collapsed="false">
      <c r="A2455" s="49" t="s">
        <v>1122</v>
      </c>
      <c r="B2455" s="49" t="s">
        <v>1294</v>
      </c>
      <c r="C2455" s="49" t="s">
        <v>1321</v>
      </c>
      <c r="D2455" s="49" t="s">
        <v>1151</v>
      </c>
      <c r="E2455" s="49" t="s">
        <v>1265</v>
      </c>
      <c r="F2455" s="49" t="s">
        <v>1227</v>
      </c>
      <c r="G2455" s="49" t="s">
        <v>772</v>
      </c>
      <c r="H2455" s="49" t="s">
        <v>1132</v>
      </c>
      <c r="I2455" s="49" t="s">
        <v>885</v>
      </c>
    </row>
    <row r="2456" customFormat="false" ht="25.5" hidden="false" customHeight="true" outlineLevel="0" collapsed="false">
      <c r="A2456" s="49" t="s">
        <v>1122</v>
      </c>
      <c r="B2456" s="49" t="s">
        <v>1294</v>
      </c>
      <c r="C2456" s="49" t="s">
        <v>1322</v>
      </c>
      <c r="D2456" s="49" t="s">
        <v>1208</v>
      </c>
      <c r="E2456" s="49" t="s">
        <v>1183</v>
      </c>
      <c r="F2456" s="49" t="s">
        <v>1323</v>
      </c>
      <c r="G2456" s="49" t="s">
        <v>772</v>
      </c>
      <c r="H2456" s="49" t="s">
        <v>1132</v>
      </c>
      <c r="I2456" s="49" t="s">
        <v>885</v>
      </c>
    </row>
    <row r="2457" customFormat="false" ht="25.5" hidden="false" customHeight="true" outlineLevel="0" collapsed="false">
      <c r="A2457" s="49" t="s">
        <v>1122</v>
      </c>
      <c r="B2457" s="49" t="s">
        <v>1294</v>
      </c>
      <c r="C2457" s="49" t="s">
        <v>1324</v>
      </c>
      <c r="D2457" s="49" t="s">
        <v>1129</v>
      </c>
      <c r="E2457" s="49" t="s">
        <v>1183</v>
      </c>
      <c r="F2457" s="49" t="s">
        <v>1325</v>
      </c>
      <c r="G2457" s="49" t="s">
        <v>772</v>
      </c>
      <c r="H2457" s="49" t="s">
        <v>1132</v>
      </c>
      <c r="I2457" s="49" t="s">
        <v>885</v>
      </c>
    </row>
    <row r="2458" customFormat="false" ht="25.5" hidden="false" customHeight="true" outlineLevel="0" collapsed="false">
      <c r="A2458" s="49" t="s">
        <v>1122</v>
      </c>
      <c r="B2458" s="49" t="s">
        <v>1294</v>
      </c>
      <c r="C2458" s="49" t="s">
        <v>1326</v>
      </c>
      <c r="D2458" s="49" t="s">
        <v>1129</v>
      </c>
      <c r="E2458" s="49" t="s">
        <v>893</v>
      </c>
      <c r="F2458" s="49" t="s">
        <v>1327</v>
      </c>
      <c r="G2458" s="49" t="s">
        <v>772</v>
      </c>
      <c r="H2458" s="49" t="s">
        <v>1132</v>
      </c>
      <c r="I2458" s="49" t="s">
        <v>885</v>
      </c>
    </row>
    <row r="2459" customFormat="false" ht="25.5" hidden="false" customHeight="true" outlineLevel="0" collapsed="false">
      <c r="A2459" s="49" t="s">
        <v>1122</v>
      </c>
      <c r="B2459" s="49" t="s">
        <v>1294</v>
      </c>
      <c r="C2459" s="49" t="s">
        <v>1328</v>
      </c>
      <c r="D2459" s="49" t="s">
        <v>1129</v>
      </c>
      <c r="E2459" s="49" t="s">
        <v>1183</v>
      </c>
      <c r="F2459" s="49" t="s">
        <v>1329</v>
      </c>
      <c r="G2459" s="49" t="s">
        <v>772</v>
      </c>
      <c r="H2459" s="49" t="s">
        <v>1132</v>
      </c>
      <c r="I2459" s="49" t="s">
        <v>885</v>
      </c>
    </row>
    <row r="2460" customFormat="false" ht="25.5" hidden="false" customHeight="true" outlineLevel="0" collapsed="false">
      <c r="A2460" s="49" t="s">
        <v>1122</v>
      </c>
      <c r="B2460" s="49" t="s">
        <v>1294</v>
      </c>
      <c r="C2460" s="49" t="s">
        <v>1330</v>
      </c>
      <c r="D2460" s="49" t="s">
        <v>1134</v>
      </c>
      <c r="E2460" s="49" t="s">
        <v>1183</v>
      </c>
      <c r="F2460" s="49" t="s">
        <v>1331</v>
      </c>
      <c r="G2460" s="49" t="s">
        <v>772</v>
      </c>
      <c r="H2460" s="49" t="s">
        <v>1132</v>
      </c>
      <c r="I2460" s="49" t="s">
        <v>885</v>
      </c>
    </row>
    <row r="2461" customFormat="false" ht="25.5" hidden="false" customHeight="true" outlineLevel="0" collapsed="false">
      <c r="A2461" s="49" t="s">
        <v>1122</v>
      </c>
      <c r="B2461" s="49" t="s">
        <v>1294</v>
      </c>
      <c r="C2461" s="49" t="s">
        <v>1332</v>
      </c>
      <c r="D2461" s="49" t="s">
        <v>1156</v>
      </c>
      <c r="E2461" s="49" t="s">
        <v>1333</v>
      </c>
      <c r="F2461" s="49" t="s">
        <v>1334</v>
      </c>
      <c r="G2461" s="49" t="s">
        <v>772</v>
      </c>
      <c r="H2461" s="49" t="s">
        <v>1132</v>
      </c>
      <c r="I2461" s="49" t="s">
        <v>885</v>
      </c>
    </row>
    <row r="2462" customFormat="false" ht="25.5" hidden="false" customHeight="true" outlineLevel="0" collapsed="false">
      <c r="A2462" s="49" t="s">
        <v>1122</v>
      </c>
      <c r="B2462" s="49" t="s">
        <v>1294</v>
      </c>
      <c r="C2462" s="49" t="s">
        <v>1335</v>
      </c>
      <c r="D2462" s="49" t="s">
        <v>1199</v>
      </c>
      <c r="E2462" s="49" t="s">
        <v>1183</v>
      </c>
      <c r="F2462" s="49" t="s">
        <v>1336</v>
      </c>
      <c r="G2462" s="49" t="s">
        <v>772</v>
      </c>
      <c r="H2462" s="49" t="s">
        <v>1132</v>
      </c>
      <c r="I2462" s="49" t="s">
        <v>885</v>
      </c>
    </row>
    <row r="2463" customFormat="false" ht="25.5" hidden="false" customHeight="true" outlineLevel="0" collapsed="false">
      <c r="A2463" s="49" t="s">
        <v>1122</v>
      </c>
      <c r="B2463" s="49" t="s">
        <v>1294</v>
      </c>
      <c r="C2463" s="49" t="s">
        <v>1337</v>
      </c>
      <c r="D2463" s="49" t="s">
        <v>1134</v>
      </c>
      <c r="E2463" s="49" t="s">
        <v>217</v>
      </c>
      <c r="F2463" s="49" t="s">
        <v>1338</v>
      </c>
      <c r="G2463" s="49" t="s">
        <v>772</v>
      </c>
      <c r="H2463" s="49" t="s">
        <v>1132</v>
      </c>
      <c r="I2463" s="49" t="s">
        <v>885</v>
      </c>
    </row>
    <row r="2464" customFormat="false" ht="25.5" hidden="false" customHeight="true" outlineLevel="0" collapsed="false">
      <c r="A2464" s="49" t="s">
        <v>1122</v>
      </c>
      <c r="B2464" s="49" t="s">
        <v>1294</v>
      </c>
      <c r="C2464" s="49" t="s">
        <v>1339</v>
      </c>
      <c r="D2464" s="49" t="s">
        <v>1208</v>
      </c>
      <c r="E2464" s="49" t="s">
        <v>40</v>
      </c>
      <c r="F2464" s="49" t="s">
        <v>1340</v>
      </c>
      <c r="G2464" s="49" t="s">
        <v>772</v>
      </c>
      <c r="H2464" s="49" t="s">
        <v>1132</v>
      </c>
      <c r="I2464" s="49" t="s">
        <v>885</v>
      </c>
    </row>
    <row r="2465" customFormat="false" ht="25.5" hidden="false" customHeight="true" outlineLevel="0" collapsed="false">
      <c r="A2465" s="49" t="s">
        <v>1122</v>
      </c>
      <c r="B2465" s="49" t="s">
        <v>1341</v>
      </c>
      <c r="C2465" s="49" t="s">
        <v>1171</v>
      </c>
      <c r="D2465" s="49" t="s">
        <v>1172</v>
      </c>
      <c r="E2465" s="49" t="s">
        <v>1173</v>
      </c>
      <c r="F2465" s="49" t="s">
        <v>1174</v>
      </c>
      <c r="G2465" s="49" t="s">
        <v>772</v>
      </c>
      <c r="H2465" s="49" t="s">
        <v>1132</v>
      </c>
      <c r="I2465" s="49" t="s">
        <v>885</v>
      </c>
    </row>
    <row r="2466" customFormat="false" ht="25.5" hidden="false" customHeight="true" outlineLevel="0" collapsed="false">
      <c r="A2466" s="49" t="s">
        <v>1122</v>
      </c>
      <c r="B2466" s="49" t="s">
        <v>1341</v>
      </c>
      <c r="C2466" s="49" t="s">
        <v>1342</v>
      </c>
      <c r="D2466" s="49" t="s">
        <v>1292</v>
      </c>
      <c r="E2466" s="49" t="s">
        <v>1113</v>
      </c>
      <c r="F2466" s="49" t="s">
        <v>1343</v>
      </c>
      <c r="G2466" s="49" t="s">
        <v>772</v>
      </c>
      <c r="H2466" s="49" t="s">
        <v>1132</v>
      </c>
      <c r="I2466" s="49" t="s">
        <v>885</v>
      </c>
    </row>
    <row r="2467" customFormat="false" ht="25.5" hidden="false" customHeight="true" outlineLevel="0" collapsed="false">
      <c r="A2467" s="49" t="s">
        <v>1122</v>
      </c>
      <c r="B2467" s="49" t="s">
        <v>1341</v>
      </c>
      <c r="C2467" s="49" t="s">
        <v>1344</v>
      </c>
      <c r="D2467" s="49" t="s">
        <v>1208</v>
      </c>
      <c r="E2467" s="49" t="s">
        <v>1183</v>
      </c>
      <c r="F2467" s="49" t="s">
        <v>1345</v>
      </c>
      <c r="G2467" s="49" t="s">
        <v>772</v>
      </c>
      <c r="H2467" s="49" t="s">
        <v>1132</v>
      </c>
      <c r="I2467" s="49" t="s">
        <v>885</v>
      </c>
    </row>
    <row r="2468" customFormat="false" ht="25.5" hidden="false" customHeight="true" outlineLevel="0" collapsed="false">
      <c r="A2468" s="49" t="s">
        <v>1122</v>
      </c>
      <c r="B2468" s="49" t="s">
        <v>1341</v>
      </c>
      <c r="C2468" s="49" t="s">
        <v>1346</v>
      </c>
      <c r="D2468" s="49" t="s">
        <v>1218</v>
      </c>
      <c r="E2468" s="49" t="s">
        <v>1347</v>
      </c>
      <c r="F2468" s="49" t="s">
        <v>1348</v>
      </c>
      <c r="G2468" s="49" t="s">
        <v>772</v>
      </c>
      <c r="H2468" s="49" t="s">
        <v>1132</v>
      </c>
      <c r="I2468" s="49" t="s">
        <v>885</v>
      </c>
    </row>
    <row r="2469" customFormat="false" ht="25.5" hidden="false" customHeight="true" outlineLevel="0" collapsed="false">
      <c r="A2469" s="49" t="s">
        <v>1122</v>
      </c>
      <c r="B2469" s="49" t="s">
        <v>1341</v>
      </c>
      <c r="C2469" s="49" t="s">
        <v>1349</v>
      </c>
      <c r="D2469" s="49" t="s">
        <v>1218</v>
      </c>
      <c r="E2469" s="49" t="s">
        <v>1183</v>
      </c>
      <c r="F2469" s="49" t="s">
        <v>1350</v>
      </c>
      <c r="G2469" s="49" t="s">
        <v>772</v>
      </c>
      <c r="H2469" s="49" t="s">
        <v>1132</v>
      </c>
      <c r="I2469" s="49" t="s">
        <v>885</v>
      </c>
    </row>
    <row r="2470" customFormat="false" ht="25.5" hidden="false" customHeight="true" outlineLevel="0" collapsed="false">
      <c r="A2470" s="49" t="s">
        <v>1122</v>
      </c>
      <c r="B2470" s="49" t="s">
        <v>1341</v>
      </c>
      <c r="C2470" s="49" t="s">
        <v>1351</v>
      </c>
      <c r="D2470" s="49" t="s">
        <v>1134</v>
      </c>
      <c r="E2470" s="49" t="s">
        <v>1055</v>
      </c>
      <c r="F2470" s="49" t="s">
        <v>1352</v>
      </c>
      <c r="G2470" s="49" t="s">
        <v>772</v>
      </c>
      <c r="H2470" s="49" t="s">
        <v>1132</v>
      </c>
      <c r="I2470" s="49" t="s">
        <v>885</v>
      </c>
    </row>
    <row r="2471" customFormat="false" ht="25.5" hidden="false" customHeight="true" outlineLevel="0" collapsed="false">
      <c r="A2471" s="49" t="s">
        <v>1122</v>
      </c>
      <c r="B2471" s="49" t="s">
        <v>1341</v>
      </c>
      <c r="C2471" s="49" t="s">
        <v>1353</v>
      </c>
      <c r="D2471" s="49" t="s">
        <v>1134</v>
      </c>
      <c r="E2471" s="49" t="s">
        <v>1226</v>
      </c>
      <c r="F2471" s="49" t="s">
        <v>1354</v>
      </c>
      <c r="G2471" s="49" t="s">
        <v>772</v>
      </c>
      <c r="H2471" s="49" t="s">
        <v>1132</v>
      </c>
      <c r="I2471" s="49" t="s">
        <v>885</v>
      </c>
    </row>
    <row r="2472" customFormat="false" ht="25.5" hidden="false" customHeight="true" outlineLevel="0" collapsed="false">
      <c r="A2472" s="49" t="s">
        <v>1122</v>
      </c>
      <c r="B2472" s="49" t="s">
        <v>1341</v>
      </c>
      <c r="C2472" s="49" t="s">
        <v>1355</v>
      </c>
      <c r="D2472" s="49" t="s">
        <v>1148</v>
      </c>
      <c r="E2472" s="49" t="s">
        <v>1356</v>
      </c>
      <c r="F2472" s="49" t="s">
        <v>1357</v>
      </c>
      <c r="G2472" s="49" t="s">
        <v>772</v>
      </c>
      <c r="H2472" s="49" t="s">
        <v>1132</v>
      </c>
      <c r="I2472" s="49" t="s">
        <v>885</v>
      </c>
    </row>
    <row r="2473" customFormat="false" ht="25.5" hidden="false" customHeight="true" outlineLevel="0" collapsed="false">
      <c r="A2473" s="49" t="s">
        <v>1122</v>
      </c>
      <c r="B2473" s="49" t="s">
        <v>1341</v>
      </c>
      <c r="C2473" s="49" t="s">
        <v>1358</v>
      </c>
      <c r="D2473" s="49" t="s">
        <v>1218</v>
      </c>
      <c r="E2473" s="49" t="s">
        <v>1359</v>
      </c>
      <c r="F2473" s="49" t="s">
        <v>1360</v>
      </c>
      <c r="G2473" s="49" t="s">
        <v>772</v>
      </c>
      <c r="H2473" s="49" t="s">
        <v>1132</v>
      </c>
      <c r="I2473" s="49" t="s">
        <v>885</v>
      </c>
    </row>
    <row r="2474" customFormat="false" ht="25.5" hidden="false" customHeight="true" outlineLevel="0" collapsed="false">
      <c r="A2474" s="49" t="s">
        <v>1122</v>
      </c>
      <c r="B2474" s="49" t="s">
        <v>1341</v>
      </c>
      <c r="C2474" s="49" t="s">
        <v>1361</v>
      </c>
      <c r="D2474" s="49" t="s">
        <v>1148</v>
      </c>
      <c r="E2474" s="49" t="s">
        <v>1183</v>
      </c>
      <c r="F2474" s="49" t="s">
        <v>1362</v>
      </c>
      <c r="G2474" s="49" t="s">
        <v>772</v>
      </c>
      <c r="H2474" s="49" t="s">
        <v>1132</v>
      </c>
      <c r="I2474" s="49" t="s">
        <v>885</v>
      </c>
    </row>
    <row r="2475" customFormat="false" ht="25.5" hidden="false" customHeight="true" outlineLevel="0" collapsed="false">
      <c r="A2475" s="49" t="s">
        <v>1122</v>
      </c>
      <c r="B2475" s="49" t="s">
        <v>1341</v>
      </c>
      <c r="C2475" s="49" t="s">
        <v>1363</v>
      </c>
      <c r="D2475" s="49" t="s">
        <v>1148</v>
      </c>
      <c r="E2475" s="49" t="s">
        <v>1364</v>
      </c>
      <c r="F2475" s="49" t="s">
        <v>1365</v>
      </c>
      <c r="G2475" s="49" t="s">
        <v>772</v>
      </c>
      <c r="H2475" s="49" t="s">
        <v>1132</v>
      </c>
      <c r="I2475" s="49" t="s">
        <v>885</v>
      </c>
    </row>
    <row r="2476" customFormat="false" ht="25.5" hidden="false" customHeight="true" outlineLevel="0" collapsed="false">
      <c r="A2476" s="49" t="s">
        <v>1122</v>
      </c>
      <c r="B2476" s="49" t="s">
        <v>1341</v>
      </c>
      <c r="C2476" s="49" t="s">
        <v>1366</v>
      </c>
      <c r="D2476" s="49" t="s">
        <v>1148</v>
      </c>
      <c r="E2476" s="49" t="s">
        <v>1183</v>
      </c>
      <c r="F2476" s="49" t="s">
        <v>1367</v>
      </c>
      <c r="G2476" s="49" t="s">
        <v>772</v>
      </c>
      <c r="H2476" s="49" t="s">
        <v>1132</v>
      </c>
      <c r="I2476" s="49" t="s">
        <v>885</v>
      </c>
    </row>
    <row r="2477" customFormat="false" ht="25.5" hidden="false" customHeight="true" outlineLevel="0" collapsed="false">
      <c r="A2477" s="49" t="s">
        <v>1122</v>
      </c>
      <c r="B2477" s="49" t="s">
        <v>1341</v>
      </c>
      <c r="C2477" s="49" t="s">
        <v>1368</v>
      </c>
      <c r="D2477" s="49" t="s">
        <v>1218</v>
      </c>
      <c r="E2477" s="49" t="s">
        <v>217</v>
      </c>
      <c r="F2477" s="49" t="s">
        <v>1369</v>
      </c>
      <c r="G2477" s="49" t="s">
        <v>772</v>
      </c>
      <c r="H2477" s="49" t="s">
        <v>1132</v>
      </c>
      <c r="I2477" s="49" t="s">
        <v>885</v>
      </c>
    </row>
    <row r="2478" customFormat="false" ht="25.5" hidden="false" customHeight="true" outlineLevel="0" collapsed="false">
      <c r="A2478" s="49" t="s">
        <v>1122</v>
      </c>
      <c r="B2478" s="49" t="s">
        <v>1341</v>
      </c>
      <c r="C2478" s="49" t="s">
        <v>1370</v>
      </c>
      <c r="D2478" s="49" t="s">
        <v>1208</v>
      </c>
      <c r="E2478" s="49" t="s">
        <v>893</v>
      </c>
      <c r="F2478" s="49" t="s">
        <v>1371</v>
      </c>
      <c r="G2478" s="49" t="s">
        <v>772</v>
      </c>
      <c r="H2478" s="49" t="s">
        <v>1132</v>
      </c>
      <c r="I2478" s="49" t="s">
        <v>885</v>
      </c>
    </row>
    <row r="2479" customFormat="false" ht="25.5" hidden="false" customHeight="true" outlineLevel="0" collapsed="false">
      <c r="A2479" s="49" t="s">
        <v>1122</v>
      </c>
      <c r="B2479" s="49" t="s">
        <v>1341</v>
      </c>
      <c r="C2479" s="49" t="s">
        <v>1372</v>
      </c>
      <c r="D2479" s="49" t="s">
        <v>1199</v>
      </c>
      <c r="E2479" s="49" t="s">
        <v>1135</v>
      </c>
      <c r="F2479" s="49" t="s">
        <v>1373</v>
      </c>
      <c r="G2479" s="49" t="s">
        <v>772</v>
      </c>
      <c r="H2479" s="49" t="s">
        <v>1132</v>
      </c>
      <c r="I2479" s="49" t="s">
        <v>885</v>
      </c>
    </row>
    <row r="2480" customFormat="false" ht="25.5" hidden="false" customHeight="true" outlineLevel="0" collapsed="false">
      <c r="A2480" s="49" t="s">
        <v>1122</v>
      </c>
      <c r="B2480" s="49" t="s">
        <v>1341</v>
      </c>
      <c r="C2480" s="49" t="s">
        <v>1374</v>
      </c>
      <c r="D2480" s="49" t="s">
        <v>1208</v>
      </c>
      <c r="E2480" s="49" t="s">
        <v>1183</v>
      </c>
      <c r="F2480" s="49" t="s">
        <v>1375</v>
      </c>
      <c r="G2480" s="49" t="s">
        <v>772</v>
      </c>
      <c r="H2480" s="49" t="s">
        <v>1132</v>
      </c>
      <c r="I2480" s="49" t="s">
        <v>885</v>
      </c>
    </row>
    <row r="2481" customFormat="false" ht="25.5" hidden="false" customHeight="true" outlineLevel="0" collapsed="false">
      <c r="A2481" s="49" t="s">
        <v>1122</v>
      </c>
      <c r="B2481" s="49" t="s">
        <v>1341</v>
      </c>
      <c r="C2481" s="49" t="s">
        <v>1376</v>
      </c>
      <c r="D2481" s="49" t="s">
        <v>1208</v>
      </c>
      <c r="E2481" s="49" t="s">
        <v>1377</v>
      </c>
      <c r="F2481" s="49" t="s">
        <v>1378</v>
      </c>
      <c r="G2481" s="49" t="s">
        <v>772</v>
      </c>
      <c r="H2481" s="49" t="s">
        <v>1132</v>
      </c>
      <c r="I2481" s="49" t="s">
        <v>885</v>
      </c>
    </row>
    <row r="2482" customFormat="false" ht="25.5" hidden="false" customHeight="true" outlineLevel="0" collapsed="false">
      <c r="A2482" s="49" t="s">
        <v>1122</v>
      </c>
      <c r="B2482" s="49" t="s">
        <v>1341</v>
      </c>
      <c r="C2482" s="49" t="s">
        <v>1379</v>
      </c>
      <c r="D2482" s="49" t="s">
        <v>1199</v>
      </c>
      <c r="E2482" s="49" t="s">
        <v>1183</v>
      </c>
      <c r="F2482" s="49" t="s">
        <v>1380</v>
      </c>
      <c r="G2482" s="49" t="s">
        <v>772</v>
      </c>
      <c r="H2482" s="49" t="s">
        <v>1132</v>
      </c>
      <c r="I2482" s="49" t="s">
        <v>885</v>
      </c>
    </row>
    <row r="2483" customFormat="false" ht="25.5" hidden="false" customHeight="true" outlineLevel="0" collapsed="false">
      <c r="A2483" s="49" t="s">
        <v>1122</v>
      </c>
      <c r="B2483" s="49" t="s">
        <v>1341</v>
      </c>
      <c r="C2483" s="49" t="s">
        <v>1381</v>
      </c>
      <c r="D2483" s="49" t="s">
        <v>1162</v>
      </c>
      <c r="E2483" s="49" t="s">
        <v>1382</v>
      </c>
      <c r="F2483" s="49" t="s">
        <v>1383</v>
      </c>
      <c r="G2483" s="49" t="s">
        <v>772</v>
      </c>
      <c r="H2483" s="49" t="s">
        <v>1132</v>
      </c>
      <c r="I2483" s="49" t="s">
        <v>885</v>
      </c>
    </row>
    <row r="2484" customFormat="false" ht="25.5" hidden="false" customHeight="true" outlineLevel="0" collapsed="false">
      <c r="A2484" s="49" t="s">
        <v>1122</v>
      </c>
      <c r="B2484" s="49" t="s">
        <v>1341</v>
      </c>
      <c r="C2484" s="49" t="s">
        <v>1384</v>
      </c>
      <c r="D2484" s="49" t="s">
        <v>1292</v>
      </c>
      <c r="E2484" s="49" t="s">
        <v>1189</v>
      </c>
      <c r="F2484" s="49" t="s">
        <v>1385</v>
      </c>
      <c r="G2484" s="49" t="s">
        <v>772</v>
      </c>
      <c r="H2484" s="49" t="s">
        <v>1132</v>
      </c>
      <c r="I2484" s="49" t="s">
        <v>885</v>
      </c>
    </row>
    <row r="2485" customFormat="false" ht="25.5" hidden="false" customHeight="true" outlineLevel="0" collapsed="false">
      <c r="A2485" s="49" t="s">
        <v>1122</v>
      </c>
      <c r="B2485" s="49" t="s">
        <v>1341</v>
      </c>
      <c r="C2485" s="49" t="s">
        <v>1386</v>
      </c>
      <c r="D2485" s="49" t="s">
        <v>1156</v>
      </c>
      <c r="E2485" s="49" t="s">
        <v>1183</v>
      </c>
      <c r="F2485" s="49" t="s">
        <v>1387</v>
      </c>
      <c r="G2485" s="49" t="s">
        <v>772</v>
      </c>
      <c r="H2485" s="49" t="s">
        <v>1132</v>
      </c>
      <c r="I2485" s="49" t="s">
        <v>885</v>
      </c>
    </row>
    <row r="2486" customFormat="false" ht="25.5" hidden="false" customHeight="true" outlineLevel="0" collapsed="false">
      <c r="A2486" s="49" t="s">
        <v>1122</v>
      </c>
      <c r="B2486" s="49" t="s">
        <v>1341</v>
      </c>
      <c r="C2486" s="49" t="s">
        <v>1388</v>
      </c>
      <c r="D2486" s="49" t="s">
        <v>1162</v>
      </c>
      <c r="E2486" s="49" t="s">
        <v>1163</v>
      </c>
      <c r="F2486" s="49" t="s">
        <v>1389</v>
      </c>
      <c r="G2486" s="49" t="s">
        <v>772</v>
      </c>
      <c r="H2486" s="49" t="s">
        <v>1132</v>
      </c>
      <c r="I2486" s="49" t="s">
        <v>885</v>
      </c>
    </row>
    <row r="2487" customFormat="false" ht="25.5" hidden="false" customHeight="true" outlineLevel="0" collapsed="false">
      <c r="A2487" s="49" t="s">
        <v>1122</v>
      </c>
      <c r="B2487" s="49" t="s">
        <v>1341</v>
      </c>
      <c r="C2487" s="49" t="s">
        <v>1390</v>
      </c>
      <c r="D2487" s="49" t="s">
        <v>1162</v>
      </c>
      <c r="E2487" s="49" t="s">
        <v>1163</v>
      </c>
      <c r="F2487" s="49" t="s">
        <v>1391</v>
      </c>
      <c r="G2487" s="49" t="s">
        <v>772</v>
      </c>
      <c r="H2487" s="49" t="s">
        <v>1132</v>
      </c>
      <c r="I2487" s="49" t="s">
        <v>885</v>
      </c>
    </row>
    <row r="2488" customFormat="false" ht="25.5" hidden="false" customHeight="true" outlineLevel="0" collapsed="false">
      <c r="A2488" s="49" t="s">
        <v>1122</v>
      </c>
      <c r="B2488" s="49" t="s">
        <v>1341</v>
      </c>
      <c r="C2488" s="49" t="s">
        <v>1392</v>
      </c>
      <c r="D2488" s="49" t="s">
        <v>1162</v>
      </c>
      <c r="E2488" s="49" t="s">
        <v>1163</v>
      </c>
      <c r="F2488" s="49" t="s">
        <v>952</v>
      </c>
      <c r="G2488" s="49" t="s">
        <v>772</v>
      </c>
      <c r="H2488" s="49" t="s">
        <v>1132</v>
      </c>
      <c r="I2488" s="49" t="s">
        <v>885</v>
      </c>
    </row>
    <row r="2489" customFormat="false" ht="25.5" hidden="false" customHeight="true" outlineLevel="0" collapsed="false">
      <c r="A2489" s="49" t="s">
        <v>1122</v>
      </c>
      <c r="B2489" s="49" t="s">
        <v>1341</v>
      </c>
      <c r="C2489" s="49" t="s">
        <v>1372</v>
      </c>
      <c r="D2489" s="49" t="s">
        <v>1199</v>
      </c>
      <c r="E2489" s="49" t="s">
        <v>217</v>
      </c>
      <c r="F2489" s="49" t="s">
        <v>1393</v>
      </c>
      <c r="G2489" s="49" t="s">
        <v>772</v>
      </c>
      <c r="H2489" s="49" t="s">
        <v>1132</v>
      </c>
      <c r="I2489" s="49" t="s">
        <v>885</v>
      </c>
    </row>
    <row r="2490" customFormat="false" ht="25.5" hidden="false" customHeight="true" outlineLevel="0" collapsed="false">
      <c r="A2490" s="49" t="s">
        <v>1122</v>
      </c>
      <c r="B2490" s="49" t="s">
        <v>1341</v>
      </c>
      <c r="C2490" s="49" t="s">
        <v>1394</v>
      </c>
      <c r="D2490" s="49" t="s">
        <v>1129</v>
      </c>
      <c r="E2490" s="49" t="s">
        <v>1395</v>
      </c>
      <c r="F2490" s="49" t="s">
        <v>1396</v>
      </c>
      <c r="G2490" s="49" t="s">
        <v>772</v>
      </c>
      <c r="H2490" s="49" t="s">
        <v>1132</v>
      </c>
      <c r="I2490" s="49" t="s">
        <v>885</v>
      </c>
    </row>
    <row r="2491" customFormat="false" ht="25.5" hidden="false" customHeight="true" outlineLevel="0" collapsed="false">
      <c r="A2491" s="49" t="s">
        <v>1122</v>
      </c>
      <c r="B2491" s="49" t="s">
        <v>1341</v>
      </c>
      <c r="C2491" s="49" t="s">
        <v>1397</v>
      </c>
      <c r="D2491" s="49" t="s">
        <v>1148</v>
      </c>
      <c r="E2491" s="49" t="s">
        <v>1395</v>
      </c>
      <c r="F2491" s="49" t="s">
        <v>1398</v>
      </c>
      <c r="G2491" s="49" t="s">
        <v>772</v>
      </c>
      <c r="H2491" s="49" t="s">
        <v>1132</v>
      </c>
      <c r="I2491" s="49" t="s">
        <v>885</v>
      </c>
    </row>
    <row r="2492" customFormat="false" ht="25.5" hidden="false" customHeight="true" outlineLevel="0" collapsed="false">
      <c r="A2492" s="49" t="s">
        <v>1122</v>
      </c>
      <c r="B2492" s="49" t="s">
        <v>1341</v>
      </c>
      <c r="C2492" s="49" t="s">
        <v>1399</v>
      </c>
      <c r="D2492" s="49" t="s">
        <v>1199</v>
      </c>
      <c r="E2492" s="49" t="s">
        <v>217</v>
      </c>
      <c r="F2492" s="49" t="s">
        <v>1400</v>
      </c>
      <c r="G2492" s="49" t="s">
        <v>772</v>
      </c>
      <c r="H2492" s="49" t="s">
        <v>1132</v>
      </c>
      <c r="I2492" s="49" t="s">
        <v>885</v>
      </c>
    </row>
    <row r="2493" customFormat="false" ht="25.5" hidden="false" customHeight="true" outlineLevel="0" collapsed="false">
      <c r="A2493" s="49" t="s">
        <v>1122</v>
      </c>
      <c r="B2493" s="49" t="s">
        <v>1341</v>
      </c>
      <c r="C2493" s="49" t="s">
        <v>1401</v>
      </c>
      <c r="D2493" s="49" t="s">
        <v>1199</v>
      </c>
      <c r="E2493" s="49" t="s">
        <v>146</v>
      </c>
      <c r="F2493" s="49" t="s">
        <v>1402</v>
      </c>
      <c r="G2493" s="49" t="s">
        <v>772</v>
      </c>
      <c r="H2493" s="49" t="s">
        <v>1132</v>
      </c>
      <c r="I2493" s="49" t="s">
        <v>885</v>
      </c>
    </row>
    <row r="2494" customFormat="false" ht="25.5" hidden="false" customHeight="true" outlineLevel="0" collapsed="false">
      <c r="A2494" s="49" t="s">
        <v>1122</v>
      </c>
      <c r="B2494" s="49" t="s">
        <v>1403</v>
      </c>
      <c r="C2494" s="49" t="s">
        <v>1171</v>
      </c>
      <c r="D2494" s="49" t="s">
        <v>1172</v>
      </c>
      <c r="E2494" s="49" t="s">
        <v>1173</v>
      </c>
      <c r="F2494" s="49" t="s">
        <v>1174</v>
      </c>
      <c r="G2494" s="49" t="s">
        <v>772</v>
      </c>
      <c r="H2494" s="49" t="s">
        <v>1132</v>
      </c>
      <c r="I2494" s="49" t="s">
        <v>885</v>
      </c>
    </row>
    <row r="2495" customFormat="false" ht="25.5" hidden="false" customHeight="true" outlineLevel="0" collapsed="false">
      <c r="A2495" s="49" t="s">
        <v>1122</v>
      </c>
      <c r="B2495" s="49" t="s">
        <v>1403</v>
      </c>
      <c r="C2495" s="49" t="s">
        <v>1404</v>
      </c>
      <c r="D2495" s="49" t="s">
        <v>1151</v>
      </c>
      <c r="E2495" s="49" t="s">
        <v>1405</v>
      </c>
      <c r="F2495" s="49" t="s">
        <v>1406</v>
      </c>
      <c r="G2495" s="49" t="s">
        <v>772</v>
      </c>
      <c r="H2495" s="49" t="s">
        <v>1132</v>
      </c>
      <c r="I2495" s="49" t="s">
        <v>885</v>
      </c>
    </row>
    <row r="2496" customFormat="false" ht="25.5" hidden="false" customHeight="true" outlineLevel="0" collapsed="false">
      <c r="A2496" s="49" t="s">
        <v>1122</v>
      </c>
      <c r="B2496" s="49" t="s">
        <v>1403</v>
      </c>
      <c r="C2496" s="49" t="s">
        <v>1407</v>
      </c>
      <c r="D2496" s="49" t="s">
        <v>1141</v>
      </c>
      <c r="E2496" s="49" t="s">
        <v>1183</v>
      </c>
      <c r="F2496" s="49" t="s">
        <v>1408</v>
      </c>
      <c r="G2496" s="49" t="s">
        <v>772</v>
      </c>
      <c r="H2496" s="49" t="s">
        <v>1132</v>
      </c>
      <c r="I2496" s="49" t="s">
        <v>885</v>
      </c>
    </row>
    <row r="2497" customFormat="false" ht="25.5" hidden="false" customHeight="true" outlineLevel="0" collapsed="false">
      <c r="A2497" s="49" t="s">
        <v>1122</v>
      </c>
      <c r="B2497" s="49" t="s">
        <v>1403</v>
      </c>
      <c r="C2497" s="49" t="s">
        <v>1409</v>
      </c>
      <c r="D2497" s="49" t="s">
        <v>1208</v>
      </c>
      <c r="E2497" s="49" t="s">
        <v>1410</v>
      </c>
      <c r="F2497" s="49" t="s">
        <v>1411</v>
      </c>
      <c r="G2497" s="49" t="s">
        <v>772</v>
      </c>
      <c r="H2497" s="49" t="s">
        <v>1132</v>
      </c>
      <c r="I2497" s="49" t="s">
        <v>885</v>
      </c>
    </row>
    <row r="2498" customFormat="false" ht="25.5" hidden="false" customHeight="true" outlineLevel="0" collapsed="false">
      <c r="A2498" s="49" t="s">
        <v>1122</v>
      </c>
      <c r="B2498" s="49" t="s">
        <v>1403</v>
      </c>
      <c r="C2498" s="49" t="s">
        <v>1412</v>
      </c>
      <c r="D2498" s="49" t="s">
        <v>1199</v>
      </c>
      <c r="E2498" s="49" t="s">
        <v>1183</v>
      </c>
      <c r="F2498" s="49" t="s">
        <v>1413</v>
      </c>
      <c r="G2498" s="49" t="s">
        <v>772</v>
      </c>
      <c r="H2498" s="49" t="s">
        <v>1132</v>
      </c>
      <c r="I2498" s="49" t="s">
        <v>885</v>
      </c>
    </row>
    <row r="2499" customFormat="false" ht="25.5" hidden="false" customHeight="true" outlineLevel="0" collapsed="false">
      <c r="A2499" s="49" t="s">
        <v>1122</v>
      </c>
      <c r="B2499" s="49" t="s">
        <v>1403</v>
      </c>
      <c r="C2499" s="49" t="s">
        <v>1414</v>
      </c>
      <c r="D2499" s="49" t="s">
        <v>1156</v>
      </c>
      <c r="E2499" s="49" t="s">
        <v>1183</v>
      </c>
      <c r="F2499" s="49" t="s">
        <v>1415</v>
      </c>
      <c r="G2499" s="49" t="s">
        <v>772</v>
      </c>
      <c r="H2499" s="49" t="s">
        <v>1132</v>
      </c>
      <c r="I2499" s="49" t="s">
        <v>885</v>
      </c>
    </row>
    <row r="2500" customFormat="false" ht="25.5" hidden="false" customHeight="true" outlineLevel="0" collapsed="false">
      <c r="A2500" s="49" t="s">
        <v>1122</v>
      </c>
      <c r="B2500" s="49" t="s">
        <v>1403</v>
      </c>
      <c r="C2500" s="49" t="s">
        <v>1416</v>
      </c>
      <c r="D2500" s="49" t="s">
        <v>1134</v>
      </c>
      <c r="E2500" s="49" t="s">
        <v>1226</v>
      </c>
      <c r="F2500" s="49" t="s">
        <v>1417</v>
      </c>
      <c r="G2500" s="49" t="s">
        <v>772</v>
      </c>
      <c r="H2500" s="49" t="s">
        <v>1132</v>
      </c>
      <c r="I2500" s="49" t="s">
        <v>885</v>
      </c>
    </row>
    <row r="2501" customFormat="false" ht="25.5" hidden="false" customHeight="true" outlineLevel="0" collapsed="false">
      <c r="A2501" s="49" t="s">
        <v>1122</v>
      </c>
      <c r="B2501" s="49" t="s">
        <v>1403</v>
      </c>
      <c r="C2501" s="49" t="s">
        <v>1418</v>
      </c>
      <c r="D2501" s="49" t="s">
        <v>1129</v>
      </c>
      <c r="E2501" s="49" t="s">
        <v>1183</v>
      </c>
      <c r="F2501" s="49" t="s">
        <v>1419</v>
      </c>
      <c r="G2501" s="49" t="s">
        <v>772</v>
      </c>
      <c r="H2501" s="49" t="s">
        <v>1132</v>
      </c>
      <c r="I2501" s="49" t="s">
        <v>885</v>
      </c>
    </row>
    <row r="2502" customFormat="false" ht="25.5" hidden="false" customHeight="true" outlineLevel="0" collapsed="false">
      <c r="A2502" s="49" t="s">
        <v>1122</v>
      </c>
      <c r="B2502" s="49" t="s">
        <v>1403</v>
      </c>
      <c r="C2502" s="49" t="s">
        <v>1420</v>
      </c>
      <c r="D2502" s="49" t="s">
        <v>1129</v>
      </c>
      <c r="E2502" s="49" t="s">
        <v>146</v>
      </c>
      <c r="F2502" s="49" t="s">
        <v>1421</v>
      </c>
      <c r="G2502" s="49" t="s">
        <v>772</v>
      </c>
      <c r="H2502" s="49" t="s">
        <v>1132</v>
      </c>
      <c r="I2502" s="49" t="s">
        <v>885</v>
      </c>
    </row>
    <row r="2503" customFormat="false" ht="25.5" hidden="false" customHeight="true" outlineLevel="0" collapsed="false">
      <c r="A2503" s="49" t="s">
        <v>1122</v>
      </c>
      <c r="B2503" s="49" t="s">
        <v>1403</v>
      </c>
      <c r="C2503" s="49" t="s">
        <v>1422</v>
      </c>
      <c r="D2503" s="49" t="s">
        <v>1292</v>
      </c>
      <c r="E2503" s="49" t="s">
        <v>1135</v>
      </c>
      <c r="F2503" s="49" t="s">
        <v>1423</v>
      </c>
      <c r="G2503" s="49" t="s">
        <v>772</v>
      </c>
      <c r="H2503" s="49" t="s">
        <v>1132</v>
      </c>
      <c r="I2503" s="49" t="s">
        <v>885</v>
      </c>
    </row>
    <row r="2504" customFormat="false" ht="25.5" hidden="false" customHeight="true" outlineLevel="0" collapsed="false">
      <c r="A2504" s="49" t="s">
        <v>1122</v>
      </c>
      <c r="B2504" s="49" t="s">
        <v>1403</v>
      </c>
      <c r="C2504" s="49" t="s">
        <v>1424</v>
      </c>
      <c r="D2504" s="49" t="s">
        <v>1148</v>
      </c>
      <c r="E2504" s="49" t="s">
        <v>1135</v>
      </c>
      <c r="F2504" s="49" t="s">
        <v>1423</v>
      </c>
      <c r="G2504" s="49" t="s">
        <v>772</v>
      </c>
      <c r="H2504" s="49" t="s">
        <v>1132</v>
      </c>
      <c r="I2504" s="49" t="s">
        <v>885</v>
      </c>
    </row>
    <row r="2505" customFormat="false" ht="25.5" hidden="false" customHeight="true" outlineLevel="0" collapsed="false">
      <c r="A2505" s="49" t="s">
        <v>1122</v>
      </c>
      <c r="B2505" s="49" t="s">
        <v>1403</v>
      </c>
      <c r="C2505" s="49" t="s">
        <v>1425</v>
      </c>
      <c r="D2505" s="49" t="s">
        <v>1199</v>
      </c>
      <c r="E2505" s="49" t="s">
        <v>1183</v>
      </c>
      <c r="F2505" s="49" t="s">
        <v>1415</v>
      </c>
      <c r="G2505" s="49" t="s">
        <v>772</v>
      </c>
      <c r="H2505" s="49" t="s">
        <v>1132</v>
      </c>
      <c r="I2505" s="49" t="s">
        <v>885</v>
      </c>
    </row>
    <row r="2506" customFormat="false" ht="25.5" hidden="false" customHeight="true" outlineLevel="0" collapsed="false">
      <c r="A2506" s="49" t="s">
        <v>1122</v>
      </c>
      <c r="B2506" s="49" t="s">
        <v>1403</v>
      </c>
      <c r="C2506" s="49" t="s">
        <v>1426</v>
      </c>
      <c r="D2506" s="49" t="s">
        <v>1208</v>
      </c>
      <c r="E2506" s="49" t="s">
        <v>1427</v>
      </c>
      <c r="F2506" s="49" t="s">
        <v>1428</v>
      </c>
      <c r="G2506" s="49" t="s">
        <v>772</v>
      </c>
      <c r="H2506" s="49" t="s">
        <v>1132</v>
      </c>
      <c r="I2506" s="49" t="s">
        <v>885</v>
      </c>
    </row>
    <row r="2507" customFormat="false" ht="25.5" hidden="false" customHeight="true" outlineLevel="0" collapsed="false">
      <c r="A2507" s="49" t="s">
        <v>1122</v>
      </c>
      <c r="B2507" s="49" t="s">
        <v>1403</v>
      </c>
      <c r="C2507" s="49" t="s">
        <v>1429</v>
      </c>
      <c r="D2507" s="49" t="s">
        <v>1129</v>
      </c>
      <c r="E2507" s="49" t="s">
        <v>1223</v>
      </c>
      <c r="F2507" s="49" t="s">
        <v>1430</v>
      </c>
      <c r="G2507" s="49" t="s">
        <v>772</v>
      </c>
      <c r="H2507" s="49" t="s">
        <v>1132</v>
      </c>
      <c r="I2507" s="49" t="s">
        <v>885</v>
      </c>
    </row>
    <row r="2508" customFormat="false" ht="25.5" hidden="false" customHeight="true" outlineLevel="0" collapsed="false">
      <c r="A2508" s="49" t="s">
        <v>1122</v>
      </c>
      <c r="B2508" s="49" t="s">
        <v>1403</v>
      </c>
      <c r="C2508" s="49" t="s">
        <v>1431</v>
      </c>
      <c r="D2508" s="49" t="s">
        <v>1208</v>
      </c>
      <c r="E2508" s="49" t="s">
        <v>1432</v>
      </c>
      <c r="F2508" s="49" t="s">
        <v>1433</v>
      </c>
      <c r="G2508" s="49" t="s">
        <v>772</v>
      </c>
      <c r="H2508" s="49" t="s">
        <v>1132</v>
      </c>
      <c r="I2508" s="49" t="s">
        <v>885</v>
      </c>
    </row>
    <row r="2509" customFormat="false" ht="25.5" hidden="false" customHeight="true" outlineLevel="0" collapsed="false">
      <c r="A2509" s="49" t="s">
        <v>1122</v>
      </c>
      <c r="B2509" s="49" t="s">
        <v>1403</v>
      </c>
      <c r="C2509" s="49" t="s">
        <v>1434</v>
      </c>
      <c r="D2509" s="49" t="s">
        <v>1162</v>
      </c>
      <c r="E2509" s="49" t="s">
        <v>1163</v>
      </c>
      <c r="F2509" s="49" t="s">
        <v>1435</v>
      </c>
      <c r="G2509" s="49" t="s">
        <v>772</v>
      </c>
      <c r="H2509" s="49" t="s">
        <v>1132</v>
      </c>
      <c r="I2509" s="49" t="s">
        <v>885</v>
      </c>
    </row>
    <row r="2510" customFormat="false" ht="25.5" hidden="false" customHeight="true" outlineLevel="0" collapsed="false">
      <c r="A2510" s="49" t="s">
        <v>1122</v>
      </c>
      <c r="B2510" s="49" t="s">
        <v>1403</v>
      </c>
      <c r="C2510" s="49" t="s">
        <v>1436</v>
      </c>
      <c r="D2510" s="49" t="s">
        <v>1199</v>
      </c>
      <c r="E2510" s="49" t="s">
        <v>146</v>
      </c>
      <c r="F2510" s="49" t="s">
        <v>1437</v>
      </c>
      <c r="G2510" s="49" t="s">
        <v>772</v>
      </c>
      <c r="H2510" s="49" t="s">
        <v>1132</v>
      </c>
      <c r="I2510" s="49" t="s">
        <v>885</v>
      </c>
    </row>
    <row r="2511" customFormat="false" ht="25.5" hidden="false" customHeight="true" outlineLevel="0" collapsed="false">
      <c r="A2511" s="49" t="s">
        <v>1122</v>
      </c>
      <c r="B2511" s="49" t="s">
        <v>1403</v>
      </c>
      <c r="C2511" s="49" t="s">
        <v>1438</v>
      </c>
      <c r="D2511" s="49" t="s">
        <v>1151</v>
      </c>
      <c r="E2511" s="49" t="s">
        <v>1183</v>
      </c>
      <c r="F2511" s="49" t="s">
        <v>1439</v>
      </c>
      <c r="G2511" s="49" t="s">
        <v>772</v>
      </c>
      <c r="H2511" s="49" t="s">
        <v>1132</v>
      </c>
      <c r="I2511" s="49" t="s">
        <v>885</v>
      </c>
    </row>
    <row r="2512" customFormat="false" ht="25.5" hidden="false" customHeight="true" outlineLevel="0" collapsed="false">
      <c r="A2512" s="49" t="s">
        <v>1122</v>
      </c>
      <c r="B2512" s="49" t="s">
        <v>1403</v>
      </c>
      <c r="C2512" s="49" t="s">
        <v>1440</v>
      </c>
      <c r="D2512" s="49" t="s">
        <v>1134</v>
      </c>
      <c r="E2512" s="49" t="s">
        <v>217</v>
      </c>
      <c r="F2512" s="49" t="s">
        <v>1441</v>
      </c>
      <c r="G2512" s="49" t="s">
        <v>772</v>
      </c>
      <c r="H2512" s="49" t="s">
        <v>1132</v>
      </c>
      <c r="I2512" s="49" t="s">
        <v>885</v>
      </c>
    </row>
    <row r="2513" customFormat="false" ht="25.5" hidden="false" customHeight="true" outlineLevel="0" collapsed="false">
      <c r="A2513" s="49" t="s">
        <v>1122</v>
      </c>
      <c r="B2513" s="49" t="s">
        <v>1403</v>
      </c>
      <c r="C2513" s="49" t="s">
        <v>1442</v>
      </c>
      <c r="D2513" s="49" t="s">
        <v>1151</v>
      </c>
      <c r="E2513" s="49" t="s">
        <v>1443</v>
      </c>
      <c r="F2513" s="49" t="s">
        <v>1444</v>
      </c>
      <c r="G2513" s="49" t="s">
        <v>772</v>
      </c>
      <c r="H2513" s="49" t="s">
        <v>1132</v>
      </c>
      <c r="I2513" s="49" t="s">
        <v>885</v>
      </c>
    </row>
    <row r="2514" customFormat="false" ht="25.5" hidden="false" customHeight="true" outlineLevel="0" collapsed="false">
      <c r="A2514" s="49" t="s">
        <v>1122</v>
      </c>
      <c r="B2514" s="49" t="s">
        <v>1403</v>
      </c>
      <c r="C2514" s="49" t="s">
        <v>1445</v>
      </c>
      <c r="D2514" s="49" t="s">
        <v>1199</v>
      </c>
      <c r="E2514" s="49" t="s">
        <v>1183</v>
      </c>
      <c r="F2514" s="49" t="s">
        <v>1446</v>
      </c>
      <c r="G2514" s="49" t="s">
        <v>772</v>
      </c>
      <c r="H2514" s="49" t="s">
        <v>1132</v>
      </c>
      <c r="I2514" s="49" t="s">
        <v>885</v>
      </c>
    </row>
    <row r="2515" customFormat="false" ht="25.5" hidden="false" customHeight="true" outlineLevel="0" collapsed="false">
      <c r="A2515" s="49" t="s">
        <v>1122</v>
      </c>
      <c r="B2515" s="49" t="s">
        <v>1447</v>
      </c>
      <c r="C2515" s="49" t="s">
        <v>1171</v>
      </c>
      <c r="D2515" s="49" t="s">
        <v>1172</v>
      </c>
      <c r="E2515" s="49" t="s">
        <v>1173</v>
      </c>
      <c r="F2515" s="49" t="s">
        <v>1174</v>
      </c>
      <c r="G2515" s="49" t="s">
        <v>772</v>
      </c>
      <c r="H2515" s="49" t="s">
        <v>1132</v>
      </c>
      <c r="I2515" s="49" t="s">
        <v>885</v>
      </c>
    </row>
    <row r="2516" customFormat="false" ht="25.5" hidden="false" customHeight="true" outlineLevel="0" collapsed="false">
      <c r="A2516" s="49" t="s">
        <v>1122</v>
      </c>
      <c r="B2516" s="49" t="s">
        <v>1447</v>
      </c>
      <c r="C2516" s="49" t="s">
        <v>1448</v>
      </c>
      <c r="D2516" s="49" t="s">
        <v>1141</v>
      </c>
      <c r="E2516" s="49" t="s">
        <v>1449</v>
      </c>
      <c r="F2516" s="49" t="s">
        <v>1450</v>
      </c>
      <c r="G2516" s="49" t="s">
        <v>772</v>
      </c>
      <c r="H2516" s="49" t="s">
        <v>1132</v>
      </c>
      <c r="I2516" s="49" t="s">
        <v>885</v>
      </c>
    </row>
    <row r="2517" customFormat="false" ht="25.5" hidden="false" customHeight="true" outlineLevel="0" collapsed="false">
      <c r="A2517" s="49" t="s">
        <v>1122</v>
      </c>
      <c r="B2517" s="49" t="s">
        <v>1447</v>
      </c>
      <c r="C2517" s="49" t="s">
        <v>1451</v>
      </c>
      <c r="D2517" s="49" t="s">
        <v>1129</v>
      </c>
      <c r="E2517" s="49" t="s">
        <v>1452</v>
      </c>
      <c r="F2517" s="49" t="s">
        <v>1453</v>
      </c>
      <c r="G2517" s="49" t="s">
        <v>772</v>
      </c>
      <c r="H2517" s="49" t="s">
        <v>1132</v>
      </c>
      <c r="I2517" s="49" t="s">
        <v>885</v>
      </c>
    </row>
    <row r="2518" customFormat="false" ht="25.5" hidden="false" customHeight="true" outlineLevel="0" collapsed="false">
      <c r="A2518" s="49" t="s">
        <v>1122</v>
      </c>
      <c r="B2518" s="49" t="s">
        <v>1447</v>
      </c>
      <c r="C2518" s="49" t="s">
        <v>1454</v>
      </c>
      <c r="D2518" s="49" t="s">
        <v>1156</v>
      </c>
      <c r="E2518" s="49" t="s">
        <v>1455</v>
      </c>
      <c r="F2518" s="49" t="s">
        <v>1456</v>
      </c>
      <c r="G2518" s="49" t="s">
        <v>772</v>
      </c>
      <c r="H2518" s="49" t="s">
        <v>1132</v>
      </c>
      <c r="I2518" s="49" t="s">
        <v>885</v>
      </c>
    </row>
    <row r="2519" customFormat="false" ht="25.5" hidden="false" customHeight="true" outlineLevel="0" collapsed="false">
      <c r="A2519" s="49" t="s">
        <v>1122</v>
      </c>
      <c r="B2519" s="49" t="s">
        <v>1447</v>
      </c>
      <c r="C2519" s="49" t="s">
        <v>1457</v>
      </c>
      <c r="D2519" s="49" t="s">
        <v>1156</v>
      </c>
      <c r="E2519" s="49" t="s">
        <v>1455</v>
      </c>
      <c r="F2519" s="49" t="s">
        <v>1456</v>
      </c>
      <c r="G2519" s="49" t="s">
        <v>772</v>
      </c>
      <c r="H2519" s="49" t="s">
        <v>1132</v>
      </c>
      <c r="I2519" s="49" t="s">
        <v>885</v>
      </c>
    </row>
    <row r="2520" customFormat="false" ht="25.5" hidden="false" customHeight="true" outlineLevel="0" collapsed="false">
      <c r="A2520" s="49" t="s">
        <v>1122</v>
      </c>
      <c r="B2520" s="49" t="s">
        <v>1447</v>
      </c>
      <c r="C2520" s="49" t="s">
        <v>1458</v>
      </c>
      <c r="D2520" s="49" t="s">
        <v>1208</v>
      </c>
      <c r="E2520" s="49" t="s">
        <v>1183</v>
      </c>
      <c r="F2520" s="49" t="s">
        <v>1459</v>
      </c>
      <c r="G2520" s="49" t="s">
        <v>772</v>
      </c>
      <c r="H2520" s="49" t="s">
        <v>1132</v>
      </c>
      <c r="I2520" s="49" t="s">
        <v>885</v>
      </c>
    </row>
    <row r="2521" customFormat="false" ht="25.5" hidden="false" customHeight="true" outlineLevel="0" collapsed="false">
      <c r="A2521" s="49" t="s">
        <v>1122</v>
      </c>
      <c r="B2521" s="49" t="s">
        <v>1447</v>
      </c>
      <c r="C2521" s="49" t="s">
        <v>1460</v>
      </c>
      <c r="D2521" s="49" t="s">
        <v>1141</v>
      </c>
      <c r="E2521" s="49" t="s">
        <v>1183</v>
      </c>
      <c r="F2521" s="49" t="s">
        <v>1461</v>
      </c>
      <c r="G2521" s="49" t="s">
        <v>772</v>
      </c>
      <c r="H2521" s="49" t="s">
        <v>1132</v>
      </c>
      <c r="I2521" s="49" t="s">
        <v>885</v>
      </c>
    </row>
    <row r="2522" customFormat="false" ht="25.5" hidden="false" customHeight="true" outlineLevel="0" collapsed="false">
      <c r="A2522" s="49" t="s">
        <v>1122</v>
      </c>
      <c r="B2522" s="49" t="s">
        <v>1447</v>
      </c>
      <c r="C2522" s="49" t="s">
        <v>1462</v>
      </c>
      <c r="D2522" s="49" t="s">
        <v>1156</v>
      </c>
      <c r="E2522" s="49" t="s">
        <v>1183</v>
      </c>
      <c r="F2522" s="49" t="s">
        <v>1463</v>
      </c>
      <c r="G2522" s="49" t="s">
        <v>772</v>
      </c>
      <c r="H2522" s="49" t="s">
        <v>1132</v>
      </c>
      <c r="I2522" s="49" t="s">
        <v>885</v>
      </c>
    </row>
    <row r="2523" customFormat="false" ht="25.5" hidden="false" customHeight="true" outlineLevel="0" collapsed="false">
      <c r="A2523" s="49" t="s">
        <v>1122</v>
      </c>
      <c r="B2523" s="49" t="s">
        <v>1447</v>
      </c>
      <c r="C2523" s="49" t="s">
        <v>1464</v>
      </c>
      <c r="D2523" s="49" t="s">
        <v>1218</v>
      </c>
      <c r="E2523" s="49" t="s">
        <v>1183</v>
      </c>
      <c r="F2523" s="49" t="s">
        <v>1465</v>
      </c>
      <c r="G2523" s="49" t="s">
        <v>772</v>
      </c>
      <c r="H2523" s="49" t="s">
        <v>1132</v>
      </c>
      <c r="I2523" s="49" t="s">
        <v>885</v>
      </c>
    </row>
    <row r="2524" customFormat="false" ht="25.5" hidden="false" customHeight="true" outlineLevel="0" collapsed="false">
      <c r="A2524" s="49" t="s">
        <v>1122</v>
      </c>
      <c r="B2524" s="49" t="s">
        <v>1447</v>
      </c>
      <c r="C2524" s="49" t="s">
        <v>1466</v>
      </c>
      <c r="D2524" s="49" t="s">
        <v>1141</v>
      </c>
      <c r="E2524" s="49" t="s">
        <v>1183</v>
      </c>
      <c r="F2524" s="49" t="s">
        <v>1467</v>
      </c>
      <c r="G2524" s="49" t="s">
        <v>772</v>
      </c>
      <c r="H2524" s="49" t="s">
        <v>1132</v>
      </c>
      <c r="I2524" s="49" t="s">
        <v>885</v>
      </c>
    </row>
    <row r="2525" customFormat="false" ht="25.5" hidden="false" customHeight="true" outlineLevel="0" collapsed="false">
      <c r="A2525" s="49" t="s">
        <v>1122</v>
      </c>
      <c r="B2525" s="49" t="s">
        <v>1447</v>
      </c>
      <c r="C2525" s="49" t="s">
        <v>1468</v>
      </c>
      <c r="D2525" s="49" t="s">
        <v>1292</v>
      </c>
      <c r="E2525" s="49" t="s">
        <v>1183</v>
      </c>
      <c r="F2525" s="49" t="s">
        <v>1469</v>
      </c>
      <c r="G2525" s="49" t="s">
        <v>772</v>
      </c>
      <c r="H2525" s="49" t="s">
        <v>1132</v>
      </c>
      <c r="I2525" s="49" t="s">
        <v>885</v>
      </c>
    </row>
    <row r="2526" customFormat="false" ht="25.5" hidden="false" customHeight="true" outlineLevel="0" collapsed="false">
      <c r="A2526" s="49" t="s">
        <v>1122</v>
      </c>
      <c r="B2526" s="49" t="s">
        <v>1447</v>
      </c>
      <c r="C2526" s="49" t="s">
        <v>1470</v>
      </c>
      <c r="D2526" s="49" t="s">
        <v>1218</v>
      </c>
      <c r="E2526" s="49" t="s">
        <v>1183</v>
      </c>
      <c r="F2526" s="49" t="s">
        <v>1471</v>
      </c>
      <c r="G2526" s="49" t="s">
        <v>772</v>
      </c>
      <c r="H2526" s="49" t="s">
        <v>1132</v>
      </c>
      <c r="I2526" s="49" t="s">
        <v>885</v>
      </c>
    </row>
    <row r="2527" customFormat="false" ht="25.5" hidden="false" customHeight="true" outlineLevel="0" collapsed="false">
      <c r="A2527" s="49" t="s">
        <v>1122</v>
      </c>
      <c r="B2527" s="49" t="s">
        <v>1447</v>
      </c>
      <c r="C2527" s="49" t="s">
        <v>1472</v>
      </c>
      <c r="D2527" s="49" t="s">
        <v>1134</v>
      </c>
      <c r="E2527" s="49" t="s">
        <v>1405</v>
      </c>
      <c r="F2527" s="49" t="s">
        <v>1473</v>
      </c>
      <c r="G2527" s="49" t="s">
        <v>772</v>
      </c>
      <c r="H2527" s="49" t="s">
        <v>1132</v>
      </c>
      <c r="I2527" s="49" t="s">
        <v>885</v>
      </c>
    </row>
    <row r="2528" customFormat="false" ht="25.5" hidden="false" customHeight="true" outlineLevel="0" collapsed="false">
      <c r="A2528" s="49" t="s">
        <v>1122</v>
      </c>
      <c r="B2528" s="49" t="s">
        <v>1447</v>
      </c>
      <c r="C2528" s="49" t="s">
        <v>1474</v>
      </c>
      <c r="D2528" s="49" t="s">
        <v>1208</v>
      </c>
      <c r="E2528" s="49" t="s">
        <v>1475</v>
      </c>
      <c r="F2528" s="49" t="s">
        <v>1476</v>
      </c>
      <c r="G2528" s="49" t="s">
        <v>772</v>
      </c>
      <c r="H2528" s="49" t="s">
        <v>1132</v>
      </c>
      <c r="I2528" s="49" t="s">
        <v>885</v>
      </c>
    </row>
    <row r="2529" customFormat="false" ht="25.5" hidden="false" customHeight="true" outlineLevel="0" collapsed="false">
      <c r="A2529" s="49" t="s">
        <v>1122</v>
      </c>
      <c r="B2529" s="49" t="s">
        <v>1447</v>
      </c>
      <c r="C2529" s="49" t="s">
        <v>1477</v>
      </c>
      <c r="D2529" s="49" t="s">
        <v>1162</v>
      </c>
      <c r="E2529" s="49" t="s">
        <v>1478</v>
      </c>
      <c r="F2529" s="49" t="s">
        <v>1479</v>
      </c>
      <c r="G2529" s="49" t="s">
        <v>772</v>
      </c>
      <c r="H2529" s="49" t="s">
        <v>1132</v>
      </c>
      <c r="I2529" s="49" t="s">
        <v>885</v>
      </c>
    </row>
    <row r="2530" customFormat="false" ht="25.5" hidden="false" customHeight="true" outlineLevel="0" collapsed="false">
      <c r="A2530" s="49" t="s">
        <v>1122</v>
      </c>
      <c r="B2530" s="49" t="s">
        <v>1447</v>
      </c>
      <c r="C2530" s="49" t="s">
        <v>1480</v>
      </c>
      <c r="D2530" s="49" t="s">
        <v>1199</v>
      </c>
      <c r="E2530" s="49" t="s">
        <v>1135</v>
      </c>
      <c r="F2530" s="49" t="s">
        <v>1473</v>
      </c>
      <c r="G2530" s="49" t="s">
        <v>772</v>
      </c>
      <c r="H2530" s="49" t="s">
        <v>1132</v>
      </c>
      <c r="I2530" s="49" t="s">
        <v>885</v>
      </c>
    </row>
    <row r="2531" customFormat="false" ht="25.5" hidden="false" customHeight="true" outlineLevel="0" collapsed="false">
      <c r="A2531" s="49" t="s">
        <v>1122</v>
      </c>
      <c r="B2531" s="49" t="s">
        <v>1447</v>
      </c>
      <c r="C2531" s="49" t="s">
        <v>1481</v>
      </c>
      <c r="D2531" s="49" t="s">
        <v>1292</v>
      </c>
      <c r="E2531" s="49" t="s">
        <v>1135</v>
      </c>
      <c r="F2531" s="49" t="s">
        <v>1473</v>
      </c>
      <c r="G2531" s="49" t="s">
        <v>772</v>
      </c>
      <c r="H2531" s="49" t="s">
        <v>1132</v>
      </c>
      <c r="I2531" s="49" t="s">
        <v>885</v>
      </c>
    </row>
    <row r="2532" customFormat="false" ht="25.5" hidden="false" customHeight="true" outlineLevel="0" collapsed="false">
      <c r="A2532" s="49" t="s">
        <v>1122</v>
      </c>
      <c r="B2532" s="49" t="s">
        <v>1447</v>
      </c>
      <c r="C2532" s="49" t="s">
        <v>1482</v>
      </c>
      <c r="D2532" s="49" t="s">
        <v>1199</v>
      </c>
      <c r="E2532" s="49" t="s">
        <v>1483</v>
      </c>
      <c r="F2532" s="49" t="s">
        <v>1484</v>
      </c>
      <c r="G2532" s="49" t="s">
        <v>772</v>
      </c>
      <c r="H2532" s="49" t="s">
        <v>1132</v>
      </c>
      <c r="I2532" s="49" t="s">
        <v>885</v>
      </c>
    </row>
    <row r="2533" customFormat="false" ht="25.5" hidden="false" customHeight="true" outlineLevel="0" collapsed="false">
      <c r="A2533" s="49" t="s">
        <v>1122</v>
      </c>
      <c r="B2533" s="49" t="s">
        <v>1447</v>
      </c>
      <c r="C2533" s="49" t="s">
        <v>1485</v>
      </c>
      <c r="D2533" s="49" t="s">
        <v>1151</v>
      </c>
      <c r="E2533" s="49" t="s">
        <v>1135</v>
      </c>
      <c r="F2533" s="49" t="s">
        <v>1473</v>
      </c>
      <c r="G2533" s="49" t="s">
        <v>772</v>
      </c>
      <c r="H2533" s="49" t="s">
        <v>1132</v>
      </c>
      <c r="I2533" s="49" t="s">
        <v>885</v>
      </c>
    </row>
    <row r="2534" customFormat="false" ht="25.5" hidden="false" customHeight="true" outlineLevel="0" collapsed="false">
      <c r="A2534" s="49" t="s">
        <v>1122</v>
      </c>
      <c r="B2534" s="49" t="s">
        <v>1447</v>
      </c>
      <c r="C2534" s="49" t="s">
        <v>1486</v>
      </c>
      <c r="D2534" s="49" t="s">
        <v>1199</v>
      </c>
      <c r="E2534" s="49" t="s">
        <v>1135</v>
      </c>
      <c r="F2534" s="49" t="s">
        <v>1473</v>
      </c>
      <c r="G2534" s="49" t="s">
        <v>772</v>
      </c>
      <c r="H2534" s="49" t="s">
        <v>1132</v>
      </c>
      <c r="I2534" s="49" t="s">
        <v>885</v>
      </c>
    </row>
    <row r="2535" customFormat="false" ht="25.5" hidden="false" customHeight="true" outlineLevel="0" collapsed="false">
      <c r="A2535" s="49" t="s">
        <v>1122</v>
      </c>
      <c r="B2535" s="49" t="s">
        <v>1447</v>
      </c>
      <c r="C2535" s="49" t="s">
        <v>1487</v>
      </c>
      <c r="D2535" s="49" t="s">
        <v>1148</v>
      </c>
      <c r="E2535" s="49" t="s">
        <v>1135</v>
      </c>
      <c r="F2535" s="49" t="s">
        <v>1473</v>
      </c>
      <c r="G2535" s="49" t="s">
        <v>772</v>
      </c>
      <c r="H2535" s="49" t="s">
        <v>1132</v>
      </c>
      <c r="I2535" s="49" t="s">
        <v>885</v>
      </c>
    </row>
    <row r="2536" customFormat="false" ht="25.5" hidden="false" customHeight="true" outlineLevel="0" collapsed="false">
      <c r="A2536" s="49" t="s">
        <v>1122</v>
      </c>
      <c r="B2536" s="49" t="s">
        <v>1447</v>
      </c>
      <c r="C2536" s="49" t="s">
        <v>1488</v>
      </c>
      <c r="D2536" s="49" t="s">
        <v>1151</v>
      </c>
      <c r="E2536" s="49" t="s">
        <v>1135</v>
      </c>
      <c r="F2536" s="49" t="s">
        <v>1473</v>
      </c>
      <c r="G2536" s="49" t="s">
        <v>772</v>
      </c>
      <c r="H2536" s="49" t="s">
        <v>1132</v>
      </c>
      <c r="I2536" s="49" t="s">
        <v>885</v>
      </c>
    </row>
    <row r="2537" customFormat="false" ht="25.5" hidden="false" customHeight="true" outlineLevel="0" collapsed="false">
      <c r="A2537" s="49" t="s">
        <v>1122</v>
      </c>
      <c r="B2537" s="49" t="s">
        <v>1447</v>
      </c>
      <c r="C2537" s="49" t="s">
        <v>1489</v>
      </c>
      <c r="D2537" s="49" t="s">
        <v>1151</v>
      </c>
      <c r="E2537" s="49" t="s">
        <v>1135</v>
      </c>
      <c r="F2537" s="49" t="s">
        <v>1473</v>
      </c>
      <c r="G2537" s="49" t="s">
        <v>772</v>
      </c>
      <c r="H2537" s="49" t="s">
        <v>1132</v>
      </c>
      <c r="I2537" s="49" t="s">
        <v>885</v>
      </c>
    </row>
    <row r="2538" customFormat="false" ht="25.5" hidden="false" customHeight="true" outlineLevel="0" collapsed="false">
      <c r="A2538" s="49" t="s">
        <v>1122</v>
      </c>
      <c r="B2538" s="49" t="s">
        <v>1447</v>
      </c>
      <c r="C2538" s="49" t="s">
        <v>1490</v>
      </c>
      <c r="D2538" s="49" t="s">
        <v>1141</v>
      </c>
      <c r="E2538" s="49" t="s">
        <v>1135</v>
      </c>
      <c r="F2538" s="49" t="s">
        <v>1473</v>
      </c>
      <c r="G2538" s="49" t="s">
        <v>772</v>
      </c>
      <c r="H2538" s="49" t="s">
        <v>1132</v>
      </c>
      <c r="I2538" s="49" t="s">
        <v>885</v>
      </c>
    </row>
    <row r="2539" customFormat="false" ht="25.5" hidden="false" customHeight="true" outlineLevel="0" collapsed="false">
      <c r="A2539" s="49" t="s">
        <v>1122</v>
      </c>
      <c r="B2539" s="49" t="s">
        <v>1447</v>
      </c>
      <c r="C2539" s="49" t="s">
        <v>1491</v>
      </c>
      <c r="D2539" s="49" t="s">
        <v>1218</v>
      </c>
      <c r="E2539" s="49" t="s">
        <v>1135</v>
      </c>
      <c r="F2539" s="49" t="s">
        <v>1473</v>
      </c>
      <c r="G2539" s="49" t="s">
        <v>772</v>
      </c>
      <c r="H2539" s="49" t="s">
        <v>1132</v>
      </c>
      <c r="I2539" s="49" t="s">
        <v>885</v>
      </c>
    </row>
    <row r="2540" customFormat="false" ht="25.5" hidden="false" customHeight="true" outlineLevel="0" collapsed="false">
      <c r="A2540" s="49" t="s">
        <v>1122</v>
      </c>
      <c r="B2540" s="49" t="s">
        <v>1447</v>
      </c>
      <c r="C2540" s="49" t="s">
        <v>1492</v>
      </c>
      <c r="D2540" s="49" t="s">
        <v>1156</v>
      </c>
      <c r="E2540" s="49" t="s">
        <v>1135</v>
      </c>
      <c r="F2540" s="49" t="s">
        <v>1473</v>
      </c>
      <c r="G2540" s="49" t="s">
        <v>772</v>
      </c>
      <c r="H2540" s="49" t="s">
        <v>1132</v>
      </c>
      <c r="I2540" s="49" t="s">
        <v>885</v>
      </c>
    </row>
    <row r="2541" customFormat="false" ht="25.5" hidden="false" customHeight="true" outlineLevel="0" collapsed="false">
      <c r="A2541" s="49" t="s">
        <v>1122</v>
      </c>
      <c r="B2541" s="49" t="s">
        <v>1447</v>
      </c>
      <c r="C2541" s="49" t="s">
        <v>1493</v>
      </c>
      <c r="D2541" s="49" t="s">
        <v>1134</v>
      </c>
      <c r="E2541" s="49" t="s">
        <v>1183</v>
      </c>
      <c r="F2541" s="49" t="s">
        <v>1408</v>
      </c>
      <c r="G2541" s="49" t="s">
        <v>772</v>
      </c>
      <c r="H2541" s="49" t="s">
        <v>1132</v>
      </c>
      <c r="I2541" s="49" t="s">
        <v>885</v>
      </c>
    </row>
    <row r="2542" customFormat="false" ht="25.5" hidden="false" customHeight="true" outlineLevel="0" collapsed="false">
      <c r="A2542" s="49" t="s">
        <v>1122</v>
      </c>
      <c r="B2542" s="49" t="s">
        <v>1447</v>
      </c>
      <c r="C2542" s="49" t="s">
        <v>1494</v>
      </c>
      <c r="D2542" s="49" t="s">
        <v>1151</v>
      </c>
      <c r="E2542" s="49" t="s">
        <v>1135</v>
      </c>
      <c r="F2542" s="49" t="s">
        <v>1473</v>
      </c>
      <c r="G2542" s="49" t="s">
        <v>772</v>
      </c>
      <c r="H2542" s="49" t="s">
        <v>1132</v>
      </c>
      <c r="I2542" s="49" t="s">
        <v>885</v>
      </c>
    </row>
    <row r="2543" customFormat="false" ht="25.5" hidden="false" customHeight="true" outlineLevel="0" collapsed="false">
      <c r="A2543" s="49" t="s">
        <v>1122</v>
      </c>
      <c r="B2543" s="49" t="s">
        <v>879</v>
      </c>
      <c r="C2543" s="49" t="s">
        <v>880</v>
      </c>
      <c r="D2543" s="49" t="s">
        <v>881</v>
      </c>
      <c r="E2543" s="49" t="s">
        <v>882</v>
      </c>
      <c r="F2543" s="49" t="s">
        <v>883</v>
      </c>
      <c r="G2543" s="49" t="s">
        <v>772</v>
      </c>
      <c r="H2543" s="49" t="s">
        <v>1132</v>
      </c>
      <c r="I2543" s="49" t="s">
        <v>885</v>
      </c>
    </row>
    <row r="2544" customFormat="false" ht="25.5" hidden="false" customHeight="true" outlineLevel="0" collapsed="false">
      <c r="A2544" s="49" t="s">
        <v>1122</v>
      </c>
      <c r="B2544" s="49" t="s">
        <v>879</v>
      </c>
      <c r="C2544" s="49" t="s">
        <v>943</v>
      </c>
      <c r="D2544" s="49" t="s">
        <v>944</v>
      </c>
      <c r="E2544" s="49" t="s">
        <v>843</v>
      </c>
      <c r="F2544" s="49" t="s">
        <v>945</v>
      </c>
      <c r="G2544" s="49" t="s">
        <v>776</v>
      </c>
      <c r="H2544" s="49" t="s">
        <v>1647</v>
      </c>
      <c r="I2544" s="49" t="s">
        <v>885</v>
      </c>
    </row>
    <row r="2545" customFormat="false" ht="25.5" hidden="false" customHeight="true" outlineLevel="0" collapsed="false">
      <c r="A2545" s="49" t="s">
        <v>1122</v>
      </c>
      <c r="B2545" s="49" t="s">
        <v>879</v>
      </c>
      <c r="C2545" s="49" t="s">
        <v>947</v>
      </c>
      <c r="D2545" s="49"/>
      <c r="E2545" s="49" t="s">
        <v>40</v>
      </c>
      <c r="F2545" s="49"/>
      <c r="G2545" s="49" t="s">
        <v>772</v>
      </c>
      <c r="H2545" s="49" t="s">
        <v>1618</v>
      </c>
      <c r="I2545" s="49" t="s">
        <v>885</v>
      </c>
    </row>
    <row r="2546" customFormat="false" ht="25.5" hidden="false" customHeight="true" outlineLevel="0" collapsed="false">
      <c r="A2546" s="49" t="s">
        <v>1122</v>
      </c>
      <c r="B2546" s="49" t="s">
        <v>879</v>
      </c>
      <c r="C2546" s="49" t="s">
        <v>949</v>
      </c>
      <c r="D2546" s="49"/>
      <c r="E2546" s="49" t="s">
        <v>811</v>
      </c>
      <c r="F2546" s="49"/>
      <c r="G2546" s="49" t="s">
        <v>772</v>
      </c>
      <c r="H2546" s="49" t="s">
        <v>1618</v>
      </c>
      <c r="I2546" s="49" t="s">
        <v>885</v>
      </c>
    </row>
    <row r="2547" customFormat="false" ht="25.5" hidden="false" customHeight="true" outlineLevel="0" collapsed="false">
      <c r="A2547" s="49" t="s">
        <v>1122</v>
      </c>
      <c r="B2547" s="49" t="s">
        <v>879</v>
      </c>
      <c r="C2547" s="49" t="s">
        <v>999</v>
      </c>
      <c r="D2547" s="49" t="s">
        <v>890</v>
      </c>
      <c r="E2547" s="49" t="s">
        <v>146</v>
      </c>
      <c r="F2547" s="49" t="s">
        <v>1000</v>
      </c>
      <c r="G2547" s="49" t="s">
        <v>772</v>
      </c>
      <c r="H2547" s="49" t="s">
        <v>1132</v>
      </c>
      <c r="I2547" s="49" t="s">
        <v>885</v>
      </c>
    </row>
    <row r="2548" customFormat="false" ht="25.5" hidden="false" customHeight="true" outlineLevel="0" collapsed="false">
      <c r="A2548" s="49" t="s">
        <v>1122</v>
      </c>
      <c r="B2548" s="49" t="s">
        <v>891</v>
      </c>
      <c r="C2548" s="49" t="s">
        <v>1498</v>
      </c>
      <c r="D2548" s="49" t="s">
        <v>1499</v>
      </c>
      <c r="E2548" s="49" t="s">
        <v>1142</v>
      </c>
      <c r="F2548" s="49" t="s">
        <v>1500</v>
      </c>
      <c r="G2548" s="49" t="s">
        <v>772</v>
      </c>
      <c r="H2548" s="49" t="s">
        <v>1132</v>
      </c>
      <c r="I2548" s="49" t="s">
        <v>885</v>
      </c>
    </row>
    <row r="2549" customFormat="false" ht="25.5" hidden="false" customHeight="true" outlineLevel="0" collapsed="false">
      <c r="A2549" s="49" t="s">
        <v>1122</v>
      </c>
      <c r="B2549" s="49" t="s">
        <v>891</v>
      </c>
      <c r="C2549" s="49" t="s">
        <v>1501</v>
      </c>
      <c r="D2549" s="49" t="s">
        <v>1004</v>
      </c>
      <c r="E2549" s="49" t="s">
        <v>1502</v>
      </c>
      <c r="F2549" s="49" t="s">
        <v>1008</v>
      </c>
      <c r="G2549" s="49" t="s">
        <v>772</v>
      </c>
      <c r="H2549" s="49" t="s">
        <v>1132</v>
      </c>
      <c r="I2549" s="49" t="s">
        <v>885</v>
      </c>
    </row>
    <row r="2550" customFormat="false" ht="25.5" hidden="false" customHeight="true" outlineLevel="0" collapsed="false">
      <c r="A2550" s="49" t="s">
        <v>1122</v>
      </c>
      <c r="B2550" s="49" t="s">
        <v>891</v>
      </c>
      <c r="C2550" s="49" t="s">
        <v>892</v>
      </c>
      <c r="D2550" s="49"/>
      <c r="E2550" s="49" t="s">
        <v>893</v>
      </c>
      <c r="F2550" s="49" t="s">
        <v>894</v>
      </c>
      <c r="G2550" s="49" t="s">
        <v>772</v>
      </c>
      <c r="H2550" s="49" t="s">
        <v>1132</v>
      </c>
      <c r="I2550" s="49" t="s">
        <v>885</v>
      </c>
    </row>
    <row r="2551" customFormat="false" ht="25.5" hidden="false" customHeight="true" outlineLevel="0" collapsed="false">
      <c r="A2551" s="49" t="s">
        <v>1122</v>
      </c>
      <c r="B2551" s="49" t="s">
        <v>891</v>
      </c>
      <c r="C2551" s="49" t="s">
        <v>1006</v>
      </c>
      <c r="D2551" s="49" t="s">
        <v>1007</v>
      </c>
      <c r="E2551" s="49" t="s">
        <v>146</v>
      </c>
      <c r="F2551" s="49" t="s">
        <v>1008</v>
      </c>
      <c r="G2551" s="49" t="s">
        <v>772</v>
      </c>
      <c r="H2551" s="49" t="s">
        <v>1132</v>
      </c>
      <c r="I2551" s="49" t="s">
        <v>885</v>
      </c>
    </row>
    <row r="2552" customFormat="false" ht="25.5" hidden="false" customHeight="true" outlineLevel="0" collapsed="false">
      <c r="A2552" s="49" t="s">
        <v>1122</v>
      </c>
      <c r="B2552" s="49" t="s">
        <v>1009</v>
      </c>
      <c r="C2552" s="49" t="s">
        <v>1504</v>
      </c>
      <c r="D2552" s="49" t="s">
        <v>1011</v>
      </c>
      <c r="E2552" s="49" t="s">
        <v>1189</v>
      </c>
      <c r="F2552" s="49" t="s">
        <v>1505</v>
      </c>
      <c r="G2552" s="49" t="s">
        <v>772</v>
      </c>
      <c r="H2552" s="49" t="s">
        <v>1132</v>
      </c>
      <c r="I2552" s="49" t="s">
        <v>885</v>
      </c>
    </row>
    <row r="2553" customFormat="false" ht="25.5" hidden="false" customHeight="true" outlineLevel="0" collapsed="false">
      <c r="A2553" s="49" t="s">
        <v>1122</v>
      </c>
      <c r="B2553" s="49" t="s">
        <v>1009</v>
      </c>
      <c r="C2553" s="49" t="s">
        <v>1014</v>
      </c>
      <c r="D2553" s="49" t="s">
        <v>1011</v>
      </c>
      <c r="E2553" s="49" t="s">
        <v>1015</v>
      </c>
      <c r="F2553" s="49" t="s">
        <v>1016</v>
      </c>
      <c r="G2553" s="49" t="s">
        <v>772</v>
      </c>
      <c r="H2553" s="49" t="s">
        <v>1132</v>
      </c>
      <c r="I2553" s="49" t="s">
        <v>885</v>
      </c>
    </row>
    <row r="2554" customFormat="false" ht="25.5" hidden="false" customHeight="true" outlineLevel="0" collapsed="false">
      <c r="A2554" s="49" t="s">
        <v>1122</v>
      </c>
      <c r="B2554" s="49" t="s">
        <v>950</v>
      </c>
      <c r="C2554" s="49" t="s">
        <v>951</v>
      </c>
      <c r="D2554" s="49"/>
      <c r="E2554" s="49" t="s">
        <v>217</v>
      </c>
      <c r="F2554" s="49" t="s">
        <v>952</v>
      </c>
      <c r="G2554" s="49" t="s">
        <v>776</v>
      </c>
      <c r="H2554" s="49" t="s">
        <v>1647</v>
      </c>
      <c r="I2554" s="49" t="s">
        <v>885</v>
      </c>
    </row>
    <row r="2555" customFormat="false" ht="25.5" hidden="false" customHeight="true" outlineLevel="0" collapsed="false">
      <c r="A2555" s="49" t="s">
        <v>1122</v>
      </c>
      <c r="B2555" s="49" t="s">
        <v>950</v>
      </c>
      <c r="C2555" s="49" t="s">
        <v>953</v>
      </c>
      <c r="D2555" s="49" t="s">
        <v>954</v>
      </c>
      <c r="E2555" s="49" t="s">
        <v>217</v>
      </c>
      <c r="F2555" s="49" t="s">
        <v>955</v>
      </c>
      <c r="G2555" s="49" t="s">
        <v>776</v>
      </c>
      <c r="H2555" s="49" t="s">
        <v>1647</v>
      </c>
      <c r="I2555" s="49" t="s">
        <v>885</v>
      </c>
    </row>
    <row r="2556" customFormat="false" ht="25.5" hidden="false" customHeight="true" outlineLevel="0" collapsed="false">
      <c r="A2556" s="49" t="s">
        <v>1122</v>
      </c>
      <c r="B2556" s="49" t="s">
        <v>950</v>
      </c>
      <c r="C2556" s="49" t="s">
        <v>956</v>
      </c>
      <c r="D2556" s="49" t="s">
        <v>954</v>
      </c>
      <c r="E2556" s="49" t="s">
        <v>957</v>
      </c>
      <c r="F2556" s="49" t="s">
        <v>958</v>
      </c>
      <c r="G2556" s="49" t="s">
        <v>776</v>
      </c>
      <c r="H2556" s="49" t="s">
        <v>1647</v>
      </c>
      <c r="I2556" s="49" t="s">
        <v>885</v>
      </c>
    </row>
    <row r="2557" customFormat="false" ht="25.5" hidden="false" customHeight="true" outlineLevel="0" collapsed="false">
      <c r="A2557" s="49" t="s">
        <v>1122</v>
      </c>
      <c r="B2557" s="49" t="s">
        <v>950</v>
      </c>
      <c r="C2557" s="49" t="s">
        <v>1024</v>
      </c>
      <c r="D2557" s="49" t="s">
        <v>1025</v>
      </c>
      <c r="E2557" s="49" t="s">
        <v>146</v>
      </c>
      <c r="F2557" s="49" t="s">
        <v>1026</v>
      </c>
      <c r="G2557" s="49" t="s">
        <v>772</v>
      </c>
      <c r="H2557" s="49" t="s">
        <v>1132</v>
      </c>
      <c r="I2557" s="49" t="s">
        <v>885</v>
      </c>
    </row>
    <row r="2558" customFormat="false" ht="25.5" hidden="false" customHeight="true" outlineLevel="0" collapsed="false">
      <c r="A2558" s="49" t="s">
        <v>1122</v>
      </c>
      <c r="B2558" s="49" t="s">
        <v>896</v>
      </c>
      <c r="C2558" s="49" t="s">
        <v>1028</v>
      </c>
      <c r="D2558" s="49" t="s">
        <v>1029</v>
      </c>
      <c r="E2558" s="49" t="s">
        <v>146</v>
      </c>
      <c r="F2558" s="49" t="s">
        <v>1030</v>
      </c>
      <c r="G2558" s="49" t="s">
        <v>772</v>
      </c>
      <c r="H2558" s="49" t="s">
        <v>1132</v>
      </c>
      <c r="I2558" s="49" t="s">
        <v>885</v>
      </c>
    </row>
    <row r="2559" customFormat="false" ht="25.5" hidden="false" customHeight="true" outlineLevel="0" collapsed="false">
      <c r="A2559" s="49" t="s">
        <v>1122</v>
      </c>
      <c r="B2559" s="49" t="s">
        <v>907</v>
      </c>
      <c r="C2559" s="49" t="s">
        <v>1507</v>
      </c>
      <c r="D2559" s="49" t="s">
        <v>1032</v>
      </c>
      <c r="E2559" s="49" t="s">
        <v>1142</v>
      </c>
      <c r="F2559" s="49" t="s">
        <v>1500</v>
      </c>
      <c r="G2559" s="49" t="s">
        <v>772</v>
      </c>
      <c r="H2559" s="49" t="s">
        <v>1132</v>
      </c>
      <c r="I2559" s="49" t="s">
        <v>885</v>
      </c>
    </row>
    <row r="2560" customFormat="false" ht="25.5" hidden="false" customHeight="true" outlineLevel="0" collapsed="false">
      <c r="A2560" s="49" t="s">
        <v>1122</v>
      </c>
      <c r="B2560" s="49" t="s">
        <v>907</v>
      </c>
      <c r="C2560" s="49" t="s">
        <v>1508</v>
      </c>
      <c r="D2560" s="49" t="s">
        <v>1034</v>
      </c>
      <c r="E2560" s="49" t="s">
        <v>1142</v>
      </c>
      <c r="F2560" s="49" t="s">
        <v>1500</v>
      </c>
      <c r="G2560" s="49" t="s">
        <v>772</v>
      </c>
      <c r="H2560" s="49" t="s">
        <v>1132</v>
      </c>
      <c r="I2560" s="49" t="s">
        <v>885</v>
      </c>
    </row>
    <row r="2561" customFormat="false" ht="25.5" hidden="false" customHeight="true" outlineLevel="0" collapsed="false">
      <c r="A2561" s="49" t="s">
        <v>1122</v>
      </c>
      <c r="B2561" s="49" t="s">
        <v>907</v>
      </c>
      <c r="C2561" s="49" t="s">
        <v>1509</v>
      </c>
      <c r="D2561" s="49" t="s">
        <v>1032</v>
      </c>
      <c r="E2561" s="49" t="s">
        <v>1189</v>
      </c>
      <c r="F2561" s="49" t="s">
        <v>1500</v>
      </c>
      <c r="G2561" s="49" t="s">
        <v>772</v>
      </c>
      <c r="H2561" s="49" t="s">
        <v>1132</v>
      </c>
      <c r="I2561" s="49" t="s">
        <v>885</v>
      </c>
    </row>
    <row r="2562" customFormat="false" ht="25.5" hidden="false" customHeight="true" outlineLevel="0" collapsed="false">
      <c r="A2562" s="49" t="s">
        <v>1122</v>
      </c>
      <c r="B2562" s="49" t="s">
        <v>907</v>
      </c>
      <c r="C2562" s="49" t="s">
        <v>1035</v>
      </c>
      <c r="D2562" s="49" t="s">
        <v>1034</v>
      </c>
      <c r="E2562" s="49" t="s">
        <v>1036</v>
      </c>
      <c r="F2562" s="49" t="s">
        <v>1037</v>
      </c>
      <c r="G2562" s="49" t="s">
        <v>772</v>
      </c>
      <c r="H2562" s="49" t="s">
        <v>1132</v>
      </c>
      <c r="I2562" s="49" t="s">
        <v>885</v>
      </c>
    </row>
    <row r="2563" customFormat="false" ht="25.5" hidden="false" customHeight="true" outlineLevel="0" collapsed="false">
      <c r="A2563" s="49" t="s">
        <v>1122</v>
      </c>
      <c r="B2563" s="49" t="s">
        <v>907</v>
      </c>
      <c r="C2563" s="49" t="s">
        <v>1510</v>
      </c>
      <c r="D2563" s="49"/>
      <c r="E2563" s="49" t="s">
        <v>1511</v>
      </c>
      <c r="F2563" s="49" t="s">
        <v>1512</v>
      </c>
      <c r="G2563" s="49" t="s">
        <v>772</v>
      </c>
      <c r="H2563" s="49" t="s">
        <v>1132</v>
      </c>
      <c r="I2563" s="49" t="s">
        <v>885</v>
      </c>
    </row>
    <row r="2564" customFormat="false" ht="25.5" hidden="false" customHeight="true" outlineLevel="0" collapsed="false">
      <c r="A2564" s="49" t="s">
        <v>1122</v>
      </c>
      <c r="B2564" s="49" t="s">
        <v>907</v>
      </c>
      <c r="C2564" s="49" t="s">
        <v>960</v>
      </c>
      <c r="D2564" s="49"/>
      <c r="E2564" s="49" t="s">
        <v>217</v>
      </c>
      <c r="F2564" s="49" t="s">
        <v>961</v>
      </c>
      <c r="G2564" s="49" t="s">
        <v>776</v>
      </c>
      <c r="H2564" s="49" t="s">
        <v>1647</v>
      </c>
      <c r="I2564" s="49" t="s">
        <v>885</v>
      </c>
    </row>
    <row r="2565" customFormat="false" ht="25.5" hidden="false" customHeight="true" outlineLevel="0" collapsed="false">
      <c r="A2565" s="49" t="s">
        <v>1122</v>
      </c>
      <c r="B2565" s="49" t="s">
        <v>915</v>
      </c>
      <c r="C2565" s="49" t="s">
        <v>1513</v>
      </c>
      <c r="D2565" s="49" t="s">
        <v>1029</v>
      </c>
      <c r="E2565" s="49" t="s">
        <v>1186</v>
      </c>
      <c r="F2565" s="49" t="s">
        <v>1514</v>
      </c>
      <c r="G2565" s="49" t="s">
        <v>772</v>
      </c>
      <c r="H2565" s="49" t="s">
        <v>1132</v>
      </c>
      <c r="I2565" s="49" t="s">
        <v>885</v>
      </c>
    </row>
    <row r="2566" customFormat="false" ht="25.5" hidden="false" customHeight="true" outlineLevel="0" collapsed="false">
      <c r="A2566" s="49" t="s">
        <v>1122</v>
      </c>
      <c r="B2566" s="49" t="s">
        <v>915</v>
      </c>
      <c r="C2566" s="49" t="s">
        <v>1515</v>
      </c>
      <c r="D2566" s="49" t="s">
        <v>929</v>
      </c>
      <c r="E2566" s="49" t="s">
        <v>1186</v>
      </c>
      <c r="F2566" s="49" t="s">
        <v>1516</v>
      </c>
      <c r="G2566" s="49" t="s">
        <v>772</v>
      </c>
      <c r="H2566" s="49" t="s">
        <v>1132</v>
      </c>
      <c r="I2566" s="49" t="s">
        <v>885</v>
      </c>
    </row>
    <row r="2567" customFormat="false" ht="25.5" hidden="false" customHeight="true" outlineLevel="0" collapsed="false">
      <c r="A2567" s="49" t="s">
        <v>1122</v>
      </c>
      <c r="B2567" s="49" t="s">
        <v>915</v>
      </c>
      <c r="C2567" s="49" t="s">
        <v>962</v>
      </c>
      <c r="D2567" s="49"/>
      <c r="E2567" s="49" t="s">
        <v>963</v>
      </c>
      <c r="F2567" s="49"/>
      <c r="G2567" s="49" t="s">
        <v>776</v>
      </c>
      <c r="H2567" s="49" t="s">
        <v>1647</v>
      </c>
      <c r="I2567" s="49" t="s">
        <v>885</v>
      </c>
    </row>
    <row r="2568" customFormat="false" ht="25.5" hidden="false" customHeight="true" outlineLevel="0" collapsed="false">
      <c r="A2568" s="49" t="s">
        <v>1122</v>
      </c>
      <c r="B2568" s="49" t="s">
        <v>915</v>
      </c>
      <c r="C2568" s="49" t="s">
        <v>1044</v>
      </c>
      <c r="D2568" s="49" t="s">
        <v>1045</v>
      </c>
      <c r="E2568" s="49" t="s">
        <v>146</v>
      </c>
      <c r="F2568" s="49" t="s">
        <v>1046</v>
      </c>
      <c r="G2568" s="49" t="s">
        <v>772</v>
      </c>
      <c r="H2568" s="49" t="s">
        <v>1132</v>
      </c>
      <c r="I2568" s="49" t="s">
        <v>885</v>
      </c>
    </row>
    <row r="2569" customFormat="false" ht="25.5" hidden="false" customHeight="true" outlineLevel="0" collapsed="false">
      <c r="A2569" s="49" t="s">
        <v>1122</v>
      </c>
      <c r="B2569" s="49" t="s">
        <v>1047</v>
      </c>
      <c r="C2569" s="49" t="s">
        <v>1517</v>
      </c>
      <c r="D2569" s="49" t="s">
        <v>965</v>
      </c>
      <c r="E2569" s="49" t="s">
        <v>1186</v>
      </c>
      <c r="F2569" s="49" t="s">
        <v>1518</v>
      </c>
      <c r="G2569" s="49" t="s">
        <v>772</v>
      </c>
      <c r="H2569" s="49" t="s">
        <v>1132</v>
      </c>
      <c r="I2569" s="49" t="s">
        <v>885</v>
      </c>
    </row>
    <row r="2570" customFormat="false" ht="25.5" hidden="false" customHeight="true" outlineLevel="0" collapsed="false">
      <c r="A2570" s="49" t="s">
        <v>1122</v>
      </c>
      <c r="B2570" s="49" t="s">
        <v>917</v>
      </c>
      <c r="C2570" s="49" t="s">
        <v>1519</v>
      </c>
      <c r="D2570" s="49" t="s">
        <v>968</v>
      </c>
      <c r="E2570" s="49" t="s">
        <v>1520</v>
      </c>
      <c r="F2570" s="49" t="s">
        <v>1352</v>
      </c>
      <c r="G2570" s="49" t="s">
        <v>772</v>
      </c>
      <c r="H2570" s="49" t="s">
        <v>1132</v>
      </c>
      <c r="I2570" s="49" t="s">
        <v>885</v>
      </c>
    </row>
    <row r="2571" customFormat="false" ht="25.5" hidden="false" customHeight="true" outlineLevel="0" collapsed="false">
      <c r="A2571" s="49" t="s">
        <v>1122</v>
      </c>
      <c r="B2571" s="49" t="s">
        <v>917</v>
      </c>
      <c r="C2571" s="49" t="s">
        <v>1521</v>
      </c>
      <c r="D2571" s="49" t="s">
        <v>1522</v>
      </c>
      <c r="E2571" s="49" t="s">
        <v>1186</v>
      </c>
      <c r="F2571" s="49" t="s">
        <v>1523</v>
      </c>
      <c r="G2571" s="49" t="s">
        <v>772</v>
      </c>
      <c r="H2571" s="49" t="s">
        <v>1132</v>
      </c>
      <c r="I2571" s="49" t="s">
        <v>885</v>
      </c>
    </row>
    <row r="2572" customFormat="false" ht="25.5" hidden="false" customHeight="true" outlineLevel="0" collapsed="false">
      <c r="A2572" s="49" t="s">
        <v>1122</v>
      </c>
      <c r="B2572" s="49" t="s">
        <v>917</v>
      </c>
      <c r="C2572" s="49" t="s">
        <v>1524</v>
      </c>
      <c r="D2572" s="49" t="s">
        <v>965</v>
      </c>
      <c r="E2572" s="49" t="s">
        <v>1520</v>
      </c>
      <c r="F2572" s="49" t="s">
        <v>1525</v>
      </c>
      <c r="G2572" s="49" t="s">
        <v>772</v>
      </c>
      <c r="H2572" s="49" t="s">
        <v>1132</v>
      </c>
      <c r="I2572" s="49" t="s">
        <v>885</v>
      </c>
    </row>
    <row r="2573" customFormat="false" ht="25.5" hidden="false" customHeight="true" outlineLevel="0" collapsed="false">
      <c r="A2573" s="49" t="s">
        <v>1122</v>
      </c>
      <c r="B2573" s="49" t="s">
        <v>917</v>
      </c>
      <c r="C2573" s="49" t="s">
        <v>1526</v>
      </c>
      <c r="D2573" s="49" t="s">
        <v>919</v>
      </c>
      <c r="E2573" s="49" t="s">
        <v>1527</v>
      </c>
      <c r="F2573" s="49" t="s">
        <v>1528</v>
      </c>
      <c r="G2573" s="49" t="s">
        <v>772</v>
      </c>
      <c r="H2573" s="49" t="s">
        <v>1132</v>
      </c>
      <c r="I2573" s="49" t="s">
        <v>885</v>
      </c>
    </row>
    <row r="2574" customFormat="false" ht="25.5" hidden="false" customHeight="true" outlineLevel="0" collapsed="false">
      <c r="A2574" s="49" t="s">
        <v>1122</v>
      </c>
      <c r="B2574" s="49" t="s">
        <v>917</v>
      </c>
      <c r="C2574" s="49" t="s">
        <v>964</v>
      </c>
      <c r="D2574" s="49" t="s">
        <v>965</v>
      </c>
      <c r="E2574" s="49" t="s">
        <v>217</v>
      </c>
      <c r="F2574" s="49" t="s">
        <v>966</v>
      </c>
      <c r="G2574" s="49" t="s">
        <v>776</v>
      </c>
      <c r="H2574" s="49" t="s">
        <v>1647</v>
      </c>
      <c r="I2574" s="49" t="s">
        <v>885</v>
      </c>
    </row>
    <row r="2575" customFormat="false" ht="25.5" hidden="false" customHeight="true" outlineLevel="0" collapsed="false">
      <c r="A2575" s="51" t="s">
        <v>1122</v>
      </c>
      <c r="B2575" s="51" t="s">
        <v>917</v>
      </c>
      <c r="C2575" s="51" t="s">
        <v>967</v>
      </c>
      <c r="D2575" s="51" t="s">
        <v>968</v>
      </c>
      <c r="E2575" s="51" t="s">
        <v>969</v>
      </c>
      <c r="F2575" s="51" t="s">
        <v>970</v>
      </c>
      <c r="G2575" s="52" t="s">
        <v>910</v>
      </c>
      <c r="H2575" s="51" t="s">
        <v>1648</v>
      </c>
      <c r="I2575" s="51" t="s">
        <v>912</v>
      </c>
    </row>
    <row r="2576" customFormat="false" ht="25.5" hidden="false" customHeight="true" outlineLevel="0" collapsed="false">
      <c r="A2576" s="49" t="s">
        <v>1122</v>
      </c>
      <c r="B2576" s="49" t="s">
        <v>917</v>
      </c>
      <c r="C2576" s="49" t="s">
        <v>1529</v>
      </c>
      <c r="D2576" s="49" t="s">
        <v>1530</v>
      </c>
      <c r="E2576" s="49" t="s">
        <v>1500</v>
      </c>
      <c r="F2576" s="49" t="s">
        <v>1531</v>
      </c>
      <c r="G2576" s="49" t="s">
        <v>772</v>
      </c>
      <c r="H2576" s="49" t="s">
        <v>1132</v>
      </c>
      <c r="I2576" s="49" t="s">
        <v>885</v>
      </c>
    </row>
    <row r="2577" customFormat="false" ht="25.5" hidden="false" customHeight="true" outlineLevel="0" collapsed="false">
      <c r="A2577" s="49" t="s">
        <v>1122</v>
      </c>
      <c r="B2577" s="49" t="s">
        <v>917</v>
      </c>
      <c r="C2577" s="49" t="s">
        <v>918</v>
      </c>
      <c r="D2577" s="49" t="s">
        <v>919</v>
      </c>
      <c r="E2577" s="49" t="s">
        <v>882</v>
      </c>
      <c r="F2577" s="49" t="s">
        <v>920</v>
      </c>
      <c r="G2577" s="49" t="s">
        <v>772</v>
      </c>
      <c r="H2577" s="49" t="s">
        <v>1132</v>
      </c>
      <c r="I2577" s="49" t="s">
        <v>885</v>
      </c>
    </row>
    <row r="2578" customFormat="false" ht="25.5" hidden="false" customHeight="true" outlineLevel="0" collapsed="false">
      <c r="A2578" s="49" t="s">
        <v>1122</v>
      </c>
      <c r="B2578" s="49" t="s">
        <v>917</v>
      </c>
      <c r="C2578" s="49" t="s">
        <v>921</v>
      </c>
      <c r="D2578" s="49" t="s">
        <v>922</v>
      </c>
      <c r="E2578" s="49" t="s">
        <v>882</v>
      </c>
      <c r="F2578" s="49" t="s">
        <v>923</v>
      </c>
      <c r="G2578" s="49" t="s">
        <v>772</v>
      </c>
      <c r="H2578" s="49" t="s">
        <v>1132</v>
      </c>
      <c r="I2578" s="49" t="s">
        <v>885</v>
      </c>
    </row>
    <row r="2579" customFormat="false" ht="25.5" hidden="false" customHeight="true" outlineLevel="0" collapsed="false">
      <c r="A2579" s="49" t="s">
        <v>1122</v>
      </c>
      <c r="B2579" s="49" t="s">
        <v>917</v>
      </c>
      <c r="C2579" s="49" t="s">
        <v>1532</v>
      </c>
      <c r="D2579" s="49" t="s">
        <v>919</v>
      </c>
      <c r="E2579" s="49" t="s">
        <v>1533</v>
      </c>
      <c r="F2579" s="49" t="s">
        <v>1534</v>
      </c>
      <c r="G2579" s="49" t="s">
        <v>772</v>
      </c>
      <c r="H2579" s="49" t="s">
        <v>1132</v>
      </c>
      <c r="I2579" s="49" t="s">
        <v>885</v>
      </c>
    </row>
    <row r="2580" customFormat="false" ht="25.5" hidden="false" customHeight="true" outlineLevel="0" collapsed="false">
      <c r="A2580" s="49" t="s">
        <v>1122</v>
      </c>
      <c r="B2580" s="49" t="s">
        <v>917</v>
      </c>
      <c r="C2580" s="49" t="s">
        <v>1052</v>
      </c>
      <c r="D2580" s="49" t="s">
        <v>968</v>
      </c>
      <c r="E2580" s="49" t="s">
        <v>146</v>
      </c>
      <c r="F2580" s="49" t="s">
        <v>1053</v>
      </c>
      <c r="G2580" s="49" t="s">
        <v>772</v>
      </c>
      <c r="H2580" s="49" t="s">
        <v>1132</v>
      </c>
      <c r="I2580" s="49" t="s">
        <v>885</v>
      </c>
    </row>
    <row r="2581" customFormat="false" ht="25.5" hidden="false" customHeight="true" outlineLevel="0" collapsed="false">
      <c r="A2581" s="49" t="s">
        <v>1122</v>
      </c>
      <c r="B2581" s="49" t="s">
        <v>917</v>
      </c>
      <c r="C2581" s="49" t="s">
        <v>1054</v>
      </c>
      <c r="D2581" s="49" t="s">
        <v>965</v>
      </c>
      <c r="E2581" s="49" t="s">
        <v>1055</v>
      </c>
      <c r="F2581" s="49" t="s">
        <v>1056</v>
      </c>
      <c r="G2581" s="49" t="s">
        <v>772</v>
      </c>
      <c r="H2581" s="49" t="s">
        <v>1132</v>
      </c>
      <c r="I2581" s="49" t="s">
        <v>885</v>
      </c>
    </row>
    <row r="2582" customFormat="false" ht="25.5" hidden="false" customHeight="true" outlineLevel="0" collapsed="false">
      <c r="A2582" s="49" t="s">
        <v>1122</v>
      </c>
      <c r="B2582" s="49" t="s">
        <v>917</v>
      </c>
      <c r="C2582" s="49" t="s">
        <v>1535</v>
      </c>
      <c r="D2582" s="49" t="s">
        <v>929</v>
      </c>
      <c r="E2582" s="49" t="s">
        <v>1536</v>
      </c>
      <c r="F2582" s="49" t="s">
        <v>1537</v>
      </c>
      <c r="G2582" s="49" t="s">
        <v>772</v>
      </c>
      <c r="H2582" s="49" t="s">
        <v>1132</v>
      </c>
      <c r="I2582" s="49" t="s">
        <v>885</v>
      </c>
    </row>
    <row r="2583" customFormat="false" ht="25.5" hidden="false" customHeight="true" outlineLevel="0" collapsed="false">
      <c r="A2583" s="49" t="s">
        <v>1122</v>
      </c>
      <c r="B2583" s="49" t="s">
        <v>917</v>
      </c>
      <c r="C2583" s="49" t="s">
        <v>1538</v>
      </c>
      <c r="D2583" s="49" t="s">
        <v>929</v>
      </c>
      <c r="E2583" s="49" t="s">
        <v>1536</v>
      </c>
      <c r="F2583" s="49" t="s">
        <v>1539</v>
      </c>
      <c r="G2583" s="49" t="s">
        <v>772</v>
      </c>
      <c r="H2583" s="49" t="s">
        <v>1132</v>
      </c>
      <c r="I2583" s="49" t="s">
        <v>885</v>
      </c>
    </row>
    <row r="2584" customFormat="false" ht="25.5" hidden="false" customHeight="true" outlineLevel="0" collapsed="false">
      <c r="A2584" s="49" t="s">
        <v>1122</v>
      </c>
      <c r="B2584" s="49" t="s">
        <v>917</v>
      </c>
      <c r="C2584" s="49" t="s">
        <v>1540</v>
      </c>
      <c r="D2584" s="49" t="s">
        <v>929</v>
      </c>
      <c r="E2584" s="49" t="s">
        <v>1541</v>
      </c>
      <c r="F2584" s="49" t="s">
        <v>1542</v>
      </c>
      <c r="G2584" s="49" t="s">
        <v>772</v>
      </c>
      <c r="H2584" s="49" t="s">
        <v>1132</v>
      </c>
      <c r="I2584" s="49" t="s">
        <v>885</v>
      </c>
    </row>
    <row r="2585" customFormat="false" ht="25.5" hidden="false" customHeight="true" outlineLevel="0" collapsed="false">
      <c r="A2585" s="49" t="s">
        <v>1122</v>
      </c>
      <c r="B2585" s="49" t="s">
        <v>925</v>
      </c>
      <c r="C2585" s="49" t="s">
        <v>1543</v>
      </c>
      <c r="D2585" s="49" t="s">
        <v>972</v>
      </c>
      <c r="E2585" s="49" t="s">
        <v>1186</v>
      </c>
      <c r="F2585" s="49" t="s">
        <v>1544</v>
      </c>
      <c r="G2585" s="49" t="s">
        <v>772</v>
      </c>
      <c r="H2585" s="49" t="s">
        <v>1132</v>
      </c>
      <c r="I2585" s="49" t="s">
        <v>885</v>
      </c>
    </row>
    <row r="2586" customFormat="false" ht="25.5" hidden="false" customHeight="true" outlineLevel="0" collapsed="false">
      <c r="A2586" s="49" t="s">
        <v>1122</v>
      </c>
      <c r="B2586" s="49" t="s">
        <v>925</v>
      </c>
      <c r="C2586" s="49" t="s">
        <v>971</v>
      </c>
      <c r="D2586" s="49" t="s">
        <v>972</v>
      </c>
      <c r="E2586" s="49" t="s">
        <v>217</v>
      </c>
      <c r="F2586" s="49"/>
      <c r="G2586" s="49" t="s">
        <v>776</v>
      </c>
      <c r="H2586" s="49" t="s">
        <v>1647</v>
      </c>
      <c r="I2586" s="49" t="s">
        <v>885</v>
      </c>
    </row>
    <row r="2587" customFormat="false" ht="25.5" hidden="false" customHeight="true" outlineLevel="0" collapsed="false">
      <c r="A2587" s="49" t="s">
        <v>1122</v>
      </c>
      <c r="B2587" s="49" t="s">
        <v>925</v>
      </c>
      <c r="C2587" s="49" t="s">
        <v>1057</v>
      </c>
      <c r="D2587" s="49" t="s">
        <v>968</v>
      </c>
      <c r="E2587" s="49" t="s">
        <v>146</v>
      </c>
      <c r="F2587" s="49" t="s">
        <v>1058</v>
      </c>
      <c r="G2587" s="49" t="s">
        <v>772</v>
      </c>
      <c r="H2587" s="49" t="s">
        <v>1132</v>
      </c>
      <c r="I2587" s="49" t="s">
        <v>885</v>
      </c>
    </row>
    <row r="2588" customFormat="false" ht="25.5" hidden="false" customHeight="true" outlineLevel="0" collapsed="false">
      <c r="A2588" s="49" t="s">
        <v>1122</v>
      </c>
      <c r="B2588" s="49" t="s">
        <v>925</v>
      </c>
      <c r="C2588" s="49" t="s">
        <v>1060</v>
      </c>
      <c r="D2588" s="49" t="s">
        <v>1061</v>
      </c>
      <c r="E2588" s="49" t="s">
        <v>146</v>
      </c>
      <c r="F2588" s="49" t="s">
        <v>1062</v>
      </c>
      <c r="G2588" s="49" t="s">
        <v>772</v>
      </c>
      <c r="H2588" s="49" t="s">
        <v>1132</v>
      </c>
      <c r="I2588" s="49" t="s">
        <v>885</v>
      </c>
    </row>
    <row r="2589" customFormat="false" ht="25.5" hidden="false" customHeight="true" outlineLevel="0" collapsed="false">
      <c r="A2589" s="49" t="s">
        <v>1122</v>
      </c>
      <c r="B2589" s="49" t="s">
        <v>925</v>
      </c>
      <c r="C2589" s="49" t="s">
        <v>1063</v>
      </c>
      <c r="D2589" s="49" t="s">
        <v>972</v>
      </c>
      <c r="E2589" s="49" t="s">
        <v>146</v>
      </c>
      <c r="F2589" s="49" t="s">
        <v>1058</v>
      </c>
      <c r="G2589" s="49" t="s">
        <v>772</v>
      </c>
      <c r="H2589" s="49" t="s">
        <v>1132</v>
      </c>
      <c r="I2589" s="49" t="s">
        <v>885</v>
      </c>
    </row>
    <row r="2590" customFormat="false" ht="25.5" hidden="false" customHeight="true" outlineLevel="0" collapsed="false">
      <c r="A2590" s="49" t="s">
        <v>1122</v>
      </c>
      <c r="B2590" s="49" t="s">
        <v>925</v>
      </c>
      <c r="C2590" s="49" t="s">
        <v>1064</v>
      </c>
      <c r="D2590" s="49" t="s">
        <v>972</v>
      </c>
      <c r="E2590" s="49" t="s">
        <v>146</v>
      </c>
      <c r="F2590" s="49" t="s">
        <v>1065</v>
      </c>
      <c r="G2590" s="49" t="s">
        <v>772</v>
      </c>
      <c r="H2590" s="49" t="s">
        <v>1132</v>
      </c>
      <c r="I2590" s="49" t="s">
        <v>885</v>
      </c>
    </row>
    <row r="2591" customFormat="false" ht="25.5" hidden="false" customHeight="true" outlineLevel="0" collapsed="false">
      <c r="A2591" s="49" t="s">
        <v>1122</v>
      </c>
      <c r="B2591" s="49" t="s">
        <v>925</v>
      </c>
      <c r="C2591" s="49" t="s">
        <v>973</v>
      </c>
      <c r="D2591" s="49" t="s">
        <v>968</v>
      </c>
      <c r="E2591" s="49" t="s">
        <v>974</v>
      </c>
      <c r="F2591" s="49" t="s">
        <v>975</v>
      </c>
      <c r="G2591" s="49" t="s">
        <v>772</v>
      </c>
      <c r="H2591" s="49" t="s">
        <v>1623</v>
      </c>
      <c r="I2591" s="49" t="s">
        <v>885</v>
      </c>
    </row>
    <row r="2592" customFormat="false" ht="25.5" hidden="false" customHeight="true" outlineLevel="0" collapsed="false">
      <c r="A2592" s="49" t="s">
        <v>1122</v>
      </c>
      <c r="B2592" s="49" t="s">
        <v>925</v>
      </c>
      <c r="C2592" s="49" t="s">
        <v>926</v>
      </c>
      <c r="D2592" s="49"/>
      <c r="E2592" s="49" t="s">
        <v>882</v>
      </c>
      <c r="F2592" s="49" t="s">
        <v>927</v>
      </c>
      <c r="G2592" s="49" t="s">
        <v>772</v>
      </c>
      <c r="H2592" s="49" t="s">
        <v>1132</v>
      </c>
      <c r="I2592" s="49" t="s">
        <v>885</v>
      </c>
    </row>
    <row r="2593" customFormat="false" ht="25.5" hidden="false" customHeight="true" outlineLevel="0" collapsed="false">
      <c r="A2593" s="49" t="s">
        <v>1122</v>
      </c>
      <c r="B2593" s="49" t="s">
        <v>925</v>
      </c>
      <c r="C2593" s="49" t="s">
        <v>976</v>
      </c>
      <c r="D2593" s="49"/>
      <c r="E2593" s="49" t="s">
        <v>217</v>
      </c>
      <c r="F2593" s="49" t="s">
        <v>927</v>
      </c>
      <c r="G2593" s="49" t="s">
        <v>776</v>
      </c>
      <c r="H2593" s="49" t="s">
        <v>1647</v>
      </c>
      <c r="I2593" s="49" t="s">
        <v>885</v>
      </c>
    </row>
    <row r="2594" customFormat="false" ht="25.5" hidden="false" customHeight="true" outlineLevel="0" collapsed="false">
      <c r="A2594" s="49" t="s">
        <v>1122</v>
      </c>
      <c r="B2594" s="49" t="s">
        <v>925</v>
      </c>
      <c r="C2594" s="49" t="s">
        <v>1070</v>
      </c>
      <c r="D2594" s="49" t="s">
        <v>929</v>
      </c>
      <c r="E2594" s="49" t="s">
        <v>146</v>
      </c>
      <c r="F2594" s="49" t="s">
        <v>1071</v>
      </c>
      <c r="G2594" s="49" t="s">
        <v>772</v>
      </c>
      <c r="H2594" s="49" t="s">
        <v>1132</v>
      </c>
      <c r="I2594" s="49" t="s">
        <v>885</v>
      </c>
    </row>
    <row r="2595" customFormat="false" ht="25.5" hidden="false" customHeight="true" outlineLevel="0" collapsed="false">
      <c r="A2595" s="49" t="s">
        <v>1122</v>
      </c>
      <c r="B2595" s="49" t="s">
        <v>977</v>
      </c>
      <c r="C2595" s="49" t="s">
        <v>978</v>
      </c>
      <c r="D2595" s="49"/>
      <c r="E2595" s="49" t="s">
        <v>217</v>
      </c>
      <c r="F2595" s="49"/>
      <c r="G2595" s="49" t="s">
        <v>776</v>
      </c>
      <c r="H2595" s="49" t="s">
        <v>1647</v>
      </c>
      <c r="I2595" s="49" t="s">
        <v>885</v>
      </c>
    </row>
    <row r="2596" customFormat="false" ht="25.5" hidden="false" customHeight="true" outlineLevel="0" collapsed="false">
      <c r="A2596" s="49" t="s">
        <v>1122</v>
      </c>
      <c r="B2596" s="49" t="s">
        <v>977</v>
      </c>
      <c r="C2596" s="49" t="s">
        <v>1546</v>
      </c>
      <c r="D2596" s="49" t="s">
        <v>1073</v>
      </c>
      <c r="E2596" s="49" t="s">
        <v>1547</v>
      </c>
      <c r="F2596" s="49" t="s">
        <v>1548</v>
      </c>
      <c r="G2596" s="49" t="s">
        <v>772</v>
      </c>
      <c r="H2596" s="49" t="s">
        <v>1132</v>
      </c>
      <c r="I2596" s="49" t="s">
        <v>885</v>
      </c>
    </row>
    <row r="2597" customFormat="false" ht="25.5" hidden="false" customHeight="true" outlineLevel="0" collapsed="false">
      <c r="A2597" s="49" t="s">
        <v>1122</v>
      </c>
      <c r="B2597" s="49" t="s">
        <v>977</v>
      </c>
      <c r="C2597" s="49" t="s">
        <v>1549</v>
      </c>
      <c r="D2597" s="49" t="s">
        <v>1073</v>
      </c>
      <c r="E2597" s="49" t="s">
        <v>1533</v>
      </c>
      <c r="F2597" s="49" t="s">
        <v>1550</v>
      </c>
      <c r="G2597" s="49" t="s">
        <v>772</v>
      </c>
      <c r="H2597" s="49" t="s">
        <v>1132</v>
      </c>
      <c r="I2597" s="49" t="s">
        <v>885</v>
      </c>
    </row>
    <row r="2598" customFormat="false" ht="25.5" hidden="false" customHeight="true" outlineLevel="0" collapsed="false">
      <c r="A2598" s="49" t="s">
        <v>1122</v>
      </c>
      <c r="B2598" s="49" t="s">
        <v>977</v>
      </c>
      <c r="C2598" s="49" t="s">
        <v>979</v>
      </c>
      <c r="D2598" s="49" t="s">
        <v>980</v>
      </c>
      <c r="E2598" s="49" t="s">
        <v>981</v>
      </c>
      <c r="F2598" s="49" t="s">
        <v>982</v>
      </c>
      <c r="G2598" s="49" t="s">
        <v>772</v>
      </c>
      <c r="H2598" s="49" t="s">
        <v>1623</v>
      </c>
      <c r="I2598" s="49" t="s">
        <v>885</v>
      </c>
    </row>
    <row r="2599" customFormat="false" ht="25.5" hidden="false" customHeight="true" outlineLevel="0" collapsed="false">
      <c r="A2599" s="49" t="s">
        <v>1122</v>
      </c>
      <c r="B2599" s="49" t="s">
        <v>977</v>
      </c>
      <c r="C2599" s="49" t="s">
        <v>1081</v>
      </c>
      <c r="D2599" s="49" t="s">
        <v>1073</v>
      </c>
      <c r="E2599" s="49" t="s">
        <v>1082</v>
      </c>
      <c r="F2599" s="49" t="s">
        <v>1083</v>
      </c>
      <c r="G2599" s="49" t="s">
        <v>772</v>
      </c>
      <c r="H2599" s="49" t="s">
        <v>1132</v>
      </c>
      <c r="I2599" s="49" t="s">
        <v>885</v>
      </c>
    </row>
    <row r="2600" customFormat="false" ht="25.5" hidden="false" customHeight="true" outlineLevel="0" collapsed="false">
      <c r="A2600" s="49" t="s">
        <v>1122</v>
      </c>
      <c r="B2600" s="49" t="s">
        <v>932</v>
      </c>
      <c r="C2600" s="49" t="s">
        <v>933</v>
      </c>
      <c r="D2600" s="49"/>
      <c r="E2600" s="49" t="s">
        <v>882</v>
      </c>
      <c r="F2600" s="49" t="s">
        <v>934</v>
      </c>
      <c r="G2600" s="49" t="s">
        <v>772</v>
      </c>
      <c r="H2600" s="49" t="s">
        <v>1132</v>
      </c>
      <c r="I2600" s="49" t="s">
        <v>885</v>
      </c>
    </row>
    <row r="2601" customFormat="false" ht="25.5" hidden="false" customHeight="true" outlineLevel="0" collapsed="false">
      <c r="A2601" s="49" t="s">
        <v>1122</v>
      </c>
      <c r="B2601" s="49" t="s">
        <v>932</v>
      </c>
      <c r="C2601" s="49" t="s">
        <v>1552</v>
      </c>
      <c r="D2601" s="49"/>
      <c r="E2601" s="49" t="s">
        <v>1553</v>
      </c>
      <c r="F2601" s="49" t="s">
        <v>1554</v>
      </c>
      <c r="G2601" s="49" t="s">
        <v>772</v>
      </c>
      <c r="H2601" s="49" t="s">
        <v>1132</v>
      </c>
      <c r="I2601" s="49" t="s">
        <v>885</v>
      </c>
    </row>
    <row r="2602" customFormat="false" ht="25.5" hidden="false" customHeight="true" outlineLevel="0" collapsed="false">
      <c r="A2602" s="49" t="s">
        <v>1122</v>
      </c>
      <c r="B2602" s="49" t="s">
        <v>932</v>
      </c>
      <c r="C2602" s="49" t="s">
        <v>1555</v>
      </c>
      <c r="D2602" s="49" t="s">
        <v>1090</v>
      </c>
      <c r="E2602" s="49" t="s">
        <v>1186</v>
      </c>
      <c r="F2602" s="49" t="s">
        <v>1556</v>
      </c>
      <c r="G2602" s="49" t="s">
        <v>772</v>
      </c>
      <c r="H2602" s="49" t="s">
        <v>1132</v>
      </c>
      <c r="I2602" s="49" t="s">
        <v>885</v>
      </c>
    </row>
    <row r="2603" customFormat="false" ht="25.5" hidden="false" customHeight="true" outlineLevel="0" collapsed="false">
      <c r="A2603" s="49" t="s">
        <v>1122</v>
      </c>
      <c r="B2603" s="49" t="s">
        <v>932</v>
      </c>
      <c r="C2603" s="49" t="s">
        <v>984</v>
      </c>
      <c r="D2603" s="49" t="s">
        <v>936</v>
      </c>
      <c r="E2603" s="49" t="s">
        <v>985</v>
      </c>
      <c r="F2603" s="49" t="s">
        <v>986</v>
      </c>
      <c r="G2603" s="49" t="s">
        <v>776</v>
      </c>
      <c r="H2603" s="49" t="s">
        <v>1647</v>
      </c>
      <c r="I2603" s="49" t="s">
        <v>885</v>
      </c>
    </row>
    <row r="2604" customFormat="false" ht="25.5" hidden="false" customHeight="true" outlineLevel="0" collapsed="false">
      <c r="A2604" s="49" t="s">
        <v>1122</v>
      </c>
      <c r="B2604" s="49" t="s">
        <v>932</v>
      </c>
      <c r="C2604" s="49" t="s">
        <v>1086</v>
      </c>
      <c r="D2604" s="49" t="s">
        <v>929</v>
      </c>
      <c r="E2604" s="49" t="s">
        <v>1087</v>
      </c>
      <c r="F2604" s="49" t="s">
        <v>1088</v>
      </c>
      <c r="G2604" s="49" t="s">
        <v>772</v>
      </c>
      <c r="H2604" s="49" t="s">
        <v>1132</v>
      </c>
      <c r="I2604" s="49" t="s">
        <v>885</v>
      </c>
    </row>
    <row r="2605" customFormat="false" ht="25.5" hidden="false" customHeight="true" outlineLevel="0" collapsed="false">
      <c r="A2605" s="49" t="s">
        <v>1122</v>
      </c>
      <c r="B2605" s="49" t="s">
        <v>932</v>
      </c>
      <c r="C2605" s="49" t="s">
        <v>1089</v>
      </c>
      <c r="D2605" s="49" t="s">
        <v>1090</v>
      </c>
      <c r="E2605" s="49" t="s">
        <v>1091</v>
      </c>
      <c r="F2605" s="49" t="s">
        <v>1092</v>
      </c>
      <c r="G2605" s="49" t="s">
        <v>772</v>
      </c>
      <c r="H2605" s="49" t="s">
        <v>1132</v>
      </c>
      <c r="I2605" s="49" t="s">
        <v>885</v>
      </c>
    </row>
    <row r="2606" customFormat="false" ht="25.5" hidden="false" customHeight="true" outlineLevel="0" collapsed="false">
      <c r="A2606" s="49" t="s">
        <v>1122</v>
      </c>
      <c r="B2606" s="49" t="s">
        <v>932</v>
      </c>
      <c r="C2606" s="49" t="s">
        <v>1093</v>
      </c>
      <c r="D2606" s="49" t="s">
        <v>936</v>
      </c>
      <c r="E2606" s="49" t="s">
        <v>146</v>
      </c>
      <c r="F2606" s="49" t="s">
        <v>1094</v>
      </c>
      <c r="G2606" s="49" t="s">
        <v>772</v>
      </c>
      <c r="H2606" s="49" t="s">
        <v>1132</v>
      </c>
      <c r="I2606" s="49" t="s">
        <v>885</v>
      </c>
    </row>
    <row r="2607" customFormat="false" ht="25.5" hidden="false" customHeight="true" outlineLevel="0" collapsed="false">
      <c r="A2607" s="49" t="s">
        <v>1122</v>
      </c>
      <c r="B2607" s="49" t="s">
        <v>932</v>
      </c>
      <c r="C2607" s="49" t="s">
        <v>935</v>
      </c>
      <c r="D2607" s="49" t="s">
        <v>936</v>
      </c>
      <c r="E2607" s="49" t="s">
        <v>882</v>
      </c>
      <c r="F2607" s="49" t="s">
        <v>937</v>
      </c>
      <c r="G2607" s="49" t="s">
        <v>772</v>
      </c>
      <c r="H2607" s="49" t="s">
        <v>1132</v>
      </c>
      <c r="I2607" s="49" t="s">
        <v>885</v>
      </c>
    </row>
    <row r="2608" customFormat="false" ht="25.5" hidden="false" customHeight="true" outlineLevel="0" collapsed="false">
      <c r="A2608" s="49" t="s">
        <v>1122</v>
      </c>
      <c r="B2608" s="49" t="s">
        <v>932</v>
      </c>
      <c r="C2608" s="49" t="s">
        <v>1096</v>
      </c>
      <c r="D2608" s="49" t="s">
        <v>936</v>
      </c>
      <c r="E2608" s="49" t="s">
        <v>1097</v>
      </c>
      <c r="F2608" s="49" t="s">
        <v>1098</v>
      </c>
      <c r="G2608" s="49" t="s">
        <v>772</v>
      </c>
      <c r="H2608" s="49" t="s">
        <v>1132</v>
      </c>
      <c r="I2608" s="49" t="s">
        <v>885</v>
      </c>
    </row>
    <row r="2609" customFormat="false" ht="25.5" hidden="false" customHeight="true" outlineLevel="0" collapsed="false">
      <c r="A2609" s="49" t="s">
        <v>1122</v>
      </c>
      <c r="B2609" s="49" t="s">
        <v>939</v>
      </c>
      <c r="C2609" s="49" t="s">
        <v>940</v>
      </c>
      <c r="D2609" s="49"/>
      <c r="E2609" s="49" t="s">
        <v>893</v>
      </c>
      <c r="F2609" s="49" t="s">
        <v>941</v>
      </c>
      <c r="G2609" s="49" t="s">
        <v>772</v>
      </c>
      <c r="H2609" s="49" t="s">
        <v>1132</v>
      </c>
      <c r="I2609" s="49" t="s">
        <v>885</v>
      </c>
    </row>
    <row r="2610" customFormat="false" ht="25.5" hidden="false" customHeight="true" outlineLevel="0" collapsed="false">
      <c r="A2610" s="49" t="s">
        <v>1122</v>
      </c>
      <c r="B2610" s="49" t="s">
        <v>939</v>
      </c>
      <c r="C2610" s="49" t="s">
        <v>1099</v>
      </c>
      <c r="D2610" s="49" t="s">
        <v>1100</v>
      </c>
      <c r="E2610" s="49" t="s">
        <v>1101</v>
      </c>
      <c r="F2610" s="49" t="s">
        <v>993</v>
      </c>
      <c r="G2610" s="49" t="s">
        <v>772</v>
      </c>
      <c r="H2610" s="49" t="s">
        <v>1132</v>
      </c>
      <c r="I2610" s="49" t="s">
        <v>885</v>
      </c>
    </row>
    <row r="2611" customFormat="false" ht="25.5" hidden="false" customHeight="true" outlineLevel="0" collapsed="false">
      <c r="A2611" s="49" t="s">
        <v>1122</v>
      </c>
      <c r="B2611" s="49" t="s">
        <v>939</v>
      </c>
      <c r="C2611" s="49" t="s">
        <v>1557</v>
      </c>
      <c r="D2611" s="49" t="s">
        <v>988</v>
      </c>
      <c r="E2611" s="49" t="s">
        <v>1186</v>
      </c>
      <c r="F2611" s="49" t="s">
        <v>993</v>
      </c>
      <c r="G2611" s="49" t="s">
        <v>772</v>
      </c>
      <c r="H2611" s="49" t="s">
        <v>1132</v>
      </c>
      <c r="I2611" s="49" t="s">
        <v>885</v>
      </c>
    </row>
    <row r="2612" customFormat="false" ht="25.5" hidden="false" customHeight="true" outlineLevel="0" collapsed="false">
      <c r="A2612" s="49" t="s">
        <v>1122</v>
      </c>
      <c r="B2612" s="49" t="s">
        <v>939</v>
      </c>
      <c r="C2612" s="49" t="s">
        <v>987</v>
      </c>
      <c r="D2612" s="49" t="s">
        <v>988</v>
      </c>
      <c r="E2612" s="49" t="s">
        <v>217</v>
      </c>
      <c r="F2612" s="49" t="s">
        <v>989</v>
      </c>
      <c r="G2612" s="49" t="s">
        <v>776</v>
      </c>
      <c r="H2612" s="49" t="s">
        <v>1647</v>
      </c>
      <c r="I2612" s="49" t="s">
        <v>885</v>
      </c>
    </row>
    <row r="2613" customFormat="false" ht="25.5" hidden="false" customHeight="true" outlineLevel="0" collapsed="false">
      <c r="A2613" s="49" t="s">
        <v>1122</v>
      </c>
      <c r="B2613" s="49" t="s">
        <v>939</v>
      </c>
      <c r="C2613" s="49" t="s">
        <v>1102</v>
      </c>
      <c r="D2613" s="49" t="s">
        <v>988</v>
      </c>
      <c r="E2613" s="49" t="s">
        <v>146</v>
      </c>
      <c r="F2613" s="49" t="s">
        <v>993</v>
      </c>
      <c r="G2613" s="49" t="s">
        <v>772</v>
      </c>
      <c r="H2613" s="49" t="s">
        <v>1132</v>
      </c>
      <c r="I2613" s="49" t="s">
        <v>885</v>
      </c>
    </row>
    <row r="2614" customFormat="false" ht="25.5" hidden="false" customHeight="true" outlineLevel="0" collapsed="false">
      <c r="A2614" s="49" t="s">
        <v>1122</v>
      </c>
      <c r="B2614" s="49" t="s">
        <v>939</v>
      </c>
      <c r="C2614" s="49" t="s">
        <v>1103</v>
      </c>
      <c r="D2614" s="49" t="s">
        <v>1100</v>
      </c>
      <c r="E2614" s="49" t="s">
        <v>146</v>
      </c>
      <c r="F2614" s="49" t="s">
        <v>993</v>
      </c>
      <c r="G2614" s="49" t="s">
        <v>772</v>
      </c>
      <c r="H2614" s="49" t="s">
        <v>1132</v>
      </c>
      <c r="I2614" s="49" t="s">
        <v>885</v>
      </c>
    </row>
    <row r="2615" customFormat="false" ht="25.5" hidden="false" customHeight="true" outlineLevel="0" collapsed="false">
      <c r="A2615" s="49" t="s">
        <v>1122</v>
      </c>
      <c r="B2615" s="49" t="s">
        <v>939</v>
      </c>
      <c r="C2615" s="49" t="s">
        <v>1558</v>
      </c>
      <c r="D2615" s="49" t="s">
        <v>1559</v>
      </c>
      <c r="E2615" s="49" t="s">
        <v>1533</v>
      </c>
      <c r="F2615" s="49" t="s">
        <v>1560</v>
      </c>
      <c r="G2615" s="49" t="s">
        <v>772</v>
      </c>
      <c r="H2615" s="49" t="s">
        <v>1132</v>
      </c>
      <c r="I2615" s="49" t="s">
        <v>885</v>
      </c>
    </row>
    <row r="2616" customFormat="false" ht="25.5" hidden="false" customHeight="true" outlineLevel="0" collapsed="false">
      <c r="A2616" s="49" t="s">
        <v>1122</v>
      </c>
      <c r="B2616" s="49" t="s">
        <v>939</v>
      </c>
      <c r="C2616" s="49" t="s">
        <v>1109</v>
      </c>
      <c r="D2616" s="49" t="s">
        <v>1110</v>
      </c>
      <c r="E2616" s="49" t="s">
        <v>1111</v>
      </c>
      <c r="F2616" s="49" t="s">
        <v>941</v>
      </c>
      <c r="G2616" s="49" t="s">
        <v>772</v>
      </c>
      <c r="H2616" s="49" t="s">
        <v>1132</v>
      </c>
      <c r="I2616" s="49" t="s">
        <v>885</v>
      </c>
    </row>
    <row r="2617" customFormat="false" ht="25.5" hidden="false" customHeight="true" outlineLevel="0" collapsed="false">
      <c r="A2617" s="49" t="s">
        <v>1122</v>
      </c>
      <c r="B2617" s="49" t="s">
        <v>939</v>
      </c>
      <c r="C2617" s="49" t="s">
        <v>1561</v>
      </c>
      <c r="D2617" s="49" t="s">
        <v>1110</v>
      </c>
      <c r="E2617" s="49" t="s">
        <v>1186</v>
      </c>
      <c r="F2617" s="49" t="s">
        <v>993</v>
      </c>
      <c r="G2617" s="49" t="s">
        <v>772</v>
      </c>
      <c r="H2617" s="49" t="s">
        <v>1132</v>
      </c>
      <c r="I2617" s="49" t="s">
        <v>885</v>
      </c>
    </row>
    <row r="2618" customFormat="false" ht="25.5" hidden="false" customHeight="true" outlineLevel="0" collapsed="false">
      <c r="A2618" s="49" t="s">
        <v>1122</v>
      </c>
      <c r="B2618" s="49" t="s">
        <v>939</v>
      </c>
      <c r="C2618" s="49" t="s">
        <v>990</v>
      </c>
      <c r="D2618" s="49" t="s">
        <v>991</v>
      </c>
      <c r="E2618" s="49" t="s">
        <v>992</v>
      </c>
      <c r="F2618" s="49" t="s">
        <v>993</v>
      </c>
      <c r="G2618" s="49" t="s">
        <v>772</v>
      </c>
      <c r="H2618" s="49" t="s">
        <v>1649</v>
      </c>
      <c r="I2618" s="49" t="s">
        <v>885</v>
      </c>
    </row>
    <row r="2619" customFormat="false" ht="25.5" hidden="false" customHeight="true" outlineLevel="0" collapsed="false">
      <c r="A2619" s="49" t="s">
        <v>1122</v>
      </c>
      <c r="B2619" s="49" t="s">
        <v>939</v>
      </c>
      <c r="C2619" s="49" t="s">
        <v>1112</v>
      </c>
      <c r="D2619" s="49" t="s">
        <v>991</v>
      </c>
      <c r="E2619" s="49" t="s">
        <v>1113</v>
      </c>
      <c r="F2619" s="49" t="s">
        <v>941</v>
      </c>
      <c r="G2619" s="49" t="s">
        <v>772</v>
      </c>
      <c r="H2619" s="49" t="s">
        <v>1132</v>
      </c>
      <c r="I2619" s="49" t="s">
        <v>885</v>
      </c>
    </row>
    <row r="2620" customFormat="false" ht="25.5" hidden="false" customHeight="true" outlineLevel="0" collapsed="false">
      <c r="A2620" s="49" t="s">
        <v>1125</v>
      </c>
      <c r="B2620" s="49" t="s">
        <v>1562</v>
      </c>
      <c r="C2620" s="49" t="s">
        <v>1563</v>
      </c>
      <c r="D2620" s="49" t="s">
        <v>1208</v>
      </c>
      <c r="E2620" s="49" t="s">
        <v>843</v>
      </c>
      <c r="F2620" s="49" t="s">
        <v>1564</v>
      </c>
      <c r="G2620" s="49" t="s">
        <v>772</v>
      </c>
      <c r="H2620" s="49" t="s">
        <v>1132</v>
      </c>
      <c r="I2620" s="49" t="s">
        <v>885</v>
      </c>
    </row>
    <row r="2621" customFormat="false" ht="25.5" hidden="false" customHeight="true" outlineLevel="0" collapsed="false">
      <c r="A2621" s="49" t="s">
        <v>1125</v>
      </c>
      <c r="B2621" s="49" t="s">
        <v>1562</v>
      </c>
      <c r="C2621" s="49" t="s">
        <v>1565</v>
      </c>
      <c r="D2621" s="49" t="s">
        <v>1199</v>
      </c>
      <c r="E2621" s="49" t="s">
        <v>1135</v>
      </c>
      <c r="F2621" s="49" t="s">
        <v>1566</v>
      </c>
      <c r="G2621" s="49" t="s">
        <v>772</v>
      </c>
      <c r="H2621" s="49" t="s">
        <v>1132</v>
      </c>
      <c r="I2621" s="49" t="s">
        <v>885</v>
      </c>
    </row>
    <row r="2622" customFormat="false" ht="25.5" hidden="false" customHeight="true" outlineLevel="0" collapsed="false">
      <c r="A2622" s="49" t="s">
        <v>1125</v>
      </c>
      <c r="B2622" s="49" t="s">
        <v>1562</v>
      </c>
      <c r="C2622" s="49" t="s">
        <v>1567</v>
      </c>
      <c r="D2622" s="49" t="s">
        <v>1218</v>
      </c>
      <c r="E2622" s="49" t="s">
        <v>1568</v>
      </c>
      <c r="F2622" s="49" t="s">
        <v>1569</v>
      </c>
      <c r="G2622" s="49" t="s">
        <v>772</v>
      </c>
      <c r="H2622" s="49" t="s">
        <v>1132</v>
      </c>
      <c r="I2622" s="49" t="s">
        <v>885</v>
      </c>
    </row>
    <row r="2623" customFormat="false" ht="25.5" hidden="false" customHeight="true" outlineLevel="0" collapsed="false">
      <c r="A2623" s="49" t="s">
        <v>1125</v>
      </c>
      <c r="B2623" s="49" t="s">
        <v>1562</v>
      </c>
      <c r="C2623" s="49" t="s">
        <v>1570</v>
      </c>
      <c r="D2623" s="49" t="s">
        <v>1208</v>
      </c>
      <c r="E2623" s="49" t="s">
        <v>1571</v>
      </c>
      <c r="F2623" s="49" t="s">
        <v>1572</v>
      </c>
      <c r="G2623" s="49" t="s">
        <v>772</v>
      </c>
      <c r="H2623" s="49" t="s">
        <v>1132</v>
      </c>
      <c r="I2623" s="49" t="s">
        <v>885</v>
      </c>
    </row>
    <row r="2624" customFormat="false" ht="25.5" hidden="false" customHeight="true" outlineLevel="0" collapsed="false">
      <c r="A2624" s="49" t="s">
        <v>1125</v>
      </c>
      <c r="B2624" s="49" t="s">
        <v>1562</v>
      </c>
      <c r="C2624" s="49" t="s">
        <v>1573</v>
      </c>
      <c r="D2624" s="49" t="s">
        <v>1151</v>
      </c>
      <c r="E2624" s="49" t="s">
        <v>1135</v>
      </c>
      <c r="F2624" s="49" t="s">
        <v>1574</v>
      </c>
      <c r="G2624" s="49" t="s">
        <v>772</v>
      </c>
      <c r="H2624" s="49" t="s">
        <v>1132</v>
      </c>
      <c r="I2624" s="49" t="s">
        <v>885</v>
      </c>
    </row>
    <row r="2625" customFormat="false" ht="25.5" hidden="false" customHeight="true" outlineLevel="0" collapsed="false">
      <c r="A2625" s="49" t="s">
        <v>1125</v>
      </c>
      <c r="B2625" s="49" t="s">
        <v>1562</v>
      </c>
      <c r="C2625" s="49" t="s">
        <v>1575</v>
      </c>
      <c r="D2625" s="49" t="s">
        <v>1218</v>
      </c>
      <c r="E2625" s="49" t="s">
        <v>1395</v>
      </c>
      <c r="F2625" s="49" t="s">
        <v>1533</v>
      </c>
      <c r="G2625" s="49" t="s">
        <v>772</v>
      </c>
      <c r="H2625" s="49" t="s">
        <v>1132</v>
      </c>
      <c r="I2625" s="49" t="s">
        <v>885</v>
      </c>
    </row>
    <row r="2626" customFormat="false" ht="25.5" hidden="false" customHeight="true" outlineLevel="0" collapsed="false">
      <c r="A2626" s="49" t="s">
        <v>1125</v>
      </c>
      <c r="B2626" s="49" t="s">
        <v>1562</v>
      </c>
      <c r="C2626" s="49" t="s">
        <v>1576</v>
      </c>
      <c r="D2626" s="49" t="s">
        <v>1199</v>
      </c>
      <c r="E2626" s="49" t="s">
        <v>1577</v>
      </c>
      <c r="F2626" s="49" t="s">
        <v>1578</v>
      </c>
      <c r="G2626" s="49" t="s">
        <v>772</v>
      </c>
      <c r="H2626" s="49" t="s">
        <v>1132</v>
      </c>
      <c r="I2626" s="49" t="s">
        <v>885</v>
      </c>
    </row>
    <row r="2627" customFormat="false" ht="25.5" hidden="false" customHeight="true" outlineLevel="0" collapsed="false">
      <c r="A2627" s="49" t="s">
        <v>1125</v>
      </c>
      <c r="B2627" s="49" t="s">
        <v>1562</v>
      </c>
      <c r="C2627" s="49" t="s">
        <v>1579</v>
      </c>
      <c r="D2627" s="49" t="s">
        <v>1208</v>
      </c>
      <c r="E2627" s="49" t="s">
        <v>146</v>
      </c>
      <c r="F2627" s="49" t="s">
        <v>1580</v>
      </c>
      <c r="G2627" s="49" t="s">
        <v>772</v>
      </c>
      <c r="H2627" s="49" t="s">
        <v>1132</v>
      </c>
      <c r="I2627" s="49" t="s">
        <v>885</v>
      </c>
    </row>
    <row r="2628" customFormat="false" ht="25.5" hidden="false" customHeight="true" outlineLevel="0" collapsed="false">
      <c r="A2628" s="49" t="s">
        <v>1125</v>
      </c>
      <c r="B2628" s="49" t="s">
        <v>1562</v>
      </c>
      <c r="C2628" s="49" t="s">
        <v>1581</v>
      </c>
      <c r="D2628" s="49" t="s">
        <v>1208</v>
      </c>
      <c r="E2628" s="49" t="s">
        <v>1226</v>
      </c>
      <c r="F2628" s="49" t="s">
        <v>1582</v>
      </c>
      <c r="G2628" s="49" t="s">
        <v>772</v>
      </c>
      <c r="H2628" s="49" t="s">
        <v>1132</v>
      </c>
      <c r="I2628" s="49" t="s">
        <v>885</v>
      </c>
    </row>
    <row r="2629" customFormat="false" ht="25.5" hidden="false" customHeight="true" outlineLevel="0" collapsed="false">
      <c r="A2629" s="49" t="s">
        <v>1125</v>
      </c>
      <c r="B2629" s="49" t="s">
        <v>1562</v>
      </c>
      <c r="C2629" s="49" t="s">
        <v>1583</v>
      </c>
      <c r="D2629" s="49" t="s">
        <v>1151</v>
      </c>
      <c r="E2629" s="49" t="s">
        <v>1395</v>
      </c>
      <c r="F2629" s="49" t="s">
        <v>1533</v>
      </c>
      <c r="G2629" s="49" t="s">
        <v>772</v>
      </c>
      <c r="H2629" s="49" t="s">
        <v>1132</v>
      </c>
      <c r="I2629" s="49" t="s">
        <v>885</v>
      </c>
    </row>
    <row r="2630" customFormat="false" ht="25.5" hidden="false" customHeight="true" outlineLevel="0" collapsed="false">
      <c r="A2630" s="49" t="s">
        <v>1125</v>
      </c>
      <c r="B2630" s="49" t="s">
        <v>1562</v>
      </c>
      <c r="C2630" s="49" t="s">
        <v>1584</v>
      </c>
      <c r="D2630" s="49" t="s">
        <v>1199</v>
      </c>
      <c r="E2630" s="49" t="s">
        <v>1186</v>
      </c>
      <c r="F2630" s="49" t="s">
        <v>1585</v>
      </c>
      <c r="G2630" s="49" t="s">
        <v>772</v>
      </c>
      <c r="H2630" s="49" t="s">
        <v>1132</v>
      </c>
      <c r="I2630" s="49" t="s">
        <v>885</v>
      </c>
    </row>
    <row r="2631" customFormat="false" ht="25.5" hidden="false" customHeight="true" outlineLevel="0" collapsed="false">
      <c r="A2631" s="49" t="s">
        <v>1125</v>
      </c>
      <c r="B2631" s="49" t="s">
        <v>1562</v>
      </c>
      <c r="C2631" s="49" t="s">
        <v>1586</v>
      </c>
      <c r="D2631" s="49" t="s">
        <v>1218</v>
      </c>
      <c r="E2631" s="49" t="s">
        <v>1135</v>
      </c>
      <c r="F2631" s="49" t="s">
        <v>1587</v>
      </c>
      <c r="G2631" s="49" t="s">
        <v>772</v>
      </c>
      <c r="H2631" s="49" t="s">
        <v>1132</v>
      </c>
      <c r="I2631" s="49" t="s">
        <v>885</v>
      </c>
    </row>
    <row r="2632" customFormat="false" ht="25.5" hidden="false" customHeight="true" outlineLevel="0" collapsed="false">
      <c r="A2632" s="49" t="s">
        <v>1125</v>
      </c>
      <c r="B2632" s="49" t="s">
        <v>1562</v>
      </c>
      <c r="C2632" s="49" t="s">
        <v>1171</v>
      </c>
      <c r="D2632" s="49" t="s">
        <v>1172</v>
      </c>
      <c r="E2632" s="49" t="s">
        <v>1173</v>
      </c>
      <c r="F2632" s="49" t="s">
        <v>1197</v>
      </c>
      <c r="G2632" s="49" t="s">
        <v>772</v>
      </c>
      <c r="H2632" s="49" t="s">
        <v>1132</v>
      </c>
      <c r="I2632" s="49" t="s">
        <v>885</v>
      </c>
    </row>
    <row r="2633" customFormat="false" ht="25.5" hidden="false" customHeight="true" outlineLevel="0" collapsed="false">
      <c r="A2633" s="49" t="s">
        <v>1125</v>
      </c>
      <c r="B2633" s="49" t="s">
        <v>1562</v>
      </c>
      <c r="C2633" s="49" t="s">
        <v>1588</v>
      </c>
      <c r="D2633" s="49" t="s">
        <v>1199</v>
      </c>
      <c r="E2633" s="49" t="s">
        <v>217</v>
      </c>
      <c r="F2633" s="49" t="s">
        <v>1589</v>
      </c>
      <c r="G2633" s="49" t="s">
        <v>772</v>
      </c>
      <c r="H2633" s="49" t="s">
        <v>1132</v>
      </c>
      <c r="I2633" s="49" t="s">
        <v>885</v>
      </c>
    </row>
    <row r="2634" customFormat="false" ht="25.5" hidden="false" customHeight="true" outlineLevel="0" collapsed="false">
      <c r="A2634" s="49" t="s">
        <v>1125</v>
      </c>
      <c r="B2634" s="49" t="s">
        <v>1562</v>
      </c>
      <c r="C2634" s="49" t="s">
        <v>1590</v>
      </c>
      <c r="D2634" s="49" t="s">
        <v>1151</v>
      </c>
      <c r="E2634" s="49" t="s">
        <v>1520</v>
      </c>
      <c r="F2634" s="49" t="s">
        <v>1591</v>
      </c>
      <c r="G2634" s="49" t="s">
        <v>772</v>
      </c>
      <c r="H2634" s="49" t="s">
        <v>1132</v>
      </c>
      <c r="I2634" s="49" t="s">
        <v>885</v>
      </c>
    </row>
    <row r="2635" customFormat="false" ht="25.5" hidden="false" customHeight="true" outlineLevel="0" collapsed="false">
      <c r="A2635" s="49" t="s">
        <v>1125</v>
      </c>
      <c r="B2635" s="49" t="s">
        <v>1562</v>
      </c>
      <c r="C2635" s="49" t="s">
        <v>1592</v>
      </c>
      <c r="D2635" s="49" t="s">
        <v>1148</v>
      </c>
      <c r="E2635" s="49" t="s">
        <v>217</v>
      </c>
      <c r="F2635" s="49" t="s">
        <v>1593</v>
      </c>
      <c r="G2635" s="49" t="s">
        <v>772</v>
      </c>
      <c r="H2635" s="49" t="s">
        <v>1132</v>
      </c>
      <c r="I2635" s="49" t="s">
        <v>885</v>
      </c>
    </row>
    <row r="2636" customFormat="false" ht="25.5" hidden="false" customHeight="true" outlineLevel="0" collapsed="false">
      <c r="A2636" s="49" t="s">
        <v>1125</v>
      </c>
      <c r="B2636" s="49" t="s">
        <v>1562</v>
      </c>
      <c r="C2636" s="49" t="s">
        <v>1594</v>
      </c>
      <c r="D2636" s="49" t="s">
        <v>1151</v>
      </c>
      <c r="E2636" s="49" t="s">
        <v>671</v>
      </c>
      <c r="F2636" s="49" t="s">
        <v>1595</v>
      </c>
      <c r="G2636" s="49" t="s">
        <v>772</v>
      </c>
      <c r="H2636" s="49" t="s">
        <v>1132</v>
      </c>
      <c r="I2636" s="49" t="s">
        <v>885</v>
      </c>
    </row>
    <row r="2637" customFormat="false" ht="25.5" hidden="false" customHeight="true" outlineLevel="0" collapsed="false">
      <c r="A2637" s="49" t="s">
        <v>1125</v>
      </c>
      <c r="B2637" s="49" t="s">
        <v>1127</v>
      </c>
      <c r="C2637" s="49" t="s">
        <v>1596</v>
      </c>
      <c r="D2637" s="49" t="s">
        <v>1218</v>
      </c>
      <c r="E2637" s="49" t="s">
        <v>1135</v>
      </c>
      <c r="F2637" s="49" t="s">
        <v>1216</v>
      </c>
      <c r="G2637" s="49" t="s">
        <v>772</v>
      </c>
      <c r="H2637" s="49" t="s">
        <v>1132</v>
      </c>
      <c r="I2637" s="49" t="s">
        <v>885</v>
      </c>
    </row>
    <row r="2638" customFormat="false" ht="25.5" hidden="false" customHeight="true" outlineLevel="0" collapsed="false">
      <c r="A2638" s="49" t="s">
        <v>1125</v>
      </c>
      <c r="B2638" s="49" t="s">
        <v>1127</v>
      </c>
      <c r="C2638" s="49" t="s">
        <v>1597</v>
      </c>
      <c r="D2638" s="49" t="s">
        <v>1218</v>
      </c>
      <c r="E2638" s="49" t="s">
        <v>1183</v>
      </c>
      <c r="F2638" s="49" t="s">
        <v>1598</v>
      </c>
      <c r="G2638" s="49" t="s">
        <v>772</v>
      </c>
      <c r="H2638" s="49" t="s">
        <v>1132</v>
      </c>
      <c r="I2638" s="49" t="s">
        <v>885</v>
      </c>
    </row>
    <row r="2639" customFormat="false" ht="25.5" hidden="false" customHeight="true" outlineLevel="0" collapsed="false">
      <c r="A2639" s="49" t="s">
        <v>1125</v>
      </c>
      <c r="B2639" s="49" t="s">
        <v>1127</v>
      </c>
      <c r="C2639" s="49" t="s">
        <v>1599</v>
      </c>
      <c r="D2639" s="49" t="s">
        <v>1151</v>
      </c>
      <c r="E2639" s="49" t="s">
        <v>1135</v>
      </c>
      <c r="F2639" s="49" t="s">
        <v>1600</v>
      </c>
      <c r="G2639" s="49" t="s">
        <v>772</v>
      </c>
      <c r="H2639" s="49" t="s">
        <v>1132</v>
      </c>
      <c r="I2639" s="49" t="s">
        <v>885</v>
      </c>
    </row>
    <row r="2640" customFormat="false" ht="25.5" hidden="false" customHeight="true" outlineLevel="0" collapsed="false">
      <c r="A2640" s="49" t="s">
        <v>1125</v>
      </c>
      <c r="B2640" s="49" t="s">
        <v>1127</v>
      </c>
      <c r="C2640" s="49" t="s">
        <v>1601</v>
      </c>
      <c r="D2640" s="49" t="s">
        <v>1218</v>
      </c>
      <c r="E2640" s="49" t="s">
        <v>893</v>
      </c>
      <c r="F2640" s="49" t="s">
        <v>1602</v>
      </c>
      <c r="G2640" s="49" t="s">
        <v>772</v>
      </c>
      <c r="H2640" s="49" t="s">
        <v>1132</v>
      </c>
      <c r="I2640" s="49" t="s">
        <v>885</v>
      </c>
    </row>
    <row r="2641" customFormat="false" ht="25.5" hidden="false" customHeight="true" outlineLevel="0" collapsed="false">
      <c r="A2641" s="49" t="s">
        <v>1125</v>
      </c>
      <c r="B2641" s="49" t="s">
        <v>1127</v>
      </c>
      <c r="C2641" s="49" t="s">
        <v>1603</v>
      </c>
      <c r="D2641" s="49" t="s">
        <v>1162</v>
      </c>
      <c r="E2641" s="49" t="s">
        <v>1163</v>
      </c>
      <c r="F2641" s="49" t="s">
        <v>1604</v>
      </c>
      <c r="G2641" s="49" t="s">
        <v>772</v>
      </c>
      <c r="H2641" s="49" t="s">
        <v>1132</v>
      </c>
      <c r="I2641" s="49" t="s">
        <v>885</v>
      </c>
    </row>
    <row r="2642" customFormat="false" ht="25.5" hidden="false" customHeight="true" outlineLevel="0" collapsed="false">
      <c r="A2642" s="49" t="s">
        <v>1125</v>
      </c>
      <c r="B2642" s="49" t="s">
        <v>1127</v>
      </c>
      <c r="C2642" s="49" t="s">
        <v>1605</v>
      </c>
      <c r="D2642" s="49" t="s">
        <v>1218</v>
      </c>
      <c r="E2642" s="49" t="s">
        <v>1135</v>
      </c>
      <c r="F2642" s="49" t="s">
        <v>1136</v>
      </c>
      <c r="G2642" s="49" t="s">
        <v>772</v>
      </c>
      <c r="H2642" s="49" t="s">
        <v>1132</v>
      </c>
      <c r="I2642" s="49" t="s">
        <v>885</v>
      </c>
    </row>
    <row r="2643" customFormat="false" ht="25.5" hidden="false" customHeight="true" outlineLevel="0" collapsed="false">
      <c r="A2643" s="49" t="s">
        <v>1125</v>
      </c>
      <c r="B2643" s="49" t="s">
        <v>1127</v>
      </c>
      <c r="C2643" s="49" t="s">
        <v>1606</v>
      </c>
      <c r="D2643" s="49" t="s">
        <v>1148</v>
      </c>
      <c r="E2643" s="49" t="s">
        <v>893</v>
      </c>
      <c r="F2643" s="49" t="s">
        <v>1607</v>
      </c>
      <c r="G2643" s="49" t="s">
        <v>772</v>
      </c>
      <c r="H2643" s="49" t="s">
        <v>1132</v>
      </c>
      <c r="I2643" s="49" t="s">
        <v>885</v>
      </c>
    </row>
    <row r="2644" customFormat="false" ht="25.5" hidden="false" customHeight="true" outlineLevel="0" collapsed="false">
      <c r="A2644" s="49" t="s">
        <v>1125</v>
      </c>
      <c r="B2644" s="49" t="s">
        <v>1127</v>
      </c>
      <c r="C2644" s="49" t="s">
        <v>1608</v>
      </c>
      <c r="D2644" s="49" t="s">
        <v>1218</v>
      </c>
      <c r="E2644" s="49" t="s">
        <v>1609</v>
      </c>
      <c r="F2644" s="49" t="s">
        <v>1610</v>
      </c>
      <c r="G2644" s="49" t="s">
        <v>772</v>
      </c>
      <c r="H2644" s="49" t="s">
        <v>1132</v>
      </c>
      <c r="I2644" s="49" t="s">
        <v>885</v>
      </c>
    </row>
    <row r="2645" customFormat="false" ht="25.5" hidden="false" customHeight="true" outlineLevel="0" collapsed="false">
      <c r="A2645" s="49" t="s">
        <v>1125</v>
      </c>
      <c r="B2645" s="49" t="s">
        <v>1127</v>
      </c>
      <c r="C2645" s="49" t="s">
        <v>1611</v>
      </c>
      <c r="D2645" s="49" t="s">
        <v>1151</v>
      </c>
      <c r="E2645" s="49" t="s">
        <v>1135</v>
      </c>
      <c r="F2645" s="49" t="s">
        <v>1600</v>
      </c>
      <c r="G2645" s="49" t="s">
        <v>772</v>
      </c>
      <c r="H2645" s="49" t="s">
        <v>1132</v>
      </c>
      <c r="I2645" s="49" t="s">
        <v>885</v>
      </c>
    </row>
    <row r="2646" customFormat="false" ht="25.5" hidden="false" customHeight="true" outlineLevel="0" collapsed="false">
      <c r="A2646" s="49" t="s">
        <v>1125</v>
      </c>
      <c r="B2646" s="49" t="s">
        <v>1127</v>
      </c>
      <c r="C2646" s="49" t="s">
        <v>1612</v>
      </c>
      <c r="D2646" s="49" t="s">
        <v>1218</v>
      </c>
      <c r="E2646" s="49" t="s">
        <v>1135</v>
      </c>
      <c r="F2646" s="49" t="s">
        <v>1170</v>
      </c>
      <c r="G2646" s="49" t="s">
        <v>772</v>
      </c>
      <c r="H2646" s="49" t="s">
        <v>1132</v>
      </c>
      <c r="I2646" s="49" t="s">
        <v>885</v>
      </c>
    </row>
    <row r="2647" customFormat="false" ht="25.5" hidden="false" customHeight="true" outlineLevel="0" collapsed="false">
      <c r="A2647" s="49" t="s">
        <v>1125</v>
      </c>
      <c r="B2647" s="49" t="s">
        <v>1127</v>
      </c>
      <c r="C2647" s="49" t="s">
        <v>1613</v>
      </c>
      <c r="D2647" s="49" t="s">
        <v>1208</v>
      </c>
      <c r="E2647" s="49" t="s">
        <v>1183</v>
      </c>
      <c r="F2647" s="49" t="s">
        <v>1614</v>
      </c>
      <c r="G2647" s="49" t="s">
        <v>772</v>
      </c>
      <c r="H2647" s="49" t="s">
        <v>1132</v>
      </c>
      <c r="I2647" s="49" t="s">
        <v>885</v>
      </c>
    </row>
    <row r="2648" customFormat="false" ht="25.5" hidden="false" customHeight="true" outlineLevel="0" collapsed="false">
      <c r="A2648" s="49" t="s">
        <v>1125</v>
      </c>
      <c r="B2648" s="49" t="s">
        <v>1127</v>
      </c>
      <c r="C2648" s="49" t="s">
        <v>1615</v>
      </c>
      <c r="D2648" s="49" t="s">
        <v>1129</v>
      </c>
      <c r="E2648" s="49" t="s">
        <v>1226</v>
      </c>
      <c r="F2648" s="49" t="s">
        <v>1616</v>
      </c>
      <c r="G2648" s="49" t="s">
        <v>772</v>
      </c>
      <c r="H2648" s="49" t="s">
        <v>1132</v>
      </c>
      <c r="I2648" s="49" t="s">
        <v>885</v>
      </c>
    </row>
    <row r="2649" customFormat="false" ht="25.5" hidden="false" customHeight="true" outlineLevel="0" collapsed="false">
      <c r="A2649" s="49" t="s">
        <v>1125</v>
      </c>
      <c r="B2649" s="49" t="s">
        <v>1127</v>
      </c>
      <c r="C2649" s="49" t="s">
        <v>1128</v>
      </c>
      <c r="D2649" s="49" t="s">
        <v>1129</v>
      </c>
      <c r="E2649" s="49" t="s">
        <v>1130</v>
      </c>
      <c r="F2649" s="49" t="s">
        <v>1131</v>
      </c>
      <c r="G2649" s="49" t="s">
        <v>772</v>
      </c>
      <c r="H2649" s="49" t="s">
        <v>1132</v>
      </c>
      <c r="I2649" s="49" t="s">
        <v>885</v>
      </c>
    </row>
    <row r="2650" customFormat="false" ht="25.5" hidden="false" customHeight="true" outlineLevel="0" collapsed="false">
      <c r="A2650" s="49" t="s">
        <v>1125</v>
      </c>
      <c r="B2650" s="49" t="s">
        <v>1127</v>
      </c>
      <c r="C2650" s="49" t="s">
        <v>1133</v>
      </c>
      <c r="D2650" s="49" t="s">
        <v>1134</v>
      </c>
      <c r="E2650" s="49" t="s">
        <v>1135</v>
      </c>
      <c r="F2650" s="49" t="s">
        <v>1136</v>
      </c>
      <c r="G2650" s="49" t="s">
        <v>772</v>
      </c>
      <c r="H2650" s="49" t="s">
        <v>1132</v>
      </c>
      <c r="I2650" s="49" t="s">
        <v>885</v>
      </c>
    </row>
    <row r="2651" customFormat="false" ht="25.5" hidden="false" customHeight="true" outlineLevel="0" collapsed="false">
      <c r="A2651" s="49" t="s">
        <v>1125</v>
      </c>
      <c r="B2651" s="49" t="s">
        <v>1127</v>
      </c>
      <c r="C2651" s="49" t="s">
        <v>1137</v>
      </c>
      <c r="D2651" s="49" t="s">
        <v>1129</v>
      </c>
      <c r="E2651" s="49" t="s">
        <v>1135</v>
      </c>
      <c r="F2651" s="49" t="s">
        <v>1138</v>
      </c>
      <c r="G2651" s="49" t="s">
        <v>772</v>
      </c>
      <c r="H2651" s="49" t="s">
        <v>1132</v>
      </c>
      <c r="I2651" s="49" t="s">
        <v>885</v>
      </c>
    </row>
    <row r="2652" customFormat="false" ht="25.5" hidden="false" customHeight="true" outlineLevel="0" collapsed="false">
      <c r="A2652" s="49" t="s">
        <v>1125</v>
      </c>
      <c r="B2652" s="49" t="s">
        <v>1127</v>
      </c>
      <c r="C2652" s="49" t="s">
        <v>1139</v>
      </c>
      <c r="D2652" s="49" t="s">
        <v>1134</v>
      </c>
      <c r="E2652" s="49" t="s">
        <v>1135</v>
      </c>
      <c r="F2652" s="49" t="s">
        <v>1136</v>
      </c>
      <c r="G2652" s="49" t="s">
        <v>772</v>
      </c>
      <c r="H2652" s="49" t="s">
        <v>1132</v>
      </c>
      <c r="I2652" s="49" t="s">
        <v>885</v>
      </c>
    </row>
    <row r="2653" customFormat="false" ht="25.5" hidden="false" customHeight="true" outlineLevel="0" collapsed="false">
      <c r="A2653" s="49" t="s">
        <v>1125</v>
      </c>
      <c r="B2653" s="49" t="s">
        <v>1127</v>
      </c>
      <c r="C2653" s="49" t="s">
        <v>1140</v>
      </c>
      <c r="D2653" s="49" t="s">
        <v>1141</v>
      </c>
      <c r="E2653" s="49" t="s">
        <v>1142</v>
      </c>
      <c r="F2653" s="49" t="s">
        <v>1143</v>
      </c>
      <c r="G2653" s="49" t="s">
        <v>772</v>
      </c>
      <c r="H2653" s="49" t="s">
        <v>1132</v>
      </c>
      <c r="I2653" s="49" t="s">
        <v>885</v>
      </c>
    </row>
    <row r="2654" customFormat="false" ht="25.5" hidden="false" customHeight="true" outlineLevel="0" collapsed="false">
      <c r="A2654" s="49" t="s">
        <v>1125</v>
      </c>
      <c r="B2654" s="49" t="s">
        <v>1127</v>
      </c>
      <c r="C2654" s="49" t="s">
        <v>1144</v>
      </c>
      <c r="D2654" s="49" t="s">
        <v>1134</v>
      </c>
      <c r="E2654" s="49" t="s">
        <v>1145</v>
      </c>
      <c r="F2654" s="49" t="s">
        <v>1146</v>
      </c>
      <c r="G2654" s="49" t="s">
        <v>772</v>
      </c>
      <c r="H2654" s="49" t="s">
        <v>1132</v>
      </c>
      <c r="I2654" s="49" t="s">
        <v>885</v>
      </c>
    </row>
    <row r="2655" customFormat="false" ht="25.5" hidden="false" customHeight="true" outlineLevel="0" collapsed="false">
      <c r="A2655" s="49" t="s">
        <v>1125</v>
      </c>
      <c r="B2655" s="49" t="s">
        <v>1127</v>
      </c>
      <c r="C2655" s="49" t="s">
        <v>1147</v>
      </c>
      <c r="D2655" s="49" t="s">
        <v>1148</v>
      </c>
      <c r="E2655" s="49" t="s">
        <v>1135</v>
      </c>
      <c r="F2655" s="49" t="s">
        <v>1136</v>
      </c>
      <c r="G2655" s="49" t="s">
        <v>772</v>
      </c>
      <c r="H2655" s="49" t="s">
        <v>1132</v>
      </c>
      <c r="I2655" s="49" t="s">
        <v>885</v>
      </c>
    </row>
    <row r="2656" customFormat="false" ht="25.5" hidden="false" customHeight="true" outlineLevel="0" collapsed="false">
      <c r="A2656" s="49" t="s">
        <v>1125</v>
      </c>
      <c r="B2656" s="49" t="s">
        <v>1127</v>
      </c>
      <c r="C2656" s="49" t="s">
        <v>1149</v>
      </c>
      <c r="D2656" s="49" t="s">
        <v>1134</v>
      </c>
      <c r="E2656" s="49" t="s">
        <v>1135</v>
      </c>
      <c r="F2656" s="49" t="s">
        <v>1136</v>
      </c>
      <c r="G2656" s="49" t="s">
        <v>772</v>
      </c>
      <c r="H2656" s="49" t="s">
        <v>1132</v>
      </c>
      <c r="I2656" s="49" t="s">
        <v>885</v>
      </c>
    </row>
    <row r="2657" customFormat="false" ht="25.5" hidden="false" customHeight="true" outlineLevel="0" collapsed="false">
      <c r="A2657" s="49" t="s">
        <v>1125</v>
      </c>
      <c r="B2657" s="49" t="s">
        <v>1127</v>
      </c>
      <c r="C2657" s="49" t="s">
        <v>1150</v>
      </c>
      <c r="D2657" s="49" t="s">
        <v>1151</v>
      </c>
      <c r="E2657" s="49" t="s">
        <v>1152</v>
      </c>
      <c r="F2657" s="49" t="s">
        <v>1153</v>
      </c>
      <c r="G2657" s="49" t="s">
        <v>772</v>
      </c>
      <c r="H2657" s="49" t="s">
        <v>1132</v>
      </c>
      <c r="I2657" s="49" t="s">
        <v>885</v>
      </c>
    </row>
    <row r="2658" customFormat="false" ht="25.5" hidden="false" customHeight="true" outlineLevel="0" collapsed="false">
      <c r="A2658" s="49" t="s">
        <v>1125</v>
      </c>
      <c r="B2658" s="49" t="s">
        <v>1127</v>
      </c>
      <c r="C2658" s="49" t="s">
        <v>1154</v>
      </c>
      <c r="D2658" s="49" t="s">
        <v>1134</v>
      </c>
      <c r="E2658" s="49" t="s">
        <v>1135</v>
      </c>
      <c r="F2658" s="49" t="s">
        <v>1136</v>
      </c>
      <c r="G2658" s="49" t="s">
        <v>772</v>
      </c>
      <c r="H2658" s="49" t="s">
        <v>1132</v>
      </c>
      <c r="I2658" s="49" t="s">
        <v>885</v>
      </c>
    </row>
    <row r="2659" customFormat="false" ht="25.5" hidden="false" customHeight="true" outlineLevel="0" collapsed="false">
      <c r="A2659" s="49" t="s">
        <v>1125</v>
      </c>
      <c r="B2659" s="49" t="s">
        <v>1127</v>
      </c>
      <c r="C2659" s="49" t="s">
        <v>1155</v>
      </c>
      <c r="D2659" s="49" t="s">
        <v>1156</v>
      </c>
      <c r="E2659" s="49" t="s">
        <v>1157</v>
      </c>
      <c r="F2659" s="49" t="s">
        <v>1158</v>
      </c>
      <c r="G2659" s="49" t="s">
        <v>772</v>
      </c>
      <c r="H2659" s="49" t="s">
        <v>1132</v>
      </c>
      <c r="I2659" s="49" t="s">
        <v>885</v>
      </c>
    </row>
    <row r="2660" customFormat="false" ht="25.5" hidden="false" customHeight="true" outlineLevel="0" collapsed="false">
      <c r="A2660" s="49" t="s">
        <v>1125</v>
      </c>
      <c r="B2660" s="49" t="s">
        <v>1127</v>
      </c>
      <c r="C2660" s="49" t="s">
        <v>1159</v>
      </c>
      <c r="D2660" s="49" t="s">
        <v>1148</v>
      </c>
      <c r="E2660" s="49" t="s">
        <v>1135</v>
      </c>
      <c r="F2660" s="49" t="s">
        <v>1136</v>
      </c>
      <c r="G2660" s="49" t="s">
        <v>772</v>
      </c>
      <c r="H2660" s="49" t="s">
        <v>1132</v>
      </c>
      <c r="I2660" s="49" t="s">
        <v>885</v>
      </c>
    </row>
    <row r="2661" customFormat="false" ht="25.5" hidden="false" customHeight="true" outlineLevel="0" collapsed="false">
      <c r="A2661" s="49" t="s">
        <v>1125</v>
      </c>
      <c r="B2661" s="49" t="s">
        <v>1127</v>
      </c>
      <c r="C2661" s="49" t="s">
        <v>1160</v>
      </c>
      <c r="D2661" s="49" t="s">
        <v>1134</v>
      </c>
      <c r="E2661" s="49" t="s">
        <v>1157</v>
      </c>
      <c r="F2661" s="49" t="s">
        <v>1158</v>
      </c>
      <c r="G2661" s="49" t="s">
        <v>772</v>
      </c>
      <c r="H2661" s="49" t="s">
        <v>1132</v>
      </c>
      <c r="I2661" s="49" t="s">
        <v>885</v>
      </c>
    </row>
    <row r="2662" customFormat="false" ht="25.5" hidden="false" customHeight="true" outlineLevel="0" collapsed="false">
      <c r="A2662" s="49" t="s">
        <v>1125</v>
      </c>
      <c r="B2662" s="49" t="s">
        <v>1127</v>
      </c>
      <c r="C2662" s="49" t="s">
        <v>1161</v>
      </c>
      <c r="D2662" s="49" t="s">
        <v>1162</v>
      </c>
      <c r="E2662" s="49" t="s">
        <v>1163</v>
      </c>
      <c r="F2662" s="49" t="s">
        <v>1164</v>
      </c>
      <c r="G2662" s="49" t="s">
        <v>772</v>
      </c>
      <c r="H2662" s="49" t="s">
        <v>1132</v>
      </c>
      <c r="I2662" s="49" t="s">
        <v>885</v>
      </c>
    </row>
    <row r="2663" customFormat="false" ht="25.5" hidden="false" customHeight="true" outlineLevel="0" collapsed="false">
      <c r="A2663" s="49" t="s">
        <v>1125</v>
      </c>
      <c r="B2663" s="49" t="s">
        <v>1127</v>
      </c>
      <c r="C2663" s="49" t="s">
        <v>1165</v>
      </c>
      <c r="D2663" s="49" t="s">
        <v>1156</v>
      </c>
      <c r="E2663" s="49" t="s">
        <v>146</v>
      </c>
      <c r="F2663" s="49" t="s">
        <v>1166</v>
      </c>
      <c r="G2663" s="49" t="s">
        <v>772</v>
      </c>
      <c r="H2663" s="49" t="s">
        <v>1132</v>
      </c>
      <c r="I2663" s="49" t="s">
        <v>885</v>
      </c>
    </row>
    <row r="2664" customFormat="false" ht="25.5" hidden="false" customHeight="true" outlineLevel="0" collapsed="false">
      <c r="A2664" s="49" t="s">
        <v>1125</v>
      </c>
      <c r="B2664" s="49" t="s">
        <v>1127</v>
      </c>
      <c r="C2664" s="49" t="s">
        <v>1167</v>
      </c>
      <c r="D2664" s="49" t="s">
        <v>1141</v>
      </c>
      <c r="E2664" s="49" t="s">
        <v>1135</v>
      </c>
      <c r="F2664" s="49" t="s">
        <v>1136</v>
      </c>
      <c r="G2664" s="49" t="s">
        <v>772</v>
      </c>
      <c r="H2664" s="49" t="s">
        <v>1132</v>
      </c>
      <c r="I2664" s="49" t="s">
        <v>885</v>
      </c>
    </row>
    <row r="2665" customFormat="false" ht="25.5" hidden="false" customHeight="true" outlineLevel="0" collapsed="false">
      <c r="A2665" s="49" t="s">
        <v>1125</v>
      </c>
      <c r="B2665" s="49" t="s">
        <v>1127</v>
      </c>
      <c r="C2665" s="49" t="s">
        <v>1168</v>
      </c>
      <c r="D2665" s="49" t="s">
        <v>1141</v>
      </c>
      <c r="E2665" s="49" t="s">
        <v>1145</v>
      </c>
      <c r="F2665" s="49" t="s">
        <v>1146</v>
      </c>
      <c r="G2665" s="49" t="s">
        <v>772</v>
      </c>
      <c r="H2665" s="49" t="s">
        <v>1132</v>
      </c>
      <c r="I2665" s="49" t="s">
        <v>885</v>
      </c>
    </row>
    <row r="2666" customFormat="false" ht="25.5" hidden="false" customHeight="true" outlineLevel="0" collapsed="false">
      <c r="A2666" s="49" t="s">
        <v>1125</v>
      </c>
      <c r="B2666" s="49" t="s">
        <v>1127</v>
      </c>
      <c r="C2666" s="49" t="s">
        <v>1169</v>
      </c>
      <c r="D2666" s="49" t="s">
        <v>1148</v>
      </c>
      <c r="E2666" s="49" t="s">
        <v>1135</v>
      </c>
      <c r="F2666" s="49" t="s">
        <v>1170</v>
      </c>
      <c r="G2666" s="49" t="s">
        <v>772</v>
      </c>
      <c r="H2666" s="49" t="s">
        <v>1132</v>
      </c>
      <c r="I2666" s="49" t="s">
        <v>885</v>
      </c>
    </row>
    <row r="2667" customFormat="false" ht="25.5" hidden="false" customHeight="true" outlineLevel="0" collapsed="false">
      <c r="A2667" s="49" t="s">
        <v>1125</v>
      </c>
      <c r="B2667" s="49" t="s">
        <v>1127</v>
      </c>
      <c r="C2667" s="49" t="s">
        <v>1171</v>
      </c>
      <c r="D2667" s="49" t="s">
        <v>1172</v>
      </c>
      <c r="E2667" s="49" t="s">
        <v>1173</v>
      </c>
      <c r="F2667" s="49" t="s">
        <v>1174</v>
      </c>
      <c r="G2667" s="49" t="s">
        <v>772</v>
      </c>
      <c r="H2667" s="49" t="s">
        <v>1132</v>
      </c>
      <c r="I2667" s="49" t="s">
        <v>885</v>
      </c>
    </row>
    <row r="2668" customFormat="false" ht="25.5" hidden="false" customHeight="true" outlineLevel="0" collapsed="false">
      <c r="A2668" s="49" t="s">
        <v>1125</v>
      </c>
      <c r="B2668" s="49" t="s">
        <v>1127</v>
      </c>
      <c r="C2668" s="49" t="s">
        <v>1175</v>
      </c>
      <c r="D2668" s="49" t="s">
        <v>1162</v>
      </c>
      <c r="E2668" s="49" t="s">
        <v>893</v>
      </c>
      <c r="F2668" s="49" t="s">
        <v>1176</v>
      </c>
      <c r="G2668" s="49" t="s">
        <v>772</v>
      </c>
      <c r="H2668" s="49" t="s">
        <v>1132</v>
      </c>
      <c r="I2668" s="49" t="s">
        <v>885</v>
      </c>
    </row>
    <row r="2669" customFormat="false" ht="25.5" hidden="false" customHeight="true" outlineLevel="0" collapsed="false">
      <c r="A2669" s="49" t="s">
        <v>1125</v>
      </c>
      <c r="B2669" s="49" t="s">
        <v>1127</v>
      </c>
      <c r="C2669" s="49" t="s">
        <v>1177</v>
      </c>
      <c r="D2669" s="49" t="s">
        <v>1148</v>
      </c>
      <c r="E2669" s="49" t="s">
        <v>217</v>
      </c>
      <c r="F2669" s="49" t="s">
        <v>1178</v>
      </c>
      <c r="G2669" s="49" t="s">
        <v>772</v>
      </c>
      <c r="H2669" s="49" t="s">
        <v>1132</v>
      </c>
      <c r="I2669" s="49" t="s">
        <v>885</v>
      </c>
    </row>
    <row r="2670" customFormat="false" ht="25.5" hidden="false" customHeight="true" outlineLevel="0" collapsed="false">
      <c r="A2670" s="49" t="s">
        <v>1125</v>
      </c>
      <c r="B2670" s="49" t="s">
        <v>1127</v>
      </c>
      <c r="C2670" s="49" t="s">
        <v>1179</v>
      </c>
      <c r="D2670" s="49" t="s">
        <v>1151</v>
      </c>
      <c r="E2670" s="49" t="s">
        <v>1180</v>
      </c>
      <c r="F2670" s="49" t="s">
        <v>1181</v>
      </c>
      <c r="G2670" s="49" t="s">
        <v>772</v>
      </c>
      <c r="H2670" s="49" t="s">
        <v>1132</v>
      </c>
      <c r="I2670" s="49" t="s">
        <v>885</v>
      </c>
    </row>
    <row r="2671" customFormat="false" ht="25.5" hidden="false" customHeight="true" outlineLevel="0" collapsed="false">
      <c r="A2671" s="49" t="s">
        <v>1125</v>
      </c>
      <c r="B2671" s="49" t="s">
        <v>1127</v>
      </c>
      <c r="C2671" s="49" t="s">
        <v>1182</v>
      </c>
      <c r="D2671" s="49" t="s">
        <v>1148</v>
      </c>
      <c r="E2671" s="49" t="s">
        <v>1183</v>
      </c>
      <c r="F2671" s="49" t="s">
        <v>1184</v>
      </c>
      <c r="G2671" s="49" t="s">
        <v>772</v>
      </c>
      <c r="H2671" s="49" t="s">
        <v>1132</v>
      </c>
      <c r="I2671" s="49" t="s">
        <v>885</v>
      </c>
    </row>
    <row r="2672" customFormat="false" ht="25.5" hidden="false" customHeight="true" outlineLevel="0" collapsed="false">
      <c r="A2672" s="49" t="s">
        <v>1125</v>
      </c>
      <c r="B2672" s="49" t="s">
        <v>1127</v>
      </c>
      <c r="C2672" s="49" t="s">
        <v>1185</v>
      </c>
      <c r="D2672" s="49" t="s">
        <v>1134</v>
      </c>
      <c r="E2672" s="49" t="s">
        <v>1186</v>
      </c>
      <c r="F2672" s="49" t="s">
        <v>1187</v>
      </c>
      <c r="G2672" s="49" t="s">
        <v>772</v>
      </c>
      <c r="H2672" s="49" t="s">
        <v>1132</v>
      </c>
      <c r="I2672" s="49" t="s">
        <v>885</v>
      </c>
    </row>
    <row r="2673" customFormat="false" ht="25.5" hidden="false" customHeight="true" outlineLevel="0" collapsed="false">
      <c r="A2673" s="49" t="s">
        <v>1125</v>
      </c>
      <c r="B2673" s="49" t="s">
        <v>1127</v>
      </c>
      <c r="C2673" s="49" t="s">
        <v>1188</v>
      </c>
      <c r="D2673" s="49" t="s">
        <v>1134</v>
      </c>
      <c r="E2673" s="49" t="s">
        <v>1189</v>
      </c>
      <c r="F2673" s="49" t="s">
        <v>1190</v>
      </c>
      <c r="G2673" s="49" t="s">
        <v>772</v>
      </c>
      <c r="H2673" s="49" t="s">
        <v>1132</v>
      </c>
      <c r="I2673" s="49" t="s">
        <v>885</v>
      </c>
    </row>
    <row r="2674" customFormat="false" ht="25.5" hidden="false" customHeight="true" outlineLevel="0" collapsed="false">
      <c r="A2674" s="49" t="s">
        <v>1125</v>
      </c>
      <c r="B2674" s="49" t="s">
        <v>1127</v>
      </c>
      <c r="C2674" s="49" t="s">
        <v>1191</v>
      </c>
      <c r="D2674" s="49" t="s">
        <v>1151</v>
      </c>
      <c r="E2674" s="49" t="s">
        <v>1142</v>
      </c>
      <c r="F2674" s="49" t="s">
        <v>1192</v>
      </c>
      <c r="G2674" s="49" t="s">
        <v>772</v>
      </c>
      <c r="H2674" s="49" t="s">
        <v>1132</v>
      </c>
      <c r="I2674" s="49" t="s">
        <v>885</v>
      </c>
    </row>
    <row r="2675" customFormat="false" ht="25.5" hidden="false" customHeight="true" outlineLevel="0" collapsed="false">
      <c r="A2675" s="49" t="s">
        <v>1125</v>
      </c>
      <c r="B2675" s="49" t="s">
        <v>1127</v>
      </c>
      <c r="C2675" s="49" t="s">
        <v>1193</v>
      </c>
      <c r="D2675" s="49" t="s">
        <v>1148</v>
      </c>
      <c r="E2675" s="49" t="s">
        <v>1194</v>
      </c>
      <c r="F2675" s="49" t="s">
        <v>1195</v>
      </c>
      <c r="G2675" s="49" t="s">
        <v>772</v>
      </c>
      <c r="H2675" s="49" t="s">
        <v>1132</v>
      </c>
      <c r="I2675" s="49" t="s">
        <v>885</v>
      </c>
    </row>
    <row r="2676" customFormat="false" ht="25.5" hidden="false" customHeight="true" outlineLevel="0" collapsed="false">
      <c r="A2676" s="49" t="s">
        <v>1125</v>
      </c>
      <c r="B2676" s="49" t="s">
        <v>1196</v>
      </c>
      <c r="C2676" s="49" t="s">
        <v>1171</v>
      </c>
      <c r="D2676" s="49" t="s">
        <v>1172</v>
      </c>
      <c r="E2676" s="49" t="s">
        <v>1173</v>
      </c>
      <c r="F2676" s="49" t="s">
        <v>1197</v>
      </c>
      <c r="G2676" s="49" t="s">
        <v>772</v>
      </c>
      <c r="H2676" s="49" t="s">
        <v>1132</v>
      </c>
      <c r="I2676" s="49" t="s">
        <v>885</v>
      </c>
    </row>
    <row r="2677" customFormat="false" ht="25.5" hidden="false" customHeight="true" outlineLevel="0" collapsed="false">
      <c r="A2677" s="49" t="s">
        <v>1125</v>
      </c>
      <c r="B2677" s="49" t="s">
        <v>1196</v>
      </c>
      <c r="C2677" s="49" t="s">
        <v>1198</v>
      </c>
      <c r="D2677" s="49" t="s">
        <v>1199</v>
      </c>
      <c r="E2677" s="49" t="s">
        <v>1200</v>
      </c>
      <c r="F2677" s="49" t="s">
        <v>1201</v>
      </c>
      <c r="G2677" s="49" t="s">
        <v>772</v>
      </c>
      <c r="H2677" s="49" t="s">
        <v>1132</v>
      </c>
      <c r="I2677" s="49" t="s">
        <v>885</v>
      </c>
    </row>
    <row r="2678" customFormat="false" ht="25.5" hidden="false" customHeight="true" outlineLevel="0" collapsed="false">
      <c r="A2678" s="49" t="s">
        <v>1125</v>
      </c>
      <c r="B2678" s="49" t="s">
        <v>1196</v>
      </c>
      <c r="C2678" s="49" t="s">
        <v>1202</v>
      </c>
      <c r="D2678" s="49" t="s">
        <v>1151</v>
      </c>
      <c r="E2678" s="49" t="s">
        <v>217</v>
      </c>
      <c r="F2678" s="49" t="s">
        <v>1203</v>
      </c>
      <c r="G2678" s="49" t="s">
        <v>772</v>
      </c>
      <c r="H2678" s="49" t="s">
        <v>1132</v>
      </c>
      <c r="I2678" s="49" t="s">
        <v>885</v>
      </c>
    </row>
    <row r="2679" customFormat="false" ht="25.5" hidden="false" customHeight="true" outlineLevel="0" collapsed="false">
      <c r="A2679" s="49" t="s">
        <v>1125</v>
      </c>
      <c r="B2679" s="49" t="s">
        <v>1196</v>
      </c>
      <c r="C2679" s="49" t="s">
        <v>1204</v>
      </c>
      <c r="D2679" s="49" t="s">
        <v>1151</v>
      </c>
      <c r="E2679" s="49" t="s">
        <v>1205</v>
      </c>
      <c r="F2679" s="49" t="s">
        <v>1206</v>
      </c>
      <c r="G2679" s="49" t="s">
        <v>772</v>
      </c>
      <c r="H2679" s="49" t="s">
        <v>1132</v>
      </c>
      <c r="I2679" s="49" t="s">
        <v>885</v>
      </c>
    </row>
    <row r="2680" customFormat="false" ht="25.5" hidden="false" customHeight="true" outlineLevel="0" collapsed="false">
      <c r="A2680" s="49" t="s">
        <v>1125</v>
      </c>
      <c r="B2680" s="49" t="s">
        <v>1196</v>
      </c>
      <c r="C2680" s="49" t="s">
        <v>1207</v>
      </c>
      <c r="D2680" s="49" t="s">
        <v>1208</v>
      </c>
      <c r="E2680" s="49" t="s">
        <v>1183</v>
      </c>
      <c r="F2680" s="49" t="s">
        <v>1209</v>
      </c>
      <c r="G2680" s="49" t="s">
        <v>772</v>
      </c>
      <c r="H2680" s="49" t="s">
        <v>1132</v>
      </c>
      <c r="I2680" s="49" t="s">
        <v>885</v>
      </c>
    </row>
    <row r="2681" customFormat="false" ht="25.5" hidden="false" customHeight="true" outlineLevel="0" collapsed="false">
      <c r="A2681" s="49" t="s">
        <v>1125</v>
      </c>
      <c r="B2681" s="49" t="s">
        <v>1196</v>
      </c>
      <c r="C2681" s="49" t="s">
        <v>1210</v>
      </c>
      <c r="D2681" s="49" t="s">
        <v>1141</v>
      </c>
      <c r="E2681" s="49" t="s">
        <v>1135</v>
      </c>
      <c r="F2681" s="49" t="s">
        <v>1211</v>
      </c>
      <c r="G2681" s="49" t="s">
        <v>772</v>
      </c>
      <c r="H2681" s="49" t="s">
        <v>1132</v>
      </c>
      <c r="I2681" s="49" t="s">
        <v>885</v>
      </c>
    </row>
    <row r="2682" customFormat="false" ht="25.5" hidden="false" customHeight="true" outlineLevel="0" collapsed="false">
      <c r="A2682" s="49" t="s">
        <v>1125</v>
      </c>
      <c r="B2682" s="49" t="s">
        <v>1196</v>
      </c>
      <c r="C2682" s="49" t="s">
        <v>1212</v>
      </c>
      <c r="D2682" s="49" t="s">
        <v>1156</v>
      </c>
      <c r="E2682" s="49" t="s">
        <v>1213</v>
      </c>
      <c r="F2682" s="49" t="s">
        <v>1214</v>
      </c>
      <c r="G2682" s="49" t="s">
        <v>772</v>
      </c>
      <c r="H2682" s="49" t="s">
        <v>1132</v>
      </c>
      <c r="I2682" s="49" t="s">
        <v>885</v>
      </c>
    </row>
    <row r="2683" customFormat="false" ht="25.5" hidden="false" customHeight="true" outlineLevel="0" collapsed="false">
      <c r="A2683" s="49" t="s">
        <v>1125</v>
      </c>
      <c r="B2683" s="49" t="s">
        <v>1196</v>
      </c>
      <c r="C2683" s="49" t="s">
        <v>1215</v>
      </c>
      <c r="D2683" s="49" t="s">
        <v>1151</v>
      </c>
      <c r="E2683" s="49" t="s">
        <v>1135</v>
      </c>
      <c r="F2683" s="49" t="s">
        <v>1216</v>
      </c>
      <c r="G2683" s="49" t="s">
        <v>772</v>
      </c>
      <c r="H2683" s="49" t="s">
        <v>1132</v>
      </c>
      <c r="I2683" s="49" t="s">
        <v>885</v>
      </c>
    </row>
    <row r="2684" customFormat="false" ht="25.5" hidden="false" customHeight="true" outlineLevel="0" collapsed="false">
      <c r="A2684" s="49" t="s">
        <v>1125</v>
      </c>
      <c r="B2684" s="49" t="s">
        <v>1196</v>
      </c>
      <c r="C2684" s="49" t="s">
        <v>1217</v>
      </c>
      <c r="D2684" s="49" t="s">
        <v>1218</v>
      </c>
      <c r="E2684" s="49" t="s">
        <v>146</v>
      </c>
      <c r="F2684" s="49" t="s">
        <v>1219</v>
      </c>
      <c r="G2684" s="49" t="s">
        <v>772</v>
      </c>
      <c r="H2684" s="49" t="s">
        <v>1132</v>
      </c>
      <c r="I2684" s="49" t="s">
        <v>885</v>
      </c>
    </row>
    <row r="2685" customFormat="false" ht="25.5" hidden="false" customHeight="true" outlineLevel="0" collapsed="false">
      <c r="A2685" s="49" t="s">
        <v>1125</v>
      </c>
      <c r="B2685" s="49" t="s">
        <v>1196</v>
      </c>
      <c r="C2685" s="49" t="s">
        <v>1220</v>
      </c>
      <c r="D2685" s="49" t="s">
        <v>1129</v>
      </c>
      <c r="E2685" s="49" t="s">
        <v>1183</v>
      </c>
      <c r="F2685" s="49" t="s">
        <v>1221</v>
      </c>
      <c r="G2685" s="49" t="s">
        <v>772</v>
      </c>
      <c r="H2685" s="49" t="s">
        <v>1132</v>
      </c>
      <c r="I2685" s="49" t="s">
        <v>885</v>
      </c>
    </row>
    <row r="2686" customFormat="false" ht="25.5" hidden="false" customHeight="true" outlineLevel="0" collapsed="false">
      <c r="A2686" s="49" t="s">
        <v>1125</v>
      </c>
      <c r="B2686" s="49" t="s">
        <v>1196</v>
      </c>
      <c r="C2686" s="49" t="s">
        <v>1222</v>
      </c>
      <c r="D2686" s="49" t="s">
        <v>1141</v>
      </c>
      <c r="E2686" s="49" t="s">
        <v>1223</v>
      </c>
      <c r="F2686" s="49" t="s">
        <v>1224</v>
      </c>
      <c r="G2686" s="49" t="s">
        <v>772</v>
      </c>
      <c r="H2686" s="49" t="s">
        <v>1132</v>
      </c>
      <c r="I2686" s="49" t="s">
        <v>885</v>
      </c>
    </row>
    <row r="2687" customFormat="false" ht="25.5" hidden="false" customHeight="true" outlineLevel="0" collapsed="false">
      <c r="A2687" s="49" t="s">
        <v>1125</v>
      </c>
      <c r="B2687" s="49" t="s">
        <v>1196</v>
      </c>
      <c r="C2687" s="49" t="s">
        <v>1225</v>
      </c>
      <c r="D2687" s="49" t="s">
        <v>1141</v>
      </c>
      <c r="E2687" s="49" t="s">
        <v>1226</v>
      </c>
      <c r="F2687" s="49" t="s">
        <v>1227</v>
      </c>
      <c r="G2687" s="49" t="s">
        <v>772</v>
      </c>
      <c r="H2687" s="49" t="s">
        <v>1132</v>
      </c>
      <c r="I2687" s="49" t="s">
        <v>885</v>
      </c>
    </row>
    <row r="2688" customFormat="false" ht="25.5" hidden="false" customHeight="true" outlineLevel="0" collapsed="false">
      <c r="A2688" s="49" t="s">
        <v>1125</v>
      </c>
      <c r="B2688" s="49" t="s">
        <v>1196</v>
      </c>
      <c r="C2688" s="49" t="s">
        <v>1228</v>
      </c>
      <c r="D2688" s="49" t="s">
        <v>1199</v>
      </c>
      <c r="E2688" s="49" t="s">
        <v>1135</v>
      </c>
      <c r="F2688" s="49" t="s">
        <v>1229</v>
      </c>
      <c r="G2688" s="49" t="s">
        <v>772</v>
      </c>
      <c r="H2688" s="49" t="s">
        <v>1132</v>
      </c>
      <c r="I2688" s="49" t="s">
        <v>885</v>
      </c>
    </row>
    <row r="2689" customFormat="false" ht="25.5" hidden="false" customHeight="true" outlineLevel="0" collapsed="false">
      <c r="A2689" s="49" t="s">
        <v>1125</v>
      </c>
      <c r="B2689" s="49" t="s">
        <v>1196</v>
      </c>
      <c r="C2689" s="49" t="s">
        <v>1230</v>
      </c>
      <c r="D2689" s="49" t="s">
        <v>1208</v>
      </c>
      <c r="E2689" s="49" t="s">
        <v>1183</v>
      </c>
      <c r="F2689" s="49" t="s">
        <v>1231</v>
      </c>
      <c r="G2689" s="49" t="s">
        <v>772</v>
      </c>
      <c r="H2689" s="49" t="s">
        <v>1132</v>
      </c>
      <c r="I2689" s="49" t="s">
        <v>885</v>
      </c>
    </row>
    <row r="2690" customFormat="false" ht="25.5" hidden="false" customHeight="true" outlineLevel="0" collapsed="false">
      <c r="A2690" s="49" t="s">
        <v>1125</v>
      </c>
      <c r="B2690" s="49" t="s">
        <v>1196</v>
      </c>
      <c r="C2690" s="49" t="s">
        <v>1232</v>
      </c>
      <c r="D2690" s="49" t="s">
        <v>1208</v>
      </c>
      <c r="E2690" s="49" t="s">
        <v>1135</v>
      </c>
      <c r="F2690" s="49" t="s">
        <v>1229</v>
      </c>
      <c r="G2690" s="49" t="s">
        <v>772</v>
      </c>
      <c r="H2690" s="49" t="s">
        <v>1132</v>
      </c>
      <c r="I2690" s="49" t="s">
        <v>885</v>
      </c>
    </row>
    <row r="2691" customFormat="false" ht="25.5" hidden="false" customHeight="true" outlineLevel="0" collapsed="false">
      <c r="A2691" s="49" t="s">
        <v>1125</v>
      </c>
      <c r="B2691" s="49" t="s">
        <v>1196</v>
      </c>
      <c r="C2691" s="49" t="s">
        <v>1233</v>
      </c>
      <c r="D2691" s="49" t="s">
        <v>1129</v>
      </c>
      <c r="E2691" s="49" t="s">
        <v>1234</v>
      </c>
      <c r="F2691" s="49" t="s">
        <v>1235</v>
      </c>
      <c r="G2691" s="49" t="s">
        <v>772</v>
      </c>
      <c r="H2691" s="49" t="s">
        <v>1132</v>
      </c>
      <c r="I2691" s="49" t="s">
        <v>885</v>
      </c>
    </row>
    <row r="2692" customFormat="false" ht="25.5" hidden="false" customHeight="true" outlineLevel="0" collapsed="false">
      <c r="A2692" s="49" t="s">
        <v>1125</v>
      </c>
      <c r="B2692" s="49" t="s">
        <v>1196</v>
      </c>
      <c r="C2692" s="49" t="s">
        <v>1236</v>
      </c>
      <c r="D2692" s="49" t="s">
        <v>1199</v>
      </c>
      <c r="E2692" s="49" t="s">
        <v>1237</v>
      </c>
      <c r="F2692" s="49" t="s">
        <v>1238</v>
      </c>
      <c r="G2692" s="49" t="s">
        <v>772</v>
      </c>
      <c r="H2692" s="49" t="s">
        <v>1132</v>
      </c>
      <c r="I2692" s="49" t="s">
        <v>885</v>
      </c>
    </row>
    <row r="2693" customFormat="false" ht="25.5" hidden="false" customHeight="true" outlineLevel="0" collapsed="false">
      <c r="A2693" s="49" t="s">
        <v>1125</v>
      </c>
      <c r="B2693" s="49" t="s">
        <v>1196</v>
      </c>
      <c r="C2693" s="49" t="s">
        <v>1239</v>
      </c>
      <c r="D2693" s="49" t="s">
        <v>1134</v>
      </c>
      <c r="E2693" s="49" t="s">
        <v>1240</v>
      </c>
      <c r="F2693" s="49" t="s">
        <v>1241</v>
      </c>
      <c r="G2693" s="49" t="s">
        <v>772</v>
      </c>
      <c r="H2693" s="49" t="s">
        <v>1132</v>
      </c>
      <c r="I2693" s="49" t="s">
        <v>885</v>
      </c>
    </row>
    <row r="2694" customFormat="false" ht="25.5" hidden="false" customHeight="true" outlineLevel="0" collapsed="false">
      <c r="A2694" s="49" t="s">
        <v>1125</v>
      </c>
      <c r="B2694" s="49" t="s">
        <v>1196</v>
      </c>
      <c r="C2694" s="49" t="s">
        <v>1236</v>
      </c>
      <c r="D2694" s="49" t="s">
        <v>1199</v>
      </c>
      <c r="E2694" s="49" t="s">
        <v>1237</v>
      </c>
      <c r="F2694" s="49" t="s">
        <v>1242</v>
      </c>
      <c r="G2694" s="49" t="s">
        <v>772</v>
      </c>
      <c r="H2694" s="49" t="s">
        <v>1132</v>
      </c>
      <c r="I2694" s="49" t="s">
        <v>885</v>
      </c>
    </row>
    <row r="2695" customFormat="false" ht="25.5" hidden="false" customHeight="true" outlineLevel="0" collapsed="false">
      <c r="A2695" s="49" t="s">
        <v>1125</v>
      </c>
      <c r="B2695" s="49" t="s">
        <v>1196</v>
      </c>
      <c r="C2695" s="49" t="s">
        <v>1243</v>
      </c>
      <c r="D2695" s="49" t="s">
        <v>1151</v>
      </c>
      <c r="E2695" s="49" t="s">
        <v>217</v>
      </c>
      <c r="F2695" s="49" t="s">
        <v>1244</v>
      </c>
      <c r="G2695" s="49" t="s">
        <v>772</v>
      </c>
      <c r="H2695" s="49" t="s">
        <v>1132</v>
      </c>
      <c r="I2695" s="49" t="s">
        <v>885</v>
      </c>
    </row>
    <row r="2696" customFormat="false" ht="25.5" hidden="false" customHeight="true" outlineLevel="0" collapsed="false">
      <c r="A2696" s="49" t="s">
        <v>1125</v>
      </c>
      <c r="B2696" s="49" t="s">
        <v>1196</v>
      </c>
      <c r="C2696" s="49" t="s">
        <v>1245</v>
      </c>
      <c r="D2696" s="49" t="s">
        <v>1151</v>
      </c>
      <c r="E2696" s="49" t="s">
        <v>1183</v>
      </c>
      <c r="F2696" s="49" t="s">
        <v>1246</v>
      </c>
      <c r="G2696" s="49" t="s">
        <v>772</v>
      </c>
      <c r="H2696" s="49" t="s">
        <v>1132</v>
      </c>
      <c r="I2696" s="49" t="s">
        <v>885</v>
      </c>
    </row>
    <row r="2697" customFormat="false" ht="25.5" hidden="false" customHeight="true" outlineLevel="0" collapsed="false">
      <c r="A2697" s="49" t="s">
        <v>1125</v>
      </c>
      <c r="B2697" s="49" t="s">
        <v>1247</v>
      </c>
      <c r="C2697" s="49" t="s">
        <v>1171</v>
      </c>
      <c r="D2697" s="49" t="s">
        <v>1172</v>
      </c>
      <c r="E2697" s="49" t="s">
        <v>1173</v>
      </c>
      <c r="F2697" s="49" t="s">
        <v>1248</v>
      </c>
      <c r="G2697" s="49" t="s">
        <v>772</v>
      </c>
      <c r="H2697" s="49" t="s">
        <v>1132</v>
      </c>
      <c r="I2697" s="49" t="s">
        <v>885</v>
      </c>
    </row>
    <row r="2698" customFormat="false" ht="25.5" hidden="false" customHeight="true" outlineLevel="0" collapsed="false">
      <c r="A2698" s="49" t="s">
        <v>1125</v>
      </c>
      <c r="B2698" s="49" t="s">
        <v>1247</v>
      </c>
      <c r="C2698" s="49" t="s">
        <v>1249</v>
      </c>
      <c r="D2698" s="49" t="s">
        <v>1218</v>
      </c>
      <c r="E2698" s="49" t="s">
        <v>1250</v>
      </c>
      <c r="F2698" s="49" t="s">
        <v>1251</v>
      </c>
      <c r="G2698" s="49" t="s">
        <v>772</v>
      </c>
      <c r="H2698" s="49" t="s">
        <v>1132</v>
      </c>
      <c r="I2698" s="49" t="s">
        <v>885</v>
      </c>
    </row>
    <row r="2699" customFormat="false" ht="25.5" hidden="false" customHeight="true" outlineLevel="0" collapsed="false">
      <c r="A2699" s="49" t="s">
        <v>1125</v>
      </c>
      <c r="B2699" s="49" t="s">
        <v>1247</v>
      </c>
      <c r="C2699" s="49" t="s">
        <v>1252</v>
      </c>
      <c r="D2699" s="49" t="s">
        <v>1148</v>
      </c>
      <c r="E2699" s="49" t="s">
        <v>1183</v>
      </c>
      <c r="F2699" s="49" t="s">
        <v>1253</v>
      </c>
      <c r="G2699" s="49" t="s">
        <v>772</v>
      </c>
      <c r="H2699" s="49" t="s">
        <v>1132</v>
      </c>
      <c r="I2699" s="49" t="s">
        <v>885</v>
      </c>
    </row>
    <row r="2700" customFormat="false" ht="25.5" hidden="false" customHeight="true" outlineLevel="0" collapsed="false">
      <c r="A2700" s="49" t="s">
        <v>1125</v>
      </c>
      <c r="B2700" s="49" t="s">
        <v>1247</v>
      </c>
      <c r="C2700" s="49" t="s">
        <v>1254</v>
      </c>
      <c r="D2700" s="49" t="s">
        <v>1141</v>
      </c>
      <c r="E2700" s="49" t="s">
        <v>1135</v>
      </c>
      <c r="F2700" s="49" t="s">
        <v>1255</v>
      </c>
      <c r="G2700" s="49" t="s">
        <v>772</v>
      </c>
      <c r="H2700" s="49" t="s">
        <v>1132</v>
      </c>
      <c r="I2700" s="49" t="s">
        <v>885</v>
      </c>
    </row>
    <row r="2701" customFormat="false" ht="25.5" hidden="false" customHeight="true" outlineLevel="0" collapsed="false">
      <c r="A2701" s="49" t="s">
        <v>1125</v>
      </c>
      <c r="B2701" s="49" t="s">
        <v>1247</v>
      </c>
      <c r="C2701" s="49" t="s">
        <v>1256</v>
      </c>
      <c r="D2701" s="49" t="s">
        <v>1218</v>
      </c>
      <c r="E2701" s="49" t="s">
        <v>1135</v>
      </c>
      <c r="F2701" s="49" t="s">
        <v>1257</v>
      </c>
      <c r="G2701" s="49" t="s">
        <v>772</v>
      </c>
      <c r="H2701" s="49" t="s">
        <v>1132</v>
      </c>
      <c r="I2701" s="49" t="s">
        <v>885</v>
      </c>
    </row>
    <row r="2702" customFormat="false" ht="25.5" hidden="false" customHeight="true" outlineLevel="0" collapsed="false">
      <c r="A2702" s="49" t="s">
        <v>1125</v>
      </c>
      <c r="B2702" s="49" t="s">
        <v>1247</v>
      </c>
      <c r="C2702" s="49" t="s">
        <v>1258</v>
      </c>
      <c r="D2702" s="49" t="s">
        <v>1156</v>
      </c>
      <c r="E2702" s="49" t="s">
        <v>217</v>
      </c>
      <c r="F2702" s="49" t="s">
        <v>1259</v>
      </c>
      <c r="G2702" s="49" t="s">
        <v>772</v>
      </c>
      <c r="H2702" s="49" t="s">
        <v>1132</v>
      </c>
      <c r="I2702" s="49" t="s">
        <v>885</v>
      </c>
    </row>
    <row r="2703" customFormat="false" ht="25.5" hidden="false" customHeight="true" outlineLevel="0" collapsed="false">
      <c r="A2703" s="49" t="s">
        <v>1125</v>
      </c>
      <c r="B2703" s="49" t="s">
        <v>1247</v>
      </c>
      <c r="C2703" s="49" t="s">
        <v>1260</v>
      </c>
      <c r="D2703" s="49" t="s">
        <v>1208</v>
      </c>
      <c r="E2703" s="49" t="s">
        <v>1183</v>
      </c>
      <c r="F2703" s="49" t="s">
        <v>1261</v>
      </c>
      <c r="G2703" s="49" t="s">
        <v>772</v>
      </c>
      <c r="H2703" s="49" t="s">
        <v>1132</v>
      </c>
      <c r="I2703" s="49" t="s">
        <v>885</v>
      </c>
    </row>
    <row r="2704" customFormat="false" ht="25.5" hidden="false" customHeight="true" outlineLevel="0" collapsed="false">
      <c r="A2704" s="49" t="s">
        <v>1125</v>
      </c>
      <c r="B2704" s="49" t="s">
        <v>1247</v>
      </c>
      <c r="C2704" s="49" t="s">
        <v>1262</v>
      </c>
      <c r="D2704" s="49" t="s">
        <v>1162</v>
      </c>
      <c r="E2704" s="49" t="s">
        <v>217</v>
      </c>
      <c r="F2704" s="49" t="s">
        <v>1263</v>
      </c>
      <c r="G2704" s="49" t="s">
        <v>772</v>
      </c>
      <c r="H2704" s="49" t="s">
        <v>1132</v>
      </c>
      <c r="I2704" s="49" t="s">
        <v>885</v>
      </c>
    </row>
    <row r="2705" customFormat="false" ht="25.5" hidden="false" customHeight="true" outlineLevel="0" collapsed="false">
      <c r="A2705" s="49" t="s">
        <v>1125</v>
      </c>
      <c r="B2705" s="49" t="s">
        <v>1247</v>
      </c>
      <c r="C2705" s="49" t="s">
        <v>1264</v>
      </c>
      <c r="D2705" s="49" t="s">
        <v>1134</v>
      </c>
      <c r="E2705" s="49" t="s">
        <v>1265</v>
      </c>
      <c r="F2705" s="49" t="s">
        <v>1266</v>
      </c>
      <c r="G2705" s="49" t="s">
        <v>772</v>
      </c>
      <c r="H2705" s="49" t="s">
        <v>1132</v>
      </c>
      <c r="I2705" s="49" t="s">
        <v>885</v>
      </c>
    </row>
    <row r="2706" customFormat="false" ht="25.5" hidden="false" customHeight="true" outlineLevel="0" collapsed="false">
      <c r="A2706" s="49" t="s">
        <v>1125</v>
      </c>
      <c r="B2706" s="49" t="s">
        <v>1247</v>
      </c>
      <c r="C2706" s="49" t="s">
        <v>1267</v>
      </c>
      <c r="D2706" s="49" t="s">
        <v>1141</v>
      </c>
      <c r="E2706" s="49" t="s">
        <v>1268</v>
      </c>
      <c r="F2706" s="49" t="s">
        <v>1269</v>
      </c>
      <c r="G2706" s="49" t="s">
        <v>772</v>
      </c>
      <c r="H2706" s="49" t="s">
        <v>1132</v>
      </c>
      <c r="I2706" s="49" t="s">
        <v>885</v>
      </c>
    </row>
    <row r="2707" customFormat="false" ht="25.5" hidden="false" customHeight="true" outlineLevel="0" collapsed="false">
      <c r="A2707" s="49" t="s">
        <v>1125</v>
      </c>
      <c r="B2707" s="49" t="s">
        <v>1247</v>
      </c>
      <c r="C2707" s="49" t="s">
        <v>1270</v>
      </c>
      <c r="D2707" s="49" t="s">
        <v>1208</v>
      </c>
      <c r="E2707" s="49" t="s">
        <v>1271</v>
      </c>
      <c r="F2707" s="49" t="s">
        <v>1272</v>
      </c>
      <c r="G2707" s="49" t="s">
        <v>772</v>
      </c>
      <c r="H2707" s="49" t="s">
        <v>1132</v>
      </c>
      <c r="I2707" s="49" t="s">
        <v>885</v>
      </c>
    </row>
    <row r="2708" customFormat="false" ht="25.5" hidden="false" customHeight="true" outlineLevel="0" collapsed="false">
      <c r="A2708" s="49" t="s">
        <v>1125</v>
      </c>
      <c r="B2708" s="49" t="s">
        <v>1247</v>
      </c>
      <c r="C2708" s="49" t="s">
        <v>1273</v>
      </c>
      <c r="D2708" s="49" t="s">
        <v>1218</v>
      </c>
      <c r="E2708" s="49" t="s">
        <v>893</v>
      </c>
      <c r="F2708" s="49" t="s">
        <v>1274</v>
      </c>
      <c r="G2708" s="49" t="s">
        <v>772</v>
      </c>
      <c r="H2708" s="49" t="s">
        <v>1132</v>
      </c>
      <c r="I2708" s="49" t="s">
        <v>885</v>
      </c>
    </row>
    <row r="2709" customFormat="false" ht="25.5" hidden="false" customHeight="true" outlineLevel="0" collapsed="false">
      <c r="A2709" s="49" t="s">
        <v>1125</v>
      </c>
      <c r="B2709" s="49" t="s">
        <v>1247</v>
      </c>
      <c r="C2709" s="49" t="s">
        <v>1275</v>
      </c>
      <c r="D2709" s="49" t="s">
        <v>1156</v>
      </c>
      <c r="E2709" s="49" t="s">
        <v>893</v>
      </c>
      <c r="F2709" s="49" t="s">
        <v>1274</v>
      </c>
      <c r="G2709" s="49" t="s">
        <v>772</v>
      </c>
      <c r="H2709" s="49" t="s">
        <v>1132</v>
      </c>
      <c r="I2709" s="49" t="s">
        <v>885</v>
      </c>
    </row>
    <row r="2710" customFormat="false" ht="25.5" hidden="false" customHeight="true" outlineLevel="0" collapsed="false">
      <c r="A2710" s="49" t="s">
        <v>1125</v>
      </c>
      <c r="B2710" s="49" t="s">
        <v>1247</v>
      </c>
      <c r="C2710" s="49" t="s">
        <v>1276</v>
      </c>
      <c r="D2710" s="49" t="s">
        <v>1134</v>
      </c>
      <c r="E2710" s="49" t="s">
        <v>1183</v>
      </c>
      <c r="F2710" s="49" t="s">
        <v>1277</v>
      </c>
      <c r="G2710" s="49" t="s">
        <v>772</v>
      </c>
      <c r="H2710" s="49" t="s">
        <v>1132</v>
      </c>
      <c r="I2710" s="49" t="s">
        <v>885</v>
      </c>
    </row>
    <row r="2711" customFormat="false" ht="25.5" hidden="false" customHeight="true" outlineLevel="0" collapsed="false">
      <c r="A2711" s="49" t="s">
        <v>1125</v>
      </c>
      <c r="B2711" s="49" t="s">
        <v>1247</v>
      </c>
      <c r="C2711" s="49" t="s">
        <v>1278</v>
      </c>
      <c r="D2711" s="49" t="s">
        <v>1208</v>
      </c>
      <c r="E2711" s="49" t="s">
        <v>1279</v>
      </c>
      <c r="F2711" s="49" t="s">
        <v>1280</v>
      </c>
      <c r="G2711" s="49" t="s">
        <v>772</v>
      </c>
      <c r="H2711" s="49" t="s">
        <v>1132</v>
      </c>
      <c r="I2711" s="49" t="s">
        <v>885</v>
      </c>
    </row>
    <row r="2712" customFormat="false" ht="25.5" hidden="false" customHeight="true" outlineLevel="0" collapsed="false">
      <c r="A2712" s="49" t="s">
        <v>1125</v>
      </c>
      <c r="B2712" s="49" t="s">
        <v>1247</v>
      </c>
      <c r="C2712" s="49" t="s">
        <v>1281</v>
      </c>
      <c r="D2712" s="49" t="s">
        <v>1162</v>
      </c>
      <c r="E2712" s="49" t="s">
        <v>1163</v>
      </c>
      <c r="F2712" s="49" t="s">
        <v>1282</v>
      </c>
      <c r="G2712" s="49" t="s">
        <v>772</v>
      </c>
      <c r="H2712" s="49" t="s">
        <v>1132</v>
      </c>
      <c r="I2712" s="49" t="s">
        <v>885</v>
      </c>
    </row>
    <row r="2713" customFormat="false" ht="25.5" hidden="false" customHeight="true" outlineLevel="0" collapsed="false">
      <c r="A2713" s="49" t="s">
        <v>1125</v>
      </c>
      <c r="B2713" s="49" t="s">
        <v>1247</v>
      </c>
      <c r="C2713" s="49" t="s">
        <v>1283</v>
      </c>
      <c r="D2713" s="49" t="s">
        <v>1199</v>
      </c>
      <c r="E2713" s="49" t="s">
        <v>1284</v>
      </c>
      <c r="F2713" s="49" t="s">
        <v>1285</v>
      </c>
      <c r="G2713" s="49" t="s">
        <v>772</v>
      </c>
      <c r="H2713" s="49" t="s">
        <v>1132</v>
      </c>
      <c r="I2713" s="49" t="s">
        <v>885</v>
      </c>
    </row>
    <row r="2714" customFormat="false" ht="25.5" hidden="false" customHeight="true" outlineLevel="0" collapsed="false">
      <c r="A2714" s="49" t="s">
        <v>1125</v>
      </c>
      <c r="B2714" s="49" t="s">
        <v>1247</v>
      </c>
      <c r="C2714" s="49" t="s">
        <v>1286</v>
      </c>
      <c r="D2714" s="49" t="s">
        <v>1208</v>
      </c>
      <c r="E2714" s="49" t="s">
        <v>217</v>
      </c>
      <c r="F2714" s="49" t="s">
        <v>1287</v>
      </c>
      <c r="G2714" s="49" t="s">
        <v>772</v>
      </c>
      <c r="H2714" s="49" t="s">
        <v>1132</v>
      </c>
      <c r="I2714" s="49" t="s">
        <v>885</v>
      </c>
    </row>
    <row r="2715" customFormat="false" ht="25.5" hidden="false" customHeight="true" outlineLevel="0" collapsed="false">
      <c r="A2715" s="49" t="s">
        <v>1125</v>
      </c>
      <c r="B2715" s="49" t="s">
        <v>1247</v>
      </c>
      <c r="C2715" s="49" t="s">
        <v>1288</v>
      </c>
      <c r="D2715" s="49" t="s">
        <v>1218</v>
      </c>
      <c r="E2715" s="49" t="s">
        <v>1289</v>
      </c>
      <c r="F2715" s="49" t="s">
        <v>1290</v>
      </c>
      <c r="G2715" s="49" t="s">
        <v>772</v>
      </c>
      <c r="H2715" s="49" t="s">
        <v>1132</v>
      </c>
      <c r="I2715" s="49" t="s">
        <v>885</v>
      </c>
    </row>
    <row r="2716" customFormat="false" ht="25.5" hidden="false" customHeight="true" outlineLevel="0" collapsed="false">
      <c r="A2716" s="49" t="s">
        <v>1125</v>
      </c>
      <c r="B2716" s="49" t="s">
        <v>1247</v>
      </c>
      <c r="C2716" s="49" t="s">
        <v>1291</v>
      </c>
      <c r="D2716" s="49" t="s">
        <v>1292</v>
      </c>
      <c r="E2716" s="49" t="s">
        <v>1157</v>
      </c>
      <c r="F2716" s="49" t="s">
        <v>1293</v>
      </c>
      <c r="G2716" s="49" t="s">
        <v>772</v>
      </c>
      <c r="H2716" s="49" t="s">
        <v>1132</v>
      </c>
      <c r="I2716" s="49" t="s">
        <v>885</v>
      </c>
    </row>
    <row r="2717" customFormat="false" ht="25.5" hidden="false" customHeight="true" outlineLevel="0" collapsed="false">
      <c r="A2717" s="49" t="s">
        <v>1125</v>
      </c>
      <c r="B2717" s="49" t="s">
        <v>1294</v>
      </c>
      <c r="C2717" s="49" t="s">
        <v>1171</v>
      </c>
      <c r="D2717" s="49" t="s">
        <v>1172</v>
      </c>
      <c r="E2717" s="49" t="s">
        <v>1173</v>
      </c>
      <c r="F2717" s="49" t="s">
        <v>1174</v>
      </c>
      <c r="G2717" s="49" t="s">
        <v>772</v>
      </c>
      <c r="H2717" s="49" t="s">
        <v>1132</v>
      </c>
      <c r="I2717" s="49" t="s">
        <v>885</v>
      </c>
    </row>
    <row r="2718" customFormat="false" ht="25.5" hidden="false" customHeight="true" outlineLevel="0" collapsed="false">
      <c r="A2718" s="49" t="s">
        <v>1125</v>
      </c>
      <c r="B2718" s="49" t="s">
        <v>1294</v>
      </c>
      <c r="C2718" s="49" t="s">
        <v>1295</v>
      </c>
      <c r="D2718" s="49" t="s">
        <v>1292</v>
      </c>
      <c r="E2718" s="49" t="s">
        <v>1296</v>
      </c>
      <c r="F2718" s="49" t="s">
        <v>1297</v>
      </c>
      <c r="G2718" s="49" t="s">
        <v>772</v>
      </c>
      <c r="H2718" s="49" t="s">
        <v>1132</v>
      </c>
      <c r="I2718" s="49" t="s">
        <v>885</v>
      </c>
    </row>
    <row r="2719" customFormat="false" ht="25.5" hidden="false" customHeight="true" outlineLevel="0" collapsed="false">
      <c r="A2719" s="49" t="s">
        <v>1125</v>
      </c>
      <c r="B2719" s="49" t="s">
        <v>1294</v>
      </c>
      <c r="C2719" s="49" t="s">
        <v>1298</v>
      </c>
      <c r="D2719" s="49" t="s">
        <v>1141</v>
      </c>
      <c r="E2719" s="49" t="s">
        <v>1183</v>
      </c>
      <c r="F2719" s="49" t="s">
        <v>1299</v>
      </c>
      <c r="G2719" s="49" t="s">
        <v>772</v>
      </c>
      <c r="H2719" s="49" t="s">
        <v>1132</v>
      </c>
      <c r="I2719" s="49" t="s">
        <v>885</v>
      </c>
    </row>
    <row r="2720" customFormat="false" ht="25.5" hidden="false" customHeight="true" outlineLevel="0" collapsed="false">
      <c r="A2720" s="49" t="s">
        <v>1125</v>
      </c>
      <c r="B2720" s="49" t="s">
        <v>1294</v>
      </c>
      <c r="C2720" s="49" t="s">
        <v>1300</v>
      </c>
      <c r="D2720" s="49" t="s">
        <v>1218</v>
      </c>
      <c r="E2720" s="49" t="s">
        <v>1183</v>
      </c>
      <c r="F2720" s="49" t="s">
        <v>1301</v>
      </c>
      <c r="G2720" s="49" t="s">
        <v>772</v>
      </c>
      <c r="H2720" s="49" t="s">
        <v>1132</v>
      </c>
      <c r="I2720" s="49" t="s">
        <v>885</v>
      </c>
    </row>
    <row r="2721" customFormat="false" ht="25.5" hidden="false" customHeight="true" outlineLevel="0" collapsed="false">
      <c r="A2721" s="49" t="s">
        <v>1125</v>
      </c>
      <c r="B2721" s="49" t="s">
        <v>1294</v>
      </c>
      <c r="C2721" s="49" t="s">
        <v>1302</v>
      </c>
      <c r="D2721" s="49" t="s">
        <v>1199</v>
      </c>
      <c r="E2721" s="49" t="s">
        <v>1183</v>
      </c>
      <c r="F2721" s="49" t="s">
        <v>1303</v>
      </c>
      <c r="G2721" s="49" t="s">
        <v>772</v>
      </c>
      <c r="H2721" s="49" t="s">
        <v>1132</v>
      </c>
      <c r="I2721" s="49" t="s">
        <v>885</v>
      </c>
    </row>
    <row r="2722" customFormat="false" ht="25.5" hidden="false" customHeight="true" outlineLevel="0" collapsed="false">
      <c r="A2722" s="49" t="s">
        <v>1125</v>
      </c>
      <c r="B2722" s="49" t="s">
        <v>1294</v>
      </c>
      <c r="C2722" s="49" t="s">
        <v>1304</v>
      </c>
      <c r="D2722" s="49" t="s">
        <v>1156</v>
      </c>
      <c r="E2722" s="49" t="s">
        <v>1265</v>
      </c>
      <c r="F2722" s="49" t="s">
        <v>1305</v>
      </c>
      <c r="G2722" s="49" t="s">
        <v>772</v>
      </c>
      <c r="H2722" s="49" t="s">
        <v>1132</v>
      </c>
      <c r="I2722" s="49" t="s">
        <v>885</v>
      </c>
    </row>
    <row r="2723" customFormat="false" ht="25.5" hidden="false" customHeight="true" outlineLevel="0" collapsed="false">
      <c r="A2723" s="49" t="s">
        <v>1125</v>
      </c>
      <c r="B2723" s="49" t="s">
        <v>1294</v>
      </c>
      <c r="C2723" s="49" t="s">
        <v>1306</v>
      </c>
      <c r="D2723" s="49" t="s">
        <v>1148</v>
      </c>
      <c r="E2723" s="49" t="s">
        <v>1226</v>
      </c>
      <c r="F2723" s="49" t="s">
        <v>1307</v>
      </c>
      <c r="G2723" s="49" t="s">
        <v>772</v>
      </c>
      <c r="H2723" s="49" t="s">
        <v>1132</v>
      </c>
      <c r="I2723" s="49" t="s">
        <v>885</v>
      </c>
    </row>
    <row r="2724" customFormat="false" ht="25.5" hidden="false" customHeight="true" outlineLevel="0" collapsed="false">
      <c r="A2724" s="49" t="s">
        <v>1125</v>
      </c>
      <c r="B2724" s="49" t="s">
        <v>1294</v>
      </c>
      <c r="C2724" s="49" t="s">
        <v>1308</v>
      </c>
      <c r="D2724" s="49" t="s">
        <v>1156</v>
      </c>
      <c r="E2724" s="49" t="s">
        <v>1309</v>
      </c>
      <c r="F2724" s="49" t="s">
        <v>1310</v>
      </c>
      <c r="G2724" s="49" t="s">
        <v>772</v>
      </c>
      <c r="H2724" s="49" t="s">
        <v>1132</v>
      </c>
      <c r="I2724" s="49" t="s">
        <v>885</v>
      </c>
    </row>
    <row r="2725" customFormat="false" ht="25.5" hidden="false" customHeight="true" outlineLevel="0" collapsed="false">
      <c r="A2725" s="49" t="s">
        <v>1125</v>
      </c>
      <c r="B2725" s="49" t="s">
        <v>1294</v>
      </c>
      <c r="C2725" s="49" t="s">
        <v>1311</v>
      </c>
      <c r="D2725" s="49" t="s">
        <v>1199</v>
      </c>
      <c r="E2725" s="49" t="s">
        <v>217</v>
      </c>
      <c r="F2725" s="49" t="s">
        <v>1312</v>
      </c>
      <c r="G2725" s="49" t="s">
        <v>772</v>
      </c>
      <c r="H2725" s="49" t="s">
        <v>1132</v>
      </c>
      <c r="I2725" s="49" t="s">
        <v>885</v>
      </c>
    </row>
    <row r="2726" customFormat="false" ht="25.5" hidden="false" customHeight="true" outlineLevel="0" collapsed="false">
      <c r="A2726" s="49" t="s">
        <v>1125</v>
      </c>
      <c r="B2726" s="49" t="s">
        <v>1294</v>
      </c>
      <c r="C2726" s="49" t="s">
        <v>1313</v>
      </c>
      <c r="D2726" s="49" t="s">
        <v>1208</v>
      </c>
      <c r="E2726" s="49" t="s">
        <v>1183</v>
      </c>
      <c r="F2726" s="49" t="s">
        <v>1314</v>
      </c>
      <c r="G2726" s="49" t="s">
        <v>772</v>
      </c>
      <c r="H2726" s="49" t="s">
        <v>1132</v>
      </c>
      <c r="I2726" s="49" t="s">
        <v>885</v>
      </c>
    </row>
    <row r="2727" customFormat="false" ht="25.5" hidden="false" customHeight="true" outlineLevel="0" collapsed="false">
      <c r="A2727" s="49" t="s">
        <v>1125</v>
      </c>
      <c r="B2727" s="49" t="s">
        <v>1294</v>
      </c>
      <c r="C2727" s="49" t="s">
        <v>1315</v>
      </c>
      <c r="D2727" s="49" t="s">
        <v>1208</v>
      </c>
      <c r="E2727" s="49" t="s">
        <v>1186</v>
      </c>
      <c r="F2727" s="49" t="s">
        <v>1316</v>
      </c>
      <c r="G2727" s="49" t="s">
        <v>772</v>
      </c>
      <c r="H2727" s="49" t="s">
        <v>1132</v>
      </c>
      <c r="I2727" s="49" t="s">
        <v>885</v>
      </c>
    </row>
    <row r="2728" customFormat="false" ht="25.5" hidden="false" customHeight="true" outlineLevel="0" collapsed="false">
      <c r="A2728" s="49" t="s">
        <v>1125</v>
      </c>
      <c r="B2728" s="49" t="s">
        <v>1294</v>
      </c>
      <c r="C2728" s="49" t="s">
        <v>1317</v>
      </c>
      <c r="D2728" s="49" t="s">
        <v>1151</v>
      </c>
      <c r="E2728" s="49" t="s">
        <v>1265</v>
      </c>
      <c r="F2728" s="49" t="s">
        <v>1318</v>
      </c>
      <c r="G2728" s="49" t="s">
        <v>772</v>
      </c>
      <c r="H2728" s="49" t="s">
        <v>1132</v>
      </c>
      <c r="I2728" s="49" t="s">
        <v>885</v>
      </c>
    </row>
    <row r="2729" customFormat="false" ht="25.5" hidden="false" customHeight="true" outlineLevel="0" collapsed="false">
      <c r="A2729" s="49" t="s">
        <v>1125</v>
      </c>
      <c r="B2729" s="49" t="s">
        <v>1294</v>
      </c>
      <c r="C2729" s="49" t="s">
        <v>1319</v>
      </c>
      <c r="D2729" s="49" t="s">
        <v>1156</v>
      </c>
      <c r="E2729" s="49" t="s">
        <v>1183</v>
      </c>
      <c r="F2729" s="49" t="s">
        <v>1320</v>
      </c>
      <c r="G2729" s="49" t="s">
        <v>772</v>
      </c>
      <c r="H2729" s="49" t="s">
        <v>1132</v>
      </c>
      <c r="I2729" s="49" t="s">
        <v>885</v>
      </c>
    </row>
    <row r="2730" customFormat="false" ht="25.5" hidden="false" customHeight="true" outlineLevel="0" collapsed="false">
      <c r="A2730" s="49" t="s">
        <v>1125</v>
      </c>
      <c r="B2730" s="49" t="s">
        <v>1294</v>
      </c>
      <c r="C2730" s="49" t="s">
        <v>1321</v>
      </c>
      <c r="D2730" s="49" t="s">
        <v>1151</v>
      </c>
      <c r="E2730" s="49" t="s">
        <v>1265</v>
      </c>
      <c r="F2730" s="49" t="s">
        <v>1227</v>
      </c>
      <c r="G2730" s="49" t="s">
        <v>772</v>
      </c>
      <c r="H2730" s="49" t="s">
        <v>1132</v>
      </c>
      <c r="I2730" s="49" t="s">
        <v>885</v>
      </c>
    </row>
    <row r="2731" customFormat="false" ht="25.5" hidden="false" customHeight="true" outlineLevel="0" collapsed="false">
      <c r="A2731" s="49" t="s">
        <v>1125</v>
      </c>
      <c r="B2731" s="49" t="s">
        <v>1294</v>
      </c>
      <c r="C2731" s="49" t="s">
        <v>1322</v>
      </c>
      <c r="D2731" s="49" t="s">
        <v>1208</v>
      </c>
      <c r="E2731" s="49" t="s">
        <v>1183</v>
      </c>
      <c r="F2731" s="49" t="s">
        <v>1323</v>
      </c>
      <c r="G2731" s="49" t="s">
        <v>772</v>
      </c>
      <c r="H2731" s="49" t="s">
        <v>1132</v>
      </c>
      <c r="I2731" s="49" t="s">
        <v>885</v>
      </c>
    </row>
    <row r="2732" customFormat="false" ht="25.5" hidden="false" customHeight="true" outlineLevel="0" collapsed="false">
      <c r="A2732" s="49" t="s">
        <v>1125</v>
      </c>
      <c r="B2732" s="49" t="s">
        <v>1294</v>
      </c>
      <c r="C2732" s="49" t="s">
        <v>1324</v>
      </c>
      <c r="D2732" s="49" t="s">
        <v>1129</v>
      </c>
      <c r="E2732" s="49" t="s">
        <v>1183</v>
      </c>
      <c r="F2732" s="49" t="s">
        <v>1325</v>
      </c>
      <c r="G2732" s="49" t="s">
        <v>772</v>
      </c>
      <c r="H2732" s="49" t="s">
        <v>1132</v>
      </c>
      <c r="I2732" s="49" t="s">
        <v>885</v>
      </c>
    </row>
    <row r="2733" customFormat="false" ht="25.5" hidden="false" customHeight="true" outlineLevel="0" collapsed="false">
      <c r="A2733" s="49" t="s">
        <v>1125</v>
      </c>
      <c r="B2733" s="49" t="s">
        <v>1294</v>
      </c>
      <c r="C2733" s="49" t="s">
        <v>1326</v>
      </c>
      <c r="D2733" s="49" t="s">
        <v>1129</v>
      </c>
      <c r="E2733" s="49" t="s">
        <v>893</v>
      </c>
      <c r="F2733" s="49" t="s">
        <v>1327</v>
      </c>
      <c r="G2733" s="49" t="s">
        <v>772</v>
      </c>
      <c r="H2733" s="49" t="s">
        <v>1132</v>
      </c>
      <c r="I2733" s="49" t="s">
        <v>885</v>
      </c>
    </row>
    <row r="2734" customFormat="false" ht="25.5" hidden="false" customHeight="true" outlineLevel="0" collapsed="false">
      <c r="A2734" s="49" t="s">
        <v>1125</v>
      </c>
      <c r="B2734" s="49" t="s">
        <v>1294</v>
      </c>
      <c r="C2734" s="49" t="s">
        <v>1328</v>
      </c>
      <c r="D2734" s="49" t="s">
        <v>1129</v>
      </c>
      <c r="E2734" s="49" t="s">
        <v>1183</v>
      </c>
      <c r="F2734" s="49" t="s">
        <v>1329</v>
      </c>
      <c r="G2734" s="49" t="s">
        <v>772</v>
      </c>
      <c r="H2734" s="49" t="s">
        <v>1132</v>
      </c>
      <c r="I2734" s="49" t="s">
        <v>885</v>
      </c>
    </row>
    <row r="2735" customFormat="false" ht="25.5" hidden="false" customHeight="true" outlineLevel="0" collapsed="false">
      <c r="A2735" s="49" t="s">
        <v>1125</v>
      </c>
      <c r="B2735" s="49" t="s">
        <v>1294</v>
      </c>
      <c r="C2735" s="49" t="s">
        <v>1330</v>
      </c>
      <c r="D2735" s="49" t="s">
        <v>1134</v>
      </c>
      <c r="E2735" s="49" t="s">
        <v>1183</v>
      </c>
      <c r="F2735" s="49" t="s">
        <v>1331</v>
      </c>
      <c r="G2735" s="49" t="s">
        <v>772</v>
      </c>
      <c r="H2735" s="49" t="s">
        <v>1132</v>
      </c>
      <c r="I2735" s="49" t="s">
        <v>885</v>
      </c>
    </row>
    <row r="2736" customFormat="false" ht="25.5" hidden="false" customHeight="true" outlineLevel="0" collapsed="false">
      <c r="A2736" s="49" t="s">
        <v>1125</v>
      </c>
      <c r="B2736" s="49" t="s">
        <v>1294</v>
      </c>
      <c r="C2736" s="49" t="s">
        <v>1332</v>
      </c>
      <c r="D2736" s="49" t="s">
        <v>1156</v>
      </c>
      <c r="E2736" s="49" t="s">
        <v>1333</v>
      </c>
      <c r="F2736" s="49" t="s">
        <v>1334</v>
      </c>
      <c r="G2736" s="49" t="s">
        <v>772</v>
      </c>
      <c r="H2736" s="49" t="s">
        <v>1132</v>
      </c>
      <c r="I2736" s="49" t="s">
        <v>885</v>
      </c>
    </row>
    <row r="2737" customFormat="false" ht="25.5" hidden="false" customHeight="true" outlineLevel="0" collapsed="false">
      <c r="A2737" s="49" t="s">
        <v>1125</v>
      </c>
      <c r="B2737" s="49" t="s">
        <v>1294</v>
      </c>
      <c r="C2737" s="49" t="s">
        <v>1335</v>
      </c>
      <c r="D2737" s="49" t="s">
        <v>1199</v>
      </c>
      <c r="E2737" s="49" t="s">
        <v>1183</v>
      </c>
      <c r="F2737" s="49" t="s">
        <v>1336</v>
      </c>
      <c r="G2737" s="49" t="s">
        <v>772</v>
      </c>
      <c r="H2737" s="49" t="s">
        <v>1132</v>
      </c>
      <c r="I2737" s="49" t="s">
        <v>885</v>
      </c>
    </row>
    <row r="2738" customFormat="false" ht="25.5" hidden="false" customHeight="true" outlineLevel="0" collapsed="false">
      <c r="A2738" s="49" t="s">
        <v>1125</v>
      </c>
      <c r="B2738" s="49" t="s">
        <v>1294</v>
      </c>
      <c r="C2738" s="49" t="s">
        <v>1337</v>
      </c>
      <c r="D2738" s="49" t="s">
        <v>1134</v>
      </c>
      <c r="E2738" s="49" t="s">
        <v>217</v>
      </c>
      <c r="F2738" s="49" t="s">
        <v>1338</v>
      </c>
      <c r="G2738" s="49" t="s">
        <v>772</v>
      </c>
      <c r="H2738" s="49" t="s">
        <v>1132</v>
      </c>
      <c r="I2738" s="49" t="s">
        <v>885</v>
      </c>
    </row>
    <row r="2739" customFormat="false" ht="25.5" hidden="false" customHeight="true" outlineLevel="0" collapsed="false">
      <c r="A2739" s="49" t="s">
        <v>1125</v>
      </c>
      <c r="B2739" s="49" t="s">
        <v>1294</v>
      </c>
      <c r="C2739" s="49" t="s">
        <v>1339</v>
      </c>
      <c r="D2739" s="49" t="s">
        <v>1208</v>
      </c>
      <c r="E2739" s="49" t="s">
        <v>40</v>
      </c>
      <c r="F2739" s="49" t="s">
        <v>1340</v>
      </c>
      <c r="G2739" s="49" t="s">
        <v>772</v>
      </c>
      <c r="H2739" s="49" t="s">
        <v>1132</v>
      </c>
      <c r="I2739" s="49" t="s">
        <v>885</v>
      </c>
    </row>
    <row r="2740" customFormat="false" ht="25.5" hidden="false" customHeight="true" outlineLevel="0" collapsed="false">
      <c r="A2740" s="49" t="s">
        <v>1125</v>
      </c>
      <c r="B2740" s="49" t="s">
        <v>1341</v>
      </c>
      <c r="C2740" s="49" t="s">
        <v>1171</v>
      </c>
      <c r="D2740" s="49" t="s">
        <v>1172</v>
      </c>
      <c r="E2740" s="49" t="s">
        <v>1173</v>
      </c>
      <c r="F2740" s="49" t="s">
        <v>1174</v>
      </c>
      <c r="G2740" s="49" t="s">
        <v>772</v>
      </c>
      <c r="H2740" s="49" t="s">
        <v>1132</v>
      </c>
      <c r="I2740" s="49" t="s">
        <v>885</v>
      </c>
    </row>
    <row r="2741" customFormat="false" ht="25.5" hidden="false" customHeight="true" outlineLevel="0" collapsed="false">
      <c r="A2741" s="49" t="s">
        <v>1125</v>
      </c>
      <c r="B2741" s="49" t="s">
        <v>1341</v>
      </c>
      <c r="C2741" s="49" t="s">
        <v>1342</v>
      </c>
      <c r="D2741" s="49" t="s">
        <v>1292</v>
      </c>
      <c r="E2741" s="49" t="s">
        <v>1113</v>
      </c>
      <c r="F2741" s="49" t="s">
        <v>1343</v>
      </c>
      <c r="G2741" s="49" t="s">
        <v>772</v>
      </c>
      <c r="H2741" s="49" t="s">
        <v>1132</v>
      </c>
      <c r="I2741" s="49" t="s">
        <v>885</v>
      </c>
    </row>
    <row r="2742" customFormat="false" ht="25.5" hidden="false" customHeight="true" outlineLevel="0" collapsed="false">
      <c r="A2742" s="49" t="s">
        <v>1125</v>
      </c>
      <c r="B2742" s="49" t="s">
        <v>1341</v>
      </c>
      <c r="C2742" s="49" t="s">
        <v>1344</v>
      </c>
      <c r="D2742" s="49" t="s">
        <v>1208</v>
      </c>
      <c r="E2742" s="49" t="s">
        <v>1183</v>
      </c>
      <c r="F2742" s="49" t="s">
        <v>1345</v>
      </c>
      <c r="G2742" s="49" t="s">
        <v>772</v>
      </c>
      <c r="H2742" s="49" t="s">
        <v>1132</v>
      </c>
      <c r="I2742" s="49" t="s">
        <v>885</v>
      </c>
    </row>
    <row r="2743" customFormat="false" ht="25.5" hidden="false" customHeight="true" outlineLevel="0" collapsed="false">
      <c r="A2743" s="49" t="s">
        <v>1125</v>
      </c>
      <c r="B2743" s="49" t="s">
        <v>1341</v>
      </c>
      <c r="C2743" s="49" t="s">
        <v>1346</v>
      </c>
      <c r="D2743" s="49" t="s">
        <v>1218</v>
      </c>
      <c r="E2743" s="49" t="s">
        <v>1347</v>
      </c>
      <c r="F2743" s="49" t="s">
        <v>1348</v>
      </c>
      <c r="G2743" s="49" t="s">
        <v>772</v>
      </c>
      <c r="H2743" s="49" t="s">
        <v>1132</v>
      </c>
      <c r="I2743" s="49" t="s">
        <v>885</v>
      </c>
    </row>
    <row r="2744" customFormat="false" ht="25.5" hidden="false" customHeight="true" outlineLevel="0" collapsed="false">
      <c r="A2744" s="49" t="s">
        <v>1125</v>
      </c>
      <c r="B2744" s="49" t="s">
        <v>1341</v>
      </c>
      <c r="C2744" s="49" t="s">
        <v>1349</v>
      </c>
      <c r="D2744" s="49" t="s">
        <v>1218</v>
      </c>
      <c r="E2744" s="49" t="s">
        <v>1183</v>
      </c>
      <c r="F2744" s="49" t="s">
        <v>1350</v>
      </c>
      <c r="G2744" s="49" t="s">
        <v>772</v>
      </c>
      <c r="H2744" s="49" t="s">
        <v>1132</v>
      </c>
      <c r="I2744" s="49" t="s">
        <v>885</v>
      </c>
    </row>
    <row r="2745" customFormat="false" ht="25.5" hidden="false" customHeight="true" outlineLevel="0" collapsed="false">
      <c r="A2745" s="49" t="s">
        <v>1125</v>
      </c>
      <c r="B2745" s="49" t="s">
        <v>1341</v>
      </c>
      <c r="C2745" s="49" t="s">
        <v>1351</v>
      </c>
      <c r="D2745" s="49" t="s">
        <v>1134</v>
      </c>
      <c r="E2745" s="49" t="s">
        <v>1055</v>
      </c>
      <c r="F2745" s="49" t="s">
        <v>1352</v>
      </c>
      <c r="G2745" s="49" t="s">
        <v>772</v>
      </c>
      <c r="H2745" s="49" t="s">
        <v>1132</v>
      </c>
      <c r="I2745" s="49" t="s">
        <v>885</v>
      </c>
    </row>
    <row r="2746" customFormat="false" ht="25.5" hidden="false" customHeight="true" outlineLevel="0" collapsed="false">
      <c r="A2746" s="49" t="s">
        <v>1125</v>
      </c>
      <c r="B2746" s="49" t="s">
        <v>1341</v>
      </c>
      <c r="C2746" s="49" t="s">
        <v>1353</v>
      </c>
      <c r="D2746" s="49" t="s">
        <v>1134</v>
      </c>
      <c r="E2746" s="49" t="s">
        <v>1226</v>
      </c>
      <c r="F2746" s="49" t="s">
        <v>1354</v>
      </c>
      <c r="G2746" s="49" t="s">
        <v>772</v>
      </c>
      <c r="H2746" s="49" t="s">
        <v>1132</v>
      </c>
      <c r="I2746" s="49" t="s">
        <v>885</v>
      </c>
    </row>
    <row r="2747" customFormat="false" ht="25.5" hidden="false" customHeight="true" outlineLevel="0" collapsed="false">
      <c r="A2747" s="49" t="s">
        <v>1125</v>
      </c>
      <c r="B2747" s="49" t="s">
        <v>1341</v>
      </c>
      <c r="C2747" s="49" t="s">
        <v>1355</v>
      </c>
      <c r="D2747" s="49" t="s">
        <v>1148</v>
      </c>
      <c r="E2747" s="49" t="s">
        <v>1356</v>
      </c>
      <c r="F2747" s="49" t="s">
        <v>1357</v>
      </c>
      <c r="G2747" s="49" t="s">
        <v>772</v>
      </c>
      <c r="H2747" s="49" t="s">
        <v>1132</v>
      </c>
      <c r="I2747" s="49" t="s">
        <v>885</v>
      </c>
    </row>
    <row r="2748" customFormat="false" ht="25.5" hidden="false" customHeight="true" outlineLevel="0" collapsed="false">
      <c r="A2748" s="49" t="s">
        <v>1125</v>
      </c>
      <c r="B2748" s="49" t="s">
        <v>1341</v>
      </c>
      <c r="C2748" s="49" t="s">
        <v>1358</v>
      </c>
      <c r="D2748" s="49" t="s">
        <v>1218</v>
      </c>
      <c r="E2748" s="49" t="s">
        <v>1359</v>
      </c>
      <c r="F2748" s="49" t="s">
        <v>1360</v>
      </c>
      <c r="G2748" s="49" t="s">
        <v>772</v>
      </c>
      <c r="H2748" s="49" t="s">
        <v>1132</v>
      </c>
      <c r="I2748" s="49" t="s">
        <v>885</v>
      </c>
    </row>
    <row r="2749" customFormat="false" ht="25.5" hidden="false" customHeight="true" outlineLevel="0" collapsed="false">
      <c r="A2749" s="49" t="s">
        <v>1125</v>
      </c>
      <c r="B2749" s="49" t="s">
        <v>1341</v>
      </c>
      <c r="C2749" s="49" t="s">
        <v>1361</v>
      </c>
      <c r="D2749" s="49" t="s">
        <v>1148</v>
      </c>
      <c r="E2749" s="49" t="s">
        <v>1183</v>
      </c>
      <c r="F2749" s="49" t="s">
        <v>1362</v>
      </c>
      <c r="G2749" s="49" t="s">
        <v>772</v>
      </c>
      <c r="H2749" s="49" t="s">
        <v>1132</v>
      </c>
      <c r="I2749" s="49" t="s">
        <v>885</v>
      </c>
    </row>
    <row r="2750" customFormat="false" ht="25.5" hidden="false" customHeight="true" outlineLevel="0" collapsed="false">
      <c r="A2750" s="49" t="s">
        <v>1125</v>
      </c>
      <c r="B2750" s="49" t="s">
        <v>1341</v>
      </c>
      <c r="C2750" s="49" t="s">
        <v>1363</v>
      </c>
      <c r="D2750" s="49" t="s">
        <v>1148</v>
      </c>
      <c r="E2750" s="49" t="s">
        <v>1364</v>
      </c>
      <c r="F2750" s="49" t="s">
        <v>1365</v>
      </c>
      <c r="G2750" s="49" t="s">
        <v>772</v>
      </c>
      <c r="H2750" s="49" t="s">
        <v>1132</v>
      </c>
      <c r="I2750" s="49" t="s">
        <v>885</v>
      </c>
    </row>
    <row r="2751" customFormat="false" ht="25.5" hidden="false" customHeight="true" outlineLevel="0" collapsed="false">
      <c r="A2751" s="49" t="s">
        <v>1125</v>
      </c>
      <c r="B2751" s="49" t="s">
        <v>1341</v>
      </c>
      <c r="C2751" s="49" t="s">
        <v>1366</v>
      </c>
      <c r="D2751" s="49" t="s">
        <v>1148</v>
      </c>
      <c r="E2751" s="49" t="s">
        <v>1183</v>
      </c>
      <c r="F2751" s="49" t="s">
        <v>1367</v>
      </c>
      <c r="G2751" s="49" t="s">
        <v>772</v>
      </c>
      <c r="H2751" s="49" t="s">
        <v>1132</v>
      </c>
      <c r="I2751" s="49" t="s">
        <v>885</v>
      </c>
    </row>
    <row r="2752" customFormat="false" ht="25.5" hidden="false" customHeight="true" outlineLevel="0" collapsed="false">
      <c r="A2752" s="49" t="s">
        <v>1125</v>
      </c>
      <c r="B2752" s="49" t="s">
        <v>1341</v>
      </c>
      <c r="C2752" s="49" t="s">
        <v>1368</v>
      </c>
      <c r="D2752" s="49" t="s">
        <v>1218</v>
      </c>
      <c r="E2752" s="49" t="s">
        <v>217</v>
      </c>
      <c r="F2752" s="49" t="s">
        <v>1369</v>
      </c>
      <c r="G2752" s="49" t="s">
        <v>772</v>
      </c>
      <c r="H2752" s="49" t="s">
        <v>1132</v>
      </c>
      <c r="I2752" s="49" t="s">
        <v>885</v>
      </c>
    </row>
    <row r="2753" customFormat="false" ht="25.5" hidden="false" customHeight="true" outlineLevel="0" collapsed="false">
      <c r="A2753" s="49" t="s">
        <v>1125</v>
      </c>
      <c r="B2753" s="49" t="s">
        <v>1341</v>
      </c>
      <c r="C2753" s="49" t="s">
        <v>1370</v>
      </c>
      <c r="D2753" s="49" t="s">
        <v>1208</v>
      </c>
      <c r="E2753" s="49" t="s">
        <v>893</v>
      </c>
      <c r="F2753" s="49" t="s">
        <v>1371</v>
      </c>
      <c r="G2753" s="49" t="s">
        <v>772</v>
      </c>
      <c r="H2753" s="49" t="s">
        <v>1132</v>
      </c>
      <c r="I2753" s="49" t="s">
        <v>885</v>
      </c>
    </row>
    <row r="2754" customFormat="false" ht="25.5" hidden="false" customHeight="true" outlineLevel="0" collapsed="false">
      <c r="A2754" s="49" t="s">
        <v>1125</v>
      </c>
      <c r="B2754" s="49" t="s">
        <v>1341</v>
      </c>
      <c r="C2754" s="49" t="s">
        <v>1372</v>
      </c>
      <c r="D2754" s="49" t="s">
        <v>1199</v>
      </c>
      <c r="E2754" s="49" t="s">
        <v>1135</v>
      </c>
      <c r="F2754" s="49" t="s">
        <v>1373</v>
      </c>
      <c r="G2754" s="49" t="s">
        <v>772</v>
      </c>
      <c r="H2754" s="49" t="s">
        <v>1132</v>
      </c>
      <c r="I2754" s="49" t="s">
        <v>885</v>
      </c>
    </row>
    <row r="2755" customFormat="false" ht="25.5" hidden="false" customHeight="true" outlineLevel="0" collapsed="false">
      <c r="A2755" s="49" t="s">
        <v>1125</v>
      </c>
      <c r="B2755" s="49" t="s">
        <v>1341</v>
      </c>
      <c r="C2755" s="49" t="s">
        <v>1374</v>
      </c>
      <c r="D2755" s="49" t="s">
        <v>1208</v>
      </c>
      <c r="E2755" s="49" t="s">
        <v>1183</v>
      </c>
      <c r="F2755" s="49" t="s">
        <v>1375</v>
      </c>
      <c r="G2755" s="49" t="s">
        <v>772</v>
      </c>
      <c r="H2755" s="49" t="s">
        <v>1132</v>
      </c>
      <c r="I2755" s="49" t="s">
        <v>885</v>
      </c>
    </row>
    <row r="2756" customFormat="false" ht="25.5" hidden="false" customHeight="true" outlineLevel="0" collapsed="false">
      <c r="A2756" s="49" t="s">
        <v>1125</v>
      </c>
      <c r="B2756" s="49" t="s">
        <v>1341</v>
      </c>
      <c r="C2756" s="49" t="s">
        <v>1376</v>
      </c>
      <c r="D2756" s="49" t="s">
        <v>1208</v>
      </c>
      <c r="E2756" s="49" t="s">
        <v>1377</v>
      </c>
      <c r="F2756" s="49" t="s">
        <v>1378</v>
      </c>
      <c r="G2756" s="49" t="s">
        <v>772</v>
      </c>
      <c r="H2756" s="49" t="s">
        <v>1132</v>
      </c>
      <c r="I2756" s="49" t="s">
        <v>885</v>
      </c>
    </row>
    <row r="2757" customFormat="false" ht="25.5" hidden="false" customHeight="true" outlineLevel="0" collapsed="false">
      <c r="A2757" s="49" t="s">
        <v>1125</v>
      </c>
      <c r="B2757" s="49" t="s">
        <v>1341</v>
      </c>
      <c r="C2757" s="49" t="s">
        <v>1379</v>
      </c>
      <c r="D2757" s="49" t="s">
        <v>1199</v>
      </c>
      <c r="E2757" s="49" t="s">
        <v>1183</v>
      </c>
      <c r="F2757" s="49" t="s">
        <v>1380</v>
      </c>
      <c r="G2757" s="49" t="s">
        <v>772</v>
      </c>
      <c r="H2757" s="49" t="s">
        <v>1132</v>
      </c>
      <c r="I2757" s="49" t="s">
        <v>885</v>
      </c>
    </row>
    <row r="2758" customFormat="false" ht="25.5" hidden="false" customHeight="true" outlineLevel="0" collapsed="false">
      <c r="A2758" s="49" t="s">
        <v>1125</v>
      </c>
      <c r="B2758" s="49" t="s">
        <v>1341</v>
      </c>
      <c r="C2758" s="49" t="s">
        <v>1381</v>
      </c>
      <c r="D2758" s="49" t="s">
        <v>1162</v>
      </c>
      <c r="E2758" s="49" t="s">
        <v>1382</v>
      </c>
      <c r="F2758" s="49" t="s">
        <v>1383</v>
      </c>
      <c r="G2758" s="49" t="s">
        <v>772</v>
      </c>
      <c r="H2758" s="49" t="s">
        <v>1132</v>
      </c>
      <c r="I2758" s="49" t="s">
        <v>885</v>
      </c>
    </row>
    <row r="2759" customFormat="false" ht="25.5" hidden="false" customHeight="true" outlineLevel="0" collapsed="false">
      <c r="A2759" s="49" t="s">
        <v>1125</v>
      </c>
      <c r="B2759" s="49" t="s">
        <v>1341</v>
      </c>
      <c r="C2759" s="49" t="s">
        <v>1384</v>
      </c>
      <c r="D2759" s="49" t="s">
        <v>1292</v>
      </c>
      <c r="E2759" s="49" t="s">
        <v>1189</v>
      </c>
      <c r="F2759" s="49" t="s">
        <v>1385</v>
      </c>
      <c r="G2759" s="49" t="s">
        <v>772</v>
      </c>
      <c r="H2759" s="49" t="s">
        <v>1132</v>
      </c>
      <c r="I2759" s="49" t="s">
        <v>885</v>
      </c>
    </row>
    <row r="2760" customFormat="false" ht="25.5" hidden="false" customHeight="true" outlineLevel="0" collapsed="false">
      <c r="A2760" s="49" t="s">
        <v>1125</v>
      </c>
      <c r="B2760" s="49" t="s">
        <v>1341</v>
      </c>
      <c r="C2760" s="49" t="s">
        <v>1386</v>
      </c>
      <c r="D2760" s="49" t="s">
        <v>1156</v>
      </c>
      <c r="E2760" s="49" t="s">
        <v>1183</v>
      </c>
      <c r="F2760" s="49" t="s">
        <v>1387</v>
      </c>
      <c r="G2760" s="49" t="s">
        <v>772</v>
      </c>
      <c r="H2760" s="49" t="s">
        <v>1132</v>
      </c>
      <c r="I2760" s="49" t="s">
        <v>885</v>
      </c>
    </row>
    <row r="2761" customFormat="false" ht="25.5" hidden="false" customHeight="true" outlineLevel="0" collapsed="false">
      <c r="A2761" s="49" t="s">
        <v>1125</v>
      </c>
      <c r="B2761" s="49" t="s">
        <v>1341</v>
      </c>
      <c r="C2761" s="49" t="s">
        <v>1388</v>
      </c>
      <c r="D2761" s="49" t="s">
        <v>1162</v>
      </c>
      <c r="E2761" s="49" t="s">
        <v>1163</v>
      </c>
      <c r="F2761" s="49" t="s">
        <v>1389</v>
      </c>
      <c r="G2761" s="49" t="s">
        <v>772</v>
      </c>
      <c r="H2761" s="49" t="s">
        <v>1132</v>
      </c>
      <c r="I2761" s="49" t="s">
        <v>885</v>
      </c>
    </row>
    <row r="2762" customFormat="false" ht="25.5" hidden="false" customHeight="true" outlineLevel="0" collapsed="false">
      <c r="A2762" s="49" t="s">
        <v>1125</v>
      </c>
      <c r="B2762" s="49" t="s">
        <v>1341</v>
      </c>
      <c r="C2762" s="49" t="s">
        <v>1390</v>
      </c>
      <c r="D2762" s="49" t="s">
        <v>1162</v>
      </c>
      <c r="E2762" s="49" t="s">
        <v>1163</v>
      </c>
      <c r="F2762" s="49" t="s">
        <v>1391</v>
      </c>
      <c r="G2762" s="49" t="s">
        <v>772</v>
      </c>
      <c r="H2762" s="49" t="s">
        <v>1132</v>
      </c>
      <c r="I2762" s="49" t="s">
        <v>885</v>
      </c>
    </row>
    <row r="2763" customFormat="false" ht="25.5" hidden="false" customHeight="true" outlineLevel="0" collapsed="false">
      <c r="A2763" s="49" t="s">
        <v>1125</v>
      </c>
      <c r="B2763" s="49" t="s">
        <v>1341</v>
      </c>
      <c r="C2763" s="49" t="s">
        <v>1392</v>
      </c>
      <c r="D2763" s="49" t="s">
        <v>1162</v>
      </c>
      <c r="E2763" s="49" t="s">
        <v>1163</v>
      </c>
      <c r="F2763" s="49" t="s">
        <v>952</v>
      </c>
      <c r="G2763" s="49" t="s">
        <v>772</v>
      </c>
      <c r="H2763" s="49" t="s">
        <v>1132</v>
      </c>
      <c r="I2763" s="49" t="s">
        <v>885</v>
      </c>
    </row>
    <row r="2764" customFormat="false" ht="25.5" hidden="false" customHeight="true" outlineLevel="0" collapsed="false">
      <c r="A2764" s="49" t="s">
        <v>1125</v>
      </c>
      <c r="B2764" s="49" t="s">
        <v>1341</v>
      </c>
      <c r="C2764" s="49" t="s">
        <v>1372</v>
      </c>
      <c r="D2764" s="49" t="s">
        <v>1199</v>
      </c>
      <c r="E2764" s="49" t="s">
        <v>217</v>
      </c>
      <c r="F2764" s="49" t="s">
        <v>1393</v>
      </c>
      <c r="G2764" s="49" t="s">
        <v>772</v>
      </c>
      <c r="H2764" s="49" t="s">
        <v>1132</v>
      </c>
      <c r="I2764" s="49" t="s">
        <v>885</v>
      </c>
    </row>
    <row r="2765" customFormat="false" ht="25.5" hidden="false" customHeight="true" outlineLevel="0" collapsed="false">
      <c r="A2765" s="49" t="s">
        <v>1125</v>
      </c>
      <c r="B2765" s="49" t="s">
        <v>1341</v>
      </c>
      <c r="C2765" s="49" t="s">
        <v>1394</v>
      </c>
      <c r="D2765" s="49" t="s">
        <v>1129</v>
      </c>
      <c r="E2765" s="49" t="s">
        <v>1395</v>
      </c>
      <c r="F2765" s="49" t="s">
        <v>1396</v>
      </c>
      <c r="G2765" s="49" t="s">
        <v>772</v>
      </c>
      <c r="H2765" s="49" t="s">
        <v>1132</v>
      </c>
      <c r="I2765" s="49" t="s">
        <v>885</v>
      </c>
    </row>
    <row r="2766" customFormat="false" ht="25.5" hidden="false" customHeight="true" outlineLevel="0" collapsed="false">
      <c r="A2766" s="49" t="s">
        <v>1125</v>
      </c>
      <c r="B2766" s="49" t="s">
        <v>1341</v>
      </c>
      <c r="C2766" s="49" t="s">
        <v>1397</v>
      </c>
      <c r="D2766" s="49" t="s">
        <v>1148</v>
      </c>
      <c r="E2766" s="49" t="s">
        <v>1395</v>
      </c>
      <c r="F2766" s="49" t="s">
        <v>1398</v>
      </c>
      <c r="G2766" s="49" t="s">
        <v>772</v>
      </c>
      <c r="H2766" s="49" t="s">
        <v>1132</v>
      </c>
      <c r="I2766" s="49" t="s">
        <v>885</v>
      </c>
    </row>
    <row r="2767" customFormat="false" ht="25.5" hidden="false" customHeight="true" outlineLevel="0" collapsed="false">
      <c r="A2767" s="49" t="s">
        <v>1125</v>
      </c>
      <c r="B2767" s="49" t="s">
        <v>1341</v>
      </c>
      <c r="C2767" s="49" t="s">
        <v>1399</v>
      </c>
      <c r="D2767" s="49" t="s">
        <v>1199</v>
      </c>
      <c r="E2767" s="49" t="s">
        <v>217</v>
      </c>
      <c r="F2767" s="49" t="s">
        <v>1400</v>
      </c>
      <c r="G2767" s="49" t="s">
        <v>772</v>
      </c>
      <c r="H2767" s="49" t="s">
        <v>1132</v>
      </c>
      <c r="I2767" s="49" t="s">
        <v>885</v>
      </c>
    </row>
    <row r="2768" customFormat="false" ht="25.5" hidden="false" customHeight="true" outlineLevel="0" collapsed="false">
      <c r="A2768" s="49" t="s">
        <v>1125</v>
      </c>
      <c r="B2768" s="49" t="s">
        <v>1341</v>
      </c>
      <c r="C2768" s="49" t="s">
        <v>1401</v>
      </c>
      <c r="D2768" s="49" t="s">
        <v>1199</v>
      </c>
      <c r="E2768" s="49" t="s">
        <v>146</v>
      </c>
      <c r="F2768" s="49" t="s">
        <v>1402</v>
      </c>
      <c r="G2768" s="49" t="s">
        <v>772</v>
      </c>
      <c r="H2768" s="49" t="s">
        <v>1132</v>
      </c>
      <c r="I2768" s="49" t="s">
        <v>885</v>
      </c>
    </row>
    <row r="2769" customFormat="false" ht="25.5" hidden="false" customHeight="true" outlineLevel="0" collapsed="false">
      <c r="A2769" s="49" t="s">
        <v>1125</v>
      </c>
      <c r="B2769" s="49" t="s">
        <v>1403</v>
      </c>
      <c r="C2769" s="49" t="s">
        <v>1171</v>
      </c>
      <c r="D2769" s="49" t="s">
        <v>1172</v>
      </c>
      <c r="E2769" s="49" t="s">
        <v>1173</v>
      </c>
      <c r="F2769" s="49" t="s">
        <v>1174</v>
      </c>
      <c r="G2769" s="49" t="s">
        <v>772</v>
      </c>
      <c r="H2769" s="49" t="s">
        <v>1132</v>
      </c>
      <c r="I2769" s="49" t="s">
        <v>885</v>
      </c>
    </row>
    <row r="2770" customFormat="false" ht="25.5" hidden="false" customHeight="true" outlineLevel="0" collapsed="false">
      <c r="A2770" s="49" t="s">
        <v>1125</v>
      </c>
      <c r="B2770" s="49" t="s">
        <v>1403</v>
      </c>
      <c r="C2770" s="49" t="s">
        <v>1404</v>
      </c>
      <c r="D2770" s="49" t="s">
        <v>1151</v>
      </c>
      <c r="E2770" s="49" t="s">
        <v>1405</v>
      </c>
      <c r="F2770" s="49" t="s">
        <v>1406</v>
      </c>
      <c r="G2770" s="49" t="s">
        <v>772</v>
      </c>
      <c r="H2770" s="49" t="s">
        <v>1132</v>
      </c>
      <c r="I2770" s="49" t="s">
        <v>885</v>
      </c>
    </row>
    <row r="2771" customFormat="false" ht="25.5" hidden="false" customHeight="true" outlineLevel="0" collapsed="false">
      <c r="A2771" s="49" t="s">
        <v>1125</v>
      </c>
      <c r="B2771" s="49" t="s">
        <v>1403</v>
      </c>
      <c r="C2771" s="49" t="s">
        <v>1407</v>
      </c>
      <c r="D2771" s="49" t="s">
        <v>1141</v>
      </c>
      <c r="E2771" s="49" t="s">
        <v>1183</v>
      </c>
      <c r="F2771" s="49" t="s">
        <v>1408</v>
      </c>
      <c r="G2771" s="49" t="s">
        <v>772</v>
      </c>
      <c r="H2771" s="49" t="s">
        <v>1132</v>
      </c>
      <c r="I2771" s="49" t="s">
        <v>885</v>
      </c>
    </row>
    <row r="2772" customFormat="false" ht="25.5" hidden="false" customHeight="true" outlineLevel="0" collapsed="false">
      <c r="A2772" s="49" t="s">
        <v>1125</v>
      </c>
      <c r="B2772" s="49" t="s">
        <v>1403</v>
      </c>
      <c r="C2772" s="49" t="s">
        <v>1409</v>
      </c>
      <c r="D2772" s="49" t="s">
        <v>1208</v>
      </c>
      <c r="E2772" s="49" t="s">
        <v>1410</v>
      </c>
      <c r="F2772" s="49" t="s">
        <v>1411</v>
      </c>
      <c r="G2772" s="49" t="s">
        <v>772</v>
      </c>
      <c r="H2772" s="49" t="s">
        <v>1132</v>
      </c>
      <c r="I2772" s="49" t="s">
        <v>885</v>
      </c>
    </row>
    <row r="2773" customFormat="false" ht="25.5" hidden="false" customHeight="true" outlineLevel="0" collapsed="false">
      <c r="A2773" s="49" t="s">
        <v>1125</v>
      </c>
      <c r="B2773" s="49" t="s">
        <v>1403</v>
      </c>
      <c r="C2773" s="49" t="s">
        <v>1412</v>
      </c>
      <c r="D2773" s="49" t="s">
        <v>1199</v>
      </c>
      <c r="E2773" s="49" t="s">
        <v>1183</v>
      </c>
      <c r="F2773" s="49" t="s">
        <v>1413</v>
      </c>
      <c r="G2773" s="49" t="s">
        <v>772</v>
      </c>
      <c r="H2773" s="49" t="s">
        <v>1132</v>
      </c>
      <c r="I2773" s="49" t="s">
        <v>885</v>
      </c>
    </row>
    <row r="2774" customFormat="false" ht="25.5" hidden="false" customHeight="true" outlineLevel="0" collapsed="false">
      <c r="A2774" s="49" t="s">
        <v>1125</v>
      </c>
      <c r="B2774" s="49" t="s">
        <v>1403</v>
      </c>
      <c r="C2774" s="49" t="s">
        <v>1414</v>
      </c>
      <c r="D2774" s="49" t="s">
        <v>1156</v>
      </c>
      <c r="E2774" s="49" t="s">
        <v>1183</v>
      </c>
      <c r="F2774" s="49" t="s">
        <v>1415</v>
      </c>
      <c r="G2774" s="49" t="s">
        <v>772</v>
      </c>
      <c r="H2774" s="49" t="s">
        <v>1132</v>
      </c>
      <c r="I2774" s="49" t="s">
        <v>885</v>
      </c>
    </row>
    <row r="2775" customFormat="false" ht="25.5" hidden="false" customHeight="true" outlineLevel="0" collapsed="false">
      <c r="A2775" s="49" t="s">
        <v>1125</v>
      </c>
      <c r="B2775" s="49" t="s">
        <v>1403</v>
      </c>
      <c r="C2775" s="49" t="s">
        <v>1416</v>
      </c>
      <c r="D2775" s="49" t="s">
        <v>1134</v>
      </c>
      <c r="E2775" s="49" t="s">
        <v>1226</v>
      </c>
      <c r="F2775" s="49" t="s">
        <v>1417</v>
      </c>
      <c r="G2775" s="49" t="s">
        <v>772</v>
      </c>
      <c r="H2775" s="49" t="s">
        <v>1132</v>
      </c>
      <c r="I2775" s="49" t="s">
        <v>885</v>
      </c>
    </row>
    <row r="2776" customFormat="false" ht="25.5" hidden="false" customHeight="true" outlineLevel="0" collapsed="false">
      <c r="A2776" s="49" t="s">
        <v>1125</v>
      </c>
      <c r="B2776" s="49" t="s">
        <v>1403</v>
      </c>
      <c r="C2776" s="49" t="s">
        <v>1418</v>
      </c>
      <c r="D2776" s="49" t="s">
        <v>1129</v>
      </c>
      <c r="E2776" s="49" t="s">
        <v>1183</v>
      </c>
      <c r="F2776" s="49" t="s">
        <v>1419</v>
      </c>
      <c r="G2776" s="49" t="s">
        <v>772</v>
      </c>
      <c r="H2776" s="49" t="s">
        <v>1132</v>
      </c>
      <c r="I2776" s="49" t="s">
        <v>885</v>
      </c>
    </row>
    <row r="2777" customFormat="false" ht="25.5" hidden="false" customHeight="true" outlineLevel="0" collapsed="false">
      <c r="A2777" s="49" t="s">
        <v>1125</v>
      </c>
      <c r="B2777" s="49" t="s">
        <v>1403</v>
      </c>
      <c r="C2777" s="49" t="s">
        <v>1420</v>
      </c>
      <c r="D2777" s="49" t="s">
        <v>1129</v>
      </c>
      <c r="E2777" s="49" t="s">
        <v>146</v>
      </c>
      <c r="F2777" s="49" t="s">
        <v>1421</v>
      </c>
      <c r="G2777" s="49" t="s">
        <v>772</v>
      </c>
      <c r="H2777" s="49" t="s">
        <v>1132</v>
      </c>
      <c r="I2777" s="49" t="s">
        <v>885</v>
      </c>
    </row>
    <row r="2778" customFormat="false" ht="25.5" hidden="false" customHeight="true" outlineLevel="0" collapsed="false">
      <c r="A2778" s="49" t="s">
        <v>1125</v>
      </c>
      <c r="B2778" s="49" t="s">
        <v>1403</v>
      </c>
      <c r="C2778" s="49" t="s">
        <v>1422</v>
      </c>
      <c r="D2778" s="49" t="s">
        <v>1292</v>
      </c>
      <c r="E2778" s="49" t="s">
        <v>1135</v>
      </c>
      <c r="F2778" s="49" t="s">
        <v>1423</v>
      </c>
      <c r="G2778" s="49" t="s">
        <v>772</v>
      </c>
      <c r="H2778" s="49" t="s">
        <v>1132</v>
      </c>
      <c r="I2778" s="49" t="s">
        <v>885</v>
      </c>
    </row>
    <row r="2779" customFormat="false" ht="25.5" hidden="false" customHeight="true" outlineLevel="0" collapsed="false">
      <c r="A2779" s="49" t="s">
        <v>1125</v>
      </c>
      <c r="B2779" s="49" t="s">
        <v>1403</v>
      </c>
      <c r="C2779" s="49" t="s">
        <v>1424</v>
      </c>
      <c r="D2779" s="49" t="s">
        <v>1148</v>
      </c>
      <c r="E2779" s="49" t="s">
        <v>1135</v>
      </c>
      <c r="F2779" s="49" t="s">
        <v>1423</v>
      </c>
      <c r="G2779" s="49" t="s">
        <v>772</v>
      </c>
      <c r="H2779" s="49" t="s">
        <v>1132</v>
      </c>
      <c r="I2779" s="49" t="s">
        <v>885</v>
      </c>
    </row>
    <row r="2780" customFormat="false" ht="25.5" hidden="false" customHeight="true" outlineLevel="0" collapsed="false">
      <c r="A2780" s="49" t="s">
        <v>1125</v>
      </c>
      <c r="B2780" s="49" t="s">
        <v>1403</v>
      </c>
      <c r="C2780" s="49" t="s">
        <v>1425</v>
      </c>
      <c r="D2780" s="49" t="s">
        <v>1199</v>
      </c>
      <c r="E2780" s="49" t="s">
        <v>1183</v>
      </c>
      <c r="F2780" s="49" t="s">
        <v>1415</v>
      </c>
      <c r="G2780" s="49" t="s">
        <v>772</v>
      </c>
      <c r="H2780" s="49" t="s">
        <v>1132</v>
      </c>
      <c r="I2780" s="49" t="s">
        <v>885</v>
      </c>
    </row>
    <row r="2781" customFormat="false" ht="25.5" hidden="false" customHeight="true" outlineLevel="0" collapsed="false">
      <c r="A2781" s="49" t="s">
        <v>1125</v>
      </c>
      <c r="B2781" s="49" t="s">
        <v>1403</v>
      </c>
      <c r="C2781" s="49" t="s">
        <v>1426</v>
      </c>
      <c r="D2781" s="49" t="s">
        <v>1208</v>
      </c>
      <c r="E2781" s="49" t="s">
        <v>1427</v>
      </c>
      <c r="F2781" s="49" t="s">
        <v>1428</v>
      </c>
      <c r="G2781" s="49" t="s">
        <v>772</v>
      </c>
      <c r="H2781" s="49" t="s">
        <v>1132</v>
      </c>
      <c r="I2781" s="49" t="s">
        <v>885</v>
      </c>
    </row>
    <row r="2782" customFormat="false" ht="25.5" hidden="false" customHeight="true" outlineLevel="0" collapsed="false">
      <c r="A2782" s="49" t="s">
        <v>1125</v>
      </c>
      <c r="B2782" s="49" t="s">
        <v>1403</v>
      </c>
      <c r="C2782" s="49" t="s">
        <v>1429</v>
      </c>
      <c r="D2782" s="49" t="s">
        <v>1129</v>
      </c>
      <c r="E2782" s="49" t="s">
        <v>1223</v>
      </c>
      <c r="F2782" s="49" t="s">
        <v>1430</v>
      </c>
      <c r="G2782" s="49" t="s">
        <v>772</v>
      </c>
      <c r="H2782" s="49" t="s">
        <v>1132</v>
      </c>
      <c r="I2782" s="49" t="s">
        <v>885</v>
      </c>
    </row>
    <row r="2783" customFormat="false" ht="25.5" hidden="false" customHeight="true" outlineLevel="0" collapsed="false">
      <c r="A2783" s="49" t="s">
        <v>1125</v>
      </c>
      <c r="B2783" s="49" t="s">
        <v>1403</v>
      </c>
      <c r="C2783" s="49" t="s">
        <v>1431</v>
      </c>
      <c r="D2783" s="49" t="s">
        <v>1208</v>
      </c>
      <c r="E2783" s="49" t="s">
        <v>1432</v>
      </c>
      <c r="F2783" s="49" t="s">
        <v>1433</v>
      </c>
      <c r="G2783" s="49" t="s">
        <v>772</v>
      </c>
      <c r="H2783" s="49" t="s">
        <v>1132</v>
      </c>
      <c r="I2783" s="49" t="s">
        <v>885</v>
      </c>
    </row>
    <row r="2784" customFormat="false" ht="25.5" hidden="false" customHeight="true" outlineLevel="0" collapsed="false">
      <c r="A2784" s="49" t="s">
        <v>1125</v>
      </c>
      <c r="B2784" s="49" t="s">
        <v>1403</v>
      </c>
      <c r="C2784" s="49" t="s">
        <v>1434</v>
      </c>
      <c r="D2784" s="49" t="s">
        <v>1162</v>
      </c>
      <c r="E2784" s="49" t="s">
        <v>1163</v>
      </c>
      <c r="F2784" s="49" t="s">
        <v>1435</v>
      </c>
      <c r="G2784" s="49" t="s">
        <v>772</v>
      </c>
      <c r="H2784" s="49" t="s">
        <v>1132</v>
      </c>
      <c r="I2784" s="49" t="s">
        <v>885</v>
      </c>
    </row>
    <row r="2785" customFormat="false" ht="25.5" hidden="false" customHeight="true" outlineLevel="0" collapsed="false">
      <c r="A2785" s="49" t="s">
        <v>1125</v>
      </c>
      <c r="B2785" s="49" t="s">
        <v>1403</v>
      </c>
      <c r="C2785" s="49" t="s">
        <v>1436</v>
      </c>
      <c r="D2785" s="49" t="s">
        <v>1199</v>
      </c>
      <c r="E2785" s="49" t="s">
        <v>146</v>
      </c>
      <c r="F2785" s="49" t="s">
        <v>1437</v>
      </c>
      <c r="G2785" s="49" t="s">
        <v>772</v>
      </c>
      <c r="H2785" s="49" t="s">
        <v>1132</v>
      </c>
      <c r="I2785" s="49" t="s">
        <v>885</v>
      </c>
    </row>
    <row r="2786" customFormat="false" ht="25.5" hidden="false" customHeight="true" outlineLevel="0" collapsed="false">
      <c r="A2786" s="49" t="s">
        <v>1125</v>
      </c>
      <c r="B2786" s="49" t="s">
        <v>1403</v>
      </c>
      <c r="C2786" s="49" t="s">
        <v>1438</v>
      </c>
      <c r="D2786" s="49" t="s">
        <v>1151</v>
      </c>
      <c r="E2786" s="49" t="s">
        <v>1183</v>
      </c>
      <c r="F2786" s="49" t="s">
        <v>1439</v>
      </c>
      <c r="G2786" s="49" t="s">
        <v>772</v>
      </c>
      <c r="H2786" s="49" t="s">
        <v>1132</v>
      </c>
      <c r="I2786" s="49" t="s">
        <v>885</v>
      </c>
    </row>
    <row r="2787" customFormat="false" ht="25.5" hidden="false" customHeight="true" outlineLevel="0" collapsed="false">
      <c r="A2787" s="49" t="s">
        <v>1125</v>
      </c>
      <c r="B2787" s="49" t="s">
        <v>1403</v>
      </c>
      <c r="C2787" s="49" t="s">
        <v>1440</v>
      </c>
      <c r="D2787" s="49" t="s">
        <v>1134</v>
      </c>
      <c r="E2787" s="49" t="s">
        <v>217</v>
      </c>
      <c r="F2787" s="49" t="s">
        <v>1441</v>
      </c>
      <c r="G2787" s="49" t="s">
        <v>772</v>
      </c>
      <c r="H2787" s="49" t="s">
        <v>1132</v>
      </c>
      <c r="I2787" s="49" t="s">
        <v>885</v>
      </c>
    </row>
    <row r="2788" customFormat="false" ht="25.5" hidden="false" customHeight="true" outlineLevel="0" collapsed="false">
      <c r="A2788" s="49" t="s">
        <v>1125</v>
      </c>
      <c r="B2788" s="49" t="s">
        <v>1403</v>
      </c>
      <c r="C2788" s="49" t="s">
        <v>1442</v>
      </c>
      <c r="D2788" s="49" t="s">
        <v>1151</v>
      </c>
      <c r="E2788" s="49" t="s">
        <v>1443</v>
      </c>
      <c r="F2788" s="49" t="s">
        <v>1444</v>
      </c>
      <c r="G2788" s="49" t="s">
        <v>772</v>
      </c>
      <c r="H2788" s="49" t="s">
        <v>1132</v>
      </c>
      <c r="I2788" s="49" t="s">
        <v>885</v>
      </c>
    </row>
    <row r="2789" customFormat="false" ht="25.5" hidden="false" customHeight="true" outlineLevel="0" collapsed="false">
      <c r="A2789" s="49" t="s">
        <v>1125</v>
      </c>
      <c r="B2789" s="49" t="s">
        <v>1403</v>
      </c>
      <c r="C2789" s="49" t="s">
        <v>1445</v>
      </c>
      <c r="D2789" s="49" t="s">
        <v>1199</v>
      </c>
      <c r="E2789" s="49" t="s">
        <v>1183</v>
      </c>
      <c r="F2789" s="49" t="s">
        <v>1446</v>
      </c>
      <c r="G2789" s="49" t="s">
        <v>772</v>
      </c>
      <c r="H2789" s="49" t="s">
        <v>1132</v>
      </c>
      <c r="I2789" s="49" t="s">
        <v>885</v>
      </c>
    </row>
    <row r="2790" customFormat="false" ht="25.5" hidden="false" customHeight="true" outlineLevel="0" collapsed="false">
      <c r="A2790" s="49" t="s">
        <v>1125</v>
      </c>
      <c r="B2790" s="49" t="s">
        <v>1447</v>
      </c>
      <c r="C2790" s="49" t="s">
        <v>1171</v>
      </c>
      <c r="D2790" s="49" t="s">
        <v>1172</v>
      </c>
      <c r="E2790" s="49" t="s">
        <v>1173</v>
      </c>
      <c r="F2790" s="49" t="s">
        <v>1174</v>
      </c>
      <c r="G2790" s="49" t="s">
        <v>772</v>
      </c>
      <c r="H2790" s="49" t="s">
        <v>1132</v>
      </c>
      <c r="I2790" s="49" t="s">
        <v>885</v>
      </c>
    </row>
    <row r="2791" customFormat="false" ht="25.5" hidden="false" customHeight="true" outlineLevel="0" collapsed="false">
      <c r="A2791" s="49" t="s">
        <v>1125</v>
      </c>
      <c r="B2791" s="49" t="s">
        <v>1447</v>
      </c>
      <c r="C2791" s="49" t="s">
        <v>1448</v>
      </c>
      <c r="D2791" s="49" t="s">
        <v>1141</v>
      </c>
      <c r="E2791" s="49" t="s">
        <v>1449</v>
      </c>
      <c r="F2791" s="49" t="s">
        <v>1450</v>
      </c>
      <c r="G2791" s="49" t="s">
        <v>772</v>
      </c>
      <c r="H2791" s="49" t="s">
        <v>1132</v>
      </c>
      <c r="I2791" s="49" t="s">
        <v>885</v>
      </c>
    </row>
    <row r="2792" customFormat="false" ht="25.5" hidden="false" customHeight="true" outlineLevel="0" collapsed="false">
      <c r="A2792" s="49" t="s">
        <v>1125</v>
      </c>
      <c r="B2792" s="49" t="s">
        <v>1447</v>
      </c>
      <c r="C2792" s="49" t="s">
        <v>1451</v>
      </c>
      <c r="D2792" s="49" t="s">
        <v>1129</v>
      </c>
      <c r="E2792" s="49" t="s">
        <v>1452</v>
      </c>
      <c r="F2792" s="49" t="s">
        <v>1453</v>
      </c>
      <c r="G2792" s="49" t="s">
        <v>772</v>
      </c>
      <c r="H2792" s="49" t="s">
        <v>1132</v>
      </c>
      <c r="I2792" s="49" t="s">
        <v>885</v>
      </c>
    </row>
    <row r="2793" customFormat="false" ht="25.5" hidden="false" customHeight="true" outlineLevel="0" collapsed="false">
      <c r="A2793" s="49" t="s">
        <v>1125</v>
      </c>
      <c r="B2793" s="49" t="s">
        <v>1447</v>
      </c>
      <c r="C2793" s="49" t="s">
        <v>1454</v>
      </c>
      <c r="D2793" s="49" t="s">
        <v>1156</v>
      </c>
      <c r="E2793" s="49" t="s">
        <v>1455</v>
      </c>
      <c r="F2793" s="49" t="s">
        <v>1456</v>
      </c>
      <c r="G2793" s="49" t="s">
        <v>772</v>
      </c>
      <c r="H2793" s="49" t="s">
        <v>1132</v>
      </c>
      <c r="I2793" s="49" t="s">
        <v>885</v>
      </c>
    </row>
    <row r="2794" customFormat="false" ht="25.5" hidden="false" customHeight="true" outlineLevel="0" collapsed="false">
      <c r="A2794" s="49" t="s">
        <v>1125</v>
      </c>
      <c r="B2794" s="49" t="s">
        <v>1447</v>
      </c>
      <c r="C2794" s="49" t="s">
        <v>1457</v>
      </c>
      <c r="D2794" s="49" t="s">
        <v>1156</v>
      </c>
      <c r="E2794" s="49" t="s">
        <v>1455</v>
      </c>
      <c r="F2794" s="49" t="s">
        <v>1456</v>
      </c>
      <c r="G2794" s="49" t="s">
        <v>772</v>
      </c>
      <c r="H2794" s="49" t="s">
        <v>1132</v>
      </c>
      <c r="I2794" s="49" t="s">
        <v>885</v>
      </c>
    </row>
    <row r="2795" customFormat="false" ht="25.5" hidden="false" customHeight="true" outlineLevel="0" collapsed="false">
      <c r="A2795" s="49" t="s">
        <v>1125</v>
      </c>
      <c r="B2795" s="49" t="s">
        <v>1447</v>
      </c>
      <c r="C2795" s="49" t="s">
        <v>1458</v>
      </c>
      <c r="D2795" s="49" t="s">
        <v>1208</v>
      </c>
      <c r="E2795" s="49" t="s">
        <v>1183</v>
      </c>
      <c r="F2795" s="49" t="s">
        <v>1459</v>
      </c>
      <c r="G2795" s="49" t="s">
        <v>772</v>
      </c>
      <c r="H2795" s="49" t="s">
        <v>1132</v>
      </c>
      <c r="I2795" s="49" t="s">
        <v>885</v>
      </c>
    </row>
    <row r="2796" customFormat="false" ht="25.5" hidden="false" customHeight="true" outlineLevel="0" collapsed="false">
      <c r="A2796" s="49" t="s">
        <v>1125</v>
      </c>
      <c r="B2796" s="49" t="s">
        <v>1447</v>
      </c>
      <c r="C2796" s="49" t="s">
        <v>1460</v>
      </c>
      <c r="D2796" s="49" t="s">
        <v>1141</v>
      </c>
      <c r="E2796" s="49" t="s">
        <v>1183</v>
      </c>
      <c r="F2796" s="49" t="s">
        <v>1461</v>
      </c>
      <c r="G2796" s="49" t="s">
        <v>772</v>
      </c>
      <c r="H2796" s="49" t="s">
        <v>1132</v>
      </c>
      <c r="I2796" s="49" t="s">
        <v>885</v>
      </c>
    </row>
    <row r="2797" customFormat="false" ht="25.5" hidden="false" customHeight="true" outlineLevel="0" collapsed="false">
      <c r="A2797" s="49" t="s">
        <v>1125</v>
      </c>
      <c r="B2797" s="49" t="s">
        <v>1447</v>
      </c>
      <c r="C2797" s="49" t="s">
        <v>1462</v>
      </c>
      <c r="D2797" s="49" t="s">
        <v>1156</v>
      </c>
      <c r="E2797" s="49" t="s">
        <v>1183</v>
      </c>
      <c r="F2797" s="49" t="s">
        <v>1463</v>
      </c>
      <c r="G2797" s="49" t="s">
        <v>772</v>
      </c>
      <c r="H2797" s="49" t="s">
        <v>1132</v>
      </c>
      <c r="I2797" s="49" t="s">
        <v>885</v>
      </c>
    </row>
    <row r="2798" customFormat="false" ht="25.5" hidden="false" customHeight="true" outlineLevel="0" collapsed="false">
      <c r="A2798" s="49" t="s">
        <v>1125</v>
      </c>
      <c r="B2798" s="49" t="s">
        <v>1447</v>
      </c>
      <c r="C2798" s="49" t="s">
        <v>1464</v>
      </c>
      <c r="D2798" s="49" t="s">
        <v>1218</v>
      </c>
      <c r="E2798" s="49" t="s">
        <v>1183</v>
      </c>
      <c r="F2798" s="49" t="s">
        <v>1465</v>
      </c>
      <c r="G2798" s="49" t="s">
        <v>772</v>
      </c>
      <c r="H2798" s="49" t="s">
        <v>1132</v>
      </c>
      <c r="I2798" s="49" t="s">
        <v>885</v>
      </c>
    </row>
    <row r="2799" customFormat="false" ht="25.5" hidden="false" customHeight="true" outlineLevel="0" collapsed="false">
      <c r="A2799" s="49" t="s">
        <v>1125</v>
      </c>
      <c r="B2799" s="49" t="s">
        <v>1447</v>
      </c>
      <c r="C2799" s="49" t="s">
        <v>1466</v>
      </c>
      <c r="D2799" s="49" t="s">
        <v>1141</v>
      </c>
      <c r="E2799" s="49" t="s">
        <v>1183</v>
      </c>
      <c r="F2799" s="49" t="s">
        <v>1467</v>
      </c>
      <c r="G2799" s="49" t="s">
        <v>772</v>
      </c>
      <c r="H2799" s="49" t="s">
        <v>1132</v>
      </c>
      <c r="I2799" s="49" t="s">
        <v>885</v>
      </c>
    </row>
    <row r="2800" customFormat="false" ht="25.5" hidden="false" customHeight="true" outlineLevel="0" collapsed="false">
      <c r="A2800" s="49" t="s">
        <v>1125</v>
      </c>
      <c r="B2800" s="49" t="s">
        <v>1447</v>
      </c>
      <c r="C2800" s="49" t="s">
        <v>1468</v>
      </c>
      <c r="D2800" s="49" t="s">
        <v>1292</v>
      </c>
      <c r="E2800" s="49" t="s">
        <v>1183</v>
      </c>
      <c r="F2800" s="49" t="s">
        <v>1469</v>
      </c>
      <c r="G2800" s="49" t="s">
        <v>772</v>
      </c>
      <c r="H2800" s="49" t="s">
        <v>1132</v>
      </c>
      <c r="I2800" s="49" t="s">
        <v>885</v>
      </c>
    </row>
    <row r="2801" customFormat="false" ht="25.5" hidden="false" customHeight="true" outlineLevel="0" collapsed="false">
      <c r="A2801" s="49" t="s">
        <v>1125</v>
      </c>
      <c r="B2801" s="49" t="s">
        <v>1447</v>
      </c>
      <c r="C2801" s="49" t="s">
        <v>1470</v>
      </c>
      <c r="D2801" s="49" t="s">
        <v>1218</v>
      </c>
      <c r="E2801" s="49" t="s">
        <v>1183</v>
      </c>
      <c r="F2801" s="49" t="s">
        <v>1471</v>
      </c>
      <c r="G2801" s="49" t="s">
        <v>772</v>
      </c>
      <c r="H2801" s="49" t="s">
        <v>1132</v>
      </c>
      <c r="I2801" s="49" t="s">
        <v>885</v>
      </c>
    </row>
    <row r="2802" customFormat="false" ht="25.5" hidden="false" customHeight="true" outlineLevel="0" collapsed="false">
      <c r="A2802" s="49" t="s">
        <v>1125</v>
      </c>
      <c r="B2802" s="49" t="s">
        <v>1447</v>
      </c>
      <c r="C2802" s="49" t="s">
        <v>1472</v>
      </c>
      <c r="D2802" s="49" t="s">
        <v>1134</v>
      </c>
      <c r="E2802" s="49" t="s">
        <v>1405</v>
      </c>
      <c r="F2802" s="49" t="s">
        <v>1473</v>
      </c>
      <c r="G2802" s="49" t="s">
        <v>772</v>
      </c>
      <c r="H2802" s="49" t="s">
        <v>1132</v>
      </c>
      <c r="I2802" s="49" t="s">
        <v>885</v>
      </c>
    </row>
    <row r="2803" customFormat="false" ht="25.5" hidden="false" customHeight="true" outlineLevel="0" collapsed="false">
      <c r="A2803" s="49" t="s">
        <v>1125</v>
      </c>
      <c r="B2803" s="49" t="s">
        <v>1447</v>
      </c>
      <c r="C2803" s="49" t="s">
        <v>1474</v>
      </c>
      <c r="D2803" s="49" t="s">
        <v>1208</v>
      </c>
      <c r="E2803" s="49" t="s">
        <v>1475</v>
      </c>
      <c r="F2803" s="49" t="s">
        <v>1476</v>
      </c>
      <c r="G2803" s="49" t="s">
        <v>772</v>
      </c>
      <c r="H2803" s="49" t="s">
        <v>1132</v>
      </c>
      <c r="I2803" s="49" t="s">
        <v>885</v>
      </c>
    </row>
    <row r="2804" customFormat="false" ht="25.5" hidden="false" customHeight="true" outlineLevel="0" collapsed="false">
      <c r="A2804" s="49" t="s">
        <v>1125</v>
      </c>
      <c r="B2804" s="49" t="s">
        <v>1447</v>
      </c>
      <c r="C2804" s="49" t="s">
        <v>1477</v>
      </c>
      <c r="D2804" s="49" t="s">
        <v>1162</v>
      </c>
      <c r="E2804" s="49" t="s">
        <v>1478</v>
      </c>
      <c r="F2804" s="49" t="s">
        <v>1479</v>
      </c>
      <c r="G2804" s="49" t="s">
        <v>772</v>
      </c>
      <c r="H2804" s="49" t="s">
        <v>1132</v>
      </c>
      <c r="I2804" s="49" t="s">
        <v>885</v>
      </c>
    </row>
    <row r="2805" customFormat="false" ht="25.5" hidden="false" customHeight="true" outlineLevel="0" collapsed="false">
      <c r="A2805" s="49" t="s">
        <v>1125</v>
      </c>
      <c r="B2805" s="49" t="s">
        <v>1447</v>
      </c>
      <c r="C2805" s="49" t="s">
        <v>1480</v>
      </c>
      <c r="D2805" s="49" t="s">
        <v>1199</v>
      </c>
      <c r="E2805" s="49" t="s">
        <v>1135</v>
      </c>
      <c r="F2805" s="49" t="s">
        <v>1473</v>
      </c>
      <c r="G2805" s="49" t="s">
        <v>772</v>
      </c>
      <c r="H2805" s="49" t="s">
        <v>1132</v>
      </c>
      <c r="I2805" s="49" t="s">
        <v>885</v>
      </c>
    </row>
    <row r="2806" customFormat="false" ht="25.5" hidden="false" customHeight="true" outlineLevel="0" collapsed="false">
      <c r="A2806" s="49" t="s">
        <v>1125</v>
      </c>
      <c r="B2806" s="49" t="s">
        <v>1447</v>
      </c>
      <c r="C2806" s="49" t="s">
        <v>1481</v>
      </c>
      <c r="D2806" s="49" t="s">
        <v>1292</v>
      </c>
      <c r="E2806" s="49" t="s">
        <v>1135</v>
      </c>
      <c r="F2806" s="49" t="s">
        <v>1473</v>
      </c>
      <c r="G2806" s="49" t="s">
        <v>772</v>
      </c>
      <c r="H2806" s="49" t="s">
        <v>1132</v>
      </c>
      <c r="I2806" s="49" t="s">
        <v>885</v>
      </c>
    </row>
    <row r="2807" customFormat="false" ht="25.5" hidden="false" customHeight="true" outlineLevel="0" collapsed="false">
      <c r="A2807" s="49" t="s">
        <v>1125</v>
      </c>
      <c r="B2807" s="49" t="s">
        <v>1447</v>
      </c>
      <c r="C2807" s="49" t="s">
        <v>1482</v>
      </c>
      <c r="D2807" s="49" t="s">
        <v>1199</v>
      </c>
      <c r="E2807" s="49" t="s">
        <v>1483</v>
      </c>
      <c r="F2807" s="49" t="s">
        <v>1484</v>
      </c>
      <c r="G2807" s="49" t="s">
        <v>772</v>
      </c>
      <c r="H2807" s="49" t="s">
        <v>1132</v>
      </c>
      <c r="I2807" s="49" t="s">
        <v>885</v>
      </c>
    </row>
    <row r="2808" customFormat="false" ht="25.5" hidden="false" customHeight="true" outlineLevel="0" collapsed="false">
      <c r="A2808" s="49" t="s">
        <v>1125</v>
      </c>
      <c r="B2808" s="49" t="s">
        <v>1447</v>
      </c>
      <c r="C2808" s="49" t="s">
        <v>1485</v>
      </c>
      <c r="D2808" s="49" t="s">
        <v>1151</v>
      </c>
      <c r="E2808" s="49" t="s">
        <v>1135</v>
      </c>
      <c r="F2808" s="49" t="s">
        <v>1473</v>
      </c>
      <c r="G2808" s="49" t="s">
        <v>772</v>
      </c>
      <c r="H2808" s="49" t="s">
        <v>1132</v>
      </c>
      <c r="I2808" s="49" t="s">
        <v>885</v>
      </c>
    </row>
    <row r="2809" customFormat="false" ht="25.5" hidden="false" customHeight="true" outlineLevel="0" collapsed="false">
      <c r="A2809" s="49" t="s">
        <v>1125</v>
      </c>
      <c r="B2809" s="49" t="s">
        <v>1447</v>
      </c>
      <c r="C2809" s="49" t="s">
        <v>1486</v>
      </c>
      <c r="D2809" s="49" t="s">
        <v>1199</v>
      </c>
      <c r="E2809" s="49" t="s">
        <v>1135</v>
      </c>
      <c r="F2809" s="49" t="s">
        <v>1473</v>
      </c>
      <c r="G2809" s="49" t="s">
        <v>772</v>
      </c>
      <c r="H2809" s="49" t="s">
        <v>1132</v>
      </c>
      <c r="I2809" s="49" t="s">
        <v>885</v>
      </c>
    </row>
    <row r="2810" customFormat="false" ht="25.5" hidden="false" customHeight="true" outlineLevel="0" collapsed="false">
      <c r="A2810" s="49" t="s">
        <v>1125</v>
      </c>
      <c r="B2810" s="49" t="s">
        <v>1447</v>
      </c>
      <c r="C2810" s="49" t="s">
        <v>1487</v>
      </c>
      <c r="D2810" s="49" t="s">
        <v>1148</v>
      </c>
      <c r="E2810" s="49" t="s">
        <v>1135</v>
      </c>
      <c r="F2810" s="49" t="s">
        <v>1473</v>
      </c>
      <c r="G2810" s="49" t="s">
        <v>772</v>
      </c>
      <c r="H2810" s="49" t="s">
        <v>1132</v>
      </c>
      <c r="I2810" s="49" t="s">
        <v>885</v>
      </c>
    </row>
    <row r="2811" customFormat="false" ht="25.5" hidden="false" customHeight="true" outlineLevel="0" collapsed="false">
      <c r="A2811" s="49" t="s">
        <v>1125</v>
      </c>
      <c r="B2811" s="49" t="s">
        <v>1447</v>
      </c>
      <c r="C2811" s="49" t="s">
        <v>1488</v>
      </c>
      <c r="D2811" s="49" t="s">
        <v>1151</v>
      </c>
      <c r="E2811" s="49" t="s">
        <v>1135</v>
      </c>
      <c r="F2811" s="49" t="s">
        <v>1473</v>
      </c>
      <c r="G2811" s="49" t="s">
        <v>772</v>
      </c>
      <c r="H2811" s="49" t="s">
        <v>1132</v>
      </c>
      <c r="I2811" s="49" t="s">
        <v>885</v>
      </c>
    </row>
    <row r="2812" customFormat="false" ht="25.5" hidden="false" customHeight="true" outlineLevel="0" collapsed="false">
      <c r="A2812" s="49" t="s">
        <v>1125</v>
      </c>
      <c r="B2812" s="49" t="s">
        <v>1447</v>
      </c>
      <c r="C2812" s="49" t="s">
        <v>1489</v>
      </c>
      <c r="D2812" s="49" t="s">
        <v>1151</v>
      </c>
      <c r="E2812" s="49" t="s">
        <v>1135</v>
      </c>
      <c r="F2812" s="49" t="s">
        <v>1473</v>
      </c>
      <c r="G2812" s="49" t="s">
        <v>772</v>
      </c>
      <c r="H2812" s="49" t="s">
        <v>1132</v>
      </c>
      <c r="I2812" s="49" t="s">
        <v>885</v>
      </c>
    </row>
    <row r="2813" customFormat="false" ht="25.5" hidden="false" customHeight="true" outlineLevel="0" collapsed="false">
      <c r="A2813" s="49" t="s">
        <v>1125</v>
      </c>
      <c r="B2813" s="49" t="s">
        <v>1447</v>
      </c>
      <c r="C2813" s="49" t="s">
        <v>1490</v>
      </c>
      <c r="D2813" s="49" t="s">
        <v>1141</v>
      </c>
      <c r="E2813" s="49" t="s">
        <v>1135</v>
      </c>
      <c r="F2813" s="49" t="s">
        <v>1473</v>
      </c>
      <c r="G2813" s="49" t="s">
        <v>772</v>
      </c>
      <c r="H2813" s="49" t="s">
        <v>1132</v>
      </c>
      <c r="I2813" s="49" t="s">
        <v>885</v>
      </c>
    </row>
    <row r="2814" customFormat="false" ht="25.5" hidden="false" customHeight="true" outlineLevel="0" collapsed="false">
      <c r="A2814" s="49" t="s">
        <v>1125</v>
      </c>
      <c r="B2814" s="49" t="s">
        <v>1447</v>
      </c>
      <c r="C2814" s="49" t="s">
        <v>1491</v>
      </c>
      <c r="D2814" s="49" t="s">
        <v>1218</v>
      </c>
      <c r="E2814" s="49" t="s">
        <v>1135</v>
      </c>
      <c r="F2814" s="49" t="s">
        <v>1473</v>
      </c>
      <c r="G2814" s="49" t="s">
        <v>772</v>
      </c>
      <c r="H2814" s="49" t="s">
        <v>1132</v>
      </c>
      <c r="I2814" s="49" t="s">
        <v>885</v>
      </c>
    </row>
    <row r="2815" customFormat="false" ht="25.5" hidden="false" customHeight="true" outlineLevel="0" collapsed="false">
      <c r="A2815" s="49" t="s">
        <v>1125</v>
      </c>
      <c r="B2815" s="49" t="s">
        <v>1447</v>
      </c>
      <c r="C2815" s="49" t="s">
        <v>1492</v>
      </c>
      <c r="D2815" s="49" t="s">
        <v>1156</v>
      </c>
      <c r="E2815" s="49" t="s">
        <v>1135</v>
      </c>
      <c r="F2815" s="49" t="s">
        <v>1473</v>
      </c>
      <c r="G2815" s="49" t="s">
        <v>772</v>
      </c>
      <c r="H2815" s="49" t="s">
        <v>1132</v>
      </c>
      <c r="I2815" s="49" t="s">
        <v>885</v>
      </c>
    </row>
    <row r="2816" customFormat="false" ht="25.5" hidden="false" customHeight="true" outlineLevel="0" collapsed="false">
      <c r="A2816" s="49" t="s">
        <v>1125</v>
      </c>
      <c r="B2816" s="49" t="s">
        <v>1447</v>
      </c>
      <c r="C2816" s="49" t="s">
        <v>1493</v>
      </c>
      <c r="D2816" s="49" t="s">
        <v>1134</v>
      </c>
      <c r="E2816" s="49" t="s">
        <v>1183</v>
      </c>
      <c r="F2816" s="49" t="s">
        <v>1408</v>
      </c>
      <c r="G2816" s="49" t="s">
        <v>772</v>
      </c>
      <c r="H2816" s="49" t="s">
        <v>1132</v>
      </c>
      <c r="I2816" s="49" t="s">
        <v>885</v>
      </c>
    </row>
    <row r="2817" customFormat="false" ht="25.5" hidden="false" customHeight="true" outlineLevel="0" collapsed="false">
      <c r="A2817" s="49" t="s">
        <v>1125</v>
      </c>
      <c r="B2817" s="49" t="s">
        <v>1447</v>
      </c>
      <c r="C2817" s="49" t="s">
        <v>1494</v>
      </c>
      <c r="D2817" s="49" t="s">
        <v>1151</v>
      </c>
      <c r="E2817" s="49" t="s">
        <v>1135</v>
      </c>
      <c r="F2817" s="49" t="s">
        <v>1473</v>
      </c>
      <c r="G2817" s="49" t="s">
        <v>772</v>
      </c>
      <c r="H2817" s="49" t="s">
        <v>1132</v>
      </c>
      <c r="I2817" s="49" t="s">
        <v>885</v>
      </c>
    </row>
    <row r="2818" customFormat="false" ht="25.5" hidden="false" customHeight="true" outlineLevel="0" collapsed="false">
      <c r="A2818" s="49" t="s">
        <v>1125</v>
      </c>
      <c r="B2818" s="49" t="s">
        <v>879</v>
      </c>
      <c r="C2818" s="49" t="s">
        <v>880</v>
      </c>
      <c r="D2818" s="49" t="s">
        <v>881</v>
      </c>
      <c r="E2818" s="49" t="s">
        <v>882</v>
      </c>
      <c r="F2818" s="49" t="s">
        <v>883</v>
      </c>
      <c r="G2818" s="49" t="s">
        <v>772</v>
      </c>
      <c r="H2818" s="49" t="s">
        <v>1132</v>
      </c>
      <c r="I2818" s="49" t="s">
        <v>885</v>
      </c>
    </row>
    <row r="2819" customFormat="false" ht="25.5" hidden="false" customHeight="true" outlineLevel="0" collapsed="false">
      <c r="A2819" s="51" t="s">
        <v>1125</v>
      </c>
      <c r="B2819" s="51" t="s">
        <v>879</v>
      </c>
      <c r="C2819" s="51" t="s">
        <v>943</v>
      </c>
      <c r="D2819" s="51" t="s">
        <v>944</v>
      </c>
      <c r="E2819" s="51" t="s">
        <v>843</v>
      </c>
      <c r="F2819" s="51" t="s">
        <v>945</v>
      </c>
      <c r="G2819" s="52" t="s">
        <v>910</v>
      </c>
      <c r="H2819" s="51" t="s">
        <v>1650</v>
      </c>
      <c r="I2819" s="51" t="s">
        <v>912</v>
      </c>
    </row>
    <row r="2820" customFormat="false" ht="25.5" hidden="false" customHeight="true" outlineLevel="0" collapsed="false">
      <c r="A2820" s="51" t="s">
        <v>1125</v>
      </c>
      <c r="B2820" s="51" t="s">
        <v>879</v>
      </c>
      <c r="C2820" s="51" t="s">
        <v>949</v>
      </c>
      <c r="D2820" s="51"/>
      <c r="E2820" s="51" t="s">
        <v>811</v>
      </c>
      <c r="F2820" s="51"/>
      <c r="G2820" s="52" t="s">
        <v>910</v>
      </c>
      <c r="H2820" s="51" t="s">
        <v>1650</v>
      </c>
      <c r="I2820" s="51" t="s">
        <v>912</v>
      </c>
    </row>
    <row r="2821" customFormat="false" ht="25.5" hidden="false" customHeight="true" outlineLevel="0" collapsed="false">
      <c r="A2821" s="51" t="s">
        <v>1125</v>
      </c>
      <c r="B2821" s="51" t="s">
        <v>879</v>
      </c>
      <c r="C2821" s="51" t="s">
        <v>998</v>
      </c>
      <c r="D2821" s="51" t="s">
        <v>881</v>
      </c>
      <c r="E2821" s="51" t="s">
        <v>146</v>
      </c>
      <c r="F2821" s="51"/>
      <c r="G2821" s="52" t="s">
        <v>910</v>
      </c>
      <c r="H2821" s="51" t="s">
        <v>1650</v>
      </c>
      <c r="I2821" s="51" t="s">
        <v>912</v>
      </c>
    </row>
    <row r="2822" customFormat="false" ht="25.5" hidden="false" customHeight="true" outlineLevel="0" collapsed="false">
      <c r="A2822" s="51" t="s">
        <v>1125</v>
      </c>
      <c r="B2822" s="51" t="s">
        <v>879</v>
      </c>
      <c r="C2822" s="51" t="s">
        <v>999</v>
      </c>
      <c r="D2822" s="51" t="s">
        <v>890</v>
      </c>
      <c r="E2822" s="51" t="s">
        <v>146</v>
      </c>
      <c r="F2822" s="51" t="s">
        <v>1000</v>
      </c>
      <c r="G2822" s="52" t="s">
        <v>910</v>
      </c>
      <c r="H2822" s="51" t="s">
        <v>1650</v>
      </c>
      <c r="I2822" s="51" t="s">
        <v>912</v>
      </c>
    </row>
    <row r="2823" customFormat="false" ht="25.5" hidden="false" customHeight="true" outlineLevel="0" collapsed="false">
      <c r="A2823" s="51" t="s">
        <v>1125</v>
      </c>
      <c r="B2823" s="51" t="s">
        <v>879</v>
      </c>
      <c r="C2823" s="51" t="s">
        <v>1001</v>
      </c>
      <c r="D2823" s="51"/>
      <c r="E2823" s="51" t="s">
        <v>146</v>
      </c>
      <c r="F2823" s="51"/>
      <c r="G2823" s="52" t="s">
        <v>910</v>
      </c>
      <c r="H2823" s="51" t="s">
        <v>1650</v>
      </c>
      <c r="I2823" s="51" t="s">
        <v>912</v>
      </c>
    </row>
    <row r="2824" customFormat="false" ht="25.5" hidden="false" customHeight="true" outlineLevel="0" collapsed="false">
      <c r="A2824" s="49" t="s">
        <v>1125</v>
      </c>
      <c r="B2824" s="49" t="s">
        <v>891</v>
      </c>
      <c r="C2824" s="49" t="s">
        <v>1498</v>
      </c>
      <c r="D2824" s="49" t="s">
        <v>1499</v>
      </c>
      <c r="E2824" s="49" t="s">
        <v>1142</v>
      </c>
      <c r="F2824" s="49" t="s">
        <v>1500</v>
      </c>
      <c r="G2824" s="49" t="s">
        <v>772</v>
      </c>
      <c r="H2824" s="49" t="s">
        <v>1132</v>
      </c>
      <c r="I2824" s="49" t="s">
        <v>885</v>
      </c>
    </row>
    <row r="2825" customFormat="false" ht="25.5" hidden="false" customHeight="true" outlineLevel="0" collapsed="false">
      <c r="A2825" s="51" t="s">
        <v>1125</v>
      </c>
      <c r="B2825" s="51" t="s">
        <v>891</v>
      </c>
      <c r="C2825" s="51" t="s">
        <v>1002</v>
      </c>
      <c r="D2825" s="51" t="s">
        <v>898</v>
      </c>
      <c r="E2825" s="51" t="s">
        <v>146</v>
      </c>
      <c r="F2825" s="51"/>
      <c r="G2825" s="52" t="s">
        <v>910</v>
      </c>
      <c r="H2825" s="51" t="s">
        <v>1650</v>
      </c>
      <c r="I2825" s="51" t="s">
        <v>912</v>
      </c>
    </row>
    <row r="2826" customFormat="false" ht="25.5" hidden="false" customHeight="true" outlineLevel="0" collapsed="false">
      <c r="A2826" s="49" t="s">
        <v>1125</v>
      </c>
      <c r="B2826" s="49" t="s">
        <v>891</v>
      </c>
      <c r="C2826" s="49" t="s">
        <v>1501</v>
      </c>
      <c r="D2826" s="49" t="s">
        <v>1004</v>
      </c>
      <c r="E2826" s="49" t="s">
        <v>1502</v>
      </c>
      <c r="F2826" s="49" t="s">
        <v>1008</v>
      </c>
      <c r="G2826" s="49" t="s">
        <v>772</v>
      </c>
      <c r="H2826" s="49" t="s">
        <v>1132</v>
      </c>
      <c r="I2826" s="49" t="s">
        <v>885</v>
      </c>
    </row>
    <row r="2827" customFormat="false" ht="25.5" hidden="false" customHeight="true" outlineLevel="0" collapsed="false">
      <c r="A2827" s="51" t="s">
        <v>1125</v>
      </c>
      <c r="B2827" s="51" t="s">
        <v>891</v>
      </c>
      <c r="C2827" s="51" t="s">
        <v>1003</v>
      </c>
      <c r="D2827" s="51" t="s">
        <v>1004</v>
      </c>
      <c r="E2827" s="51" t="s">
        <v>146</v>
      </c>
      <c r="F2827" s="51"/>
      <c r="G2827" s="52" t="s">
        <v>910</v>
      </c>
      <c r="H2827" s="51" t="s">
        <v>1650</v>
      </c>
      <c r="I2827" s="51" t="s">
        <v>912</v>
      </c>
    </row>
    <row r="2828" customFormat="false" ht="25.5" hidden="false" customHeight="true" outlineLevel="0" collapsed="false">
      <c r="A2828" s="51" t="s">
        <v>1125</v>
      </c>
      <c r="B2828" s="51" t="s">
        <v>891</v>
      </c>
      <c r="C2828" s="51" t="s">
        <v>892</v>
      </c>
      <c r="D2828" s="51"/>
      <c r="E2828" s="51" t="s">
        <v>893</v>
      </c>
      <c r="F2828" s="51" t="s">
        <v>894</v>
      </c>
      <c r="G2828" s="52" t="s">
        <v>910</v>
      </c>
      <c r="H2828" s="51" t="s">
        <v>1503</v>
      </c>
      <c r="I2828" s="51" t="s">
        <v>912</v>
      </c>
    </row>
    <row r="2829" customFormat="false" ht="25.5" hidden="false" customHeight="true" outlineLevel="0" collapsed="false">
      <c r="A2829" s="51" t="s">
        <v>1125</v>
      </c>
      <c r="B2829" s="51" t="s">
        <v>891</v>
      </c>
      <c r="C2829" s="51" t="s">
        <v>1006</v>
      </c>
      <c r="D2829" s="51" t="s">
        <v>1007</v>
      </c>
      <c r="E2829" s="51" t="s">
        <v>146</v>
      </c>
      <c r="F2829" s="51" t="s">
        <v>1008</v>
      </c>
      <c r="G2829" s="52" t="s">
        <v>910</v>
      </c>
      <c r="H2829" s="51" t="s">
        <v>1650</v>
      </c>
      <c r="I2829" s="51" t="s">
        <v>912</v>
      </c>
    </row>
    <row r="2830" customFormat="false" ht="25.5" hidden="false" customHeight="true" outlineLevel="0" collapsed="false">
      <c r="A2830" s="49" t="s">
        <v>1125</v>
      </c>
      <c r="B2830" s="49" t="s">
        <v>1009</v>
      </c>
      <c r="C2830" s="49" t="s">
        <v>1504</v>
      </c>
      <c r="D2830" s="49" t="s">
        <v>1011</v>
      </c>
      <c r="E2830" s="49" t="s">
        <v>1189</v>
      </c>
      <c r="F2830" s="49" t="s">
        <v>1505</v>
      </c>
      <c r="G2830" s="49" t="s">
        <v>772</v>
      </c>
      <c r="H2830" s="49" t="s">
        <v>1132</v>
      </c>
      <c r="I2830" s="49" t="s">
        <v>885</v>
      </c>
    </row>
    <row r="2831" customFormat="false" ht="25.5" hidden="false" customHeight="true" outlineLevel="0" collapsed="false">
      <c r="A2831" s="51" t="s">
        <v>1125</v>
      </c>
      <c r="B2831" s="51" t="s">
        <v>1009</v>
      </c>
      <c r="C2831" s="51" t="s">
        <v>1010</v>
      </c>
      <c r="D2831" s="51" t="s">
        <v>1011</v>
      </c>
      <c r="E2831" s="51" t="s">
        <v>146</v>
      </c>
      <c r="F2831" s="51"/>
      <c r="G2831" s="52" t="s">
        <v>910</v>
      </c>
      <c r="H2831" s="51" t="s">
        <v>1650</v>
      </c>
      <c r="I2831" s="51" t="s">
        <v>912</v>
      </c>
    </row>
    <row r="2832" customFormat="false" ht="25.5" hidden="false" customHeight="true" outlineLevel="0" collapsed="false">
      <c r="A2832" s="51" t="s">
        <v>1125</v>
      </c>
      <c r="B2832" s="51" t="s">
        <v>1009</v>
      </c>
      <c r="C2832" s="51" t="s">
        <v>1012</v>
      </c>
      <c r="D2832" s="51" t="s">
        <v>1011</v>
      </c>
      <c r="E2832" s="51" t="s">
        <v>1013</v>
      </c>
      <c r="F2832" s="51"/>
      <c r="G2832" s="52" t="s">
        <v>910</v>
      </c>
      <c r="H2832" s="51" t="s">
        <v>1650</v>
      </c>
      <c r="I2832" s="51" t="s">
        <v>912</v>
      </c>
    </row>
    <row r="2833" customFormat="false" ht="25.5" hidden="false" customHeight="true" outlineLevel="0" collapsed="false">
      <c r="A2833" s="51" t="s">
        <v>1125</v>
      </c>
      <c r="B2833" s="51" t="s">
        <v>1009</v>
      </c>
      <c r="C2833" s="51" t="s">
        <v>1014</v>
      </c>
      <c r="D2833" s="51" t="s">
        <v>1011</v>
      </c>
      <c r="E2833" s="51" t="s">
        <v>1015</v>
      </c>
      <c r="F2833" s="51" t="s">
        <v>1016</v>
      </c>
      <c r="G2833" s="52" t="s">
        <v>910</v>
      </c>
      <c r="H2833" s="51" t="s">
        <v>1650</v>
      </c>
      <c r="I2833" s="51" t="s">
        <v>912</v>
      </c>
    </row>
    <row r="2834" customFormat="false" ht="25.5" hidden="false" customHeight="true" outlineLevel="0" collapsed="false">
      <c r="A2834" s="51" t="s">
        <v>1125</v>
      </c>
      <c r="B2834" s="51" t="s">
        <v>1009</v>
      </c>
      <c r="C2834" s="51" t="s">
        <v>1017</v>
      </c>
      <c r="D2834" s="51" t="s">
        <v>1011</v>
      </c>
      <c r="E2834" s="51" t="s">
        <v>146</v>
      </c>
      <c r="F2834" s="51"/>
      <c r="G2834" s="52" t="s">
        <v>910</v>
      </c>
      <c r="H2834" s="51" t="s">
        <v>1650</v>
      </c>
      <c r="I2834" s="51" t="s">
        <v>912</v>
      </c>
    </row>
    <row r="2835" customFormat="false" ht="25.5" hidden="false" customHeight="true" outlineLevel="0" collapsed="false">
      <c r="A2835" s="51" t="s">
        <v>1125</v>
      </c>
      <c r="B2835" s="51" t="s">
        <v>950</v>
      </c>
      <c r="C2835" s="51" t="s">
        <v>1018</v>
      </c>
      <c r="D2835" s="51" t="s">
        <v>1019</v>
      </c>
      <c r="E2835" s="51" t="s">
        <v>1020</v>
      </c>
      <c r="F2835" s="51"/>
      <c r="G2835" s="52" t="s">
        <v>910</v>
      </c>
      <c r="H2835" s="51" t="s">
        <v>1650</v>
      </c>
      <c r="I2835" s="51" t="s">
        <v>912</v>
      </c>
    </row>
    <row r="2836" customFormat="false" ht="25.5" hidden="false" customHeight="true" outlineLevel="0" collapsed="false">
      <c r="A2836" s="49" t="s">
        <v>1125</v>
      </c>
      <c r="B2836" s="49" t="s">
        <v>950</v>
      </c>
      <c r="C2836" s="49" t="s">
        <v>951</v>
      </c>
      <c r="D2836" s="49"/>
      <c r="E2836" s="49" t="s">
        <v>217</v>
      </c>
      <c r="F2836" s="49" t="s">
        <v>952</v>
      </c>
      <c r="G2836" s="49" t="s">
        <v>772</v>
      </c>
      <c r="H2836" s="49" t="s">
        <v>1132</v>
      </c>
      <c r="I2836" s="49" t="s">
        <v>885</v>
      </c>
    </row>
    <row r="2837" customFormat="false" ht="25.5" hidden="false" customHeight="true" outlineLevel="0" collapsed="false">
      <c r="A2837" s="49" t="s">
        <v>1125</v>
      </c>
      <c r="B2837" s="49" t="s">
        <v>950</v>
      </c>
      <c r="C2837" s="49" t="s">
        <v>953</v>
      </c>
      <c r="D2837" s="49" t="s">
        <v>954</v>
      </c>
      <c r="E2837" s="49" t="s">
        <v>217</v>
      </c>
      <c r="F2837" s="49" t="s">
        <v>955</v>
      </c>
      <c r="G2837" s="49" t="s">
        <v>772</v>
      </c>
      <c r="H2837" s="49" t="s">
        <v>1132</v>
      </c>
      <c r="I2837" s="49" t="s">
        <v>885</v>
      </c>
    </row>
    <row r="2838" customFormat="false" ht="25.5" hidden="false" customHeight="true" outlineLevel="0" collapsed="false">
      <c r="A2838" s="51" t="s">
        <v>1125</v>
      </c>
      <c r="B2838" s="51" t="s">
        <v>950</v>
      </c>
      <c r="C2838" s="51" t="s">
        <v>1021</v>
      </c>
      <c r="D2838" s="51" t="s">
        <v>954</v>
      </c>
      <c r="E2838" s="51" t="s">
        <v>146</v>
      </c>
      <c r="F2838" s="51"/>
      <c r="G2838" s="52" t="s">
        <v>910</v>
      </c>
      <c r="H2838" s="51" t="s">
        <v>1650</v>
      </c>
      <c r="I2838" s="51" t="s">
        <v>912</v>
      </c>
    </row>
    <row r="2839" customFormat="false" ht="25.5" hidden="false" customHeight="true" outlineLevel="0" collapsed="false">
      <c r="A2839" s="51" t="s">
        <v>1125</v>
      </c>
      <c r="B2839" s="51" t="s">
        <v>950</v>
      </c>
      <c r="C2839" s="51" t="s">
        <v>1022</v>
      </c>
      <c r="D2839" s="51" t="s">
        <v>1019</v>
      </c>
      <c r="E2839" s="51" t="s">
        <v>1023</v>
      </c>
      <c r="F2839" s="51"/>
      <c r="G2839" s="52" t="s">
        <v>910</v>
      </c>
      <c r="H2839" s="51" t="s">
        <v>1650</v>
      </c>
      <c r="I2839" s="51" t="s">
        <v>912</v>
      </c>
    </row>
    <row r="2840" customFormat="false" ht="25.5" hidden="false" customHeight="true" outlineLevel="0" collapsed="false">
      <c r="A2840" s="51" t="s">
        <v>1125</v>
      </c>
      <c r="B2840" s="51" t="s">
        <v>950</v>
      </c>
      <c r="C2840" s="51" t="s">
        <v>956</v>
      </c>
      <c r="D2840" s="51" t="s">
        <v>954</v>
      </c>
      <c r="E2840" s="51" t="s">
        <v>957</v>
      </c>
      <c r="F2840" s="51" t="s">
        <v>958</v>
      </c>
      <c r="G2840" s="52" t="s">
        <v>910</v>
      </c>
      <c r="H2840" s="51" t="s">
        <v>1650</v>
      </c>
      <c r="I2840" s="51" t="s">
        <v>912</v>
      </c>
    </row>
    <row r="2841" customFormat="false" ht="25.5" hidden="false" customHeight="true" outlineLevel="0" collapsed="false">
      <c r="A2841" s="51" t="s">
        <v>1125</v>
      </c>
      <c r="B2841" s="51" t="s">
        <v>950</v>
      </c>
      <c r="C2841" s="51" t="s">
        <v>1024</v>
      </c>
      <c r="D2841" s="51" t="s">
        <v>1025</v>
      </c>
      <c r="E2841" s="51" t="s">
        <v>146</v>
      </c>
      <c r="F2841" s="51" t="s">
        <v>1026</v>
      </c>
      <c r="G2841" s="52" t="s">
        <v>910</v>
      </c>
      <c r="H2841" s="51" t="s">
        <v>1650</v>
      </c>
      <c r="I2841" s="51" t="s">
        <v>912</v>
      </c>
    </row>
    <row r="2842" customFormat="false" ht="25.5" hidden="false" customHeight="true" outlineLevel="0" collapsed="false">
      <c r="A2842" s="51" t="s">
        <v>1125</v>
      </c>
      <c r="B2842" s="51" t="s">
        <v>950</v>
      </c>
      <c r="C2842" s="51" t="s">
        <v>1027</v>
      </c>
      <c r="D2842" s="51" t="s">
        <v>1025</v>
      </c>
      <c r="E2842" s="51" t="s">
        <v>146</v>
      </c>
      <c r="F2842" s="51"/>
      <c r="G2842" s="52" t="s">
        <v>910</v>
      </c>
      <c r="H2842" s="51" t="s">
        <v>1650</v>
      </c>
      <c r="I2842" s="51" t="s">
        <v>912</v>
      </c>
    </row>
    <row r="2843" customFormat="false" ht="25.5" hidden="false" customHeight="true" outlineLevel="0" collapsed="false">
      <c r="A2843" s="51" t="s">
        <v>1125</v>
      </c>
      <c r="B2843" s="51" t="s">
        <v>896</v>
      </c>
      <c r="C2843" s="51" t="s">
        <v>1028</v>
      </c>
      <c r="D2843" s="51" t="s">
        <v>1029</v>
      </c>
      <c r="E2843" s="51" t="s">
        <v>146</v>
      </c>
      <c r="F2843" s="51" t="s">
        <v>1030</v>
      </c>
      <c r="G2843" s="52" t="s">
        <v>910</v>
      </c>
      <c r="H2843" s="51" t="s">
        <v>1650</v>
      </c>
      <c r="I2843" s="51" t="s">
        <v>912</v>
      </c>
    </row>
    <row r="2844" customFormat="false" ht="25.5" hidden="false" customHeight="true" outlineLevel="0" collapsed="false">
      <c r="A2844" s="51" t="s">
        <v>1125</v>
      </c>
      <c r="B2844" s="51" t="s">
        <v>896</v>
      </c>
      <c r="C2844" s="51" t="s">
        <v>897</v>
      </c>
      <c r="D2844" s="51" t="s">
        <v>898</v>
      </c>
      <c r="E2844" s="51" t="s">
        <v>899</v>
      </c>
      <c r="F2844" s="51"/>
      <c r="G2844" s="52" t="s">
        <v>910</v>
      </c>
      <c r="H2844" s="51" t="s">
        <v>1503</v>
      </c>
      <c r="I2844" s="51" t="s">
        <v>912</v>
      </c>
    </row>
    <row r="2845" customFormat="false" ht="25.5" hidden="false" customHeight="true" outlineLevel="0" collapsed="false">
      <c r="A2845" s="51" t="s">
        <v>1125</v>
      </c>
      <c r="B2845" s="51" t="s">
        <v>896</v>
      </c>
      <c r="C2845" s="51" t="s">
        <v>900</v>
      </c>
      <c r="D2845" s="51" t="s">
        <v>898</v>
      </c>
      <c r="E2845" s="51" t="s">
        <v>893</v>
      </c>
      <c r="F2845" s="51"/>
      <c r="G2845" s="52" t="s">
        <v>910</v>
      </c>
      <c r="H2845" s="51" t="s">
        <v>1503</v>
      </c>
      <c r="I2845" s="51" t="s">
        <v>912</v>
      </c>
    </row>
    <row r="2846" customFormat="false" ht="25.5" hidden="false" customHeight="true" outlineLevel="0" collapsed="false">
      <c r="A2846" s="51" t="s">
        <v>1125</v>
      </c>
      <c r="B2846" s="51" t="s">
        <v>896</v>
      </c>
      <c r="C2846" s="51" t="s">
        <v>901</v>
      </c>
      <c r="D2846" s="51" t="s">
        <v>898</v>
      </c>
      <c r="E2846" s="51" t="s">
        <v>893</v>
      </c>
      <c r="F2846" s="51"/>
      <c r="G2846" s="52" t="s">
        <v>910</v>
      </c>
      <c r="H2846" s="51" t="s">
        <v>1503</v>
      </c>
      <c r="I2846" s="51" t="s">
        <v>912</v>
      </c>
    </row>
    <row r="2847" customFormat="false" ht="25.5" hidden="false" customHeight="true" outlineLevel="0" collapsed="false">
      <c r="A2847" s="51" t="s">
        <v>1125</v>
      </c>
      <c r="B2847" s="51" t="s">
        <v>896</v>
      </c>
      <c r="C2847" s="51" t="s">
        <v>902</v>
      </c>
      <c r="D2847" s="51" t="s">
        <v>903</v>
      </c>
      <c r="E2847" s="51" t="s">
        <v>893</v>
      </c>
      <c r="F2847" s="51"/>
      <c r="G2847" s="52" t="s">
        <v>910</v>
      </c>
      <c r="H2847" s="51" t="s">
        <v>1503</v>
      </c>
      <c r="I2847" s="51" t="s">
        <v>912</v>
      </c>
    </row>
    <row r="2848" customFormat="false" ht="25.5" hidden="false" customHeight="true" outlineLevel="0" collapsed="false">
      <c r="A2848" s="51" t="s">
        <v>1125</v>
      </c>
      <c r="B2848" s="51" t="s">
        <v>896</v>
      </c>
      <c r="C2848" s="51" t="s">
        <v>904</v>
      </c>
      <c r="D2848" s="51"/>
      <c r="E2848" s="51" t="s">
        <v>893</v>
      </c>
      <c r="F2848" s="51"/>
      <c r="G2848" s="52" t="s">
        <v>910</v>
      </c>
      <c r="H2848" s="51" t="s">
        <v>1503</v>
      </c>
      <c r="I2848" s="51" t="s">
        <v>912</v>
      </c>
    </row>
    <row r="2849" customFormat="false" ht="25.5" hidden="false" customHeight="true" outlineLevel="0" collapsed="false">
      <c r="A2849" s="51" t="s">
        <v>1125</v>
      </c>
      <c r="B2849" s="51" t="s">
        <v>896</v>
      </c>
      <c r="C2849" s="51" t="s">
        <v>905</v>
      </c>
      <c r="D2849" s="51"/>
      <c r="E2849" s="51" t="s">
        <v>893</v>
      </c>
      <c r="F2849" s="51"/>
      <c r="G2849" s="52" t="s">
        <v>910</v>
      </c>
      <c r="H2849" s="51" t="s">
        <v>1503</v>
      </c>
      <c r="I2849" s="51" t="s">
        <v>912</v>
      </c>
    </row>
    <row r="2850" customFormat="false" ht="25.5" hidden="false" customHeight="true" outlineLevel="0" collapsed="false">
      <c r="A2850" s="51" t="s">
        <v>1125</v>
      </c>
      <c r="B2850" s="51" t="s">
        <v>896</v>
      </c>
      <c r="C2850" s="51" t="s">
        <v>906</v>
      </c>
      <c r="D2850" s="51"/>
      <c r="E2850" s="51" t="s">
        <v>893</v>
      </c>
      <c r="F2850" s="51"/>
      <c r="G2850" s="52" t="s">
        <v>910</v>
      </c>
      <c r="H2850" s="51" t="s">
        <v>1503</v>
      </c>
      <c r="I2850" s="51" t="s">
        <v>912</v>
      </c>
    </row>
    <row r="2851" customFormat="false" ht="25.5" hidden="false" customHeight="true" outlineLevel="0" collapsed="false">
      <c r="A2851" s="49" t="s">
        <v>1125</v>
      </c>
      <c r="B2851" s="49" t="s">
        <v>907</v>
      </c>
      <c r="C2851" s="49" t="s">
        <v>1507</v>
      </c>
      <c r="D2851" s="49" t="s">
        <v>1032</v>
      </c>
      <c r="E2851" s="49" t="s">
        <v>1142</v>
      </c>
      <c r="F2851" s="49" t="s">
        <v>1500</v>
      </c>
      <c r="G2851" s="49" t="s">
        <v>772</v>
      </c>
      <c r="H2851" s="49" t="s">
        <v>1132</v>
      </c>
      <c r="I2851" s="49" t="s">
        <v>885</v>
      </c>
    </row>
    <row r="2852" customFormat="false" ht="25.5" hidden="false" customHeight="true" outlineLevel="0" collapsed="false">
      <c r="A2852" s="49" t="s">
        <v>1125</v>
      </c>
      <c r="B2852" s="49" t="s">
        <v>907</v>
      </c>
      <c r="C2852" s="49" t="s">
        <v>1508</v>
      </c>
      <c r="D2852" s="49" t="s">
        <v>1034</v>
      </c>
      <c r="E2852" s="49" t="s">
        <v>1142</v>
      </c>
      <c r="F2852" s="49" t="s">
        <v>1500</v>
      </c>
      <c r="G2852" s="49" t="s">
        <v>772</v>
      </c>
      <c r="H2852" s="49" t="s">
        <v>1132</v>
      </c>
      <c r="I2852" s="49" t="s">
        <v>885</v>
      </c>
    </row>
    <row r="2853" customFormat="false" ht="25.5" hidden="false" customHeight="true" outlineLevel="0" collapsed="false">
      <c r="A2853" s="49" t="s">
        <v>1125</v>
      </c>
      <c r="B2853" s="49" t="s">
        <v>907</v>
      </c>
      <c r="C2853" s="49" t="s">
        <v>1509</v>
      </c>
      <c r="D2853" s="49" t="s">
        <v>1032</v>
      </c>
      <c r="E2853" s="49" t="s">
        <v>1189</v>
      </c>
      <c r="F2853" s="49" t="s">
        <v>1500</v>
      </c>
      <c r="G2853" s="49" t="s">
        <v>772</v>
      </c>
      <c r="H2853" s="49" t="s">
        <v>1132</v>
      </c>
      <c r="I2853" s="49" t="s">
        <v>885</v>
      </c>
    </row>
    <row r="2854" customFormat="false" ht="25.5" hidden="false" customHeight="true" outlineLevel="0" collapsed="false">
      <c r="A2854" s="51" t="s">
        <v>1125</v>
      </c>
      <c r="B2854" s="51" t="s">
        <v>907</v>
      </c>
      <c r="C2854" s="51" t="s">
        <v>1031</v>
      </c>
      <c r="D2854" s="51" t="s">
        <v>1032</v>
      </c>
      <c r="E2854" s="51" t="s">
        <v>146</v>
      </c>
      <c r="F2854" s="51"/>
      <c r="G2854" s="52" t="s">
        <v>910</v>
      </c>
      <c r="H2854" s="51" t="s">
        <v>1650</v>
      </c>
      <c r="I2854" s="51" t="s">
        <v>912</v>
      </c>
    </row>
    <row r="2855" customFormat="false" ht="25.5" hidden="false" customHeight="true" outlineLevel="0" collapsed="false">
      <c r="A2855" s="51" t="s">
        <v>1125</v>
      </c>
      <c r="B2855" s="51" t="s">
        <v>907</v>
      </c>
      <c r="C2855" s="51" t="s">
        <v>1033</v>
      </c>
      <c r="D2855" s="51" t="s">
        <v>1034</v>
      </c>
      <c r="E2855" s="51" t="s">
        <v>146</v>
      </c>
      <c r="F2855" s="51"/>
      <c r="G2855" s="52" t="s">
        <v>910</v>
      </c>
      <c r="H2855" s="51" t="s">
        <v>1650</v>
      </c>
      <c r="I2855" s="51" t="s">
        <v>912</v>
      </c>
    </row>
    <row r="2856" customFormat="false" ht="25.5" hidden="false" customHeight="true" outlineLevel="0" collapsed="false">
      <c r="A2856" s="51" t="s">
        <v>1125</v>
      </c>
      <c r="B2856" s="51" t="s">
        <v>907</v>
      </c>
      <c r="C2856" s="51" t="s">
        <v>1035</v>
      </c>
      <c r="D2856" s="51" t="s">
        <v>1034</v>
      </c>
      <c r="E2856" s="51" t="s">
        <v>1036</v>
      </c>
      <c r="F2856" s="51" t="s">
        <v>1037</v>
      </c>
      <c r="G2856" s="52" t="s">
        <v>910</v>
      </c>
      <c r="H2856" s="51" t="s">
        <v>1650</v>
      </c>
      <c r="I2856" s="51" t="s">
        <v>912</v>
      </c>
    </row>
    <row r="2857" customFormat="false" ht="25.5" hidden="false" customHeight="true" outlineLevel="0" collapsed="false">
      <c r="A2857" s="51" t="s">
        <v>1125</v>
      </c>
      <c r="B2857" s="51" t="s">
        <v>907</v>
      </c>
      <c r="C2857" s="51" t="s">
        <v>1038</v>
      </c>
      <c r="D2857" s="51" t="s">
        <v>1039</v>
      </c>
      <c r="E2857" s="51" t="s">
        <v>146</v>
      </c>
      <c r="F2857" s="51"/>
      <c r="G2857" s="52" t="s">
        <v>910</v>
      </c>
      <c r="H2857" s="51" t="s">
        <v>1650</v>
      </c>
      <c r="I2857" s="51" t="s">
        <v>912</v>
      </c>
    </row>
    <row r="2858" customFormat="false" ht="25.5" hidden="false" customHeight="true" outlineLevel="0" collapsed="false">
      <c r="A2858" s="51" t="s">
        <v>1125</v>
      </c>
      <c r="B2858" s="51" t="s">
        <v>907</v>
      </c>
      <c r="C2858" s="51" t="s">
        <v>908</v>
      </c>
      <c r="D2858" s="51"/>
      <c r="E2858" s="51" t="s">
        <v>909</v>
      </c>
      <c r="F2858" s="51"/>
      <c r="G2858" s="52" t="s">
        <v>910</v>
      </c>
      <c r="H2858" s="51" t="s">
        <v>1650</v>
      </c>
      <c r="I2858" s="51" t="s">
        <v>912</v>
      </c>
    </row>
    <row r="2859" customFormat="false" ht="25.5" hidden="false" customHeight="true" outlineLevel="0" collapsed="false">
      <c r="A2859" s="51" t="s">
        <v>1125</v>
      </c>
      <c r="B2859" s="51" t="s">
        <v>907</v>
      </c>
      <c r="C2859" s="51" t="s">
        <v>913</v>
      </c>
      <c r="D2859" s="51"/>
      <c r="E2859" s="51" t="s">
        <v>893</v>
      </c>
      <c r="F2859" s="51"/>
      <c r="G2859" s="52" t="s">
        <v>910</v>
      </c>
      <c r="H2859" s="51" t="s">
        <v>1503</v>
      </c>
      <c r="I2859" s="51" t="s">
        <v>912</v>
      </c>
    </row>
    <row r="2860" customFormat="false" ht="25.5" hidden="false" customHeight="true" outlineLevel="0" collapsed="false">
      <c r="A2860" s="51" t="s">
        <v>1125</v>
      </c>
      <c r="B2860" s="51" t="s">
        <v>907</v>
      </c>
      <c r="C2860" s="51" t="s">
        <v>914</v>
      </c>
      <c r="D2860" s="51"/>
      <c r="E2860" s="51" t="s">
        <v>893</v>
      </c>
      <c r="F2860" s="51"/>
      <c r="G2860" s="52" t="s">
        <v>910</v>
      </c>
      <c r="H2860" s="51" t="s">
        <v>1503</v>
      </c>
      <c r="I2860" s="51" t="s">
        <v>912</v>
      </c>
    </row>
    <row r="2861" customFormat="false" ht="25.5" hidden="false" customHeight="true" outlineLevel="0" collapsed="false">
      <c r="A2861" s="51" t="s">
        <v>1125</v>
      </c>
      <c r="B2861" s="51" t="s">
        <v>907</v>
      </c>
      <c r="C2861" s="51" t="s">
        <v>1040</v>
      </c>
      <c r="D2861" s="51" t="s">
        <v>1039</v>
      </c>
      <c r="E2861" s="51" t="s">
        <v>146</v>
      </c>
      <c r="F2861" s="51"/>
      <c r="G2861" s="52" t="s">
        <v>910</v>
      </c>
      <c r="H2861" s="51" t="s">
        <v>1650</v>
      </c>
      <c r="I2861" s="51" t="s">
        <v>912</v>
      </c>
    </row>
    <row r="2862" customFormat="false" ht="25.5" hidden="false" customHeight="true" outlineLevel="0" collapsed="false">
      <c r="A2862" s="49" t="s">
        <v>1125</v>
      </c>
      <c r="B2862" s="49" t="s">
        <v>907</v>
      </c>
      <c r="C2862" s="49" t="s">
        <v>1510</v>
      </c>
      <c r="D2862" s="49"/>
      <c r="E2862" s="49" t="s">
        <v>1511</v>
      </c>
      <c r="F2862" s="49" t="s">
        <v>1512</v>
      </c>
      <c r="G2862" s="49" t="s">
        <v>772</v>
      </c>
      <c r="H2862" s="49" t="s">
        <v>1132</v>
      </c>
      <c r="I2862" s="49" t="s">
        <v>885</v>
      </c>
    </row>
    <row r="2863" customFormat="false" ht="25.5" hidden="false" customHeight="true" outlineLevel="0" collapsed="false">
      <c r="A2863" s="49" t="s">
        <v>1125</v>
      </c>
      <c r="B2863" s="49" t="s">
        <v>907</v>
      </c>
      <c r="C2863" s="49" t="s">
        <v>960</v>
      </c>
      <c r="D2863" s="49"/>
      <c r="E2863" s="49" t="s">
        <v>217</v>
      </c>
      <c r="F2863" s="49" t="s">
        <v>961</v>
      </c>
      <c r="G2863" s="49" t="s">
        <v>772</v>
      </c>
      <c r="H2863" s="49" t="s">
        <v>1132</v>
      </c>
      <c r="I2863" s="49" t="s">
        <v>885</v>
      </c>
    </row>
    <row r="2864" customFormat="false" ht="25.5" hidden="false" customHeight="true" outlineLevel="0" collapsed="false">
      <c r="A2864" s="49" t="s">
        <v>1125</v>
      </c>
      <c r="B2864" s="49" t="s">
        <v>915</v>
      </c>
      <c r="C2864" s="49" t="s">
        <v>1513</v>
      </c>
      <c r="D2864" s="49" t="s">
        <v>1029</v>
      </c>
      <c r="E2864" s="49" t="s">
        <v>1186</v>
      </c>
      <c r="F2864" s="49" t="s">
        <v>1514</v>
      </c>
      <c r="G2864" s="49" t="s">
        <v>772</v>
      </c>
      <c r="H2864" s="49" t="s">
        <v>1132</v>
      </c>
      <c r="I2864" s="49" t="s">
        <v>885</v>
      </c>
    </row>
    <row r="2865" customFormat="false" ht="25.5" hidden="false" customHeight="true" outlineLevel="0" collapsed="false">
      <c r="A2865" s="49" t="s">
        <v>1125</v>
      </c>
      <c r="B2865" s="49" t="s">
        <v>915</v>
      </c>
      <c r="C2865" s="49" t="s">
        <v>1515</v>
      </c>
      <c r="D2865" s="49" t="s">
        <v>929</v>
      </c>
      <c r="E2865" s="49" t="s">
        <v>1186</v>
      </c>
      <c r="F2865" s="49" t="s">
        <v>1516</v>
      </c>
      <c r="G2865" s="49" t="s">
        <v>772</v>
      </c>
      <c r="H2865" s="49" t="s">
        <v>1132</v>
      </c>
      <c r="I2865" s="49" t="s">
        <v>885</v>
      </c>
    </row>
    <row r="2866" customFormat="false" ht="25.5" hidden="false" customHeight="true" outlineLevel="0" collapsed="false">
      <c r="A2866" s="51" t="s">
        <v>1125</v>
      </c>
      <c r="B2866" s="51" t="s">
        <v>915</v>
      </c>
      <c r="C2866" s="51" t="s">
        <v>1041</v>
      </c>
      <c r="D2866" s="51" t="s">
        <v>1034</v>
      </c>
      <c r="E2866" s="51" t="s">
        <v>146</v>
      </c>
      <c r="F2866" s="51"/>
      <c r="G2866" s="52" t="s">
        <v>910</v>
      </c>
      <c r="H2866" s="51" t="s">
        <v>1650</v>
      </c>
      <c r="I2866" s="51" t="s">
        <v>912</v>
      </c>
    </row>
    <row r="2867" customFormat="false" ht="25.5" hidden="false" customHeight="true" outlineLevel="0" collapsed="false">
      <c r="A2867" s="51" t="s">
        <v>1125</v>
      </c>
      <c r="B2867" s="51" t="s">
        <v>915</v>
      </c>
      <c r="C2867" s="51" t="s">
        <v>1042</v>
      </c>
      <c r="D2867" s="51" t="s">
        <v>1034</v>
      </c>
      <c r="E2867" s="51" t="s">
        <v>146</v>
      </c>
      <c r="F2867" s="51"/>
      <c r="G2867" s="52" t="s">
        <v>910</v>
      </c>
      <c r="H2867" s="51" t="s">
        <v>1650</v>
      </c>
      <c r="I2867" s="51" t="s">
        <v>912</v>
      </c>
    </row>
    <row r="2868" customFormat="false" ht="25.5" hidden="false" customHeight="true" outlineLevel="0" collapsed="false">
      <c r="A2868" s="51" t="s">
        <v>1125</v>
      </c>
      <c r="B2868" s="51" t="s">
        <v>915</v>
      </c>
      <c r="C2868" s="51" t="s">
        <v>1043</v>
      </c>
      <c r="D2868" s="51" t="s">
        <v>903</v>
      </c>
      <c r="E2868" s="51" t="s">
        <v>146</v>
      </c>
      <c r="F2868" s="51"/>
      <c r="G2868" s="52" t="s">
        <v>910</v>
      </c>
      <c r="H2868" s="51" t="s">
        <v>1650</v>
      </c>
      <c r="I2868" s="51" t="s">
        <v>912</v>
      </c>
    </row>
    <row r="2869" customFormat="false" ht="25.5" hidden="false" customHeight="true" outlineLevel="0" collapsed="false">
      <c r="A2869" s="51" t="s">
        <v>1125</v>
      </c>
      <c r="B2869" s="51" t="s">
        <v>915</v>
      </c>
      <c r="C2869" s="51" t="s">
        <v>916</v>
      </c>
      <c r="D2869" s="51"/>
      <c r="E2869" s="51" t="s">
        <v>893</v>
      </c>
      <c r="F2869" s="51"/>
      <c r="G2869" s="52" t="s">
        <v>910</v>
      </c>
      <c r="H2869" s="51" t="s">
        <v>1503</v>
      </c>
      <c r="I2869" s="51" t="s">
        <v>912</v>
      </c>
    </row>
    <row r="2870" customFormat="false" ht="25.5" hidden="false" customHeight="true" outlineLevel="0" collapsed="false">
      <c r="A2870" s="51" t="s">
        <v>1125</v>
      </c>
      <c r="B2870" s="51" t="s">
        <v>915</v>
      </c>
      <c r="C2870" s="51" t="s">
        <v>1044</v>
      </c>
      <c r="D2870" s="51" t="s">
        <v>1045</v>
      </c>
      <c r="E2870" s="51" t="s">
        <v>146</v>
      </c>
      <c r="F2870" s="51" t="s">
        <v>1046</v>
      </c>
      <c r="G2870" s="52" t="s">
        <v>910</v>
      </c>
      <c r="H2870" s="51" t="s">
        <v>1650</v>
      </c>
      <c r="I2870" s="51" t="s">
        <v>912</v>
      </c>
    </row>
    <row r="2871" customFormat="false" ht="25.5" hidden="false" customHeight="true" outlineLevel="0" collapsed="false">
      <c r="A2871" s="49" t="s">
        <v>1125</v>
      </c>
      <c r="B2871" s="49" t="s">
        <v>1047</v>
      </c>
      <c r="C2871" s="49" t="s">
        <v>1517</v>
      </c>
      <c r="D2871" s="49" t="s">
        <v>965</v>
      </c>
      <c r="E2871" s="49" t="s">
        <v>1186</v>
      </c>
      <c r="F2871" s="49" t="s">
        <v>1518</v>
      </c>
      <c r="G2871" s="49" t="s">
        <v>772</v>
      </c>
      <c r="H2871" s="49" t="s">
        <v>1132</v>
      </c>
      <c r="I2871" s="49" t="s">
        <v>885</v>
      </c>
    </row>
    <row r="2872" customFormat="false" ht="25.5" hidden="false" customHeight="true" outlineLevel="0" collapsed="false">
      <c r="A2872" s="51" t="s">
        <v>1125</v>
      </c>
      <c r="B2872" s="51" t="s">
        <v>1047</v>
      </c>
      <c r="C2872" s="51" t="s">
        <v>1048</v>
      </c>
      <c r="D2872" s="51" t="s">
        <v>1049</v>
      </c>
      <c r="E2872" s="51" t="s">
        <v>146</v>
      </c>
      <c r="F2872" s="51"/>
      <c r="G2872" s="52" t="s">
        <v>910</v>
      </c>
      <c r="H2872" s="51" t="s">
        <v>1650</v>
      </c>
      <c r="I2872" s="51" t="s">
        <v>912</v>
      </c>
    </row>
    <row r="2873" customFormat="false" ht="25.5" hidden="false" customHeight="true" outlineLevel="0" collapsed="false">
      <c r="A2873" s="51" t="s">
        <v>1125</v>
      </c>
      <c r="B2873" s="51" t="s">
        <v>1047</v>
      </c>
      <c r="C2873" s="51" t="s">
        <v>1050</v>
      </c>
      <c r="D2873" s="51" t="s">
        <v>991</v>
      </c>
      <c r="E2873" s="51" t="s">
        <v>146</v>
      </c>
      <c r="F2873" s="51"/>
      <c r="G2873" s="52" t="s">
        <v>910</v>
      </c>
      <c r="H2873" s="51" t="s">
        <v>1650</v>
      </c>
      <c r="I2873" s="51" t="s">
        <v>912</v>
      </c>
    </row>
    <row r="2874" customFormat="false" ht="25.5" hidden="false" customHeight="true" outlineLevel="0" collapsed="false">
      <c r="A2874" s="51" t="s">
        <v>1125</v>
      </c>
      <c r="B2874" s="51" t="s">
        <v>1047</v>
      </c>
      <c r="C2874" s="51" t="s">
        <v>1051</v>
      </c>
      <c r="D2874" s="51" t="s">
        <v>991</v>
      </c>
      <c r="E2874" s="51" t="s">
        <v>146</v>
      </c>
      <c r="F2874" s="51"/>
      <c r="G2874" s="52" t="s">
        <v>910</v>
      </c>
      <c r="H2874" s="51" t="s">
        <v>1650</v>
      </c>
      <c r="I2874" s="51" t="s">
        <v>912</v>
      </c>
    </row>
    <row r="2875" customFormat="false" ht="25.5" hidden="false" customHeight="true" outlineLevel="0" collapsed="false">
      <c r="A2875" s="49" t="s">
        <v>1125</v>
      </c>
      <c r="B2875" s="49" t="s">
        <v>917</v>
      </c>
      <c r="C2875" s="49" t="s">
        <v>1519</v>
      </c>
      <c r="D2875" s="49" t="s">
        <v>968</v>
      </c>
      <c r="E2875" s="49" t="s">
        <v>1520</v>
      </c>
      <c r="F2875" s="49" t="s">
        <v>1352</v>
      </c>
      <c r="G2875" s="49" t="s">
        <v>772</v>
      </c>
      <c r="H2875" s="49" t="s">
        <v>1132</v>
      </c>
      <c r="I2875" s="49" t="s">
        <v>885</v>
      </c>
    </row>
    <row r="2876" customFormat="false" ht="25.5" hidden="false" customHeight="true" outlineLevel="0" collapsed="false">
      <c r="A2876" s="49" t="s">
        <v>1125</v>
      </c>
      <c r="B2876" s="49" t="s">
        <v>917</v>
      </c>
      <c r="C2876" s="49" t="s">
        <v>1521</v>
      </c>
      <c r="D2876" s="49" t="s">
        <v>1522</v>
      </c>
      <c r="E2876" s="49" t="s">
        <v>1186</v>
      </c>
      <c r="F2876" s="49" t="s">
        <v>1523</v>
      </c>
      <c r="G2876" s="49" t="s">
        <v>772</v>
      </c>
      <c r="H2876" s="49" t="s">
        <v>1132</v>
      </c>
      <c r="I2876" s="49" t="s">
        <v>885</v>
      </c>
    </row>
    <row r="2877" customFormat="false" ht="25.5" hidden="false" customHeight="true" outlineLevel="0" collapsed="false">
      <c r="A2877" s="49" t="s">
        <v>1125</v>
      </c>
      <c r="B2877" s="49" t="s">
        <v>917</v>
      </c>
      <c r="C2877" s="49" t="s">
        <v>1524</v>
      </c>
      <c r="D2877" s="49" t="s">
        <v>965</v>
      </c>
      <c r="E2877" s="49" t="s">
        <v>1520</v>
      </c>
      <c r="F2877" s="49" t="s">
        <v>1525</v>
      </c>
      <c r="G2877" s="49" t="s">
        <v>772</v>
      </c>
      <c r="H2877" s="49" t="s">
        <v>1132</v>
      </c>
      <c r="I2877" s="49" t="s">
        <v>885</v>
      </c>
    </row>
    <row r="2878" customFormat="false" ht="25.5" hidden="false" customHeight="true" outlineLevel="0" collapsed="false">
      <c r="A2878" s="49" t="s">
        <v>1125</v>
      </c>
      <c r="B2878" s="49" t="s">
        <v>917</v>
      </c>
      <c r="C2878" s="49" t="s">
        <v>1526</v>
      </c>
      <c r="D2878" s="49" t="s">
        <v>919</v>
      </c>
      <c r="E2878" s="49" t="s">
        <v>1527</v>
      </c>
      <c r="F2878" s="49" t="s">
        <v>1528</v>
      </c>
      <c r="G2878" s="49" t="s">
        <v>772</v>
      </c>
      <c r="H2878" s="49" t="s">
        <v>1132</v>
      </c>
      <c r="I2878" s="49" t="s">
        <v>885</v>
      </c>
    </row>
    <row r="2879" customFormat="false" ht="25.5" hidden="false" customHeight="true" outlineLevel="0" collapsed="false">
      <c r="A2879" s="49" t="s">
        <v>1125</v>
      </c>
      <c r="B2879" s="49" t="s">
        <v>917</v>
      </c>
      <c r="C2879" s="49" t="s">
        <v>964</v>
      </c>
      <c r="D2879" s="49" t="s">
        <v>965</v>
      </c>
      <c r="E2879" s="49" t="s">
        <v>217</v>
      </c>
      <c r="F2879" s="49" t="s">
        <v>966</v>
      </c>
      <c r="G2879" s="49" t="s">
        <v>772</v>
      </c>
      <c r="H2879" s="49" t="s">
        <v>1132</v>
      </c>
      <c r="I2879" s="49" t="s">
        <v>885</v>
      </c>
    </row>
    <row r="2880" customFormat="false" ht="25.5" hidden="false" customHeight="true" outlineLevel="0" collapsed="false">
      <c r="A2880" s="49" t="s">
        <v>1125</v>
      </c>
      <c r="B2880" s="49" t="s">
        <v>917</v>
      </c>
      <c r="C2880" s="49" t="s">
        <v>967</v>
      </c>
      <c r="D2880" s="49" t="s">
        <v>968</v>
      </c>
      <c r="E2880" s="49" t="s">
        <v>969</v>
      </c>
      <c r="F2880" s="49" t="s">
        <v>970</v>
      </c>
      <c r="G2880" s="49" t="s">
        <v>772</v>
      </c>
      <c r="H2880" s="49" t="s">
        <v>1132</v>
      </c>
      <c r="I2880" s="49" t="s">
        <v>885</v>
      </c>
    </row>
    <row r="2881" customFormat="false" ht="25.5" hidden="false" customHeight="true" outlineLevel="0" collapsed="false">
      <c r="A2881" s="49" t="s">
        <v>1125</v>
      </c>
      <c r="B2881" s="49" t="s">
        <v>917</v>
      </c>
      <c r="C2881" s="49" t="s">
        <v>1529</v>
      </c>
      <c r="D2881" s="49" t="s">
        <v>1530</v>
      </c>
      <c r="E2881" s="49" t="s">
        <v>1500</v>
      </c>
      <c r="F2881" s="49" t="s">
        <v>1531</v>
      </c>
      <c r="G2881" s="49" t="s">
        <v>772</v>
      </c>
      <c r="H2881" s="49" t="s">
        <v>1132</v>
      </c>
      <c r="I2881" s="49" t="s">
        <v>885</v>
      </c>
    </row>
    <row r="2882" customFormat="false" ht="25.5" hidden="false" customHeight="true" outlineLevel="0" collapsed="false">
      <c r="A2882" s="49" t="s">
        <v>1125</v>
      </c>
      <c r="B2882" s="49" t="s">
        <v>917</v>
      </c>
      <c r="C2882" s="49" t="s">
        <v>918</v>
      </c>
      <c r="D2882" s="49" t="s">
        <v>919</v>
      </c>
      <c r="E2882" s="49" t="s">
        <v>882</v>
      </c>
      <c r="F2882" s="49" t="s">
        <v>920</v>
      </c>
      <c r="G2882" s="49" t="s">
        <v>772</v>
      </c>
      <c r="H2882" s="49" t="s">
        <v>1132</v>
      </c>
      <c r="I2882" s="49" t="s">
        <v>885</v>
      </c>
    </row>
    <row r="2883" customFormat="false" ht="25.5" hidden="false" customHeight="true" outlineLevel="0" collapsed="false">
      <c r="A2883" s="49" t="s">
        <v>1125</v>
      </c>
      <c r="B2883" s="49" t="s">
        <v>917</v>
      </c>
      <c r="C2883" s="49" t="s">
        <v>921</v>
      </c>
      <c r="D2883" s="49" t="s">
        <v>922</v>
      </c>
      <c r="E2883" s="49" t="s">
        <v>882</v>
      </c>
      <c r="F2883" s="49" t="s">
        <v>923</v>
      </c>
      <c r="G2883" s="49" t="s">
        <v>772</v>
      </c>
      <c r="H2883" s="49" t="s">
        <v>1132</v>
      </c>
      <c r="I2883" s="49" t="s">
        <v>885</v>
      </c>
    </row>
    <row r="2884" customFormat="false" ht="25.5" hidden="false" customHeight="true" outlineLevel="0" collapsed="false">
      <c r="A2884" s="49" t="s">
        <v>1125</v>
      </c>
      <c r="B2884" s="49" t="s">
        <v>917</v>
      </c>
      <c r="C2884" s="49" t="s">
        <v>1532</v>
      </c>
      <c r="D2884" s="49" t="s">
        <v>919</v>
      </c>
      <c r="E2884" s="49" t="s">
        <v>1533</v>
      </c>
      <c r="F2884" s="49" t="s">
        <v>1534</v>
      </c>
      <c r="G2884" s="49" t="s">
        <v>772</v>
      </c>
      <c r="H2884" s="49" t="s">
        <v>1132</v>
      </c>
      <c r="I2884" s="49" t="s">
        <v>885</v>
      </c>
    </row>
    <row r="2885" customFormat="false" ht="25.5" hidden="false" customHeight="true" outlineLevel="0" collapsed="false">
      <c r="A2885" s="51" t="s">
        <v>1125</v>
      </c>
      <c r="B2885" s="51" t="s">
        <v>917</v>
      </c>
      <c r="C2885" s="51" t="s">
        <v>1052</v>
      </c>
      <c r="D2885" s="51" t="s">
        <v>968</v>
      </c>
      <c r="E2885" s="51" t="s">
        <v>146</v>
      </c>
      <c r="F2885" s="51" t="s">
        <v>1053</v>
      </c>
      <c r="G2885" s="52" t="s">
        <v>910</v>
      </c>
      <c r="H2885" s="51" t="s">
        <v>1650</v>
      </c>
      <c r="I2885" s="51" t="s">
        <v>912</v>
      </c>
    </row>
    <row r="2886" customFormat="false" ht="25.5" hidden="false" customHeight="true" outlineLevel="0" collapsed="false">
      <c r="A2886" s="51" t="s">
        <v>1125</v>
      </c>
      <c r="B2886" s="51" t="s">
        <v>917</v>
      </c>
      <c r="C2886" s="51" t="s">
        <v>1054</v>
      </c>
      <c r="D2886" s="51" t="s">
        <v>965</v>
      </c>
      <c r="E2886" s="51" t="s">
        <v>1055</v>
      </c>
      <c r="F2886" s="51" t="s">
        <v>1056</v>
      </c>
      <c r="G2886" s="52" t="s">
        <v>910</v>
      </c>
      <c r="H2886" s="51" t="s">
        <v>1650</v>
      </c>
      <c r="I2886" s="51" t="s">
        <v>912</v>
      </c>
    </row>
    <row r="2887" customFormat="false" ht="25.5" hidden="false" customHeight="true" outlineLevel="0" collapsed="false">
      <c r="A2887" s="51" t="s">
        <v>1125</v>
      </c>
      <c r="B2887" s="51" t="s">
        <v>917</v>
      </c>
      <c r="C2887" s="51" t="s">
        <v>924</v>
      </c>
      <c r="D2887" s="51"/>
      <c r="E2887" s="51" t="s">
        <v>893</v>
      </c>
      <c r="F2887" s="51"/>
      <c r="G2887" s="52" t="s">
        <v>910</v>
      </c>
      <c r="H2887" s="51" t="s">
        <v>1503</v>
      </c>
      <c r="I2887" s="51" t="s">
        <v>912</v>
      </c>
    </row>
    <row r="2888" customFormat="false" ht="25.5" hidden="false" customHeight="true" outlineLevel="0" collapsed="false">
      <c r="A2888" s="49" t="s">
        <v>1125</v>
      </c>
      <c r="B2888" s="49" t="s">
        <v>917</v>
      </c>
      <c r="C2888" s="49" t="s">
        <v>1535</v>
      </c>
      <c r="D2888" s="49" t="s">
        <v>929</v>
      </c>
      <c r="E2888" s="49" t="s">
        <v>1536</v>
      </c>
      <c r="F2888" s="49" t="s">
        <v>1537</v>
      </c>
      <c r="G2888" s="49" t="s">
        <v>772</v>
      </c>
      <c r="H2888" s="49" t="s">
        <v>1132</v>
      </c>
      <c r="I2888" s="49" t="s">
        <v>885</v>
      </c>
    </row>
    <row r="2889" customFormat="false" ht="25.5" hidden="false" customHeight="true" outlineLevel="0" collapsed="false">
      <c r="A2889" s="49" t="s">
        <v>1125</v>
      </c>
      <c r="B2889" s="49" t="s">
        <v>917</v>
      </c>
      <c r="C2889" s="49" t="s">
        <v>1538</v>
      </c>
      <c r="D2889" s="49" t="s">
        <v>929</v>
      </c>
      <c r="E2889" s="49" t="s">
        <v>1536</v>
      </c>
      <c r="F2889" s="49" t="s">
        <v>1539</v>
      </c>
      <c r="G2889" s="49" t="s">
        <v>772</v>
      </c>
      <c r="H2889" s="49" t="s">
        <v>1132</v>
      </c>
      <c r="I2889" s="49" t="s">
        <v>885</v>
      </c>
    </row>
    <row r="2890" customFormat="false" ht="25.5" hidden="false" customHeight="true" outlineLevel="0" collapsed="false">
      <c r="A2890" s="49" t="s">
        <v>1125</v>
      </c>
      <c r="B2890" s="49" t="s">
        <v>917</v>
      </c>
      <c r="C2890" s="49" t="s">
        <v>1540</v>
      </c>
      <c r="D2890" s="49" t="s">
        <v>929</v>
      </c>
      <c r="E2890" s="49" t="s">
        <v>1541</v>
      </c>
      <c r="F2890" s="49" t="s">
        <v>1542</v>
      </c>
      <c r="G2890" s="49" t="s">
        <v>772</v>
      </c>
      <c r="H2890" s="49" t="s">
        <v>1132</v>
      </c>
      <c r="I2890" s="49" t="s">
        <v>885</v>
      </c>
    </row>
    <row r="2891" customFormat="false" ht="25.5" hidden="false" customHeight="true" outlineLevel="0" collapsed="false">
      <c r="A2891" s="49" t="s">
        <v>1125</v>
      </c>
      <c r="B2891" s="49" t="s">
        <v>925</v>
      </c>
      <c r="C2891" s="49" t="s">
        <v>1543</v>
      </c>
      <c r="D2891" s="49" t="s">
        <v>972</v>
      </c>
      <c r="E2891" s="49" t="s">
        <v>1186</v>
      </c>
      <c r="F2891" s="49" t="s">
        <v>1544</v>
      </c>
      <c r="G2891" s="49" t="s">
        <v>772</v>
      </c>
      <c r="H2891" s="49" t="s">
        <v>1132</v>
      </c>
      <c r="I2891" s="49" t="s">
        <v>885</v>
      </c>
    </row>
    <row r="2892" customFormat="false" ht="25.5" hidden="false" customHeight="true" outlineLevel="0" collapsed="false">
      <c r="A2892" s="51" t="s">
        <v>1125</v>
      </c>
      <c r="B2892" s="51" t="s">
        <v>925</v>
      </c>
      <c r="C2892" s="51" t="s">
        <v>1057</v>
      </c>
      <c r="D2892" s="51" t="s">
        <v>968</v>
      </c>
      <c r="E2892" s="51" t="s">
        <v>146</v>
      </c>
      <c r="F2892" s="51" t="s">
        <v>1058</v>
      </c>
      <c r="G2892" s="52" t="s">
        <v>910</v>
      </c>
      <c r="H2892" s="51" t="s">
        <v>1650</v>
      </c>
      <c r="I2892" s="51" t="s">
        <v>912</v>
      </c>
    </row>
    <row r="2893" customFormat="false" ht="25.5" hidden="false" customHeight="true" outlineLevel="0" collapsed="false">
      <c r="A2893" s="51" t="s">
        <v>1125</v>
      </c>
      <c r="B2893" s="51" t="s">
        <v>925</v>
      </c>
      <c r="C2893" s="51" t="s">
        <v>1059</v>
      </c>
      <c r="D2893" s="51" t="s">
        <v>968</v>
      </c>
      <c r="E2893" s="51" t="s">
        <v>146</v>
      </c>
      <c r="F2893" s="51"/>
      <c r="G2893" s="52" t="s">
        <v>910</v>
      </c>
      <c r="H2893" s="51" t="s">
        <v>1650</v>
      </c>
      <c r="I2893" s="51" t="s">
        <v>912</v>
      </c>
    </row>
    <row r="2894" customFormat="false" ht="25.5" hidden="false" customHeight="true" outlineLevel="0" collapsed="false">
      <c r="A2894" s="51" t="s">
        <v>1125</v>
      </c>
      <c r="B2894" s="51" t="s">
        <v>925</v>
      </c>
      <c r="C2894" s="51" t="s">
        <v>1060</v>
      </c>
      <c r="D2894" s="51" t="s">
        <v>1061</v>
      </c>
      <c r="E2894" s="51" t="s">
        <v>146</v>
      </c>
      <c r="F2894" s="51" t="s">
        <v>1062</v>
      </c>
      <c r="G2894" s="52" t="s">
        <v>910</v>
      </c>
      <c r="H2894" s="51" t="s">
        <v>1650</v>
      </c>
      <c r="I2894" s="51" t="s">
        <v>912</v>
      </c>
    </row>
    <row r="2895" customFormat="false" ht="25.5" hidden="false" customHeight="true" outlineLevel="0" collapsed="false">
      <c r="A2895" s="51" t="s">
        <v>1125</v>
      </c>
      <c r="B2895" s="51" t="s">
        <v>925</v>
      </c>
      <c r="C2895" s="51" t="s">
        <v>1063</v>
      </c>
      <c r="D2895" s="51" t="s">
        <v>972</v>
      </c>
      <c r="E2895" s="51" t="s">
        <v>146</v>
      </c>
      <c r="F2895" s="51" t="s">
        <v>1058</v>
      </c>
      <c r="G2895" s="52" t="s">
        <v>910</v>
      </c>
      <c r="H2895" s="51" t="s">
        <v>1650</v>
      </c>
      <c r="I2895" s="51" t="s">
        <v>912</v>
      </c>
    </row>
    <row r="2896" customFormat="false" ht="25.5" hidden="false" customHeight="true" outlineLevel="0" collapsed="false">
      <c r="A2896" s="51" t="s">
        <v>1125</v>
      </c>
      <c r="B2896" s="51" t="s">
        <v>925</v>
      </c>
      <c r="C2896" s="51" t="s">
        <v>1064</v>
      </c>
      <c r="D2896" s="51" t="s">
        <v>972</v>
      </c>
      <c r="E2896" s="51" t="s">
        <v>146</v>
      </c>
      <c r="F2896" s="51" t="s">
        <v>1065</v>
      </c>
      <c r="G2896" s="52" t="s">
        <v>910</v>
      </c>
      <c r="H2896" s="51" t="s">
        <v>1650</v>
      </c>
      <c r="I2896" s="51" t="s">
        <v>912</v>
      </c>
    </row>
    <row r="2897" customFormat="false" ht="25.5" hidden="false" customHeight="true" outlineLevel="0" collapsed="false">
      <c r="A2897" s="51" t="s">
        <v>1125</v>
      </c>
      <c r="B2897" s="51" t="s">
        <v>925</v>
      </c>
      <c r="C2897" s="51" t="s">
        <v>973</v>
      </c>
      <c r="D2897" s="51" t="s">
        <v>968</v>
      </c>
      <c r="E2897" s="51" t="s">
        <v>974</v>
      </c>
      <c r="F2897" s="51" t="s">
        <v>975</v>
      </c>
      <c r="G2897" s="52" t="s">
        <v>910</v>
      </c>
      <c r="H2897" s="51" t="s">
        <v>1650</v>
      </c>
      <c r="I2897" s="51" t="s">
        <v>912</v>
      </c>
    </row>
    <row r="2898" customFormat="false" ht="25.5" hidden="false" customHeight="true" outlineLevel="0" collapsed="false">
      <c r="A2898" s="51" t="s">
        <v>1125</v>
      </c>
      <c r="B2898" s="51" t="s">
        <v>925</v>
      </c>
      <c r="C2898" s="51" t="s">
        <v>1067</v>
      </c>
      <c r="D2898" s="51" t="s">
        <v>1068</v>
      </c>
      <c r="E2898" s="51" t="s">
        <v>1069</v>
      </c>
      <c r="F2898" s="51"/>
      <c r="G2898" s="52" t="s">
        <v>910</v>
      </c>
      <c r="H2898" s="51" t="s">
        <v>1650</v>
      </c>
      <c r="I2898" s="51" t="s">
        <v>912</v>
      </c>
    </row>
    <row r="2899" customFormat="false" ht="25.5" hidden="false" customHeight="true" outlineLevel="0" collapsed="false">
      <c r="A2899" s="49" t="s">
        <v>1125</v>
      </c>
      <c r="B2899" s="49" t="s">
        <v>925</v>
      </c>
      <c r="C2899" s="49" t="s">
        <v>926</v>
      </c>
      <c r="D2899" s="49"/>
      <c r="E2899" s="49" t="s">
        <v>882</v>
      </c>
      <c r="F2899" s="49" t="s">
        <v>927</v>
      </c>
      <c r="G2899" s="49" t="s">
        <v>772</v>
      </c>
      <c r="H2899" s="49" t="s">
        <v>1132</v>
      </c>
      <c r="I2899" s="49" t="s">
        <v>885</v>
      </c>
    </row>
    <row r="2900" customFormat="false" ht="25.5" hidden="false" customHeight="true" outlineLevel="0" collapsed="false">
      <c r="A2900" s="49" t="s">
        <v>1125</v>
      </c>
      <c r="B2900" s="49" t="s">
        <v>925</v>
      </c>
      <c r="C2900" s="49" t="s">
        <v>976</v>
      </c>
      <c r="D2900" s="49"/>
      <c r="E2900" s="49" t="s">
        <v>217</v>
      </c>
      <c r="F2900" s="49" t="s">
        <v>927</v>
      </c>
      <c r="G2900" s="49" t="s">
        <v>772</v>
      </c>
      <c r="H2900" s="49" t="s">
        <v>1132</v>
      </c>
      <c r="I2900" s="49" t="s">
        <v>885</v>
      </c>
    </row>
    <row r="2901" customFormat="false" ht="25.5" hidden="false" customHeight="true" outlineLevel="0" collapsed="false">
      <c r="A2901" s="51" t="s">
        <v>1125</v>
      </c>
      <c r="B2901" s="51" t="s">
        <v>925</v>
      </c>
      <c r="C2901" s="51" t="s">
        <v>1070</v>
      </c>
      <c r="D2901" s="51" t="s">
        <v>929</v>
      </c>
      <c r="E2901" s="51" t="s">
        <v>146</v>
      </c>
      <c r="F2901" s="51" t="s">
        <v>1071</v>
      </c>
      <c r="G2901" s="52" t="s">
        <v>910</v>
      </c>
      <c r="H2901" s="51" t="s">
        <v>1650</v>
      </c>
      <c r="I2901" s="51" t="s">
        <v>912</v>
      </c>
    </row>
    <row r="2902" customFormat="false" ht="25.5" hidden="false" customHeight="true" outlineLevel="0" collapsed="false">
      <c r="A2902" s="49" t="s">
        <v>1125</v>
      </c>
      <c r="B2902" s="49" t="s">
        <v>977</v>
      </c>
      <c r="C2902" s="49" t="s">
        <v>1546</v>
      </c>
      <c r="D2902" s="49" t="s">
        <v>1073</v>
      </c>
      <c r="E2902" s="49" t="s">
        <v>1547</v>
      </c>
      <c r="F2902" s="49" t="s">
        <v>1548</v>
      </c>
      <c r="G2902" s="49" t="s">
        <v>772</v>
      </c>
      <c r="H2902" s="49" t="s">
        <v>1132</v>
      </c>
      <c r="I2902" s="49" t="s">
        <v>885</v>
      </c>
    </row>
    <row r="2903" customFormat="false" ht="25.5" hidden="false" customHeight="true" outlineLevel="0" collapsed="false">
      <c r="A2903" s="51" t="s">
        <v>1125</v>
      </c>
      <c r="B2903" s="51" t="s">
        <v>977</v>
      </c>
      <c r="C2903" s="51" t="s">
        <v>1072</v>
      </c>
      <c r="D2903" s="51" t="s">
        <v>1073</v>
      </c>
      <c r="E2903" s="51" t="s">
        <v>146</v>
      </c>
      <c r="F2903" s="51"/>
      <c r="G2903" s="52" t="s">
        <v>910</v>
      </c>
      <c r="H2903" s="51" t="s">
        <v>1650</v>
      </c>
      <c r="I2903" s="51" t="s">
        <v>912</v>
      </c>
    </row>
    <row r="2904" customFormat="false" ht="25.5" hidden="false" customHeight="true" outlineLevel="0" collapsed="false">
      <c r="A2904" s="49" t="s">
        <v>1125</v>
      </c>
      <c r="B2904" s="49" t="s">
        <v>977</v>
      </c>
      <c r="C2904" s="49" t="s">
        <v>1549</v>
      </c>
      <c r="D2904" s="49" t="s">
        <v>1073</v>
      </c>
      <c r="E2904" s="49" t="s">
        <v>1533</v>
      </c>
      <c r="F2904" s="49" t="s">
        <v>1550</v>
      </c>
      <c r="G2904" s="49" t="s">
        <v>772</v>
      </c>
      <c r="H2904" s="49" t="s">
        <v>1132</v>
      </c>
      <c r="I2904" s="49" t="s">
        <v>885</v>
      </c>
    </row>
    <row r="2905" customFormat="false" ht="25.5" hidden="false" customHeight="true" outlineLevel="0" collapsed="false">
      <c r="A2905" s="51" t="s">
        <v>1125</v>
      </c>
      <c r="B2905" s="51" t="s">
        <v>977</v>
      </c>
      <c r="C2905" s="51" t="s">
        <v>1074</v>
      </c>
      <c r="D2905" s="51" t="s">
        <v>1075</v>
      </c>
      <c r="E2905" s="51" t="s">
        <v>1076</v>
      </c>
      <c r="F2905" s="51"/>
      <c r="G2905" s="52" t="s">
        <v>910</v>
      </c>
      <c r="H2905" s="51" t="s">
        <v>1650</v>
      </c>
      <c r="I2905" s="51" t="s">
        <v>912</v>
      </c>
    </row>
    <row r="2906" customFormat="false" ht="25.5" hidden="false" customHeight="true" outlineLevel="0" collapsed="false">
      <c r="A2906" s="51" t="s">
        <v>1125</v>
      </c>
      <c r="B2906" s="51" t="s">
        <v>977</v>
      </c>
      <c r="C2906" s="51" t="s">
        <v>979</v>
      </c>
      <c r="D2906" s="51" t="s">
        <v>980</v>
      </c>
      <c r="E2906" s="51" t="s">
        <v>981</v>
      </c>
      <c r="F2906" s="51" t="s">
        <v>982</v>
      </c>
      <c r="G2906" s="52" t="s">
        <v>910</v>
      </c>
      <c r="H2906" s="51" t="s">
        <v>1650</v>
      </c>
      <c r="I2906" s="51" t="s">
        <v>912</v>
      </c>
    </row>
    <row r="2907" customFormat="false" ht="25.5" hidden="false" customHeight="true" outlineLevel="0" collapsed="false">
      <c r="A2907" s="51" t="s">
        <v>1125</v>
      </c>
      <c r="B2907" s="51" t="s">
        <v>977</v>
      </c>
      <c r="C2907" s="51" t="s">
        <v>1077</v>
      </c>
      <c r="D2907" s="51" t="s">
        <v>980</v>
      </c>
      <c r="E2907" s="51" t="s">
        <v>1078</v>
      </c>
      <c r="F2907" s="51"/>
      <c r="G2907" s="52" t="s">
        <v>910</v>
      </c>
      <c r="H2907" s="51" t="s">
        <v>1650</v>
      </c>
      <c r="I2907" s="51" t="s">
        <v>912</v>
      </c>
    </row>
    <row r="2908" customFormat="false" ht="25.5" hidden="false" customHeight="true" outlineLevel="0" collapsed="false">
      <c r="A2908" s="51" t="s">
        <v>1125</v>
      </c>
      <c r="B2908" s="51" t="s">
        <v>977</v>
      </c>
      <c r="C2908" s="51" t="s">
        <v>1079</v>
      </c>
      <c r="D2908" s="51" t="s">
        <v>1073</v>
      </c>
      <c r="E2908" s="51" t="s">
        <v>1080</v>
      </c>
      <c r="F2908" s="51"/>
      <c r="G2908" s="52" t="s">
        <v>910</v>
      </c>
      <c r="H2908" s="51" t="s">
        <v>1650</v>
      </c>
      <c r="I2908" s="51" t="s">
        <v>912</v>
      </c>
    </row>
    <row r="2909" customFormat="false" ht="25.5" hidden="false" customHeight="true" outlineLevel="0" collapsed="false">
      <c r="A2909" s="51" t="s">
        <v>1125</v>
      </c>
      <c r="B2909" s="51" t="s">
        <v>977</v>
      </c>
      <c r="C2909" s="51" t="s">
        <v>1081</v>
      </c>
      <c r="D2909" s="51" t="s">
        <v>1073</v>
      </c>
      <c r="E2909" s="51" t="s">
        <v>1082</v>
      </c>
      <c r="F2909" s="51" t="s">
        <v>1083</v>
      </c>
      <c r="G2909" s="52" t="s">
        <v>910</v>
      </c>
      <c r="H2909" s="51" t="s">
        <v>1650</v>
      </c>
      <c r="I2909" s="51" t="s">
        <v>912</v>
      </c>
    </row>
    <row r="2910" customFormat="false" ht="25.5" hidden="false" customHeight="true" outlineLevel="0" collapsed="false">
      <c r="A2910" s="51" t="s">
        <v>1125</v>
      </c>
      <c r="B2910" s="51" t="s">
        <v>977</v>
      </c>
      <c r="C2910" s="51" t="s">
        <v>1084</v>
      </c>
      <c r="D2910" s="51" t="s">
        <v>1073</v>
      </c>
      <c r="E2910" s="51" t="s">
        <v>1085</v>
      </c>
      <c r="F2910" s="51"/>
      <c r="G2910" s="52" t="s">
        <v>910</v>
      </c>
      <c r="H2910" s="51" t="s">
        <v>1650</v>
      </c>
      <c r="I2910" s="51" t="s">
        <v>912</v>
      </c>
    </row>
    <row r="2911" customFormat="false" ht="25.5" hidden="false" customHeight="true" outlineLevel="0" collapsed="false">
      <c r="A2911" s="49" t="s">
        <v>1125</v>
      </c>
      <c r="B2911" s="49" t="s">
        <v>932</v>
      </c>
      <c r="C2911" s="49" t="s">
        <v>933</v>
      </c>
      <c r="D2911" s="49"/>
      <c r="E2911" s="49" t="s">
        <v>882</v>
      </c>
      <c r="F2911" s="49" t="s">
        <v>934</v>
      </c>
      <c r="G2911" s="49" t="s">
        <v>772</v>
      </c>
      <c r="H2911" s="49" t="s">
        <v>1132</v>
      </c>
      <c r="I2911" s="49" t="s">
        <v>885</v>
      </c>
    </row>
    <row r="2912" customFormat="false" ht="25.5" hidden="false" customHeight="true" outlineLevel="0" collapsed="false">
      <c r="A2912" s="49" t="s">
        <v>1125</v>
      </c>
      <c r="B2912" s="49" t="s">
        <v>932</v>
      </c>
      <c r="C2912" s="49" t="s">
        <v>1552</v>
      </c>
      <c r="D2912" s="49"/>
      <c r="E2912" s="49" t="s">
        <v>1553</v>
      </c>
      <c r="F2912" s="49" t="s">
        <v>1554</v>
      </c>
      <c r="G2912" s="49" t="s">
        <v>772</v>
      </c>
      <c r="H2912" s="49" t="s">
        <v>1132</v>
      </c>
      <c r="I2912" s="49" t="s">
        <v>885</v>
      </c>
    </row>
    <row r="2913" customFormat="false" ht="25.5" hidden="false" customHeight="true" outlineLevel="0" collapsed="false">
      <c r="A2913" s="49" t="s">
        <v>1125</v>
      </c>
      <c r="B2913" s="49" t="s">
        <v>932</v>
      </c>
      <c r="C2913" s="49" t="s">
        <v>1555</v>
      </c>
      <c r="D2913" s="49" t="s">
        <v>1090</v>
      </c>
      <c r="E2913" s="49" t="s">
        <v>1186</v>
      </c>
      <c r="F2913" s="49" t="s">
        <v>1556</v>
      </c>
      <c r="G2913" s="49" t="s">
        <v>772</v>
      </c>
      <c r="H2913" s="49" t="s">
        <v>1132</v>
      </c>
      <c r="I2913" s="49" t="s">
        <v>885</v>
      </c>
    </row>
    <row r="2914" customFormat="false" ht="25.5" hidden="false" customHeight="true" outlineLevel="0" collapsed="false">
      <c r="A2914" s="51" t="s">
        <v>1125</v>
      </c>
      <c r="B2914" s="51" t="s">
        <v>932</v>
      </c>
      <c r="C2914" s="51" t="s">
        <v>984</v>
      </c>
      <c r="D2914" s="51" t="s">
        <v>936</v>
      </c>
      <c r="E2914" s="51" t="s">
        <v>985</v>
      </c>
      <c r="F2914" s="51" t="s">
        <v>986</v>
      </c>
      <c r="G2914" s="52" t="s">
        <v>910</v>
      </c>
      <c r="H2914" s="51" t="s">
        <v>1650</v>
      </c>
      <c r="I2914" s="51" t="s">
        <v>912</v>
      </c>
    </row>
    <row r="2915" customFormat="false" ht="25.5" hidden="false" customHeight="true" outlineLevel="0" collapsed="false">
      <c r="A2915" s="51" t="s">
        <v>1125</v>
      </c>
      <c r="B2915" s="51" t="s">
        <v>932</v>
      </c>
      <c r="C2915" s="51" t="s">
        <v>1086</v>
      </c>
      <c r="D2915" s="51" t="s">
        <v>929</v>
      </c>
      <c r="E2915" s="51" t="s">
        <v>1087</v>
      </c>
      <c r="F2915" s="51" t="s">
        <v>1088</v>
      </c>
      <c r="G2915" s="52" t="s">
        <v>910</v>
      </c>
      <c r="H2915" s="51" t="s">
        <v>1650</v>
      </c>
      <c r="I2915" s="51" t="s">
        <v>912</v>
      </c>
    </row>
    <row r="2916" customFormat="false" ht="25.5" hidden="false" customHeight="true" outlineLevel="0" collapsed="false">
      <c r="A2916" s="51" t="s">
        <v>1125</v>
      </c>
      <c r="B2916" s="51" t="s">
        <v>932</v>
      </c>
      <c r="C2916" s="51" t="s">
        <v>1089</v>
      </c>
      <c r="D2916" s="51" t="s">
        <v>1090</v>
      </c>
      <c r="E2916" s="51" t="s">
        <v>1091</v>
      </c>
      <c r="F2916" s="51" t="s">
        <v>1092</v>
      </c>
      <c r="G2916" s="52" t="s">
        <v>910</v>
      </c>
      <c r="H2916" s="51" t="s">
        <v>1650</v>
      </c>
      <c r="I2916" s="51" t="s">
        <v>912</v>
      </c>
    </row>
    <row r="2917" customFormat="false" ht="25.5" hidden="false" customHeight="true" outlineLevel="0" collapsed="false">
      <c r="A2917" s="51" t="s">
        <v>1125</v>
      </c>
      <c r="B2917" s="51" t="s">
        <v>932</v>
      </c>
      <c r="C2917" s="51" t="s">
        <v>1093</v>
      </c>
      <c r="D2917" s="51" t="s">
        <v>936</v>
      </c>
      <c r="E2917" s="51" t="s">
        <v>146</v>
      </c>
      <c r="F2917" s="51" t="s">
        <v>1094</v>
      </c>
      <c r="G2917" s="52" t="s">
        <v>910</v>
      </c>
      <c r="H2917" s="51" t="s">
        <v>1650</v>
      </c>
      <c r="I2917" s="51" t="s">
        <v>912</v>
      </c>
    </row>
    <row r="2918" customFormat="false" ht="25.5" hidden="false" customHeight="true" outlineLevel="0" collapsed="false">
      <c r="A2918" s="49" t="s">
        <v>1125</v>
      </c>
      <c r="B2918" s="49" t="s">
        <v>932</v>
      </c>
      <c r="C2918" s="49" t="s">
        <v>935</v>
      </c>
      <c r="D2918" s="49" t="s">
        <v>936</v>
      </c>
      <c r="E2918" s="49" t="s">
        <v>882</v>
      </c>
      <c r="F2918" s="49" t="s">
        <v>937</v>
      </c>
      <c r="G2918" s="49" t="s">
        <v>772</v>
      </c>
      <c r="H2918" s="49" t="s">
        <v>1132</v>
      </c>
      <c r="I2918" s="49" t="s">
        <v>885</v>
      </c>
    </row>
    <row r="2919" customFormat="false" ht="25.5" hidden="false" customHeight="true" outlineLevel="0" collapsed="false">
      <c r="A2919" s="51" t="s">
        <v>1125</v>
      </c>
      <c r="B2919" s="51" t="s">
        <v>932</v>
      </c>
      <c r="C2919" s="51" t="s">
        <v>938</v>
      </c>
      <c r="D2919" s="51"/>
      <c r="E2919" s="51" t="s">
        <v>893</v>
      </c>
      <c r="F2919" s="51"/>
      <c r="G2919" s="52" t="s">
        <v>910</v>
      </c>
      <c r="H2919" s="51" t="s">
        <v>1503</v>
      </c>
      <c r="I2919" s="51" t="s">
        <v>912</v>
      </c>
    </row>
    <row r="2920" customFormat="false" ht="25.5" hidden="false" customHeight="true" outlineLevel="0" collapsed="false">
      <c r="A2920" s="51" t="s">
        <v>1125</v>
      </c>
      <c r="B2920" s="51" t="s">
        <v>932</v>
      </c>
      <c r="C2920" s="51" t="s">
        <v>1095</v>
      </c>
      <c r="D2920" s="51"/>
      <c r="E2920" s="51" t="s">
        <v>146</v>
      </c>
      <c r="F2920" s="51"/>
      <c r="G2920" s="52" t="s">
        <v>910</v>
      </c>
      <c r="H2920" s="51" t="s">
        <v>1650</v>
      </c>
      <c r="I2920" s="51" t="s">
        <v>912</v>
      </c>
    </row>
    <row r="2921" customFormat="false" ht="25.5" hidden="false" customHeight="true" outlineLevel="0" collapsed="false">
      <c r="A2921" s="51" t="s">
        <v>1125</v>
      </c>
      <c r="B2921" s="51" t="s">
        <v>932</v>
      </c>
      <c r="C2921" s="51" t="s">
        <v>1096</v>
      </c>
      <c r="D2921" s="51" t="s">
        <v>936</v>
      </c>
      <c r="E2921" s="51" t="s">
        <v>1097</v>
      </c>
      <c r="F2921" s="51" t="s">
        <v>1098</v>
      </c>
      <c r="G2921" s="52" t="s">
        <v>910</v>
      </c>
      <c r="H2921" s="51" t="s">
        <v>1650</v>
      </c>
      <c r="I2921" s="51" t="s">
        <v>912</v>
      </c>
    </row>
    <row r="2922" customFormat="false" ht="25.5" hidden="false" customHeight="true" outlineLevel="0" collapsed="false">
      <c r="A2922" s="51" t="s">
        <v>1125</v>
      </c>
      <c r="B2922" s="51" t="s">
        <v>939</v>
      </c>
      <c r="C2922" s="51" t="s">
        <v>940</v>
      </c>
      <c r="D2922" s="51"/>
      <c r="E2922" s="51" t="s">
        <v>893</v>
      </c>
      <c r="F2922" s="51" t="s">
        <v>941</v>
      </c>
      <c r="G2922" s="52" t="s">
        <v>910</v>
      </c>
      <c r="H2922" s="51" t="s">
        <v>1503</v>
      </c>
      <c r="I2922" s="51" t="s">
        <v>912</v>
      </c>
    </row>
    <row r="2923" customFormat="false" ht="25.5" hidden="false" customHeight="true" outlineLevel="0" collapsed="false">
      <c r="A2923" s="51" t="s">
        <v>1125</v>
      </c>
      <c r="B2923" s="51" t="s">
        <v>939</v>
      </c>
      <c r="C2923" s="51" t="s">
        <v>1099</v>
      </c>
      <c r="D2923" s="51" t="s">
        <v>1100</v>
      </c>
      <c r="E2923" s="51" t="s">
        <v>1101</v>
      </c>
      <c r="F2923" s="51" t="s">
        <v>993</v>
      </c>
      <c r="G2923" s="52" t="s">
        <v>910</v>
      </c>
      <c r="H2923" s="51" t="s">
        <v>1650</v>
      </c>
      <c r="I2923" s="51" t="s">
        <v>912</v>
      </c>
    </row>
    <row r="2924" customFormat="false" ht="25.5" hidden="false" customHeight="true" outlineLevel="0" collapsed="false">
      <c r="A2924" s="49" t="s">
        <v>1125</v>
      </c>
      <c r="B2924" s="49" t="s">
        <v>939</v>
      </c>
      <c r="C2924" s="49" t="s">
        <v>1557</v>
      </c>
      <c r="D2924" s="49" t="s">
        <v>988</v>
      </c>
      <c r="E2924" s="49" t="s">
        <v>1186</v>
      </c>
      <c r="F2924" s="49" t="s">
        <v>993</v>
      </c>
      <c r="G2924" s="49" t="s">
        <v>772</v>
      </c>
      <c r="H2924" s="49" t="s">
        <v>1132</v>
      </c>
      <c r="I2924" s="49" t="s">
        <v>885</v>
      </c>
    </row>
    <row r="2925" customFormat="false" ht="25.5" hidden="false" customHeight="true" outlineLevel="0" collapsed="false">
      <c r="A2925" s="49" t="s">
        <v>1125</v>
      </c>
      <c r="B2925" s="49" t="s">
        <v>939</v>
      </c>
      <c r="C2925" s="49" t="s">
        <v>987</v>
      </c>
      <c r="D2925" s="49" t="s">
        <v>988</v>
      </c>
      <c r="E2925" s="49" t="s">
        <v>217</v>
      </c>
      <c r="F2925" s="49" t="s">
        <v>989</v>
      </c>
      <c r="G2925" s="49" t="s">
        <v>772</v>
      </c>
      <c r="H2925" s="49" t="s">
        <v>1132</v>
      </c>
      <c r="I2925" s="49" t="s">
        <v>885</v>
      </c>
    </row>
    <row r="2926" customFormat="false" ht="25.5" hidden="false" customHeight="true" outlineLevel="0" collapsed="false">
      <c r="A2926" s="51" t="s">
        <v>1125</v>
      </c>
      <c r="B2926" s="51" t="s">
        <v>939</v>
      </c>
      <c r="C2926" s="51" t="s">
        <v>1102</v>
      </c>
      <c r="D2926" s="51" t="s">
        <v>988</v>
      </c>
      <c r="E2926" s="51" t="s">
        <v>146</v>
      </c>
      <c r="F2926" s="51" t="s">
        <v>993</v>
      </c>
      <c r="G2926" s="52" t="s">
        <v>910</v>
      </c>
      <c r="H2926" s="51" t="s">
        <v>1650</v>
      </c>
      <c r="I2926" s="51" t="s">
        <v>912</v>
      </c>
    </row>
    <row r="2927" customFormat="false" ht="25.5" hidden="false" customHeight="true" outlineLevel="0" collapsed="false">
      <c r="A2927" s="51" t="s">
        <v>1125</v>
      </c>
      <c r="B2927" s="51" t="s">
        <v>939</v>
      </c>
      <c r="C2927" s="51" t="s">
        <v>1103</v>
      </c>
      <c r="D2927" s="51" t="s">
        <v>1100</v>
      </c>
      <c r="E2927" s="51" t="s">
        <v>146</v>
      </c>
      <c r="F2927" s="51" t="s">
        <v>993</v>
      </c>
      <c r="G2927" s="52" t="s">
        <v>910</v>
      </c>
      <c r="H2927" s="51" t="s">
        <v>1650</v>
      </c>
      <c r="I2927" s="51" t="s">
        <v>912</v>
      </c>
    </row>
    <row r="2928" customFormat="false" ht="25.5" hidden="false" customHeight="true" outlineLevel="0" collapsed="false">
      <c r="A2928" s="49" t="s">
        <v>1125</v>
      </c>
      <c r="B2928" s="49" t="s">
        <v>939</v>
      </c>
      <c r="C2928" s="49" t="s">
        <v>1558</v>
      </c>
      <c r="D2928" s="49" t="s">
        <v>1559</v>
      </c>
      <c r="E2928" s="49" t="s">
        <v>1533</v>
      </c>
      <c r="F2928" s="49" t="s">
        <v>1560</v>
      </c>
      <c r="G2928" s="49" t="s">
        <v>772</v>
      </c>
      <c r="H2928" s="49" t="s">
        <v>1132</v>
      </c>
      <c r="I2928" s="49" t="s">
        <v>885</v>
      </c>
    </row>
    <row r="2929" customFormat="false" ht="25.5" hidden="false" customHeight="true" outlineLevel="0" collapsed="false">
      <c r="A2929" s="49" t="s">
        <v>1125</v>
      </c>
      <c r="B2929" s="49" t="s">
        <v>939</v>
      </c>
      <c r="C2929" s="49" t="s">
        <v>1109</v>
      </c>
      <c r="D2929" s="49" t="s">
        <v>1110</v>
      </c>
      <c r="E2929" s="49" t="s">
        <v>1111</v>
      </c>
      <c r="F2929" s="49" t="s">
        <v>941</v>
      </c>
      <c r="G2929" s="49" t="s">
        <v>772</v>
      </c>
      <c r="H2929" s="49" t="s">
        <v>1132</v>
      </c>
      <c r="I2929" s="49" t="s">
        <v>885</v>
      </c>
    </row>
    <row r="2930" customFormat="false" ht="25.5" hidden="false" customHeight="true" outlineLevel="0" collapsed="false">
      <c r="A2930" s="49" t="s">
        <v>1125</v>
      </c>
      <c r="B2930" s="49" t="s">
        <v>939</v>
      </c>
      <c r="C2930" s="49" t="s">
        <v>1561</v>
      </c>
      <c r="D2930" s="49" t="s">
        <v>1110</v>
      </c>
      <c r="E2930" s="49" t="s">
        <v>1186</v>
      </c>
      <c r="F2930" s="49" t="s">
        <v>993</v>
      </c>
      <c r="G2930" s="49" t="s">
        <v>772</v>
      </c>
      <c r="H2930" s="49" t="s">
        <v>1132</v>
      </c>
      <c r="I2930" s="49" t="s">
        <v>885</v>
      </c>
    </row>
    <row r="2931" customFormat="false" ht="25.5" hidden="false" customHeight="true" outlineLevel="0" collapsed="false">
      <c r="A2931" s="49" t="s">
        <v>1125</v>
      </c>
      <c r="B2931" s="49" t="s">
        <v>939</v>
      </c>
      <c r="C2931" s="49" t="s">
        <v>990</v>
      </c>
      <c r="D2931" s="49" t="s">
        <v>991</v>
      </c>
      <c r="E2931" s="49" t="s">
        <v>992</v>
      </c>
      <c r="F2931" s="49" t="s">
        <v>993</v>
      </c>
      <c r="G2931" s="49" t="s">
        <v>772</v>
      </c>
      <c r="H2931" s="49" t="s">
        <v>1132</v>
      </c>
      <c r="I2931" s="49" t="s">
        <v>885</v>
      </c>
    </row>
    <row r="2932" customFormat="false" ht="25.5" hidden="false" customHeight="true" outlineLevel="0" collapsed="false">
      <c r="A2932" s="49" t="s">
        <v>1125</v>
      </c>
      <c r="B2932" s="49" t="s">
        <v>939</v>
      </c>
      <c r="C2932" s="49" t="s">
        <v>1112</v>
      </c>
      <c r="D2932" s="49" t="s">
        <v>991</v>
      </c>
      <c r="E2932" s="49" t="s">
        <v>1113</v>
      </c>
      <c r="F2932" s="49" t="s">
        <v>941</v>
      </c>
      <c r="G2932" s="49" t="s">
        <v>772</v>
      </c>
      <c r="H2932" s="49" t="s">
        <v>1132</v>
      </c>
      <c r="I2932" s="49" t="s">
        <v>885</v>
      </c>
    </row>
    <row r="2933" customFormat="false" ht="25.5" hidden="false" customHeight="true" outlineLevel="0" collapsed="false">
      <c r="A2933" s="49" t="s">
        <v>1125</v>
      </c>
      <c r="B2933" s="49" t="s">
        <v>1341</v>
      </c>
      <c r="C2933" s="49" t="s">
        <v>1376</v>
      </c>
      <c r="D2933" s="49" t="s">
        <v>1208</v>
      </c>
      <c r="E2933" s="49" t="s">
        <v>1377</v>
      </c>
      <c r="F2933" s="49" t="s">
        <v>1378</v>
      </c>
      <c r="G2933" s="49" t="s">
        <v>772</v>
      </c>
      <c r="H2933" s="49" t="s">
        <v>1132</v>
      </c>
      <c r="I2933" s="49" t="s">
        <v>885</v>
      </c>
    </row>
    <row r="2934" customFormat="false" ht="25.5" hidden="false" customHeight="true" outlineLevel="0" collapsed="false">
      <c r="A2934" s="49" t="s">
        <v>1125</v>
      </c>
      <c r="B2934" s="49" t="s">
        <v>1341</v>
      </c>
      <c r="C2934" s="49" t="s">
        <v>1379</v>
      </c>
      <c r="D2934" s="49" t="s">
        <v>1199</v>
      </c>
      <c r="E2934" s="49" t="s">
        <v>1183</v>
      </c>
      <c r="F2934" s="49" t="s">
        <v>1380</v>
      </c>
      <c r="G2934" s="49" t="s">
        <v>772</v>
      </c>
      <c r="H2934" s="49" t="s">
        <v>1132</v>
      </c>
      <c r="I2934" s="49" t="s">
        <v>885</v>
      </c>
    </row>
    <row r="2935" customFormat="false" ht="25.5" hidden="false" customHeight="true" outlineLevel="0" collapsed="false">
      <c r="A2935" s="49" t="s">
        <v>1125</v>
      </c>
      <c r="B2935" s="49" t="s">
        <v>1341</v>
      </c>
      <c r="C2935" s="49" t="s">
        <v>1381</v>
      </c>
      <c r="D2935" s="49" t="s">
        <v>1162</v>
      </c>
      <c r="E2935" s="49" t="s">
        <v>1382</v>
      </c>
      <c r="F2935" s="49" t="s">
        <v>1383</v>
      </c>
      <c r="G2935" s="49" t="s">
        <v>772</v>
      </c>
      <c r="H2935" s="49" t="s">
        <v>1132</v>
      </c>
      <c r="I2935" s="49" t="s">
        <v>885</v>
      </c>
    </row>
    <row r="2936" customFormat="false" ht="25.5" hidden="false" customHeight="true" outlineLevel="0" collapsed="false">
      <c r="A2936" s="49" t="s">
        <v>1125</v>
      </c>
      <c r="B2936" s="49" t="s">
        <v>1341</v>
      </c>
      <c r="C2936" s="49" t="s">
        <v>1384</v>
      </c>
      <c r="D2936" s="49" t="s">
        <v>1292</v>
      </c>
      <c r="E2936" s="49" t="s">
        <v>1189</v>
      </c>
      <c r="F2936" s="49" t="s">
        <v>1385</v>
      </c>
      <c r="G2936" s="49" t="s">
        <v>772</v>
      </c>
      <c r="H2936" s="49" t="s">
        <v>1132</v>
      </c>
      <c r="I2936" s="49" t="s">
        <v>885</v>
      </c>
    </row>
    <row r="2937" customFormat="false" ht="25.5" hidden="false" customHeight="true" outlineLevel="0" collapsed="false">
      <c r="A2937" s="49" t="s">
        <v>1125</v>
      </c>
      <c r="B2937" s="49" t="s">
        <v>1341</v>
      </c>
      <c r="C2937" s="49" t="s">
        <v>1386</v>
      </c>
      <c r="D2937" s="49" t="s">
        <v>1156</v>
      </c>
      <c r="E2937" s="49" t="s">
        <v>1183</v>
      </c>
      <c r="F2937" s="49" t="s">
        <v>1387</v>
      </c>
      <c r="G2937" s="49" t="s">
        <v>772</v>
      </c>
      <c r="H2937" s="49" t="s">
        <v>1132</v>
      </c>
      <c r="I2937" s="49" t="s">
        <v>885</v>
      </c>
    </row>
    <row r="2938" customFormat="false" ht="25.5" hidden="false" customHeight="true" outlineLevel="0" collapsed="false">
      <c r="A2938" s="49" t="s">
        <v>1125</v>
      </c>
      <c r="B2938" s="49" t="s">
        <v>1341</v>
      </c>
      <c r="C2938" s="49" t="s">
        <v>1388</v>
      </c>
      <c r="D2938" s="49" t="s">
        <v>1162</v>
      </c>
      <c r="E2938" s="49" t="s">
        <v>1163</v>
      </c>
      <c r="F2938" s="49" t="s">
        <v>1389</v>
      </c>
      <c r="G2938" s="49" t="s">
        <v>772</v>
      </c>
      <c r="H2938" s="49" t="s">
        <v>1132</v>
      </c>
      <c r="I2938" s="49" t="s">
        <v>885</v>
      </c>
    </row>
    <row r="2939" customFormat="false" ht="25.5" hidden="false" customHeight="true" outlineLevel="0" collapsed="false">
      <c r="A2939" s="49" t="s">
        <v>1125</v>
      </c>
      <c r="B2939" s="49" t="s">
        <v>1341</v>
      </c>
      <c r="C2939" s="49" t="s">
        <v>1390</v>
      </c>
      <c r="D2939" s="49" t="s">
        <v>1162</v>
      </c>
      <c r="E2939" s="49" t="s">
        <v>1163</v>
      </c>
      <c r="F2939" s="49" t="s">
        <v>1391</v>
      </c>
      <c r="G2939" s="49" t="s">
        <v>772</v>
      </c>
      <c r="H2939" s="49" t="s">
        <v>1132</v>
      </c>
      <c r="I2939" s="49" t="s">
        <v>885</v>
      </c>
    </row>
    <row r="2940" customFormat="false" ht="25.5" hidden="false" customHeight="true" outlineLevel="0" collapsed="false">
      <c r="A2940" s="49" t="s">
        <v>1125</v>
      </c>
      <c r="B2940" s="49" t="s">
        <v>1341</v>
      </c>
      <c r="C2940" s="49" t="s">
        <v>1392</v>
      </c>
      <c r="D2940" s="49" t="s">
        <v>1162</v>
      </c>
      <c r="E2940" s="49" t="s">
        <v>1163</v>
      </c>
      <c r="F2940" s="49" t="s">
        <v>952</v>
      </c>
      <c r="G2940" s="49" t="s">
        <v>772</v>
      </c>
      <c r="H2940" s="49" t="s">
        <v>1132</v>
      </c>
      <c r="I2940" s="49" t="s">
        <v>885</v>
      </c>
    </row>
    <row r="2941" customFormat="false" ht="25.5" hidden="false" customHeight="true" outlineLevel="0" collapsed="false">
      <c r="A2941" s="49" t="s">
        <v>1125</v>
      </c>
      <c r="B2941" s="49" t="s">
        <v>1341</v>
      </c>
      <c r="C2941" s="49" t="s">
        <v>1372</v>
      </c>
      <c r="D2941" s="49" t="s">
        <v>1199</v>
      </c>
      <c r="E2941" s="49" t="s">
        <v>217</v>
      </c>
      <c r="F2941" s="49" t="s">
        <v>1393</v>
      </c>
      <c r="G2941" s="49" t="s">
        <v>772</v>
      </c>
      <c r="H2941" s="49" t="s">
        <v>1132</v>
      </c>
      <c r="I2941" s="49" t="s">
        <v>885</v>
      </c>
    </row>
    <row r="2942" customFormat="false" ht="25.5" hidden="false" customHeight="true" outlineLevel="0" collapsed="false">
      <c r="A2942" s="49" t="s">
        <v>1125</v>
      </c>
      <c r="B2942" s="49" t="s">
        <v>1341</v>
      </c>
      <c r="C2942" s="49" t="s">
        <v>1394</v>
      </c>
      <c r="D2942" s="49" t="s">
        <v>1129</v>
      </c>
      <c r="E2942" s="49" t="s">
        <v>1395</v>
      </c>
      <c r="F2942" s="49" t="s">
        <v>1396</v>
      </c>
      <c r="G2942" s="49" t="s">
        <v>772</v>
      </c>
      <c r="H2942" s="49" t="s">
        <v>1132</v>
      </c>
      <c r="I2942" s="49" t="s">
        <v>885</v>
      </c>
    </row>
    <row r="2943" customFormat="false" ht="25.5" hidden="false" customHeight="true" outlineLevel="0" collapsed="false">
      <c r="A2943" s="49" t="s">
        <v>1125</v>
      </c>
      <c r="B2943" s="49" t="s">
        <v>1341</v>
      </c>
      <c r="C2943" s="49" t="s">
        <v>1397</v>
      </c>
      <c r="D2943" s="49" t="s">
        <v>1148</v>
      </c>
      <c r="E2943" s="49" t="s">
        <v>1395</v>
      </c>
      <c r="F2943" s="49" t="s">
        <v>1398</v>
      </c>
      <c r="G2943" s="49" t="s">
        <v>772</v>
      </c>
      <c r="H2943" s="49" t="s">
        <v>1132</v>
      </c>
      <c r="I2943" s="49" t="s">
        <v>885</v>
      </c>
    </row>
    <row r="2944" customFormat="false" ht="25.5" hidden="false" customHeight="true" outlineLevel="0" collapsed="false">
      <c r="A2944" s="49" t="s">
        <v>1125</v>
      </c>
      <c r="B2944" s="49" t="s">
        <v>1341</v>
      </c>
      <c r="C2944" s="49" t="s">
        <v>1399</v>
      </c>
      <c r="D2944" s="49" t="s">
        <v>1199</v>
      </c>
      <c r="E2944" s="49" t="s">
        <v>217</v>
      </c>
      <c r="F2944" s="49" t="s">
        <v>1400</v>
      </c>
      <c r="G2944" s="49" t="s">
        <v>772</v>
      </c>
      <c r="H2944" s="49" t="s">
        <v>1132</v>
      </c>
      <c r="I2944" s="49" t="s">
        <v>885</v>
      </c>
    </row>
    <row r="2945" customFormat="false" ht="25.5" hidden="false" customHeight="true" outlineLevel="0" collapsed="false">
      <c r="A2945" s="56" t="s">
        <v>1125</v>
      </c>
      <c r="B2945" s="56" t="s">
        <v>1341</v>
      </c>
      <c r="C2945" s="56" t="s">
        <v>1651</v>
      </c>
      <c r="D2945" s="56" t="s">
        <v>1148</v>
      </c>
      <c r="E2945" s="56" t="s">
        <v>1289</v>
      </c>
      <c r="F2945" s="56"/>
      <c r="G2945" s="56" t="s">
        <v>776</v>
      </c>
      <c r="H2945" s="56" t="s">
        <v>1652</v>
      </c>
      <c r="I2945" s="56" t="s">
        <v>1653</v>
      </c>
    </row>
    <row r="2946" customFormat="false" ht="25.5" hidden="false" customHeight="true" outlineLevel="0" collapsed="false">
      <c r="A2946" s="49" t="s">
        <v>1125</v>
      </c>
      <c r="B2946" s="49" t="s">
        <v>1341</v>
      </c>
      <c r="C2946" s="49" t="s">
        <v>1401</v>
      </c>
      <c r="D2946" s="49" t="s">
        <v>1199</v>
      </c>
      <c r="E2946" s="49" t="s">
        <v>146</v>
      </c>
      <c r="F2946" s="49" t="s">
        <v>1402</v>
      </c>
      <c r="G2946" s="49" t="s">
        <v>772</v>
      </c>
      <c r="H2946" s="49" t="s">
        <v>1132</v>
      </c>
      <c r="I2946" s="49" t="s">
        <v>885</v>
      </c>
    </row>
    <row r="2947" customFormat="false" ht="25.5" hidden="false" customHeight="true" outlineLevel="0" collapsed="false">
      <c r="A2947" s="49" t="s">
        <v>1125</v>
      </c>
      <c r="B2947" s="49" t="s">
        <v>1403</v>
      </c>
      <c r="C2947" s="49" t="s">
        <v>1171</v>
      </c>
      <c r="D2947" s="49" t="s">
        <v>1172</v>
      </c>
      <c r="E2947" s="49" t="s">
        <v>1173</v>
      </c>
      <c r="F2947" s="49" t="s">
        <v>1174</v>
      </c>
      <c r="G2947" s="49" t="s">
        <v>772</v>
      </c>
      <c r="H2947" s="49" t="s">
        <v>1132</v>
      </c>
      <c r="I2947" s="49" t="s">
        <v>885</v>
      </c>
    </row>
    <row r="2948" customFormat="false" ht="25.5" hidden="false" customHeight="true" outlineLevel="0" collapsed="false">
      <c r="A2948" s="49" t="s">
        <v>1125</v>
      </c>
      <c r="B2948" s="49" t="s">
        <v>1403</v>
      </c>
      <c r="C2948" s="49" t="s">
        <v>1404</v>
      </c>
      <c r="D2948" s="49" t="s">
        <v>1151</v>
      </c>
      <c r="E2948" s="49" t="s">
        <v>1405</v>
      </c>
      <c r="F2948" s="49" t="s">
        <v>1406</v>
      </c>
      <c r="G2948" s="49" t="s">
        <v>772</v>
      </c>
      <c r="H2948" s="49" t="s">
        <v>1132</v>
      </c>
      <c r="I2948" s="49" t="s">
        <v>885</v>
      </c>
    </row>
    <row r="2949" customFormat="false" ht="25.5" hidden="false" customHeight="true" outlineLevel="0" collapsed="false">
      <c r="A2949" s="49" t="s">
        <v>1125</v>
      </c>
      <c r="B2949" s="49" t="s">
        <v>1403</v>
      </c>
      <c r="C2949" s="49" t="s">
        <v>1407</v>
      </c>
      <c r="D2949" s="49" t="s">
        <v>1141</v>
      </c>
      <c r="E2949" s="49" t="s">
        <v>1183</v>
      </c>
      <c r="F2949" s="49" t="s">
        <v>1408</v>
      </c>
      <c r="G2949" s="49" t="s">
        <v>772</v>
      </c>
      <c r="H2949" s="49" t="s">
        <v>1132</v>
      </c>
      <c r="I2949" s="49" t="s">
        <v>885</v>
      </c>
    </row>
    <row r="2950" customFormat="false" ht="25.5" hidden="false" customHeight="true" outlineLevel="0" collapsed="false">
      <c r="A2950" s="49" t="s">
        <v>1125</v>
      </c>
      <c r="B2950" s="49" t="s">
        <v>1403</v>
      </c>
      <c r="C2950" s="49" t="s">
        <v>1409</v>
      </c>
      <c r="D2950" s="49" t="s">
        <v>1208</v>
      </c>
      <c r="E2950" s="49" t="s">
        <v>1410</v>
      </c>
      <c r="F2950" s="49" t="s">
        <v>1411</v>
      </c>
      <c r="G2950" s="49" t="s">
        <v>772</v>
      </c>
      <c r="H2950" s="49" t="s">
        <v>1132</v>
      </c>
      <c r="I2950" s="49" t="s">
        <v>885</v>
      </c>
    </row>
    <row r="2951" customFormat="false" ht="25.5" hidden="false" customHeight="true" outlineLevel="0" collapsed="false">
      <c r="A2951" s="49" t="s">
        <v>1125</v>
      </c>
      <c r="B2951" s="49" t="s">
        <v>1403</v>
      </c>
      <c r="C2951" s="49" t="s">
        <v>1412</v>
      </c>
      <c r="D2951" s="49" t="s">
        <v>1199</v>
      </c>
      <c r="E2951" s="49" t="s">
        <v>1183</v>
      </c>
      <c r="F2951" s="49" t="s">
        <v>1413</v>
      </c>
      <c r="G2951" s="49" t="s">
        <v>772</v>
      </c>
      <c r="H2951" s="49" t="s">
        <v>1132</v>
      </c>
      <c r="I2951" s="49" t="s">
        <v>885</v>
      </c>
    </row>
    <row r="2952" customFormat="false" ht="25.5" hidden="false" customHeight="true" outlineLevel="0" collapsed="false">
      <c r="A2952" s="49" t="s">
        <v>1125</v>
      </c>
      <c r="B2952" s="49" t="s">
        <v>1403</v>
      </c>
      <c r="C2952" s="49" t="s">
        <v>1414</v>
      </c>
      <c r="D2952" s="49" t="s">
        <v>1156</v>
      </c>
      <c r="E2952" s="49" t="s">
        <v>1183</v>
      </c>
      <c r="F2952" s="49" t="s">
        <v>1415</v>
      </c>
      <c r="G2952" s="49" t="s">
        <v>772</v>
      </c>
      <c r="H2952" s="49" t="s">
        <v>1132</v>
      </c>
      <c r="I2952" s="49" t="s">
        <v>885</v>
      </c>
    </row>
    <row r="2953" customFormat="false" ht="25.5" hidden="false" customHeight="true" outlineLevel="0" collapsed="false">
      <c r="A2953" s="49" t="s">
        <v>1125</v>
      </c>
      <c r="B2953" s="49" t="s">
        <v>1403</v>
      </c>
      <c r="C2953" s="49" t="s">
        <v>1416</v>
      </c>
      <c r="D2953" s="49" t="s">
        <v>1134</v>
      </c>
      <c r="E2953" s="49" t="s">
        <v>1226</v>
      </c>
      <c r="F2953" s="49" t="s">
        <v>1417</v>
      </c>
      <c r="G2953" s="49" t="s">
        <v>772</v>
      </c>
      <c r="H2953" s="49" t="s">
        <v>1132</v>
      </c>
      <c r="I2953" s="49" t="s">
        <v>885</v>
      </c>
    </row>
    <row r="2954" customFormat="false" ht="25.5" hidden="false" customHeight="true" outlineLevel="0" collapsed="false">
      <c r="A2954" s="49" t="s">
        <v>1125</v>
      </c>
      <c r="B2954" s="49" t="s">
        <v>1403</v>
      </c>
      <c r="C2954" s="49" t="s">
        <v>1418</v>
      </c>
      <c r="D2954" s="49" t="s">
        <v>1129</v>
      </c>
      <c r="E2954" s="49" t="s">
        <v>1183</v>
      </c>
      <c r="F2954" s="49" t="s">
        <v>1419</v>
      </c>
      <c r="G2954" s="49" t="s">
        <v>772</v>
      </c>
      <c r="H2954" s="49" t="s">
        <v>1132</v>
      </c>
      <c r="I2954" s="49" t="s">
        <v>885</v>
      </c>
    </row>
    <row r="2955" customFormat="false" ht="25.5" hidden="false" customHeight="true" outlineLevel="0" collapsed="false">
      <c r="A2955" s="49" t="s">
        <v>1125</v>
      </c>
      <c r="B2955" s="49" t="s">
        <v>1403</v>
      </c>
      <c r="C2955" s="49" t="s">
        <v>1420</v>
      </c>
      <c r="D2955" s="49" t="s">
        <v>1129</v>
      </c>
      <c r="E2955" s="49" t="s">
        <v>146</v>
      </c>
      <c r="F2955" s="49" t="s">
        <v>1421</v>
      </c>
      <c r="G2955" s="49" t="s">
        <v>772</v>
      </c>
      <c r="H2955" s="49" t="s">
        <v>1132</v>
      </c>
      <c r="I2955" s="49" t="s">
        <v>885</v>
      </c>
    </row>
    <row r="2956" customFormat="false" ht="25.5" hidden="false" customHeight="true" outlineLevel="0" collapsed="false">
      <c r="A2956" s="49" t="s">
        <v>1125</v>
      </c>
      <c r="B2956" s="49" t="s">
        <v>1403</v>
      </c>
      <c r="C2956" s="49" t="s">
        <v>1422</v>
      </c>
      <c r="D2956" s="49" t="s">
        <v>1292</v>
      </c>
      <c r="E2956" s="49" t="s">
        <v>1135</v>
      </c>
      <c r="F2956" s="49" t="s">
        <v>1423</v>
      </c>
      <c r="G2956" s="49" t="s">
        <v>772</v>
      </c>
      <c r="H2956" s="49" t="s">
        <v>1132</v>
      </c>
      <c r="I2956" s="49" t="s">
        <v>885</v>
      </c>
    </row>
    <row r="2957" customFormat="false" ht="25.5" hidden="false" customHeight="true" outlineLevel="0" collapsed="false">
      <c r="A2957" s="49" t="s">
        <v>1125</v>
      </c>
      <c r="B2957" s="49" t="s">
        <v>1403</v>
      </c>
      <c r="C2957" s="49" t="s">
        <v>1424</v>
      </c>
      <c r="D2957" s="49" t="s">
        <v>1148</v>
      </c>
      <c r="E2957" s="49" t="s">
        <v>1135</v>
      </c>
      <c r="F2957" s="49" t="s">
        <v>1423</v>
      </c>
      <c r="G2957" s="49" t="s">
        <v>772</v>
      </c>
      <c r="H2957" s="49" t="s">
        <v>1132</v>
      </c>
      <c r="I2957" s="49" t="s">
        <v>885</v>
      </c>
    </row>
    <row r="2958" customFormat="false" ht="25.5" hidden="false" customHeight="true" outlineLevel="0" collapsed="false">
      <c r="A2958" s="49" t="s">
        <v>1125</v>
      </c>
      <c r="B2958" s="49" t="s">
        <v>1403</v>
      </c>
      <c r="C2958" s="49" t="s">
        <v>1425</v>
      </c>
      <c r="D2958" s="49" t="s">
        <v>1199</v>
      </c>
      <c r="E2958" s="49" t="s">
        <v>1183</v>
      </c>
      <c r="F2958" s="49" t="s">
        <v>1415</v>
      </c>
      <c r="G2958" s="49" t="s">
        <v>772</v>
      </c>
      <c r="H2958" s="49" t="s">
        <v>1132</v>
      </c>
      <c r="I2958" s="49" t="s">
        <v>885</v>
      </c>
    </row>
    <row r="2959" customFormat="false" ht="25.5" hidden="false" customHeight="true" outlineLevel="0" collapsed="false">
      <c r="A2959" s="49" t="s">
        <v>1125</v>
      </c>
      <c r="B2959" s="49" t="s">
        <v>1403</v>
      </c>
      <c r="C2959" s="49" t="s">
        <v>1426</v>
      </c>
      <c r="D2959" s="49" t="s">
        <v>1208</v>
      </c>
      <c r="E2959" s="49" t="s">
        <v>1427</v>
      </c>
      <c r="F2959" s="49" t="s">
        <v>1428</v>
      </c>
      <c r="G2959" s="49" t="s">
        <v>772</v>
      </c>
      <c r="H2959" s="49" t="s">
        <v>1132</v>
      </c>
      <c r="I2959" s="49" t="s">
        <v>885</v>
      </c>
    </row>
    <row r="2960" customFormat="false" ht="25.5" hidden="false" customHeight="true" outlineLevel="0" collapsed="false">
      <c r="A2960" s="49" t="s">
        <v>1125</v>
      </c>
      <c r="B2960" s="49" t="s">
        <v>1403</v>
      </c>
      <c r="C2960" s="49" t="s">
        <v>1429</v>
      </c>
      <c r="D2960" s="49" t="s">
        <v>1129</v>
      </c>
      <c r="E2960" s="49" t="s">
        <v>1223</v>
      </c>
      <c r="F2960" s="49" t="s">
        <v>1430</v>
      </c>
      <c r="G2960" s="49" t="s">
        <v>772</v>
      </c>
      <c r="H2960" s="49" t="s">
        <v>1132</v>
      </c>
      <c r="I2960" s="49" t="s">
        <v>885</v>
      </c>
    </row>
    <row r="2961" customFormat="false" ht="25.5" hidden="false" customHeight="true" outlineLevel="0" collapsed="false">
      <c r="A2961" s="49" t="s">
        <v>1125</v>
      </c>
      <c r="B2961" s="49" t="s">
        <v>1403</v>
      </c>
      <c r="C2961" s="49" t="s">
        <v>1431</v>
      </c>
      <c r="D2961" s="49" t="s">
        <v>1208</v>
      </c>
      <c r="E2961" s="49" t="s">
        <v>1432</v>
      </c>
      <c r="F2961" s="49" t="s">
        <v>1433</v>
      </c>
      <c r="G2961" s="49" t="s">
        <v>772</v>
      </c>
      <c r="H2961" s="49" t="s">
        <v>1132</v>
      </c>
      <c r="I2961" s="49" t="s">
        <v>885</v>
      </c>
    </row>
    <row r="2962" customFormat="false" ht="25.5" hidden="false" customHeight="true" outlineLevel="0" collapsed="false">
      <c r="A2962" s="49" t="s">
        <v>1125</v>
      </c>
      <c r="B2962" s="49" t="s">
        <v>1403</v>
      </c>
      <c r="C2962" s="49" t="s">
        <v>1434</v>
      </c>
      <c r="D2962" s="49" t="s">
        <v>1162</v>
      </c>
      <c r="E2962" s="49" t="s">
        <v>1163</v>
      </c>
      <c r="F2962" s="49" t="s">
        <v>1435</v>
      </c>
      <c r="G2962" s="49" t="s">
        <v>772</v>
      </c>
      <c r="H2962" s="49" t="s">
        <v>1132</v>
      </c>
      <c r="I2962" s="49" t="s">
        <v>885</v>
      </c>
    </row>
    <row r="2963" customFormat="false" ht="25.5" hidden="false" customHeight="true" outlineLevel="0" collapsed="false">
      <c r="A2963" s="49" t="s">
        <v>1125</v>
      </c>
      <c r="B2963" s="49" t="s">
        <v>1403</v>
      </c>
      <c r="C2963" s="49" t="s">
        <v>1436</v>
      </c>
      <c r="D2963" s="49" t="s">
        <v>1199</v>
      </c>
      <c r="E2963" s="49" t="s">
        <v>146</v>
      </c>
      <c r="F2963" s="49" t="s">
        <v>1437</v>
      </c>
      <c r="G2963" s="49" t="s">
        <v>772</v>
      </c>
      <c r="H2963" s="49" t="s">
        <v>1132</v>
      </c>
      <c r="I2963" s="49" t="s">
        <v>885</v>
      </c>
    </row>
    <row r="2964" customFormat="false" ht="25.5" hidden="false" customHeight="true" outlineLevel="0" collapsed="false">
      <c r="A2964" s="49" t="s">
        <v>1125</v>
      </c>
      <c r="B2964" s="49" t="s">
        <v>1403</v>
      </c>
      <c r="C2964" s="49" t="s">
        <v>1438</v>
      </c>
      <c r="D2964" s="49" t="s">
        <v>1151</v>
      </c>
      <c r="E2964" s="49" t="s">
        <v>1183</v>
      </c>
      <c r="F2964" s="49" t="s">
        <v>1439</v>
      </c>
      <c r="G2964" s="49" t="s">
        <v>772</v>
      </c>
      <c r="H2964" s="49" t="s">
        <v>1132</v>
      </c>
      <c r="I2964" s="49" t="s">
        <v>885</v>
      </c>
    </row>
    <row r="2965" customFormat="false" ht="25.5" hidden="false" customHeight="true" outlineLevel="0" collapsed="false">
      <c r="A2965" s="49" t="s">
        <v>1125</v>
      </c>
      <c r="B2965" s="49" t="s">
        <v>1403</v>
      </c>
      <c r="C2965" s="49" t="s">
        <v>1440</v>
      </c>
      <c r="D2965" s="49" t="s">
        <v>1134</v>
      </c>
      <c r="E2965" s="49" t="s">
        <v>217</v>
      </c>
      <c r="F2965" s="49" t="s">
        <v>1441</v>
      </c>
      <c r="G2965" s="49" t="s">
        <v>772</v>
      </c>
      <c r="H2965" s="49" t="s">
        <v>1132</v>
      </c>
      <c r="I2965" s="49" t="s">
        <v>885</v>
      </c>
    </row>
    <row r="2966" customFormat="false" ht="25.5" hidden="false" customHeight="true" outlineLevel="0" collapsed="false">
      <c r="A2966" s="49" t="s">
        <v>1125</v>
      </c>
      <c r="B2966" s="49" t="s">
        <v>1403</v>
      </c>
      <c r="C2966" s="49" t="s">
        <v>1442</v>
      </c>
      <c r="D2966" s="49" t="s">
        <v>1151</v>
      </c>
      <c r="E2966" s="49" t="s">
        <v>1443</v>
      </c>
      <c r="F2966" s="49" t="s">
        <v>1444</v>
      </c>
      <c r="G2966" s="49" t="s">
        <v>772</v>
      </c>
      <c r="H2966" s="49" t="s">
        <v>1132</v>
      </c>
      <c r="I2966" s="49" t="s">
        <v>885</v>
      </c>
    </row>
    <row r="2967" customFormat="false" ht="25.5" hidden="false" customHeight="true" outlineLevel="0" collapsed="false">
      <c r="A2967" s="49" t="s">
        <v>1125</v>
      </c>
      <c r="B2967" s="49" t="s">
        <v>1403</v>
      </c>
      <c r="C2967" s="49" t="s">
        <v>1445</v>
      </c>
      <c r="D2967" s="49" t="s">
        <v>1199</v>
      </c>
      <c r="E2967" s="49" t="s">
        <v>1183</v>
      </c>
      <c r="F2967" s="49" t="s">
        <v>1446</v>
      </c>
      <c r="G2967" s="49" t="s">
        <v>772</v>
      </c>
      <c r="H2967" s="49" t="s">
        <v>1132</v>
      </c>
      <c r="I2967" s="49" t="s">
        <v>885</v>
      </c>
    </row>
    <row r="2968" customFormat="false" ht="25.5" hidden="false" customHeight="true" outlineLevel="0" collapsed="false">
      <c r="A2968" s="49" t="s">
        <v>1125</v>
      </c>
      <c r="B2968" s="49" t="s">
        <v>1447</v>
      </c>
      <c r="C2968" s="49" t="s">
        <v>1171</v>
      </c>
      <c r="D2968" s="49" t="s">
        <v>1172</v>
      </c>
      <c r="E2968" s="49" t="s">
        <v>1173</v>
      </c>
      <c r="F2968" s="49" t="s">
        <v>1174</v>
      </c>
      <c r="G2968" s="49" t="s">
        <v>772</v>
      </c>
      <c r="H2968" s="49" t="s">
        <v>1132</v>
      </c>
      <c r="I2968" s="49" t="s">
        <v>885</v>
      </c>
    </row>
    <row r="2969" customFormat="false" ht="25.5" hidden="false" customHeight="true" outlineLevel="0" collapsed="false">
      <c r="A2969" s="56" t="s">
        <v>1125</v>
      </c>
      <c r="B2969" s="56" t="s">
        <v>1447</v>
      </c>
      <c r="C2969" s="56" t="s">
        <v>1448</v>
      </c>
      <c r="D2969" s="56" t="s">
        <v>1141</v>
      </c>
      <c r="E2969" s="56" t="s">
        <v>1449</v>
      </c>
      <c r="F2969" s="56" t="s">
        <v>1450</v>
      </c>
      <c r="G2969" s="56" t="s">
        <v>776</v>
      </c>
      <c r="H2969" s="56" t="s">
        <v>1654</v>
      </c>
      <c r="I2969" s="56" t="s">
        <v>1653</v>
      </c>
    </row>
    <row r="2970" customFormat="false" ht="25.5" hidden="false" customHeight="true" outlineLevel="0" collapsed="false">
      <c r="A2970" s="49" t="s">
        <v>1125</v>
      </c>
      <c r="B2970" s="49" t="s">
        <v>1447</v>
      </c>
      <c r="C2970" s="49" t="s">
        <v>1451</v>
      </c>
      <c r="D2970" s="49" t="s">
        <v>1129</v>
      </c>
      <c r="E2970" s="49" t="s">
        <v>1452</v>
      </c>
      <c r="F2970" s="49" t="s">
        <v>1453</v>
      </c>
      <c r="G2970" s="49" t="s">
        <v>772</v>
      </c>
      <c r="H2970" s="49" t="s">
        <v>1132</v>
      </c>
      <c r="I2970" s="49" t="s">
        <v>885</v>
      </c>
    </row>
    <row r="2971" customFormat="false" ht="25.5" hidden="false" customHeight="true" outlineLevel="0" collapsed="false">
      <c r="A2971" s="49" t="s">
        <v>1125</v>
      </c>
      <c r="B2971" s="49" t="s">
        <v>1447</v>
      </c>
      <c r="C2971" s="49" t="s">
        <v>1454</v>
      </c>
      <c r="D2971" s="49" t="s">
        <v>1156</v>
      </c>
      <c r="E2971" s="49" t="s">
        <v>1455</v>
      </c>
      <c r="F2971" s="49" t="s">
        <v>1456</v>
      </c>
      <c r="G2971" s="49" t="s">
        <v>772</v>
      </c>
      <c r="H2971" s="49" t="s">
        <v>1132</v>
      </c>
      <c r="I2971" s="49" t="s">
        <v>885</v>
      </c>
    </row>
    <row r="2972" customFormat="false" ht="25.5" hidden="false" customHeight="true" outlineLevel="0" collapsed="false">
      <c r="A2972" s="49" t="s">
        <v>1125</v>
      </c>
      <c r="B2972" s="49" t="s">
        <v>1447</v>
      </c>
      <c r="C2972" s="49" t="s">
        <v>1457</v>
      </c>
      <c r="D2972" s="49" t="s">
        <v>1156</v>
      </c>
      <c r="E2972" s="49" t="s">
        <v>1455</v>
      </c>
      <c r="F2972" s="49" t="s">
        <v>1456</v>
      </c>
      <c r="G2972" s="49" t="s">
        <v>772</v>
      </c>
      <c r="H2972" s="49" t="s">
        <v>1132</v>
      </c>
      <c r="I2972" s="49" t="s">
        <v>885</v>
      </c>
    </row>
    <row r="2973" customFormat="false" ht="25.5" hidden="false" customHeight="true" outlineLevel="0" collapsed="false">
      <c r="A2973" s="49" t="s">
        <v>1125</v>
      </c>
      <c r="B2973" s="49" t="s">
        <v>1447</v>
      </c>
      <c r="C2973" s="49" t="s">
        <v>1458</v>
      </c>
      <c r="D2973" s="49" t="s">
        <v>1208</v>
      </c>
      <c r="E2973" s="49" t="s">
        <v>1183</v>
      </c>
      <c r="F2973" s="49" t="s">
        <v>1459</v>
      </c>
      <c r="G2973" s="49" t="s">
        <v>772</v>
      </c>
      <c r="H2973" s="49" t="s">
        <v>1132</v>
      </c>
      <c r="I2973" s="49" t="s">
        <v>885</v>
      </c>
    </row>
    <row r="2974" customFormat="false" ht="25.5" hidden="false" customHeight="true" outlineLevel="0" collapsed="false">
      <c r="A2974" s="49" t="s">
        <v>1125</v>
      </c>
      <c r="B2974" s="49" t="s">
        <v>1447</v>
      </c>
      <c r="C2974" s="49" t="s">
        <v>1460</v>
      </c>
      <c r="D2974" s="49" t="s">
        <v>1141</v>
      </c>
      <c r="E2974" s="49" t="s">
        <v>1183</v>
      </c>
      <c r="F2974" s="49" t="s">
        <v>1461</v>
      </c>
      <c r="G2974" s="49" t="s">
        <v>772</v>
      </c>
      <c r="H2974" s="49" t="s">
        <v>1132</v>
      </c>
      <c r="I2974" s="49" t="s">
        <v>885</v>
      </c>
    </row>
    <row r="2975" customFormat="false" ht="25.5" hidden="false" customHeight="true" outlineLevel="0" collapsed="false">
      <c r="A2975" s="49" t="s">
        <v>1125</v>
      </c>
      <c r="B2975" s="49" t="s">
        <v>1447</v>
      </c>
      <c r="C2975" s="49" t="s">
        <v>1462</v>
      </c>
      <c r="D2975" s="49" t="s">
        <v>1156</v>
      </c>
      <c r="E2975" s="49" t="s">
        <v>1183</v>
      </c>
      <c r="F2975" s="49" t="s">
        <v>1463</v>
      </c>
      <c r="G2975" s="49" t="s">
        <v>772</v>
      </c>
      <c r="H2975" s="49" t="s">
        <v>1132</v>
      </c>
      <c r="I2975" s="49" t="s">
        <v>885</v>
      </c>
    </row>
    <row r="2976" customFormat="false" ht="25.5" hidden="false" customHeight="true" outlineLevel="0" collapsed="false">
      <c r="A2976" s="49" t="s">
        <v>1125</v>
      </c>
      <c r="B2976" s="49" t="s">
        <v>1447</v>
      </c>
      <c r="C2976" s="49" t="s">
        <v>1464</v>
      </c>
      <c r="D2976" s="49" t="s">
        <v>1218</v>
      </c>
      <c r="E2976" s="49" t="s">
        <v>1183</v>
      </c>
      <c r="F2976" s="49" t="s">
        <v>1465</v>
      </c>
      <c r="G2976" s="49" t="s">
        <v>772</v>
      </c>
      <c r="H2976" s="49" t="s">
        <v>1132</v>
      </c>
      <c r="I2976" s="49" t="s">
        <v>885</v>
      </c>
    </row>
    <row r="2977" customFormat="false" ht="25.5" hidden="false" customHeight="true" outlineLevel="0" collapsed="false">
      <c r="A2977" s="49" t="s">
        <v>1125</v>
      </c>
      <c r="B2977" s="49" t="s">
        <v>1447</v>
      </c>
      <c r="C2977" s="49" t="s">
        <v>1466</v>
      </c>
      <c r="D2977" s="49" t="s">
        <v>1141</v>
      </c>
      <c r="E2977" s="49" t="s">
        <v>1183</v>
      </c>
      <c r="F2977" s="49" t="s">
        <v>1467</v>
      </c>
      <c r="G2977" s="49" t="s">
        <v>772</v>
      </c>
      <c r="H2977" s="49" t="s">
        <v>1132</v>
      </c>
      <c r="I2977" s="49" t="s">
        <v>885</v>
      </c>
    </row>
    <row r="2978" customFormat="false" ht="25.5" hidden="false" customHeight="true" outlineLevel="0" collapsed="false">
      <c r="A2978" s="49" t="s">
        <v>1125</v>
      </c>
      <c r="B2978" s="49" t="s">
        <v>1447</v>
      </c>
      <c r="C2978" s="49" t="s">
        <v>1468</v>
      </c>
      <c r="D2978" s="49" t="s">
        <v>1292</v>
      </c>
      <c r="E2978" s="49" t="s">
        <v>1183</v>
      </c>
      <c r="F2978" s="49" t="s">
        <v>1469</v>
      </c>
      <c r="G2978" s="49" t="s">
        <v>772</v>
      </c>
      <c r="H2978" s="49" t="s">
        <v>1132</v>
      </c>
      <c r="I2978" s="49" t="s">
        <v>885</v>
      </c>
    </row>
    <row r="2979" customFormat="false" ht="25.5" hidden="false" customHeight="true" outlineLevel="0" collapsed="false">
      <c r="A2979" s="49" t="s">
        <v>1125</v>
      </c>
      <c r="B2979" s="49" t="s">
        <v>1447</v>
      </c>
      <c r="C2979" s="49" t="s">
        <v>1470</v>
      </c>
      <c r="D2979" s="49" t="s">
        <v>1218</v>
      </c>
      <c r="E2979" s="49" t="s">
        <v>1183</v>
      </c>
      <c r="F2979" s="49" t="s">
        <v>1471</v>
      </c>
      <c r="G2979" s="49" t="s">
        <v>772</v>
      </c>
      <c r="H2979" s="49" t="s">
        <v>1132</v>
      </c>
      <c r="I2979" s="49" t="s">
        <v>885</v>
      </c>
    </row>
    <row r="2980" customFormat="false" ht="25.5" hidden="false" customHeight="true" outlineLevel="0" collapsed="false">
      <c r="A2980" s="49" t="s">
        <v>1125</v>
      </c>
      <c r="B2980" s="49" t="s">
        <v>1447</v>
      </c>
      <c r="C2980" s="49" t="s">
        <v>1472</v>
      </c>
      <c r="D2980" s="49" t="s">
        <v>1134</v>
      </c>
      <c r="E2980" s="49" t="s">
        <v>1405</v>
      </c>
      <c r="F2980" s="49" t="s">
        <v>1473</v>
      </c>
      <c r="G2980" s="49" t="s">
        <v>772</v>
      </c>
      <c r="H2980" s="49" t="s">
        <v>1132</v>
      </c>
      <c r="I2980" s="49" t="s">
        <v>885</v>
      </c>
    </row>
    <row r="2981" customFormat="false" ht="25.5" hidden="false" customHeight="true" outlineLevel="0" collapsed="false">
      <c r="A2981" s="49" t="s">
        <v>1125</v>
      </c>
      <c r="B2981" s="49" t="s">
        <v>1447</v>
      </c>
      <c r="C2981" s="49" t="s">
        <v>1474</v>
      </c>
      <c r="D2981" s="49" t="s">
        <v>1208</v>
      </c>
      <c r="E2981" s="49" t="s">
        <v>1475</v>
      </c>
      <c r="F2981" s="49" t="s">
        <v>1476</v>
      </c>
      <c r="G2981" s="49" t="s">
        <v>772</v>
      </c>
      <c r="H2981" s="49" t="s">
        <v>1132</v>
      </c>
      <c r="I2981" s="49" t="s">
        <v>885</v>
      </c>
    </row>
    <row r="2982" customFormat="false" ht="25.5" hidden="false" customHeight="true" outlineLevel="0" collapsed="false">
      <c r="A2982" s="49" t="s">
        <v>1125</v>
      </c>
      <c r="B2982" s="49" t="s">
        <v>1447</v>
      </c>
      <c r="C2982" s="49" t="s">
        <v>1477</v>
      </c>
      <c r="D2982" s="49" t="s">
        <v>1162</v>
      </c>
      <c r="E2982" s="49" t="s">
        <v>1478</v>
      </c>
      <c r="F2982" s="49" t="s">
        <v>1479</v>
      </c>
      <c r="G2982" s="49" t="s">
        <v>772</v>
      </c>
      <c r="H2982" s="49" t="s">
        <v>1132</v>
      </c>
      <c r="I2982" s="49" t="s">
        <v>885</v>
      </c>
    </row>
    <row r="2983" customFormat="false" ht="25.5" hidden="false" customHeight="true" outlineLevel="0" collapsed="false">
      <c r="A2983" s="49" t="s">
        <v>1125</v>
      </c>
      <c r="B2983" s="49" t="s">
        <v>1447</v>
      </c>
      <c r="C2983" s="49" t="s">
        <v>1480</v>
      </c>
      <c r="D2983" s="49" t="s">
        <v>1199</v>
      </c>
      <c r="E2983" s="49" t="s">
        <v>1135</v>
      </c>
      <c r="F2983" s="49" t="s">
        <v>1473</v>
      </c>
      <c r="G2983" s="49" t="s">
        <v>772</v>
      </c>
      <c r="H2983" s="49" t="s">
        <v>1132</v>
      </c>
      <c r="I2983" s="49" t="s">
        <v>885</v>
      </c>
    </row>
    <row r="2984" customFormat="false" ht="25.5" hidden="false" customHeight="true" outlineLevel="0" collapsed="false">
      <c r="A2984" s="49" t="s">
        <v>1125</v>
      </c>
      <c r="B2984" s="49" t="s">
        <v>1447</v>
      </c>
      <c r="C2984" s="49" t="s">
        <v>1481</v>
      </c>
      <c r="D2984" s="49" t="s">
        <v>1292</v>
      </c>
      <c r="E2984" s="49" t="s">
        <v>1135</v>
      </c>
      <c r="F2984" s="49" t="s">
        <v>1473</v>
      </c>
      <c r="G2984" s="49" t="s">
        <v>772</v>
      </c>
      <c r="H2984" s="49" t="s">
        <v>1132</v>
      </c>
      <c r="I2984" s="49" t="s">
        <v>885</v>
      </c>
    </row>
    <row r="2985" customFormat="false" ht="25.5" hidden="false" customHeight="true" outlineLevel="0" collapsed="false">
      <c r="A2985" s="49" t="s">
        <v>1125</v>
      </c>
      <c r="B2985" s="49" t="s">
        <v>1447</v>
      </c>
      <c r="C2985" s="49" t="s">
        <v>1482</v>
      </c>
      <c r="D2985" s="49" t="s">
        <v>1199</v>
      </c>
      <c r="E2985" s="49" t="s">
        <v>1483</v>
      </c>
      <c r="F2985" s="49" t="s">
        <v>1484</v>
      </c>
      <c r="G2985" s="49" t="s">
        <v>772</v>
      </c>
      <c r="H2985" s="49" t="s">
        <v>1132</v>
      </c>
      <c r="I2985" s="49" t="s">
        <v>885</v>
      </c>
    </row>
    <row r="2986" customFormat="false" ht="25.5" hidden="false" customHeight="true" outlineLevel="0" collapsed="false">
      <c r="A2986" s="49" t="s">
        <v>1125</v>
      </c>
      <c r="B2986" s="49" t="s">
        <v>1447</v>
      </c>
      <c r="C2986" s="49" t="s">
        <v>1485</v>
      </c>
      <c r="D2986" s="49" t="s">
        <v>1151</v>
      </c>
      <c r="E2986" s="49" t="s">
        <v>1135</v>
      </c>
      <c r="F2986" s="49" t="s">
        <v>1473</v>
      </c>
      <c r="G2986" s="49" t="s">
        <v>772</v>
      </c>
      <c r="H2986" s="49" t="s">
        <v>1132</v>
      </c>
      <c r="I2986" s="49" t="s">
        <v>885</v>
      </c>
    </row>
    <row r="2987" customFormat="false" ht="25.5" hidden="false" customHeight="true" outlineLevel="0" collapsed="false">
      <c r="A2987" s="49" t="s">
        <v>1125</v>
      </c>
      <c r="B2987" s="49" t="s">
        <v>1447</v>
      </c>
      <c r="C2987" s="49" t="s">
        <v>1486</v>
      </c>
      <c r="D2987" s="49" t="s">
        <v>1199</v>
      </c>
      <c r="E2987" s="49" t="s">
        <v>1135</v>
      </c>
      <c r="F2987" s="49" t="s">
        <v>1473</v>
      </c>
      <c r="G2987" s="49" t="s">
        <v>772</v>
      </c>
      <c r="H2987" s="49" t="s">
        <v>1132</v>
      </c>
      <c r="I2987" s="49" t="s">
        <v>885</v>
      </c>
    </row>
    <row r="2988" customFormat="false" ht="25.5" hidden="false" customHeight="true" outlineLevel="0" collapsed="false">
      <c r="A2988" s="49" t="s">
        <v>1125</v>
      </c>
      <c r="B2988" s="49" t="s">
        <v>1447</v>
      </c>
      <c r="C2988" s="49" t="s">
        <v>1487</v>
      </c>
      <c r="D2988" s="49" t="s">
        <v>1148</v>
      </c>
      <c r="E2988" s="49" t="s">
        <v>1135</v>
      </c>
      <c r="F2988" s="49" t="s">
        <v>1473</v>
      </c>
      <c r="G2988" s="49" t="s">
        <v>772</v>
      </c>
      <c r="H2988" s="49" t="s">
        <v>1132</v>
      </c>
      <c r="I2988" s="49" t="s">
        <v>885</v>
      </c>
    </row>
    <row r="2989" customFormat="false" ht="25.5" hidden="false" customHeight="true" outlineLevel="0" collapsed="false">
      <c r="A2989" s="49" t="s">
        <v>1125</v>
      </c>
      <c r="B2989" s="49" t="s">
        <v>1447</v>
      </c>
      <c r="C2989" s="49" t="s">
        <v>1488</v>
      </c>
      <c r="D2989" s="49" t="s">
        <v>1151</v>
      </c>
      <c r="E2989" s="49" t="s">
        <v>1135</v>
      </c>
      <c r="F2989" s="49" t="s">
        <v>1473</v>
      </c>
      <c r="G2989" s="49" t="s">
        <v>772</v>
      </c>
      <c r="H2989" s="49" t="s">
        <v>1132</v>
      </c>
      <c r="I2989" s="49" t="s">
        <v>885</v>
      </c>
    </row>
    <row r="2990" customFormat="false" ht="25.5" hidden="false" customHeight="true" outlineLevel="0" collapsed="false">
      <c r="A2990" s="49" t="s">
        <v>1125</v>
      </c>
      <c r="B2990" s="49" t="s">
        <v>1447</v>
      </c>
      <c r="C2990" s="49" t="s">
        <v>1489</v>
      </c>
      <c r="D2990" s="49" t="s">
        <v>1151</v>
      </c>
      <c r="E2990" s="49" t="s">
        <v>1135</v>
      </c>
      <c r="F2990" s="49" t="s">
        <v>1473</v>
      </c>
      <c r="G2990" s="49" t="s">
        <v>772</v>
      </c>
      <c r="H2990" s="49" t="s">
        <v>1132</v>
      </c>
      <c r="I2990" s="49" t="s">
        <v>885</v>
      </c>
    </row>
    <row r="2991" customFormat="false" ht="25.5" hidden="false" customHeight="true" outlineLevel="0" collapsed="false">
      <c r="A2991" s="49" t="s">
        <v>1125</v>
      </c>
      <c r="B2991" s="49" t="s">
        <v>1447</v>
      </c>
      <c r="C2991" s="49" t="s">
        <v>1490</v>
      </c>
      <c r="D2991" s="49" t="s">
        <v>1141</v>
      </c>
      <c r="E2991" s="49" t="s">
        <v>1135</v>
      </c>
      <c r="F2991" s="49" t="s">
        <v>1473</v>
      </c>
      <c r="G2991" s="49" t="s">
        <v>772</v>
      </c>
      <c r="H2991" s="49" t="s">
        <v>1132</v>
      </c>
      <c r="I2991" s="49" t="s">
        <v>885</v>
      </c>
    </row>
    <row r="2992" customFormat="false" ht="25.5" hidden="false" customHeight="true" outlineLevel="0" collapsed="false">
      <c r="A2992" s="49" t="s">
        <v>1125</v>
      </c>
      <c r="B2992" s="49" t="s">
        <v>1447</v>
      </c>
      <c r="C2992" s="49" t="s">
        <v>1491</v>
      </c>
      <c r="D2992" s="49" t="s">
        <v>1218</v>
      </c>
      <c r="E2992" s="49" t="s">
        <v>1135</v>
      </c>
      <c r="F2992" s="49" t="s">
        <v>1473</v>
      </c>
      <c r="G2992" s="49" t="s">
        <v>772</v>
      </c>
      <c r="H2992" s="49" t="s">
        <v>1132</v>
      </c>
      <c r="I2992" s="49" t="s">
        <v>885</v>
      </c>
    </row>
    <row r="2993" customFormat="false" ht="25.5" hidden="false" customHeight="true" outlineLevel="0" collapsed="false">
      <c r="A2993" s="49" t="s">
        <v>1125</v>
      </c>
      <c r="B2993" s="49" t="s">
        <v>1447</v>
      </c>
      <c r="C2993" s="49" t="s">
        <v>1492</v>
      </c>
      <c r="D2993" s="49" t="s">
        <v>1156</v>
      </c>
      <c r="E2993" s="49" t="s">
        <v>1135</v>
      </c>
      <c r="F2993" s="49" t="s">
        <v>1473</v>
      </c>
      <c r="G2993" s="49" t="s">
        <v>772</v>
      </c>
      <c r="H2993" s="49" t="s">
        <v>1132</v>
      </c>
      <c r="I2993" s="49" t="s">
        <v>885</v>
      </c>
    </row>
    <row r="2994" customFormat="false" ht="25.5" hidden="false" customHeight="true" outlineLevel="0" collapsed="false">
      <c r="A2994" s="49" t="s">
        <v>1125</v>
      </c>
      <c r="B2994" s="49" t="s">
        <v>1447</v>
      </c>
      <c r="C2994" s="49" t="s">
        <v>1493</v>
      </c>
      <c r="D2994" s="49" t="s">
        <v>1134</v>
      </c>
      <c r="E2994" s="49" t="s">
        <v>1183</v>
      </c>
      <c r="F2994" s="49" t="s">
        <v>1408</v>
      </c>
      <c r="G2994" s="49" t="s">
        <v>772</v>
      </c>
      <c r="H2994" s="49" t="s">
        <v>1132</v>
      </c>
      <c r="I2994" s="49" t="s">
        <v>885</v>
      </c>
    </row>
    <row r="2995" customFormat="false" ht="25.5" hidden="false" customHeight="true" outlineLevel="0" collapsed="false">
      <c r="A2995" s="49" t="s">
        <v>1125</v>
      </c>
      <c r="B2995" s="49" t="s">
        <v>1447</v>
      </c>
      <c r="C2995" s="49" t="s">
        <v>1494</v>
      </c>
      <c r="D2995" s="49" t="s">
        <v>1151</v>
      </c>
      <c r="E2995" s="49" t="s">
        <v>1135</v>
      </c>
      <c r="F2995" s="49" t="s">
        <v>1473</v>
      </c>
      <c r="G2995" s="49" t="s">
        <v>772</v>
      </c>
      <c r="H2995" s="49" t="s">
        <v>1132</v>
      </c>
      <c r="I2995" s="49" t="s">
        <v>885</v>
      </c>
    </row>
    <row r="2996" customFormat="false" ht="25.5" hidden="false" customHeight="true" outlineLevel="0" collapsed="false">
      <c r="A2996" s="56" t="s">
        <v>1125</v>
      </c>
      <c r="B2996" s="56" t="s">
        <v>879</v>
      </c>
      <c r="C2996" s="56" t="s">
        <v>880</v>
      </c>
      <c r="D2996" s="56" t="s">
        <v>881</v>
      </c>
      <c r="E2996" s="56" t="s">
        <v>882</v>
      </c>
      <c r="F2996" s="56" t="s">
        <v>883</v>
      </c>
      <c r="G2996" s="56" t="s">
        <v>776</v>
      </c>
      <c r="H2996" s="56" t="s">
        <v>1655</v>
      </c>
      <c r="I2996" s="56" t="s">
        <v>1653</v>
      </c>
    </row>
    <row r="2997" customFormat="false" ht="25.5" hidden="false" customHeight="true" outlineLevel="0" collapsed="false">
      <c r="A2997" s="51" t="s">
        <v>1125</v>
      </c>
      <c r="B2997" s="51" t="s">
        <v>879</v>
      </c>
      <c r="C2997" s="51" t="s">
        <v>943</v>
      </c>
      <c r="D2997" s="51" t="s">
        <v>944</v>
      </c>
      <c r="E2997" s="51" t="s">
        <v>843</v>
      </c>
      <c r="F2997" s="51" t="s">
        <v>945</v>
      </c>
      <c r="G2997" s="52" t="s">
        <v>910</v>
      </c>
      <c r="H2997" s="51" t="s">
        <v>1650</v>
      </c>
      <c r="I2997" s="51" t="s">
        <v>912</v>
      </c>
    </row>
    <row r="2998" customFormat="false" ht="25.5" hidden="false" customHeight="true" outlineLevel="0" collapsed="false">
      <c r="A2998" s="51" t="s">
        <v>1125</v>
      </c>
      <c r="B2998" s="51" t="s">
        <v>879</v>
      </c>
      <c r="C2998" s="51" t="s">
        <v>949</v>
      </c>
      <c r="D2998" s="51"/>
      <c r="E2998" s="51" t="s">
        <v>811</v>
      </c>
      <c r="F2998" s="51"/>
      <c r="G2998" s="52" t="s">
        <v>910</v>
      </c>
      <c r="H2998" s="51" t="s">
        <v>1650</v>
      </c>
      <c r="I2998" s="51" t="s">
        <v>912</v>
      </c>
    </row>
    <row r="2999" customFormat="false" ht="25.5" hidden="false" customHeight="true" outlineLevel="0" collapsed="false">
      <c r="A2999" s="51" t="s">
        <v>1125</v>
      </c>
      <c r="B2999" s="51" t="s">
        <v>879</v>
      </c>
      <c r="C2999" s="51" t="s">
        <v>998</v>
      </c>
      <c r="D2999" s="51" t="s">
        <v>881</v>
      </c>
      <c r="E2999" s="51" t="s">
        <v>146</v>
      </c>
      <c r="F2999" s="51"/>
      <c r="G2999" s="52" t="s">
        <v>910</v>
      </c>
      <c r="H2999" s="51" t="s">
        <v>1650</v>
      </c>
      <c r="I2999" s="51" t="s">
        <v>912</v>
      </c>
    </row>
    <row r="3000" customFormat="false" ht="25.5" hidden="false" customHeight="true" outlineLevel="0" collapsed="false">
      <c r="A3000" s="51" t="s">
        <v>1125</v>
      </c>
      <c r="B3000" s="51" t="s">
        <v>879</v>
      </c>
      <c r="C3000" s="51" t="s">
        <v>999</v>
      </c>
      <c r="D3000" s="51" t="s">
        <v>890</v>
      </c>
      <c r="E3000" s="51" t="s">
        <v>146</v>
      </c>
      <c r="F3000" s="51" t="s">
        <v>1000</v>
      </c>
      <c r="G3000" s="52" t="s">
        <v>910</v>
      </c>
      <c r="H3000" s="51" t="s">
        <v>1650</v>
      </c>
      <c r="I3000" s="51" t="s">
        <v>912</v>
      </c>
    </row>
    <row r="3001" customFormat="false" ht="25.5" hidden="false" customHeight="true" outlineLevel="0" collapsed="false">
      <c r="A3001" s="51" t="s">
        <v>1125</v>
      </c>
      <c r="B3001" s="51" t="s">
        <v>879</v>
      </c>
      <c r="C3001" s="51" t="s">
        <v>1001</v>
      </c>
      <c r="D3001" s="51"/>
      <c r="E3001" s="51" t="s">
        <v>146</v>
      </c>
      <c r="F3001" s="51"/>
      <c r="G3001" s="52" t="s">
        <v>910</v>
      </c>
      <c r="H3001" s="51" t="s">
        <v>1650</v>
      </c>
      <c r="I3001" s="51" t="s">
        <v>912</v>
      </c>
    </row>
    <row r="3002" customFormat="false" ht="25.5" hidden="false" customHeight="true" outlineLevel="0" collapsed="false">
      <c r="A3002" s="56" t="s">
        <v>1125</v>
      </c>
      <c r="B3002" s="56" t="s">
        <v>879</v>
      </c>
      <c r="C3002" s="56" t="s">
        <v>886</v>
      </c>
      <c r="D3002" s="56" t="s">
        <v>887</v>
      </c>
      <c r="E3002" s="56" t="s">
        <v>882</v>
      </c>
      <c r="F3002" s="56"/>
      <c r="G3002" s="56" t="s">
        <v>776</v>
      </c>
      <c r="H3002" s="56" t="s">
        <v>1655</v>
      </c>
      <c r="I3002" s="56" t="s">
        <v>1653</v>
      </c>
    </row>
    <row r="3003" customFormat="false" ht="25.5" hidden="false" customHeight="true" outlineLevel="0" collapsed="false">
      <c r="A3003" s="56" t="s">
        <v>1125</v>
      </c>
      <c r="B3003" s="56" t="s">
        <v>879</v>
      </c>
      <c r="C3003" s="56" t="s">
        <v>888</v>
      </c>
      <c r="D3003" s="56" t="s">
        <v>887</v>
      </c>
      <c r="E3003" s="56" t="s">
        <v>882</v>
      </c>
      <c r="F3003" s="56"/>
      <c r="G3003" s="56" t="s">
        <v>776</v>
      </c>
      <c r="H3003" s="56" t="s">
        <v>1655</v>
      </c>
      <c r="I3003" s="56" t="s">
        <v>1653</v>
      </c>
    </row>
    <row r="3004" customFormat="false" ht="25.5" hidden="false" customHeight="true" outlineLevel="0" collapsed="false">
      <c r="A3004" s="56" t="s">
        <v>1125</v>
      </c>
      <c r="B3004" s="56" t="s">
        <v>879</v>
      </c>
      <c r="C3004" s="56" t="s">
        <v>889</v>
      </c>
      <c r="D3004" s="56" t="s">
        <v>890</v>
      </c>
      <c r="E3004" s="56" t="s">
        <v>882</v>
      </c>
      <c r="F3004" s="56"/>
      <c r="G3004" s="56" t="s">
        <v>776</v>
      </c>
      <c r="H3004" s="56" t="s">
        <v>1655</v>
      </c>
      <c r="I3004" s="56" t="s">
        <v>1653</v>
      </c>
    </row>
    <row r="3005" customFormat="false" ht="25.5" hidden="false" customHeight="true" outlineLevel="0" collapsed="false">
      <c r="A3005" s="49" t="s">
        <v>1125</v>
      </c>
      <c r="B3005" s="49" t="s">
        <v>891</v>
      </c>
      <c r="C3005" s="49" t="s">
        <v>1498</v>
      </c>
      <c r="D3005" s="49" t="s">
        <v>1499</v>
      </c>
      <c r="E3005" s="49" t="s">
        <v>1142</v>
      </c>
      <c r="F3005" s="49" t="s">
        <v>1500</v>
      </c>
      <c r="G3005" s="49" t="s">
        <v>772</v>
      </c>
      <c r="H3005" s="49" t="s">
        <v>1132</v>
      </c>
      <c r="I3005" s="49" t="s">
        <v>885</v>
      </c>
    </row>
    <row r="3006" customFormat="false" ht="25.5" hidden="false" customHeight="true" outlineLevel="0" collapsed="false">
      <c r="A3006" s="51" t="s">
        <v>1125</v>
      </c>
      <c r="B3006" s="51" t="s">
        <v>891</v>
      </c>
      <c r="C3006" s="51" t="s">
        <v>1002</v>
      </c>
      <c r="D3006" s="51" t="s">
        <v>898</v>
      </c>
      <c r="E3006" s="51" t="s">
        <v>146</v>
      </c>
      <c r="F3006" s="51"/>
      <c r="G3006" s="52" t="s">
        <v>910</v>
      </c>
      <c r="H3006" s="51" t="s">
        <v>1650</v>
      </c>
      <c r="I3006" s="51" t="s">
        <v>912</v>
      </c>
    </row>
    <row r="3007" customFormat="false" ht="25.5" hidden="false" customHeight="true" outlineLevel="0" collapsed="false">
      <c r="A3007" s="49" t="s">
        <v>1125</v>
      </c>
      <c r="B3007" s="49" t="s">
        <v>891</v>
      </c>
      <c r="C3007" s="49" t="s">
        <v>1501</v>
      </c>
      <c r="D3007" s="49" t="s">
        <v>1004</v>
      </c>
      <c r="E3007" s="49" t="s">
        <v>1502</v>
      </c>
      <c r="F3007" s="49" t="s">
        <v>1008</v>
      </c>
      <c r="G3007" s="49" t="s">
        <v>772</v>
      </c>
      <c r="H3007" s="49" t="s">
        <v>1132</v>
      </c>
      <c r="I3007" s="49" t="s">
        <v>885</v>
      </c>
    </row>
    <row r="3008" customFormat="false" ht="25.5" hidden="false" customHeight="true" outlineLevel="0" collapsed="false">
      <c r="A3008" s="51" t="s">
        <v>1125</v>
      </c>
      <c r="B3008" s="51" t="s">
        <v>891</v>
      </c>
      <c r="C3008" s="51" t="s">
        <v>1003</v>
      </c>
      <c r="D3008" s="51" t="s">
        <v>1004</v>
      </c>
      <c r="E3008" s="51" t="s">
        <v>146</v>
      </c>
      <c r="F3008" s="51"/>
      <c r="G3008" s="52" t="s">
        <v>910</v>
      </c>
      <c r="H3008" s="51" t="s">
        <v>1650</v>
      </c>
      <c r="I3008" s="51" t="s">
        <v>912</v>
      </c>
    </row>
    <row r="3009" customFormat="false" ht="25.5" hidden="false" customHeight="true" outlineLevel="0" collapsed="false">
      <c r="A3009" s="56" t="s">
        <v>1125</v>
      </c>
      <c r="B3009" s="56" t="s">
        <v>891</v>
      </c>
      <c r="C3009" s="56" t="s">
        <v>892</v>
      </c>
      <c r="D3009" s="56"/>
      <c r="E3009" s="56" t="s">
        <v>893</v>
      </c>
      <c r="F3009" s="56" t="s">
        <v>894</v>
      </c>
      <c r="G3009" s="56" t="s">
        <v>776</v>
      </c>
      <c r="H3009" s="56" t="s">
        <v>1656</v>
      </c>
      <c r="I3009" s="56" t="s">
        <v>1653</v>
      </c>
    </row>
    <row r="3010" customFormat="false" ht="25.5" hidden="false" customHeight="true" outlineLevel="0" collapsed="false">
      <c r="A3010" s="51" t="s">
        <v>1125</v>
      </c>
      <c r="B3010" s="51" t="s">
        <v>891</v>
      </c>
      <c r="C3010" s="51" t="s">
        <v>1006</v>
      </c>
      <c r="D3010" s="51" t="s">
        <v>1007</v>
      </c>
      <c r="E3010" s="51" t="s">
        <v>146</v>
      </c>
      <c r="F3010" s="51" t="s">
        <v>1008</v>
      </c>
      <c r="G3010" s="52" t="s">
        <v>910</v>
      </c>
      <c r="H3010" s="51" t="s">
        <v>1650</v>
      </c>
      <c r="I3010" s="51" t="s">
        <v>912</v>
      </c>
    </row>
    <row r="3011" customFormat="false" ht="25.5" hidden="false" customHeight="true" outlineLevel="0" collapsed="false">
      <c r="A3011" s="49" t="s">
        <v>1125</v>
      </c>
      <c r="B3011" s="49" t="s">
        <v>1009</v>
      </c>
      <c r="C3011" s="49" t="s">
        <v>1504</v>
      </c>
      <c r="D3011" s="49" t="s">
        <v>1011</v>
      </c>
      <c r="E3011" s="49" t="s">
        <v>1189</v>
      </c>
      <c r="F3011" s="49" t="s">
        <v>1505</v>
      </c>
      <c r="G3011" s="49" t="s">
        <v>772</v>
      </c>
      <c r="H3011" s="49" t="s">
        <v>1132</v>
      </c>
      <c r="I3011" s="49" t="s">
        <v>885</v>
      </c>
    </row>
    <row r="3012" customFormat="false" ht="25.5" hidden="false" customHeight="true" outlineLevel="0" collapsed="false">
      <c r="A3012" s="51" t="s">
        <v>1125</v>
      </c>
      <c r="B3012" s="51" t="s">
        <v>1009</v>
      </c>
      <c r="C3012" s="51" t="s">
        <v>1010</v>
      </c>
      <c r="D3012" s="51" t="s">
        <v>1011</v>
      </c>
      <c r="E3012" s="51" t="s">
        <v>146</v>
      </c>
      <c r="F3012" s="51"/>
      <c r="G3012" s="52" t="s">
        <v>910</v>
      </c>
      <c r="H3012" s="51" t="s">
        <v>1650</v>
      </c>
      <c r="I3012" s="51" t="s">
        <v>912</v>
      </c>
    </row>
    <row r="3013" customFormat="false" ht="25.5" hidden="false" customHeight="true" outlineLevel="0" collapsed="false">
      <c r="A3013" s="51" t="s">
        <v>1125</v>
      </c>
      <c r="B3013" s="51" t="s">
        <v>1009</v>
      </c>
      <c r="C3013" s="51" t="s">
        <v>1012</v>
      </c>
      <c r="D3013" s="51" t="s">
        <v>1011</v>
      </c>
      <c r="E3013" s="51" t="s">
        <v>1013</v>
      </c>
      <c r="F3013" s="51"/>
      <c r="G3013" s="52" t="s">
        <v>910</v>
      </c>
      <c r="H3013" s="51" t="s">
        <v>1650</v>
      </c>
      <c r="I3013" s="51" t="s">
        <v>912</v>
      </c>
    </row>
    <row r="3014" customFormat="false" ht="25.5" hidden="false" customHeight="true" outlineLevel="0" collapsed="false">
      <c r="A3014" s="51" t="s">
        <v>1125</v>
      </c>
      <c r="B3014" s="51" t="s">
        <v>1009</v>
      </c>
      <c r="C3014" s="51" t="s">
        <v>1014</v>
      </c>
      <c r="D3014" s="51" t="s">
        <v>1011</v>
      </c>
      <c r="E3014" s="51" t="s">
        <v>1015</v>
      </c>
      <c r="F3014" s="51" t="s">
        <v>1016</v>
      </c>
      <c r="G3014" s="52" t="s">
        <v>910</v>
      </c>
      <c r="H3014" s="51" t="s">
        <v>1650</v>
      </c>
      <c r="I3014" s="51" t="s">
        <v>912</v>
      </c>
    </row>
    <row r="3015" customFormat="false" ht="25.5" hidden="false" customHeight="true" outlineLevel="0" collapsed="false">
      <c r="A3015" s="51" t="s">
        <v>1125</v>
      </c>
      <c r="B3015" s="51" t="s">
        <v>1009</v>
      </c>
      <c r="C3015" s="51" t="s">
        <v>1017</v>
      </c>
      <c r="D3015" s="51" t="s">
        <v>1011</v>
      </c>
      <c r="E3015" s="51" t="s">
        <v>146</v>
      </c>
      <c r="F3015" s="51"/>
      <c r="G3015" s="52" t="s">
        <v>910</v>
      </c>
      <c r="H3015" s="51" t="s">
        <v>1650</v>
      </c>
      <c r="I3015" s="51" t="s">
        <v>912</v>
      </c>
    </row>
    <row r="3016" customFormat="false" ht="25.5" hidden="false" customHeight="true" outlineLevel="0" collapsed="false">
      <c r="A3016" s="51" t="s">
        <v>1125</v>
      </c>
      <c r="B3016" s="51" t="s">
        <v>950</v>
      </c>
      <c r="C3016" s="51" t="s">
        <v>1018</v>
      </c>
      <c r="D3016" s="51" t="s">
        <v>1019</v>
      </c>
      <c r="E3016" s="51" t="s">
        <v>1020</v>
      </c>
      <c r="F3016" s="51"/>
      <c r="G3016" s="52" t="s">
        <v>910</v>
      </c>
      <c r="H3016" s="51" t="s">
        <v>1650</v>
      </c>
      <c r="I3016" s="51" t="s">
        <v>912</v>
      </c>
    </row>
    <row r="3017" customFormat="false" ht="25.5" hidden="false" customHeight="true" outlineLevel="0" collapsed="false">
      <c r="A3017" s="49" t="s">
        <v>1125</v>
      </c>
      <c r="B3017" s="49" t="s">
        <v>950</v>
      </c>
      <c r="C3017" s="49" t="s">
        <v>951</v>
      </c>
      <c r="D3017" s="49"/>
      <c r="E3017" s="49" t="s">
        <v>217</v>
      </c>
      <c r="F3017" s="49" t="s">
        <v>952</v>
      </c>
      <c r="G3017" s="49" t="s">
        <v>772</v>
      </c>
      <c r="H3017" s="49" t="s">
        <v>1132</v>
      </c>
      <c r="I3017" s="49" t="s">
        <v>885</v>
      </c>
    </row>
    <row r="3018" customFormat="false" ht="25.5" hidden="false" customHeight="true" outlineLevel="0" collapsed="false">
      <c r="A3018" s="49" t="s">
        <v>1125</v>
      </c>
      <c r="B3018" s="49" t="s">
        <v>950</v>
      </c>
      <c r="C3018" s="49" t="s">
        <v>953</v>
      </c>
      <c r="D3018" s="49" t="s">
        <v>954</v>
      </c>
      <c r="E3018" s="49" t="s">
        <v>217</v>
      </c>
      <c r="F3018" s="49" t="s">
        <v>955</v>
      </c>
      <c r="G3018" s="49" t="s">
        <v>772</v>
      </c>
      <c r="H3018" s="49" t="s">
        <v>1132</v>
      </c>
      <c r="I3018" s="49" t="s">
        <v>885</v>
      </c>
    </row>
    <row r="3019" customFormat="false" ht="25.5" hidden="false" customHeight="true" outlineLevel="0" collapsed="false">
      <c r="A3019" s="51" t="s">
        <v>1125</v>
      </c>
      <c r="B3019" s="51" t="s">
        <v>950</v>
      </c>
      <c r="C3019" s="51" t="s">
        <v>1021</v>
      </c>
      <c r="D3019" s="51" t="s">
        <v>954</v>
      </c>
      <c r="E3019" s="51" t="s">
        <v>146</v>
      </c>
      <c r="F3019" s="51"/>
      <c r="G3019" s="52" t="s">
        <v>910</v>
      </c>
      <c r="H3019" s="51" t="s">
        <v>1650</v>
      </c>
      <c r="I3019" s="51" t="s">
        <v>912</v>
      </c>
    </row>
    <row r="3020" customFormat="false" ht="25.5" hidden="false" customHeight="true" outlineLevel="0" collapsed="false">
      <c r="A3020" s="51" t="s">
        <v>1125</v>
      </c>
      <c r="B3020" s="51" t="s">
        <v>950</v>
      </c>
      <c r="C3020" s="51" t="s">
        <v>1022</v>
      </c>
      <c r="D3020" s="51" t="s">
        <v>1019</v>
      </c>
      <c r="E3020" s="51" t="s">
        <v>1023</v>
      </c>
      <c r="F3020" s="51"/>
      <c r="G3020" s="52" t="s">
        <v>910</v>
      </c>
      <c r="H3020" s="51" t="s">
        <v>1650</v>
      </c>
      <c r="I3020" s="51" t="s">
        <v>912</v>
      </c>
    </row>
    <row r="3021" customFormat="false" ht="25.5" hidden="false" customHeight="true" outlineLevel="0" collapsed="false">
      <c r="A3021" s="51" t="s">
        <v>1125</v>
      </c>
      <c r="B3021" s="51" t="s">
        <v>950</v>
      </c>
      <c r="C3021" s="51" t="s">
        <v>956</v>
      </c>
      <c r="D3021" s="51" t="s">
        <v>954</v>
      </c>
      <c r="E3021" s="51" t="s">
        <v>957</v>
      </c>
      <c r="F3021" s="51" t="s">
        <v>958</v>
      </c>
      <c r="G3021" s="52" t="s">
        <v>910</v>
      </c>
      <c r="H3021" s="51" t="s">
        <v>1650</v>
      </c>
      <c r="I3021" s="51" t="s">
        <v>912</v>
      </c>
    </row>
    <row r="3022" customFormat="false" ht="25.5" hidden="false" customHeight="true" outlineLevel="0" collapsed="false">
      <c r="A3022" s="51" t="s">
        <v>1125</v>
      </c>
      <c r="B3022" s="51" t="s">
        <v>950</v>
      </c>
      <c r="C3022" s="51" t="s">
        <v>1024</v>
      </c>
      <c r="D3022" s="51" t="s">
        <v>1025</v>
      </c>
      <c r="E3022" s="51" t="s">
        <v>146</v>
      </c>
      <c r="F3022" s="51" t="s">
        <v>1026</v>
      </c>
      <c r="G3022" s="52" t="s">
        <v>910</v>
      </c>
      <c r="H3022" s="51" t="s">
        <v>1650</v>
      </c>
      <c r="I3022" s="51" t="s">
        <v>912</v>
      </c>
    </row>
    <row r="3023" customFormat="false" ht="25.5" hidden="false" customHeight="true" outlineLevel="0" collapsed="false">
      <c r="A3023" s="51" t="s">
        <v>1125</v>
      </c>
      <c r="B3023" s="51" t="s">
        <v>950</v>
      </c>
      <c r="C3023" s="51" t="s">
        <v>1027</v>
      </c>
      <c r="D3023" s="51" t="s">
        <v>1025</v>
      </c>
      <c r="E3023" s="51" t="s">
        <v>146</v>
      </c>
      <c r="F3023" s="51"/>
      <c r="G3023" s="52" t="s">
        <v>910</v>
      </c>
      <c r="H3023" s="51" t="s">
        <v>1650</v>
      </c>
      <c r="I3023" s="51" t="s">
        <v>912</v>
      </c>
    </row>
    <row r="3024" customFormat="false" ht="25.5" hidden="false" customHeight="true" outlineLevel="0" collapsed="false">
      <c r="A3024" s="51" t="s">
        <v>1125</v>
      </c>
      <c r="B3024" s="51" t="s">
        <v>896</v>
      </c>
      <c r="C3024" s="51" t="s">
        <v>1028</v>
      </c>
      <c r="D3024" s="51" t="s">
        <v>1029</v>
      </c>
      <c r="E3024" s="51" t="s">
        <v>146</v>
      </c>
      <c r="F3024" s="51" t="s">
        <v>1030</v>
      </c>
      <c r="G3024" s="52" t="s">
        <v>910</v>
      </c>
      <c r="H3024" s="51" t="s">
        <v>1650</v>
      </c>
      <c r="I3024" s="51" t="s">
        <v>912</v>
      </c>
    </row>
    <row r="3025" customFormat="false" ht="25.5" hidden="false" customHeight="true" outlineLevel="0" collapsed="false">
      <c r="A3025" s="56" t="s">
        <v>1125</v>
      </c>
      <c r="B3025" s="56" t="s">
        <v>896</v>
      </c>
      <c r="C3025" s="56" t="s">
        <v>897</v>
      </c>
      <c r="D3025" s="56" t="s">
        <v>898</v>
      </c>
      <c r="E3025" s="56" t="s">
        <v>899</v>
      </c>
      <c r="F3025" s="56"/>
      <c r="G3025" s="56" t="s">
        <v>776</v>
      </c>
      <c r="H3025" s="56" t="s">
        <v>1656</v>
      </c>
      <c r="I3025" s="56" t="s">
        <v>1653</v>
      </c>
    </row>
    <row r="3026" customFormat="false" ht="25.5" hidden="false" customHeight="true" outlineLevel="0" collapsed="false">
      <c r="A3026" s="56" t="s">
        <v>1125</v>
      </c>
      <c r="B3026" s="56" t="s">
        <v>896</v>
      </c>
      <c r="C3026" s="56" t="s">
        <v>900</v>
      </c>
      <c r="D3026" s="56" t="s">
        <v>898</v>
      </c>
      <c r="E3026" s="56" t="s">
        <v>893</v>
      </c>
      <c r="F3026" s="56"/>
      <c r="G3026" s="56" t="s">
        <v>776</v>
      </c>
      <c r="H3026" s="56" t="s">
        <v>1656</v>
      </c>
      <c r="I3026" s="56" t="s">
        <v>1653</v>
      </c>
    </row>
    <row r="3027" customFormat="false" ht="25.5" hidden="false" customHeight="true" outlineLevel="0" collapsed="false">
      <c r="A3027" s="56" t="s">
        <v>1125</v>
      </c>
      <c r="B3027" s="56" t="s">
        <v>896</v>
      </c>
      <c r="C3027" s="56" t="s">
        <v>901</v>
      </c>
      <c r="D3027" s="56" t="s">
        <v>898</v>
      </c>
      <c r="E3027" s="56" t="s">
        <v>893</v>
      </c>
      <c r="F3027" s="56"/>
      <c r="G3027" s="56" t="s">
        <v>776</v>
      </c>
      <c r="H3027" s="56" t="s">
        <v>1656</v>
      </c>
      <c r="I3027" s="56" t="s">
        <v>1653</v>
      </c>
    </row>
    <row r="3028" customFormat="false" ht="25.5" hidden="false" customHeight="true" outlineLevel="0" collapsed="false">
      <c r="A3028" s="56" t="s">
        <v>1125</v>
      </c>
      <c r="B3028" s="56" t="s">
        <v>896</v>
      </c>
      <c r="C3028" s="56" t="s">
        <v>902</v>
      </c>
      <c r="D3028" s="56" t="s">
        <v>903</v>
      </c>
      <c r="E3028" s="56" t="s">
        <v>893</v>
      </c>
      <c r="F3028" s="56"/>
      <c r="G3028" s="56" t="s">
        <v>776</v>
      </c>
      <c r="H3028" s="56" t="s">
        <v>1656</v>
      </c>
      <c r="I3028" s="56" t="s">
        <v>1653</v>
      </c>
    </row>
    <row r="3029" customFormat="false" ht="25.5" hidden="false" customHeight="true" outlineLevel="0" collapsed="false">
      <c r="A3029" s="56" t="s">
        <v>1125</v>
      </c>
      <c r="B3029" s="56" t="s">
        <v>896</v>
      </c>
      <c r="C3029" s="56" t="s">
        <v>904</v>
      </c>
      <c r="D3029" s="56"/>
      <c r="E3029" s="56" t="s">
        <v>893</v>
      </c>
      <c r="F3029" s="56"/>
      <c r="G3029" s="56" t="s">
        <v>776</v>
      </c>
      <c r="H3029" s="56" t="s">
        <v>1656</v>
      </c>
      <c r="I3029" s="56" t="s">
        <v>1653</v>
      </c>
    </row>
    <row r="3030" customFormat="false" ht="25.5" hidden="false" customHeight="true" outlineLevel="0" collapsed="false">
      <c r="A3030" s="56" t="s">
        <v>1125</v>
      </c>
      <c r="B3030" s="56" t="s">
        <v>896</v>
      </c>
      <c r="C3030" s="56" t="s">
        <v>905</v>
      </c>
      <c r="D3030" s="56"/>
      <c r="E3030" s="56" t="s">
        <v>893</v>
      </c>
      <c r="F3030" s="56"/>
      <c r="G3030" s="56" t="s">
        <v>776</v>
      </c>
      <c r="H3030" s="56" t="s">
        <v>1656</v>
      </c>
      <c r="I3030" s="56" t="s">
        <v>1653</v>
      </c>
    </row>
    <row r="3031" customFormat="false" ht="25.5" hidden="false" customHeight="true" outlineLevel="0" collapsed="false">
      <c r="A3031" s="56" t="s">
        <v>1125</v>
      </c>
      <c r="B3031" s="56" t="s">
        <v>896</v>
      </c>
      <c r="C3031" s="56" t="s">
        <v>906</v>
      </c>
      <c r="D3031" s="56"/>
      <c r="E3031" s="56" t="s">
        <v>893</v>
      </c>
      <c r="F3031" s="56"/>
      <c r="G3031" s="56" t="s">
        <v>776</v>
      </c>
      <c r="H3031" s="56" t="s">
        <v>1656</v>
      </c>
      <c r="I3031" s="56" t="s">
        <v>1653</v>
      </c>
    </row>
    <row r="3032" customFormat="false" ht="25.5" hidden="false" customHeight="true" outlineLevel="0" collapsed="false">
      <c r="A3032" s="49" t="s">
        <v>1125</v>
      </c>
      <c r="B3032" s="49" t="s">
        <v>907</v>
      </c>
      <c r="C3032" s="49" t="s">
        <v>1507</v>
      </c>
      <c r="D3032" s="49" t="s">
        <v>1032</v>
      </c>
      <c r="E3032" s="49" t="s">
        <v>1142</v>
      </c>
      <c r="F3032" s="49" t="s">
        <v>1500</v>
      </c>
      <c r="G3032" s="49" t="s">
        <v>772</v>
      </c>
      <c r="H3032" s="49" t="s">
        <v>1132</v>
      </c>
      <c r="I3032" s="49" t="s">
        <v>885</v>
      </c>
    </row>
    <row r="3033" customFormat="false" ht="25.5" hidden="false" customHeight="true" outlineLevel="0" collapsed="false">
      <c r="A3033" s="49" t="s">
        <v>1125</v>
      </c>
      <c r="B3033" s="49" t="s">
        <v>907</v>
      </c>
      <c r="C3033" s="49" t="s">
        <v>1508</v>
      </c>
      <c r="D3033" s="49" t="s">
        <v>1034</v>
      </c>
      <c r="E3033" s="49" t="s">
        <v>1142</v>
      </c>
      <c r="F3033" s="49" t="s">
        <v>1500</v>
      </c>
      <c r="G3033" s="49" t="s">
        <v>772</v>
      </c>
      <c r="H3033" s="49" t="s">
        <v>1132</v>
      </c>
      <c r="I3033" s="49" t="s">
        <v>885</v>
      </c>
    </row>
    <row r="3034" customFormat="false" ht="25.5" hidden="false" customHeight="true" outlineLevel="0" collapsed="false">
      <c r="A3034" s="49" t="s">
        <v>1125</v>
      </c>
      <c r="B3034" s="49" t="s">
        <v>907</v>
      </c>
      <c r="C3034" s="49" t="s">
        <v>1509</v>
      </c>
      <c r="D3034" s="49" t="s">
        <v>1032</v>
      </c>
      <c r="E3034" s="49" t="s">
        <v>1189</v>
      </c>
      <c r="F3034" s="49" t="s">
        <v>1500</v>
      </c>
      <c r="G3034" s="49" t="s">
        <v>772</v>
      </c>
      <c r="H3034" s="49" t="s">
        <v>1132</v>
      </c>
      <c r="I3034" s="49" t="s">
        <v>885</v>
      </c>
    </row>
    <row r="3035" customFormat="false" ht="25.5" hidden="false" customHeight="true" outlineLevel="0" collapsed="false">
      <c r="A3035" s="51" t="s">
        <v>1125</v>
      </c>
      <c r="B3035" s="51" t="s">
        <v>907</v>
      </c>
      <c r="C3035" s="51" t="s">
        <v>1031</v>
      </c>
      <c r="D3035" s="51" t="s">
        <v>1032</v>
      </c>
      <c r="E3035" s="51" t="s">
        <v>146</v>
      </c>
      <c r="F3035" s="51"/>
      <c r="G3035" s="52" t="s">
        <v>910</v>
      </c>
      <c r="H3035" s="51" t="s">
        <v>1650</v>
      </c>
      <c r="I3035" s="51" t="s">
        <v>912</v>
      </c>
    </row>
    <row r="3036" customFormat="false" ht="25.5" hidden="false" customHeight="true" outlineLevel="0" collapsed="false">
      <c r="A3036" s="51" t="s">
        <v>1125</v>
      </c>
      <c r="B3036" s="51" t="s">
        <v>907</v>
      </c>
      <c r="C3036" s="51" t="s">
        <v>1033</v>
      </c>
      <c r="D3036" s="51" t="s">
        <v>1034</v>
      </c>
      <c r="E3036" s="51" t="s">
        <v>146</v>
      </c>
      <c r="F3036" s="51"/>
      <c r="G3036" s="52" t="s">
        <v>910</v>
      </c>
      <c r="H3036" s="51" t="s">
        <v>1650</v>
      </c>
      <c r="I3036" s="51" t="s">
        <v>912</v>
      </c>
    </row>
    <row r="3037" customFormat="false" ht="25.5" hidden="false" customHeight="true" outlineLevel="0" collapsed="false">
      <c r="A3037" s="51" t="s">
        <v>1125</v>
      </c>
      <c r="B3037" s="51" t="s">
        <v>907</v>
      </c>
      <c r="C3037" s="51" t="s">
        <v>1035</v>
      </c>
      <c r="D3037" s="51" t="s">
        <v>1034</v>
      </c>
      <c r="E3037" s="51" t="s">
        <v>1036</v>
      </c>
      <c r="F3037" s="51" t="s">
        <v>1037</v>
      </c>
      <c r="G3037" s="52" t="s">
        <v>910</v>
      </c>
      <c r="H3037" s="51" t="s">
        <v>1650</v>
      </c>
      <c r="I3037" s="51" t="s">
        <v>912</v>
      </c>
    </row>
    <row r="3038" customFormat="false" ht="25.5" hidden="false" customHeight="true" outlineLevel="0" collapsed="false">
      <c r="A3038" s="51" t="s">
        <v>1125</v>
      </c>
      <c r="B3038" s="51" t="s">
        <v>907</v>
      </c>
      <c r="C3038" s="51" t="s">
        <v>1038</v>
      </c>
      <c r="D3038" s="51" t="s">
        <v>1039</v>
      </c>
      <c r="E3038" s="51" t="s">
        <v>146</v>
      </c>
      <c r="F3038" s="51"/>
      <c r="G3038" s="52" t="s">
        <v>910</v>
      </c>
      <c r="H3038" s="51" t="s">
        <v>1650</v>
      </c>
      <c r="I3038" s="51" t="s">
        <v>912</v>
      </c>
    </row>
    <row r="3039" customFormat="false" ht="25.5" hidden="false" customHeight="true" outlineLevel="0" collapsed="false">
      <c r="A3039" s="51" t="s">
        <v>1125</v>
      </c>
      <c r="B3039" s="51" t="s">
        <v>907</v>
      </c>
      <c r="C3039" s="51" t="s">
        <v>908</v>
      </c>
      <c r="D3039" s="51"/>
      <c r="E3039" s="51" t="s">
        <v>909</v>
      </c>
      <c r="F3039" s="51"/>
      <c r="G3039" s="52" t="s">
        <v>910</v>
      </c>
      <c r="H3039" s="51" t="s">
        <v>1650</v>
      </c>
      <c r="I3039" s="51" t="s">
        <v>912</v>
      </c>
    </row>
    <row r="3040" customFormat="false" ht="25.5" hidden="false" customHeight="true" outlineLevel="0" collapsed="false">
      <c r="A3040" s="56" t="s">
        <v>1125</v>
      </c>
      <c r="B3040" s="56" t="s">
        <v>907</v>
      </c>
      <c r="C3040" s="56" t="s">
        <v>913</v>
      </c>
      <c r="D3040" s="56"/>
      <c r="E3040" s="56" t="s">
        <v>893</v>
      </c>
      <c r="F3040" s="56"/>
      <c r="G3040" s="56" t="s">
        <v>776</v>
      </c>
      <c r="H3040" s="56" t="s">
        <v>1656</v>
      </c>
      <c r="I3040" s="56" t="s">
        <v>1653</v>
      </c>
    </row>
    <row r="3041" customFormat="false" ht="25.5" hidden="false" customHeight="true" outlineLevel="0" collapsed="false">
      <c r="A3041" s="56" t="s">
        <v>1125</v>
      </c>
      <c r="B3041" s="56" t="s">
        <v>907</v>
      </c>
      <c r="C3041" s="56" t="s">
        <v>914</v>
      </c>
      <c r="D3041" s="56"/>
      <c r="E3041" s="56" t="s">
        <v>893</v>
      </c>
      <c r="F3041" s="56"/>
      <c r="G3041" s="56" t="s">
        <v>776</v>
      </c>
      <c r="H3041" s="56" t="s">
        <v>1656</v>
      </c>
      <c r="I3041" s="56" t="s">
        <v>1653</v>
      </c>
    </row>
    <row r="3042" customFormat="false" ht="25.5" hidden="false" customHeight="true" outlineLevel="0" collapsed="false">
      <c r="A3042" s="51" t="s">
        <v>1125</v>
      </c>
      <c r="B3042" s="51" t="s">
        <v>907</v>
      </c>
      <c r="C3042" s="51" t="s">
        <v>1040</v>
      </c>
      <c r="D3042" s="51" t="s">
        <v>1039</v>
      </c>
      <c r="E3042" s="51" t="s">
        <v>146</v>
      </c>
      <c r="F3042" s="51"/>
      <c r="G3042" s="52" t="s">
        <v>910</v>
      </c>
      <c r="H3042" s="51" t="s">
        <v>1650</v>
      </c>
      <c r="I3042" s="51" t="s">
        <v>912</v>
      </c>
    </row>
    <row r="3043" customFormat="false" ht="25.5" hidden="false" customHeight="true" outlineLevel="0" collapsed="false">
      <c r="A3043" s="49" t="s">
        <v>1125</v>
      </c>
      <c r="B3043" s="49" t="s">
        <v>907</v>
      </c>
      <c r="C3043" s="49" t="s">
        <v>1510</v>
      </c>
      <c r="D3043" s="49"/>
      <c r="E3043" s="49" t="s">
        <v>1511</v>
      </c>
      <c r="F3043" s="49" t="s">
        <v>1512</v>
      </c>
      <c r="G3043" s="49" t="s">
        <v>772</v>
      </c>
      <c r="H3043" s="49" t="s">
        <v>1132</v>
      </c>
      <c r="I3043" s="49" t="s">
        <v>885</v>
      </c>
    </row>
    <row r="3044" customFormat="false" ht="25.5" hidden="false" customHeight="true" outlineLevel="0" collapsed="false">
      <c r="A3044" s="49" t="s">
        <v>1125</v>
      </c>
      <c r="B3044" s="49" t="s">
        <v>907</v>
      </c>
      <c r="C3044" s="49" t="s">
        <v>960</v>
      </c>
      <c r="D3044" s="49"/>
      <c r="E3044" s="49" t="s">
        <v>217</v>
      </c>
      <c r="F3044" s="49" t="s">
        <v>961</v>
      </c>
      <c r="G3044" s="49" t="s">
        <v>772</v>
      </c>
      <c r="H3044" s="49" t="s">
        <v>1132</v>
      </c>
      <c r="I3044" s="49" t="s">
        <v>885</v>
      </c>
    </row>
    <row r="3045" customFormat="false" ht="25.5" hidden="false" customHeight="true" outlineLevel="0" collapsed="false">
      <c r="A3045" s="49" t="s">
        <v>1125</v>
      </c>
      <c r="B3045" s="49" t="s">
        <v>915</v>
      </c>
      <c r="C3045" s="49" t="s">
        <v>1513</v>
      </c>
      <c r="D3045" s="49" t="s">
        <v>1029</v>
      </c>
      <c r="E3045" s="49" t="s">
        <v>1186</v>
      </c>
      <c r="F3045" s="49" t="s">
        <v>1514</v>
      </c>
      <c r="G3045" s="49" t="s">
        <v>772</v>
      </c>
      <c r="H3045" s="49" t="s">
        <v>1132</v>
      </c>
      <c r="I3045" s="49" t="s">
        <v>885</v>
      </c>
    </row>
    <row r="3046" customFormat="false" ht="25.5" hidden="false" customHeight="true" outlineLevel="0" collapsed="false">
      <c r="A3046" s="49" t="s">
        <v>1125</v>
      </c>
      <c r="B3046" s="49" t="s">
        <v>915</v>
      </c>
      <c r="C3046" s="49" t="s">
        <v>1515</v>
      </c>
      <c r="D3046" s="49" t="s">
        <v>929</v>
      </c>
      <c r="E3046" s="49" t="s">
        <v>1186</v>
      </c>
      <c r="F3046" s="49" t="s">
        <v>1516</v>
      </c>
      <c r="G3046" s="49" t="s">
        <v>772</v>
      </c>
      <c r="H3046" s="49" t="s">
        <v>1132</v>
      </c>
      <c r="I3046" s="49" t="s">
        <v>885</v>
      </c>
    </row>
    <row r="3047" customFormat="false" ht="25.5" hidden="false" customHeight="true" outlineLevel="0" collapsed="false">
      <c r="A3047" s="51" t="s">
        <v>1125</v>
      </c>
      <c r="B3047" s="51" t="s">
        <v>915</v>
      </c>
      <c r="C3047" s="51" t="s">
        <v>1041</v>
      </c>
      <c r="D3047" s="51" t="s">
        <v>1034</v>
      </c>
      <c r="E3047" s="51" t="s">
        <v>146</v>
      </c>
      <c r="F3047" s="51"/>
      <c r="G3047" s="52" t="s">
        <v>910</v>
      </c>
      <c r="H3047" s="51" t="s">
        <v>1650</v>
      </c>
      <c r="I3047" s="51" t="s">
        <v>912</v>
      </c>
    </row>
    <row r="3048" customFormat="false" ht="25.5" hidden="false" customHeight="true" outlineLevel="0" collapsed="false">
      <c r="A3048" s="51" t="s">
        <v>1125</v>
      </c>
      <c r="B3048" s="51" t="s">
        <v>915</v>
      </c>
      <c r="C3048" s="51" t="s">
        <v>1042</v>
      </c>
      <c r="D3048" s="51" t="s">
        <v>1034</v>
      </c>
      <c r="E3048" s="51" t="s">
        <v>146</v>
      </c>
      <c r="F3048" s="51"/>
      <c r="G3048" s="52" t="s">
        <v>910</v>
      </c>
      <c r="H3048" s="51" t="s">
        <v>1650</v>
      </c>
      <c r="I3048" s="51" t="s">
        <v>912</v>
      </c>
    </row>
    <row r="3049" customFormat="false" ht="25.5" hidden="false" customHeight="true" outlineLevel="0" collapsed="false">
      <c r="A3049" s="51" t="s">
        <v>1125</v>
      </c>
      <c r="B3049" s="51" t="s">
        <v>915</v>
      </c>
      <c r="C3049" s="51" t="s">
        <v>1043</v>
      </c>
      <c r="D3049" s="51" t="s">
        <v>903</v>
      </c>
      <c r="E3049" s="51" t="s">
        <v>146</v>
      </c>
      <c r="F3049" s="51"/>
      <c r="G3049" s="52" t="s">
        <v>910</v>
      </c>
      <c r="H3049" s="51" t="s">
        <v>1650</v>
      </c>
      <c r="I3049" s="51" t="s">
        <v>912</v>
      </c>
    </row>
    <row r="3050" customFormat="false" ht="25.5" hidden="false" customHeight="true" outlineLevel="0" collapsed="false">
      <c r="A3050" s="56" t="s">
        <v>1125</v>
      </c>
      <c r="B3050" s="56" t="s">
        <v>915</v>
      </c>
      <c r="C3050" s="56" t="s">
        <v>916</v>
      </c>
      <c r="D3050" s="56"/>
      <c r="E3050" s="56" t="s">
        <v>893</v>
      </c>
      <c r="F3050" s="56"/>
      <c r="G3050" s="56" t="s">
        <v>776</v>
      </c>
      <c r="H3050" s="56" t="s">
        <v>1656</v>
      </c>
      <c r="I3050" s="56" t="s">
        <v>1653</v>
      </c>
    </row>
    <row r="3051" customFormat="false" ht="25.5" hidden="false" customHeight="true" outlineLevel="0" collapsed="false">
      <c r="A3051" s="51" t="s">
        <v>1125</v>
      </c>
      <c r="B3051" s="51" t="s">
        <v>915</v>
      </c>
      <c r="C3051" s="51" t="s">
        <v>1044</v>
      </c>
      <c r="D3051" s="51" t="s">
        <v>1045</v>
      </c>
      <c r="E3051" s="51" t="s">
        <v>146</v>
      </c>
      <c r="F3051" s="51" t="s">
        <v>1046</v>
      </c>
      <c r="G3051" s="52" t="s">
        <v>910</v>
      </c>
      <c r="H3051" s="51" t="s">
        <v>1650</v>
      </c>
      <c r="I3051" s="51" t="s">
        <v>912</v>
      </c>
    </row>
    <row r="3052" customFormat="false" ht="25.5" hidden="false" customHeight="true" outlineLevel="0" collapsed="false">
      <c r="A3052" s="49" t="s">
        <v>1125</v>
      </c>
      <c r="B3052" s="49" t="s">
        <v>1047</v>
      </c>
      <c r="C3052" s="49" t="s">
        <v>1517</v>
      </c>
      <c r="D3052" s="49" t="s">
        <v>965</v>
      </c>
      <c r="E3052" s="49" t="s">
        <v>1186</v>
      </c>
      <c r="F3052" s="49" t="s">
        <v>1518</v>
      </c>
      <c r="G3052" s="49" t="s">
        <v>772</v>
      </c>
      <c r="H3052" s="49" t="s">
        <v>1132</v>
      </c>
      <c r="I3052" s="49" t="s">
        <v>885</v>
      </c>
    </row>
    <row r="3053" customFormat="false" ht="25.5" hidden="false" customHeight="true" outlineLevel="0" collapsed="false">
      <c r="A3053" s="51" t="s">
        <v>1125</v>
      </c>
      <c r="B3053" s="51" t="s">
        <v>1047</v>
      </c>
      <c r="C3053" s="51" t="s">
        <v>1048</v>
      </c>
      <c r="D3053" s="51" t="s">
        <v>1049</v>
      </c>
      <c r="E3053" s="51" t="s">
        <v>146</v>
      </c>
      <c r="F3053" s="51"/>
      <c r="G3053" s="52" t="s">
        <v>910</v>
      </c>
      <c r="H3053" s="51" t="s">
        <v>1650</v>
      </c>
      <c r="I3053" s="51" t="s">
        <v>912</v>
      </c>
    </row>
    <row r="3054" customFormat="false" ht="25.5" hidden="false" customHeight="true" outlineLevel="0" collapsed="false">
      <c r="A3054" s="51" t="s">
        <v>1125</v>
      </c>
      <c r="B3054" s="51" t="s">
        <v>1047</v>
      </c>
      <c r="C3054" s="51" t="s">
        <v>1050</v>
      </c>
      <c r="D3054" s="51" t="s">
        <v>991</v>
      </c>
      <c r="E3054" s="51" t="s">
        <v>146</v>
      </c>
      <c r="F3054" s="51"/>
      <c r="G3054" s="52" t="s">
        <v>910</v>
      </c>
      <c r="H3054" s="51" t="s">
        <v>1650</v>
      </c>
      <c r="I3054" s="51" t="s">
        <v>912</v>
      </c>
    </row>
    <row r="3055" customFormat="false" ht="25.5" hidden="false" customHeight="true" outlineLevel="0" collapsed="false">
      <c r="A3055" s="51" t="s">
        <v>1125</v>
      </c>
      <c r="B3055" s="51" t="s">
        <v>1047</v>
      </c>
      <c r="C3055" s="51" t="s">
        <v>1051</v>
      </c>
      <c r="D3055" s="51" t="s">
        <v>991</v>
      </c>
      <c r="E3055" s="51" t="s">
        <v>146</v>
      </c>
      <c r="F3055" s="51"/>
      <c r="G3055" s="52" t="s">
        <v>910</v>
      </c>
      <c r="H3055" s="51" t="s">
        <v>1650</v>
      </c>
      <c r="I3055" s="51" t="s">
        <v>912</v>
      </c>
    </row>
    <row r="3056" customFormat="false" ht="25.5" hidden="false" customHeight="true" outlineLevel="0" collapsed="false">
      <c r="A3056" s="49" t="s">
        <v>1125</v>
      </c>
      <c r="B3056" s="49" t="s">
        <v>917</v>
      </c>
      <c r="C3056" s="49" t="s">
        <v>1519</v>
      </c>
      <c r="D3056" s="49" t="s">
        <v>968</v>
      </c>
      <c r="E3056" s="49" t="s">
        <v>1520</v>
      </c>
      <c r="F3056" s="49" t="s">
        <v>1352</v>
      </c>
      <c r="G3056" s="49" t="s">
        <v>772</v>
      </c>
      <c r="H3056" s="49" t="s">
        <v>1132</v>
      </c>
      <c r="I3056" s="49" t="s">
        <v>885</v>
      </c>
    </row>
    <row r="3057" customFormat="false" ht="25.5" hidden="false" customHeight="true" outlineLevel="0" collapsed="false">
      <c r="A3057" s="49" t="s">
        <v>1125</v>
      </c>
      <c r="B3057" s="49" t="s">
        <v>917</v>
      </c>
      <c r="C3057" s="49" t="s">
        <v>1521</v>
      </c>
      <c r="D3057" s="49" t="s">
        <v>1522</v>
      </c>
      <c r="E3057" s="49" t="s">
        <v>1186</v>
      </c>
      <c r="F3057" s="49" t="s">
        <v>1523</v>
      </c>
      <c r="G3057" s="49" t="s">
        <v>772</v>
      </c>
      <c r="H3057" s="49" t="s">
        <v>1132</v>
      </c>
      <c r="I3057" s="49" t="s">
        <v>885</v>
      </c>
    </row>
    <row r="3058" customFormat="false" ht="25.5" hidden="false" customHeight="true" outlineLevel="0" collapsed="false">
      <c r="A3058" s="49" t="s">
        <v>1125</v>
      </c>
      <c r="B3058" s="49" t="s">
        <v>917</v>
      </c>
      <c r="C3058" s="49" t="s">
        <v>1524</v>
      </c>
      <c r="D3058" s="49" t="s">
        <v>965</v>
      </c>
      <c r="E3058" s="49" t="s">
        <v>1520</v>
      </c>
      <c r="F3058" s="49" t="s">
        <v>1525</v>
      </c>
      <c r="G3058" s="49" t="s">
        <v>772</v>
      </c>
      <c r="H3058" s="49" t="s">
        <v>1132</v>
      </c>
      <c r="I3058" s="49" t="s">
        <v>885</v>
      </c>
    </row>
    <row r="3059" customFormat="false" ht="25.5" hidden="false" customHeight="true" outlineLevel="0" collapsed="false">
      <c r="A3059" s="49" t="s">
        <v>1125</v>
      </c>
      <c r="B3059" s="49" t="s">
        <v>917</v>
      </c>
      <c r="C3059" s="49" t="s">
        <v>1526</v>
      </c>
      <c r="D3059" s="49" t="s">
        <v>919</v>
      </c>
      <c r="E3059" s="49" t="s">
        <v>1527</v>
      </c>
      <c r="F3059" s="49" t="s">
        <v>1528</v>
      </c>
      <c r="G3059" s="49" t="s">
        <v>772</v>
      </c>
      <c r="H3059" s="49" t="s">
        <v>1132</v>
      </c>
      <c r="I3059" s="49" t="s">
        <v>885</v>
      </c>
    </row>
    <row r="3060" customFormat="false" ht="25.5" hidden="false" customHeight="true" outlineLevel="0" collapsed="false">
      <c r="A3060" s="49" t="s">
        <v>1125</v>
      </c>
      <c r="B3060" s="49" t="s">
        <v>917</v>
      </c>
      <c r="C3060" s="49" t="s">
        <v>964</v>
      </c>
      <c r="D3060" s="49" t="s">
        <v>965</v>
      </c>
      <c r="E3060" s="49" t="s">
        <v>217</v>
      </c>
      <c r="F3060" s="49" t="s">
        <v>966</v>
      </c>
      <c r="G3060" s="49" t="s">
        <v>772</v>
      </c>
      <c r="H3060" s="49" t="s">
        <v>1132</v>
      </c>
      <c r="I3060" s="49" t="s">
        <v>885</v>
      </c>
    </row>
    <row r="3061" customFormat="false" ht="25.5" hidden="false" customHeight="true" outlineLevel="0" collapsed="false">
      <c r="A3061" s="49" t="s">
        <v>1125</v>
      </c>
      <c r="B3061" s="49" t="s">
        <v>917</v>
      </c>
      <c r="C3061" s="49" t="s">
        <v>967</v>
      </c>
      <c r="D3061" s="49" t="s">
        <v>968</v>
      </c>
      <c r="E3061" s="49" t="s">
        <v>969</v>
      </c>
      <c r="F3061" s="49" t="s">
        <v>970</v>
      </c>
      <c r="G3061" s="49" t="s">
        <v>772</v>
      </c>
      <c r="H3061" s="49" t="s">
        <v>1132</v>
      </c>
      <c r="I3061" s="49" t="s">
        <v>885</v>
      </c>
    </row>
    <row r="3062" customFormat="false" ht="25.5" hidden="false" customHeight="true" outlineLevel="0" collapsed="false">
      <c r="A3062" s="49" t="s">
        <v>1125</v>
      </c>
      <c r="B3062" s="49" t="s">
        <v>917</v>
      </c>
      <c r="C3062" s="49" t="s">
        <v>1529</v>
      </c>
      <c r="D3062" s="49" t="s">
        <v>1530</v>
      </c>
      <c r="E3062" s="49" t="s">
        <v>1500</v>
      </c>
      <c r="F3062" s="49" t="s">
        <v>1531</v>
      </c>
      <c r="G3062" s="49" t="s">
        <v>772</v>
      </c>
      <c r="H3062" s="49" t="s">
        <v>1132</v>
      </c>
      <c r="I3062" s="49" t="s">
        <v>885</v>
      </c>
    </row>
    <row r="3063" customFormat="false" ht="25.5" hidden="false" customHeight="true" outlineLevel="0" collapsed="false">
      <c r="A3063" s="56" t="s">
        <v>1125</v>
      </c>
      <c r="B3063" s="56" t="s">
        <v>917</v>
      </c>
      <c r="C3063" s="56" t="s">
        <v>918</v>
      </c>
      <c r="D3063" s="56" t="s">
        <v>919</v>
      </c>
      <c r="E3063" s="56" t="s">
        <v>882</v>
      </c>
      <c r="F3063" s="56" t="s">
        <v>920</v>
      </c>
      <c r="G3063" s="56" t="s">
        <v>776</v>
      </c>
      <c r="H3063" s="56" t="s">
        <v>1655</v>
      </c>
      <c r="I3063" s="56" t="s">
        <v>1653</v>
      </c>
    </row>
    <row r="3064" customFormat="false" ht="25.5" hidden="false" customHeight="true" outlineLevel="0" collapsed="false">
      <c r="A3064" s="56" t="s">
        <v>1125</v>
      </c>
      <c r="B3064" s="56" t="s">
        <v>917</v>
      </c>
      <c r="C3064" s="56" t="s">
        <v>921</v>
      </c>
      <c r="D3064" s="56" t="s">
        <v>922</v>
      </c>
      <c r="E3064" s="56" t="s">
        <v>882</v>
      </c>
      <c r="F3064" s="56" t="s">
        <v>923</v>
      </c>
      <c r="G3064" s="56" t="s">
        <v>776</v>
      </c>
      <c r="H3064" s="56" t="s">
        <v>1655</v>
      </c>
      <c r="I3064" s="56" t="s">
        <v>1653</v>
      </c>
    </row>
    <row r="3065" customFormat="false" ht="25.5" hidden="false" customHeight="true" outlineLevel="0" collapsed="false">
      <c r="A3065" s="49" t="s">
        <v>1125</v>
      </c>
      <c r="B3065" s="49" t="s">
        <v>917</v>
      </c>
      <c r="C3065" s="49" t="s">
        <v>1532</v>
      </c>
      <c r="D3065" s="49" t="s">
        <v>919</v>
      </c>
      <c r="E3065" s="49" t="s">
        <v>1533</v>
      </c>
      <c r="F3065" s="49" t="s">
        <v>1534</v>
      </c>
      <c r="G3065" s="49" t="s">
        <v>772</v>
      </c>
      <c r="H3065" s="49" t="s">
        <v>1132</v>
      </c>
      <c r="I3065" s="49" t="s">
        <v>885</v>
      </c>
    </row>
    <row r="3066" customFormat="false" ht="25.5" hidden="false" customHeight="true" outlineLevel="0" collapsed="false">
      <c r="A3066" s="51" t="s">
        <v>1125</v>
      </c>
      <c r="B3066" s="51" t="s">
        <v>917</v>
      </c>
      <c r="C3066" s="51" t="s">
        <v>1052</v>
      </c>
      <c r="D3066" s="51" t="s">
        <v>968</v>
      </c>
      <c r="E3066" s="51" t="s">
        <v>146</v>
      </c>
      <c r="F3066" s="51" t="s">
        <v>1053</v>
      </c>
      <c r="G3066" s="52" t="s">
        <v>910</v>
      </c>
      <c r="H3066" s="51" t="s">
        <v>1650</v>
      </c>
      <c r="I3066" s="51" t="s">
        <v>912</v>
      </c>
    </row>
    <row r="3067" customFormat="false" ht="25.5" hidden="false" customHeight="true" outlineLevel="0" collapsed="false">
      <c r="A3067" s="51" t="s">
        <v>1125</v>
      </c>
      <c r="B3067" s="51" t="s">
        <v>917</v>
      </c>
      <c r="C3067" s="51" t="s">
        <v>1054</v>
      </c>
      <c r="D3067" s="51" t="s">
        <v>965</v>
      </c>
      <c r="E3067" s="51" t="s">
        <v>1055</v>
      </c>
      <c r="F3067" s="51" t="s">
        <v>1056</v>
      </c>
      <c r="G3067" s="52" t="s">
        <v>910</v>
      </c>
      <c r="H3067" s="51" t="s">
        <v>1650</v>
      </c>
      <c r="I3067" s="51" t="s">
        <v>912</v>
      </c>
    </row>
    <row r="3068" customFormat="false" ht="25.5" hidden="false" customHeight="true" outlineLevel="0" collapsed="false">
      <c r="A3068" s="56" t="s">
        <v>1125</v>
      </c>
      <c r="B3068" s="56" t="s">
        <v>917</v>
      </c>
      <c r="C3068" s="56" t="s">
        <v>924</v>
      </c>
      <c r="D3068" s="56"/>
      <c r="E3068" s="56" t="s">
        <v>893</v>
      </c>
      <c r="F3068" s="56"/>
      <c r="G3068" s="56" t="s">
        <v>776</v>
      </c>
      <c r="H3068" s="56" t="s">
        <v>1656</v>
      </c>
      <c r="I3068" s="56" t="s">
        <v>1653</v>
      </c>
    </row>
    <row r="3069" customFormat="false" ht="25.5" hidden="false" customHeight="true" outlineLevel="0" collapsed="false">
      <c r="A3069" s="49" t="s">
        <v>1125</v>
      </c>
      <c r="B3069" s="49" t="s">
        <v>917</v>
      </c>
      <c r="C3069" s="49" t="s">
        <v>1535</v>
      </c>
      <c r="D3069" s="49" t="s">
        <v>929</v>
      </c>
      <c r="E3069" s="49" t="s">
        <v>1536</v>
      </c>
      <c r="F3069" s="49" t="s">
        <v>1537</v>
      </c>
      <c r="G3069" s="49" t="s">
        <v>772</v>
      </c>
      <c r="H3069" s="49" t="s">
        <v>1132</v>
      </c>
      <c r="I3069" s="49" t="s">
        <v>885</v>
      </c>
    </row>
    <row r="3070" customFormat="false" ht="25.5" hidden="false" customHeight="true" outlineLevel="0" collapsed="false">
      <c r="A3070" s="49" t="s">
        <v>1125</v>
      </c>
      <c r="B3070" s="49" t="s">
        <v>917</v>
      </c>
      <c r="C3070" s="49" t="s">
        <v>1538</v>
      </c>
      <c r="D3070" s="49" t="s">
        <v>929</v>
      </c>
      <c r="E3070" s="49" t="s">
        <v>1536</v>
      </c>
      <c r="F3070" s="49" t="s">
        <v>1539</v>
      </c>
      <c r="G3070" s="49" t="s">
        <v>772</v>
      </c>
      <c r="H3070" s="49" t="s">
        <v>1132</v>
      </c>
      <c r="I3070" s="49" t="s">
        <v>885</v>
      </c>
    </row>
    <row r="3071" customFormat="false" ht="25.5" hidden="false" customHeight="true" outlineLevel="0" collapsed="false">
      <c r="A3071" s="49" t="s">
        <v>1125</v>
      </c>
      <c r="B3071" s="49" t="s">
        <v>917</v>
      </c>
      <c r="C3071" s="49" t="s">
        <v>1540</v>
      </c>
      <c r="D3071" s="49" t="s">
        <v>929</v>
      </c>
      <c r="E3071" s="49" t="s">
        <v>1541</v>
      </c>
      <c r="F3071" s="49" t="s">
        <v>1542</v>
      </c>
      <c r="G3071" s="49" t="s">
        <v>772</v>
      </c>
      <c r="H3071" s="49" t="s">
        <v>1132</v>
      </c>
      <c r="I3071" s="49" t="s">
        <v>885</v>
      </c>
    </row>
    <row r="3072" customFormat="false" ht="25.5" hidden="false" customHeight="true" outlineLevel="0" collapsed="false">
      <c r="A3072" s="49" t="s">
        <v>1125</v>
      </c>
      <c r="B3072" s="49" t="s">
        <v>925</v>
      </c>
      <c r="C3072" s="49" t="s">
        <v>1543</v>
      </c>
      <c r="D3072" s="49" t="s">
        <v>972</v>
      </c>
      <c r="E3072" s="49" t="s">
        <v>1186</v>
      </c>
      <c r="F3072" s="49" t="s">
        <v>1544</v>
      </c>
      <c r="G3072" s="49" t="s">
        <v>772</v>
      </c>
      <c r="H3072" s="49" t="s">
        <v>1132</v>
      </c>
      <c r="I3072" s="49" t="s">
        <v>885</v>
      </c>
    </row>
    <row r="3073" customFormat="false" ht="25.5" hidden="false" customHeight="true" outlineLevel="0" collapsed="false">
      <c r="A3073" s="51" t="s">
        <v>1125</v>
      </c>
      <c r="B3073" s="51" t="s">
        <v>925</v>
      </c>
      <c r="C3073" s="51" t="s">
        <v>1057</v>
      </c>
      <c r="D3073" s="51" t="s">
        <v>968</v>
      </c>
      <c r="E3073" s="51" t="s">
        <v>146</v>
      </c>
      <c r="F3073" s="51" t="s">
        <v>1058</v>
      </c>
      <c r="G3073" s="52" t="s">
        <v>910</v>
      </c>
      <c r="H3073" s="51" t="s">
        <v>1650</v>
      </c>
      <c r="I3073" s="51" t="s">
        <v>912</v>
      </c>
    </row>
    <row r="3074" customFormat="false" ht="25.5" hidden="false" customHeight="true" outlineLevel="0" collapsed="false">
      <c r="A3074" s="51" t="s">
        <v>1125</v>
      </c>
      <c r="B3074" s="51" t="s">
        <v>925</v>
      </c>
      <c r="C3074" s="51" t="s">
        <v>1059</v>
      </c>
      <c r="D3074" s="51" t="s">
        <v>968</v>
      </c>
      <c r="E3074" s="51" t="s">
        <v>146</v>
      </c>
      <c r="F3074" s="51"/>
      <c r="G3074" s="52" t="s">
        <v>910</v>
      </c>
      <c r="H3074" s="51" t="s">
        <v>1650</v>
      </c>
      <c r="I3074" s="51" t="s">
        <v>912</v>
      </c>
    </row>
    <row r="3075" customFormat="false" ht="25.5" hidden="false" customHeight="true" outlineLevel="0" collapsed="false">
      <c r="A3075" s="51" t="s">
        <v>1125</v>
      </c>
      <c r="B3075" s="51" t="s">
        <v>925</v>
      </c>
      <c r="C3075" s="51" t="s">
        <v>1060</v>
      </c>
      <c r="D3075" s="51" t="s">
        <v>1061</v>
      </c>
      <c r="E3075" s="51" t="s">
        <v>146</v>
      </c>
      <c r="F3075" s="51" t="s">
        <v>1062</v>
      </c>
      <c r="G3075" s="52" t="s">
        <v>910</v>
      </c>
      <c r="H3075" s="51" t="s">
        <v>1650</v>
      </c>
      <c r="I3075" s="51" t="s">
        <v>912</v>
      </c>
    </row>
    <row r="3076" customFormat="false" ht="25.5" hidden="false" customHeight="true" outlineLevel="0" collapsed="false">
      <c r="A3076" s="51" t="s">
        <v>1125</v>
      </c>
      <c r="B3076" s="51" t="s">
        <v>925</v>
      </c>
      <c r="C3076" s="51" t="s">
        <v>1063</v>
      </c>
      <c r="D3076" s="51" t="s">
        <v>972</v>
      </c>
      <c r="E3076" s="51" t="s">
        <v>146</v>
      </c>
      <c r="F3076" s="51" t="s">
        <v>1058</v>
      </c>
      <c r="G3076" s="52" t="s">
        <v>910</v>
      </c>
      <c r="H3076" s="51" t="s">
        <v>1650</v>
      </c>
      <c r="I3076" s="51" t="s">
        <v>912</v>
      </c>
    </row>
    <row r="3077" customFormat="false" ht="25.5" hidden="false" customHeight="true" outlineLevel="0" collapsed="false">
      <c r="A3077" s="51" t="s">
        <v>1125</v>
      </c>
      <c r="B3077" s="51" t="s">
        <v>925</v>
      </c>
      <c r="C3077" s="51" t="s">
        <v>1064</v>
      </c>
      <c r="D3077" s="51" t="s">
        <v>972</v>
      </c>
      <c r="E3077" s="51" t="s">
        <v>146</v>
      </c>
      <c r="F3077" s="51" t="s">
        <v>1065</v>
      </c>
      <c r="G3077" s="52" t="s">
        <v>910</v>
      </c>
      <c r="H3077" s="51" t="s">
        <v>1650</v>
      </c>
      <c r="I3077" s="51" t="s">
        <v>912</v>
      </c>
    </row>
    <row r="3078" customFormat="false" ht="25.5" hidden="false" customHeight="true" outlineLevel="0" collapsed="false">
      <c r="A3078" s="51" t="s">
        <v>1125</v>
      </c>
      <c r="B3078" s="51" t="s">
        <v>925</v>
      </c>
      <c r="C3078" s="51" t="s">
        <v>973</v>
      </c>
      <c r="D3078" s="51" t="s">
        <v>968</v>
      </c>
      <c r="E3078" s="51" t="s">
        <v>974</v>
      </c>
      <c r="F3078" s="51" t="s">
        <v>975</v>
      </c>
      <c r="G3078" s="52" t="s">
        <v>910</v>
      </c>
      <c r="H3078" s="51" t="s">
        <v>1650</v>
      </c>
      <c r="I3078" s="51" t="s">
        <v>912</v>
      </c>
    </row>
    <row r="3079" customFormat="false" ht="25.5" hidden="false" customHeight="true" outlineLevel="0" collapsed="false">
      <c r="A3079" s="51" t="s">
        <v>1125</v>
      </c>
      <c r="B3079" s="51" t="s">
        <v>925</v>
      </c>
      <c r="C3079" s="51" t="s">
        <v>1067</v>
      </c>
      <c r="D3079" s="51" t="s">
        <v>1068</v>
      </c>
      <c r="E3079" s="51" t="s">
        <v>1069</v>
      </c>
      <c r="F3079" s="51"/>
      <c r="G3079" s="52" t="s">
        <v>910</v>
      </c>
      <c r="H3079" s="51" t="s">
        <v>1650</v>
      </c>
      <c r="I3079" s="51" t="s">
        <v>912</v>
      </c>
    </row>
    <row r="3080" customFormat="false" ht="25.5" hidden="false" customHeight="true" outlineLevel="0" collapsed="false">
      <c r="A3080" s="56" t="s">
        <v>1125</v>
      </c>
      <c r="B3080" s="56" t="s">
        <v>925</v>
      </c>
      <c r="C3080" s="56" t="s">
        <v>926</v>
      </c>
      <c r="D3080" s="56"/>
      <c r="E3080" s="56" t="s">
        <v>882</v>
      </c>
      <c r="F3080" s="56" t="s">
        <v>927</v>
      </c>
      <c r="G3080" s="56" t="s">
        <v>776</v>
      </c>
      <c r="H3080" s="56" t="s">
        <v>1655</v>
      </c>
      <c r="I3080" s="56" t="s">
        <v>1653</v>
      </c>
    </row>
    <row r="3081" customFormat="false" ht="25.5" hidden="false" customHeight="true" outlineLevel="0" collapsed="false">
      <c r="A3081" s="49" t="s">
        <v>1125</v>
      </c>
      <c r="B3081" s="49" t="s">
        <v>925</v>
      </c>
      <c r="C3081" s="49" t="s">
        <v>976</v>
      </c>
      <c r="D3081" s="49"/>
      <c r="E3081" s="49" t="s">
        <v>217</v>
      </c>
      <c r="F3081" s="49" t="s">
        <v>927</v>
      </c>
      <c r="G3081" s="49" t="s">
        <v>772</v>
      </c>
      <c r="H3081" s="49" t="s">
        <v>1132</v>
      </c>
      <c r="I3081" s="49" t="s">
        <v>885</v>
      </c>
    </row>
    <row r="3082" customFormat="false" ht="25.5" hidden="false" customHeight="true" outlineLevel="0" collapsed="false">
      <c r="A3082" s="51" t="s">
        <v>1125</v>
      </c>
      <c r="B3082" s="51" t="s">
        <v>925</v>
      </c>
      <c r="C3082" s="51" t="s">
        <v>1070</v>
      </c>
      <c r="D3082" s="51" t="s">
        <v>929</v>
      </c>
      <c r="E3082" s="51" t="s">
        <v>146</v>
      </c>
      <c r="F3082" s="51" t="s">
        <v>1071</v>
      </c>
      <c r="G3082" s="52" t="s">
        <v>910</v>
      </c>
      <c r="H3082" s="51" t="s">
        <v>1650</v>
      </c>
      <c r="I3082" s="51" t="s">
        <v>912</v>
      </c>
    </row>
    <row r="3083" customFormat="false" ht="25.5" hidden="false" customHeight="true" outlineLevel="0" collapsed="false">
      <c r="A3083" s="56" t="s">
        <v>1125</v>
      </c>
      <c r="B3083" s="56" t="s">
        <v>925</v>
      </c>
      <c r="C3083" s="56" t="s">
        <v>928</v>
      </c>
      <c r="D3083" s="56" t="s">
        <v>929</v>
      </c>
      <c r="E3083" s="56" t="s">
        <v>930</v>
      </c>
      <c r="F3083" s="56"/>
      <c r="G3083" s="56" t="s">
        <v>776</v>
      </c>
      <c r="H3083" s="56" t="s">
        <v>1652</v>
      </c>
      <c r="I3083" s="56" t="s">
        <v>1653</v>
      </c>
    </row>
    <row r="3084" customFormat="false" ht="25.5" hidden="false" customHeight="true" outlineLevel="0" collapsed="false">
      <c r="A3084" s="49" t="s">
        <v>1125</v>
      </c>
      <c r="B3084" s="49" t="s">
        <v>977</v>
      </c>
      <c r="C3084" s="49" t="s">
        <v>1546</v>
      </c>
      <c r="D3084" s="49" t="s">
        <v>1073</v>
      </c>
      <c r="E3084" s="49" t="s">
        <v>1547</v>
      </c>
      <c r="F3084" s="49" t="s">
        <v>1548</v>
      </c>
      <c r="G3084" s="49" t="s">
        <v>772</v>
      </c>
      <c r="H3084" s="49" t="s">
        <v>1132</v>
      </c>
      <c r="I3084" s="49" t="s">
        <v>885</v>
      </c>
    </row>
    <row r="3085" customFormat="false" ht="25.5" hidden="false" customHeight="true" outlineLevel="0" collapsed="false">
      <c r="A3085" s="51" t="s">
        <v>1125</v>
      </c>
      <c r="B3085" s="51" t="s">
        <v>977</v>
      </c>
      <c r="C3085" s="51" t="s">
        <v>1072</v>
      </c>
      <c r="D3085" s="51" t="s">
        <v>1073</v>
      </c>
      <c r="E3085" s="51" t="s">
        <v>146</v>
      </c>
      <c r="F3085" s="51"/>
      <c r="G3085" s="52" t="s">
        <v>910</v>
      </c>
      <c r="H3085" s="51" t="s">
        <v>1650</v>
      </c>
      <c r="I3085" s="51" t="s">
        <v>912</v>
      </c>
    </row>
    <row r="3086" customFormat="false" ht="25.5" hidden="false" customHeight="true" outlineLevel="0" collapsed="false">
      <c r="A3086" s="49" t="s">
        <v>1125</v>
      </c>
      <c r="B3086" s="49" t="s">
        <v>977</v>
      </c>
      <c r="C3086" s="49" t="s">
        <v>1549</v>
      </c>
      <c r="D3086" s="49" t="s">
        <v>1073</v>
      </c>
      <c r="E3086" s="49" t="s">
        <v>1533</v>
      </c>
      <c r="F3086" s="49" t="s">
        <v>1550</v>
      </c>
      <c r="G3086" s="49" t="s">
        <v>772</v>
      </c>
      <c r="H3086" s="49" t="s">
        <v>1132</v>
      </c>
      <c r="I3086" s="49" t="s">
        <v>885</v>
      </c>
    </row>
    <row r="3087" customFormat="false" ht="25.5" hidden="false" customHeight="true" outlineLevel="0" collapsed="false">
      <c r="A3087" s="51" t="s">
        <v>1125</v>
      </c>
      <c r="B3087" s="51" t="s">
        <v>977</v>
      </c>
      <c r="C3087" s="51" t="s">
        <v>1074</v>
      </c>
      <c r="D3087" s="51" t="s">
        <v>1075</v>
      </c>
      <c r="E3087" s="51" t="s">
        <v>1076</v>
      </c>
      <c r="F3087" s="51"/>
      <c r="G3087" s="52" t="s">
        <v>910</v>
      </c>
      <c r="H3087" s="51" t="s">
        <v>1650</v>
      </c>
      <c r="I3087" s="51" t="s">
        <v>912</v>
      </c>
    </row>
    <row r="3088" customFormat="false" ht="25.5" hidden="false" customHeight="true" outlineLevel="0" collapsed="false">
      <c r="A3088" s="51" t="s">
        <v>1125</v>
      </c>
      <c r="B3088" s="51" t="s">
        <v>977</v>
      </c>
      <c r="C3088" s="51" t="s">
        <v>979</v>
      </c>
      <c r="D3088" s="51" t="s">
        <v>980</v>
      </c>
      <c r="E3088" s="51" t="s">
        <v>981</v>
      </c>
      <c r="F3088" s="51" t="s">
        <v>982</v>
      </c>
      <c r="G3088" s="52" t="s">
        <v>910</v>
      </c>
      <c r="H3088" s="51" t="s">
        <v>1650</v>
      </c>
      <c r="I3088" s="51" t="s">
        <v>912</v>
      </c>
    </row>
    <row r="3089" customFormat="false" ht="25.5" hidden="false" customHeight="true" outlineLevel="0" collapsed="false">
      <c r="A3089" s="51" t="s">
        <v>1125</v>
      </c>
      <c r="B3089" s="51" t="s">
        <v>977</v>
      </c>
      <c r="C3089" s="51" t="s">
        <v>1077</v>
      </c>
      <c r="D3089" s="51" t="s">
        <v>980</v>
      </c>
      <c r="E3089" s="51" t="s">
        <v>1078</v>
      </c>
      <c r="F3089" s="51"/>
      <c r="G3089" s="52" t="s">
        <v>910</v>
      </c>
      <c r="H3089" s="51" t="s">
        <v>1650</v>
      </c>
      <c r="I3089" s="51" t="s">
        <v>912</v>
      </c>
    </row>
    <row r="3090" customFormat="false" ht="25.5" hidden="false" customHeight="true" outlineLevel="0" collapsed="false">
      <c r="A3090" s="51" t="s">
        <v>1125</v>
      </c>
      <c r="B3090" s="51" t="s">
        <v>977</v>
      </c>
      <c r="C3090" s="51" t="s">
        <v>1079</v>
      </c>
      <c r="D3090" s="51" t="s">
        <v>1073</v>
      </c>
      <c r="E3090" s="51" t="s">
        <v>1080</v>
      </c>
      <c r="F3090" s="51"/>
      <c r="G3090" s="52" t="s">
        <v>910</v>
      </c>
      <c r="H3090" s="51" t="s">
        <v>1650</v>
      </c>
      <c r="I3090" s="51" t="s">
        <v>912</v>
      </c>
    </row>
    <row r="3091" customFormat="false" ht="25.5" hidden="false" customHeight="true" outlineLevel="0" collapsed="false">
      <c r="A3091" s="51" t="s">
        <v>1125</v>
      </c>
      <c r="B3091" s="51" t="s">
        <v>977</v>
      </c>
      <c r="C3091" s="51" t="s">
        <v>1081</v>
      </c>
      <c r="D3091" s="51" t="s">
        <v>1073</v>
      </c>
      <c r="E3091" s="51" t="s">
        <v>1082</v>
      </c>
      <c r="F3091" s="51" t="s">
        <v>1083</v>
      </c>
      <c r="G3091" s="52" t="s">
        <v>910</v>
      </c>
      <c r="H3091" s="51" t="s">
        <v>1650</v>
      </c>
      <c r="I3091" s="51" t="s">
        <v>912</v>
      </c>
    </row>
    <row r="3092" customFormat="false" ht="25.5" hidden="false" customHeight="true" outlineLevel="0" collapsed="false">
      <c r="A3092" s="51" t="s">
        <v>1125</v>
      </c>
      <c r="B3092" s="51" t="s">
        <v>977</v>
      </c>
      <c r="C3092" s="51" t="s">
        <v>1084</v>
      </c>
      <c r="D3092" s="51" t="s">
        <v>1073</v>
      </c>
      <c r="E3092" s="51" t="s">
        <v>1085</v>
      </c>
      <c r="F3092" s="51"/>
      <c r="G3092" s="52" t="s">
        <v>910</v>
      </c>
      <c r="H3092" s="51" t="s">
        <v>1650</v>
      </c>
      <c r="I3092" s="51" t="s">
        <v>912</v>
      </c>
    </row>
    <row r="3093" customFormat="false" ht="25.5" hidden="false" customHeight="true" outlineLevel="0" collapsed="false">
      <c r="A3093" s="56" t="s">
        <v>1125</v>
      </c>
      <c r="B3093" s="56" t="s">
        <v>932</v>
      </c>
      <c r="C3093" s="56" t="s">
        <v>933</v>
      </c>
      <c r="D3093" s="56"/>
      <c r="E3093" s="56" t="s">
        <v>882</v>
      </c>
      <c r="F3093" s="56" t="s">
        <v>934</v>
      </c>
      <c r="G3093" s="56" t="s">
        <v>776</v>
      </c>
      <c r="H3093" s="56" t="s">
        <v>1655</v>
      </c>
      <c r="I3093" s="56" t="s">
        <v>1653</v>
      </c>
    </row>
    <row r="3094" customFormat="false" ht="25.5" hidden="false" customHeight="true" outlineLevel="0" collapsed="false">
      <c r="A3094" s="49" t="s">
        <v>1125</v>
      </c>
      <c r="B3094" s="49" t="s">
        <v>932</v>
      </c>
      <c r="C3094" s="49" t="s">
        <v>1552</v>
      </c>
      <c r="D3094" s="49"/>
      <c r="E3094" s="49" t="s">
        <v>1553</v>
      </c>
      <c r="F3094" s="49" t="s">
        <v>1554</v>
      </c>
      <c r="G3094" s="49" t="s">
        <v>772</v>
      </c>
      <c r="H3094" s="49" t="s">
        <v>1132</v>
      </c>
      <c r="I3094" s="49" t="s">
        <v>885</v>
      </c>
    </row>
    <row r="3095" customFormat="false" ht="25.5" hidden="false" customHeight="true" outlineLevel="0" collapsed="false">
      <c r="A3095" s="49" t="s">
        <v>1125</v>
      </c>
      <c r="B3095" s="49" t="s">
        <v>932</v>
      </c>
      <c r="C3095" s="49" t="s">
        <v>1555</v>
      </c>
      <c r="D3095" s="49" t="s">
        <v>1090</v>
      </c>
      <c r="E3095" s="49" t="s">
        <v>1186</v>
      </c>
      <c r="F3095" s="49" t="s">
        <v>1556</v>
      </c>
      <c r="G3095" s="49" t="s">
        <v>772</v>
      </c>
      <c r="H3095" s="49" t="s">
        <v>1132</v>
      </c>
      <c r="I3095" s="49" t="s">
        <v>885</v>
      </c>
    </row>
    <row r="3096" customFormat="false" ht="25.5" hidden="false" customHeight="true" outlineLevel="0" collapsed="false">
      <c r="A3096" s="51" t="s">
        <v>1125</v>
      </c>
      <c r="B3096" s="51" t="s">
        <v>932</v>
      </c>
      <c r="C3096" s="51" t="s">
        <v>984</v>
      </c>
      <c r="D3096" s="51" t="s">
        <v>936</v>
      </c>
      <c r="E3096" s="51" t="s">
        <v>985</v>
      </c>
      <c r="F3096" s="51" t="s">
        <v>986</v>
      </c>
      <c r="G3096" s="52" t="s">
        <v>910</v>
      </c>
      <c r="H3096" s="51" t="s">
        <v>1650</v>
      </c>
      <c r="I3096" s="51" t="s">
        <v>912</v>
      </c>
    </row>
    <row r="3097" customFormat="false" ht="25.5" hidden="false" customHeight="true" outlineLevel="0" collapsed="false">
      <c r="A3097" s="51" t="s">
        <v>1125</v>
      </c>
      <c r="B3097" s="51" t="s">
        <v>932</v>
      </c>
      <c r="C3097" s="51" t="s">
        <v>1086</v>
      </c>
      <c r="D3097" s="51" t="s">
        <v>929</v>
      </c>
      <c r="E3097" s="51" t="s">
        <v>1087</v>
      </c>
      <c r="F3097" s="51" t="s">
        <v>1088</v>
      </c>
      <c r="G3097" s="52" t="s">
        <v>910</v>
      </c>
      <c r="H3097" s="51" t="s">
        <v>1650</v>
      </c>
      <c r="I3097" s="51" t="s">
        <v>912</v>
      </c>
    </row>
    <row r="3098" customFormat="false" ht="25.5" hidden="false" customHeight="true" outlineLevel="0" collapsed="false">
      <c r="A3098" s="51" t="s">
        <v>1125</v>
      </c>
      <c r="B3098" s="51" t="s">
        <v>932</v>
      </c>
      <c r="C3098" s="51" t="s">
        <v>1089</v>
      </c>
      <c r="D3098" s="51" t="s">
        <v>1090</v>
      </c>
      <c r="E3098" s="51" t="s">
        <v>1091</v>
      </c>
      <c r="F3098" s="51" t="s">
        <v>1092</v>
      </c>
      <c r="G3098" s="52" t="s">
        <v>910</v>
      </c>
      <c r="H3098" s="51" t="s">
        <v>1650</v>
      </c>
      <c r="I3098" s="51" t="s">
        <v>912</v>
      </c>
    </row>
    <row r="3099" customFormat="false" ht="25.5" hidden="false" customHeight="true" outlineLevel="0" collapsed="false">
      <c r="A3099" s="51" t="s">
        <v>1125</v>
      </c>
      <c r="B3099" s="51" t="s">
        <v>932</v>
      </c>
      <c r="C3099" s="51" t="s">
        <v>1093</v>
      </c>
      <c r="D3099" s="51" t="s">
        <v>936</v>
      </c>
      <c r="E3099" s="51" t="s">
        <v>146</v>
      </c>
      <c r="F3099" s="51" t="s">
        <v>1094</v>
      </c>
      <c r="G3099" s="52" t="s">
        <v>910</v>
      </c>
      <c r="H3099" s="51" t="s">
        <v>1650</v>
      </c>
      <c r="I3099" s="51" t="s">
        <v>912</v>
      </c>
    </row>
    <row r="3100" customFormat="false" ht="25.5" hidden="false" customHeight="true" outlineLevel="0" collapsed="false">
      <c r="A3100" s="56" t="s">
        <v>1125</v>
      </c>
      <c r="B3100" s="56" t="s">
        <v>932</v>
      </c>
      <c r="C3100" s="56" t="s">
        <v>935</v>
      </c>
      <c r="D3100" s="56" t="s">
        <v>936</v>
      </c>
      <c r="E3100" s="56" t="s">
        <v>882</v>
      </c>
      <c r="F3100" s="56" t="s">
        <v>937</v>
      </c>
      <c r="G3100" s="56" t="s">
        <v>776</v>
      </c>
      <c r="H3100" s="56" t="s">
        <v>1655</v>
      </c>
      <c r="I3100" s="56" t="s">
        <v>1653</v>
      </c>
    </row>
    <row r="3101" customFormat="false" ht="25.5" hidden="false" customHeight="true" outlineLevel="0" collapsed="false">
      <c r="A3101" s="56" t="s">
        <v>1125</v>
      </c>
      <c r="B3101" s="56" t="s">
        <v>932</v>
      </c>
      <c r="C3101" s="56" t="s">
        <v>938</v>
      </c>
      <c r="D3101" s="56"/>
      <c r="E3101" s="56" t="s">
        <v>893</v>
      </c>
      <c r="F3101" s="56"/>
      <c r="G3101" s="56" t="s">
        <v>776</v>
      </c>
      <c r="H3101" s="56" t="s">
        <v>1656</v>
      </c>
      <c r="I3101" s="56" t="s">
        <v>1653</v>
      </c>
    </row>
    <row r="3102" customFormat="false" ht="25.5" hidden="false" customHeight="true" outlineLevel="0" collapsed="false">
      <c r="A3102" s="51" t="s">
        <v>1125</v>
      </c>
      <c r="B3102" s="51" t="s">
        <v>932</v>
      </c>
      <c r="C3102" s="51" t="s">
        <v>1095</v>
      </c>
      <c r="D3102" s="51"/>
      <c r="E3102" s="51" t="s">
        <v>146</v>
      </c>
      <c r="F3102" s="51"/>
      <c r="G3102" s="52" t="s">
        <v>910</v>
      </c>
      <c r="H3102" s="51" t="s">
        <v>1650</v>
      </c>
      <c r="I3102" s="51" t="s">
        <v>912</v>
      </c>
    </row>
    <row r="3103" customFormat="false" ht="25.5" hidden="false" customHeight="true" outlineLevel="0" collapsed="false">
      <c r="A3103" s="51" t="s">
        <v>1125</v>
      </c>
      <c r="B3103" s="51" t="s">
        <v>932</v>
      </c>
      <c r="C3103" s="51" t="s">
        <v>1096</v>
      </c>
      <c r="D3103" s="51" t="s">
        <v>936</v>
      </c>
      <c r="E3103" s="51" t="s">
        <v>1097</v>
      </c>
      <c r="F3103" s="51" t="s">
        <v>1098</v>
      </c>
      <c r="G3103" s="52" t="s">
        <v>910</v>
      </c>
      <c r="H3103" s="51" t="s">
        <v>1650</v>
      </c>
      <c r="I3103" s="51" t="s">
        <v>912</v>
      </c>
    </row>
    <row r="3104" customFormat="false" ht="25.5" hidden="false" customHeight="true" outlineLevel="0" collapsed="false">
      <c r="A3104" s="56" t="s">
        <v>1125</v>
      </c>
      <c r="B3104" s="56" t="s">
        <v>939</v>
      </c>
      <c r="C3104" s="56" t="s">
        <v>940</v>
      </c>
      <c r="D3104" s="56"/>
      <c r="E3104" s="56" t="s">
        <v>893</v>
      </c>
      <c r="F3104" s="56" t="s">
        <v>941</v>
      </c>
      <c r="G3104" s="56" t="s">
        <v>776</v>
      </c>
      <c r="H3104" s="56" t="s">
        <v>1656</v>
      </c>
      <c r="I3104" s="56" t="s">
        <v>1653</v>
      </c>
    </row>
    <row r="3105" customFormat="false" ht="25.5" hidden="false" customHeight="true" outlineLevel="0" collapsed="false">
      <c r="A3105" s="51" t="s">
        <v>1125</v>
      </c>
      <c r="B3105" s="51" t="s">
        <v>939</v>
      </c>
      <c r="C3105" s="51" t="s">
        <v>1099</v>
      </c>
      <c r="D3105" s="51" t="s">
        <v>1100</v>
      </c>
      <c r="E3105" s="51" t="s">
        <v>1101</v>
      </c>
      <c r="F3105" s="51" t="s">
        <v>993</v>
      </c>
      <c r="G3105" s="52" t="s">
        <v>910</v>
      </c>
      <c r="H3105" s="51" t="s">
        <v>1650</v>
      </c>
      <c r="I3105" s="51" t="s">
        <v>912</v>
      </c>
    </row>
    <row r="3106" customFormat="false" ht="25.5" hidden="false" customHeight="true" outlineLevel="0" collapsed="false">
      <c r="A3106" s="49" t="s">
        <v>1125</v>
      </c>
      <c r="B3106" s="49" t="s">
        <v>939</v>
      </c>
      <c r="C3106" s="49" t="s">
        <v>1557</v>
      </c>
      <c r="D3106" s="49" t="s">
        <v>988</v>
      </c>
      <c r="E3106" s="49" t="s">
        <v>1186</v>
      </c>
      <c r="F3106" s="49" t="s">
        <v>993</v>
      </c>
      <c r="G3106" s="49" t="s">
        <v>772</v>
      </c>
      <c r="H3106" s="49" t="s">
        <v>1132</v>
      </c>
      <c r="I3106" s="49" t="s">
        <v>885</v>
      </c>
    </row>
    <row r="3107" customFormat="false" ht="25.5" hidden="false" customHeight="true" outlineLevel="0" collapsed="false">
      <c r="A3107" s="49" t="s">
        <v>1125</v>
      </c>
      <c r="B3107" s="49" t="s">
        <v>939</v>
      </c>
      <c r="C3107" s="49" t="s">
        <v>987</v>
      </c>
      <c r="D3107" s="49" t="s">
        <v>988</v>
      </c>
      <c r="E3107" s="49" t="s">
        <v>217</v>
      </c>
      <c r="F3107" s="49" t="s">
        <v>989</v>
      </c>
      <c r="G3107" s="49" t="s">
        <v>772</v>
      </c>
      <c r="H3107" s="49" t="s">
        <v>1132</v>
      </c>
      <c r="I3107" s="49" t="s">
        <v>885</v>
      </c>
    </row>
    <row r="3108" customFormat="false" ht="25.5" hidden="false" customHeight="true" outlineLevel="0" collapsed="false">
      <c r="A3108" s="51" t="s">
        <v>1125</v>
      </c>
      <c r="B3108" s="51" t="s">
        <v>939</v>
      </c>
      <c r="C3108" s="51" t="s">
        <v>1102</v>
      </c>
      <c r="D3108" s="51" t="s">
        <v>988</v>
      </c>
      <c r="E3108" s="51" t="s">
        <v>146</v>
      </c>
      <c r="F3108" s="51" t="s">
        <v>993</v>
      </c>
      <c r="G3108" s="52" t="s">
        <v>910</v>
      </c>
      <c r="H3108" s="51" t="s">
        <v>1650</v>
      </c>
      <c r="I3108" s="51" t="s">
        <v>912</v>
      </c>
    </row>
    <row r="3109" customFormat="false" ht="25.5" hidden="false" customHeight="true" outlineLevel="0" collapsed="false">
      <c r="A3109" s="51" t="s">
        <v>1125</v>
      </c>
      <c r="B3109" s="51" t="s">
        <v>939</v>
      </c>
      <c r="C3109" s="51" t="s">
        <v>1103</v>
      </c>
      <c r="D3109" s="51" t="s">
        <v>1100</v>
      </c>
      <c r="E3109" s="51" t="s">
        <v>146</v>
      </c>
      <c r="F3109" s="51" t="s">
        <v>993</v>
      </c>
      <c r="G3109" s="52" t="s">
        <v>910</v>
      </c>
      <c r="H3109" s="51" t="s">
        <v>1650</v>
      </c>
      <c r="I3109" s="51" t="s">
        <v>912</v>
      </c>
    </row>
    <row r="3110" customFormat="false" ht="25.5" hidden="false" customHeight="true" outlineLevel="0" collapsed="false">
      <c r="A3110" s="49" t="s">
        <v>1125</v>
      </c>
      <c r="B3110" s="49" t="s">
        <v>939</v>
      </c>
      <c r="C3110" s="49" t="s">
        <v>1558</v>
      </c>
      <c r="D3110" s="49" t="s">
        <v>1559</v>
      </c>
      <c r="E3110" s="49" t="s">
        <v>1533</v>
      </c>
      <c r="F3110" s="49" t="s">
        <v>1560</v>
      </c>
      <c r="G3110" s="49" t="s">
        <v>772</v>
      </c>
      <c r="H3110" s="49" t="s">
        <v>1132</v>
      </c>
      <c r="I3110" s="49" t="s">
        <v>885</v>
      </c>
    </row>
    <row r="3111" customFormat="false" ht="25.5" hidden="false" customHeight="true" outlineLevel="0" collapsed="false">
      <c r="A3111" s="49" t="s">
        <v>1125</v>
      </c>
      <c r="B3111" s="49" t="s">
        <v>939</v>
      </c>
      <c r="C3111" s="49" t="s">
        <v>1109</v>
      </c>
      <c r="D3111" s="49" t="s">
        <v>1110</v>
      </c>
      <c r="E3111" s="49" t="s">
        <v>1111</v>
      </c>
      <c r="F3111" s="49" t="s">
        <v>941</v>
      </c>
      <c r="G3111" s="49" t="s">
        <v>772</v>
      </c>
      <c r="H3111" s="49" t="s">
        <v>1132</v>
      </c>
      <c r="I3111" s="49" t="s">
        <v>885</v>
      </c>
    </row>
    <row r="3112" customFormat="false" ht="25.5" hidden="false" customHeight="true" outlineLevel="0" collapsed="false">
      <c r="A3112" s="49" t="s">
        <v>1125</v>
      </c>
      <c r="B3112" s="49" t="s">
        <v>939</v>
      </c>
      <c r="C3112" s="49" t="s">
        <v>1561</v>
      </c>
      <c r="D3112" s="49" t="s">
        <v>1110</v>
      </c>
      <c r="E3112" s="49" t="s">
        <v>1186</v>
      </c>
      <c r="F3112" s="49" t="s">
        <v>993</v>
      </c>
      <c r="G3112" s="49" t="s">
        <v>772</v>
      </c>
      <c r="H3112" s="49" t="s">
        <v>1132</v>
      </c>
      <c r="I3112" s="49" t="s">
        <v>885</v>
      </c>
    </row>
    <row r="3113" customFormat="false" ht="25.5" hidden="false" customHeight="true" outlineLevel="0" collapsed="false">
      <c r="A3113" s="49" t="s">
        <v>1125</v>
      </c>
      <c r="B3113" s="49" t="s">
        <v>939</v>
      </c>
      <c r="C3113" s="49" t="s">
        <v>990</v>
      </c>
      <c r="D3113" s="49" t="s">
        <v>991</v>
      </c>
      <c r="E3113" s="49" t="s">
        <v>992</v>
      </c>
      <c r="F3113" s="49" t="s">
        <v>993</v>
      </c>
      <c r="G3113" s="49" t="s">
        <v>772</v>
      </c>
      <c r="H3113" s="49" t="s">
        <v>1132</v>
      </c>
      <c r="I3113" s="49" t="s">
        <v>885</v>
      </c>
    </row>
    <row r="3114" customFormat="false" ht="25.5" hidden="false" customHeight="true" outlineLevel="0" collapsed="false">
      <c r="A3114" s="49" t="s">
        <v>1125</v>
      </c>
      <c r="B3114" s="49" t="s">
        <v>939</v>
      </c>
      <c r="C3114" s="49" t="s">
        <v>1112</v>
      </c>
      <c r="D3114" s="49" t="s">
        <v>991</v>
      </c>
      <c r="E3114" s="49" t="s">
        <v>1113</v>
      </c>
      <c r="F3114" s="49" t="s">
        <v>941</v>
      </c>
      <c r="G3114" s="49" t="s">
        <v>772</v>
      </c>
      <c r="H3114" s="49" t="s">
        <v>1132</v>
      </c>
      <c r="I3114" s="49" t="s">
        <v>885</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872</v>
      </c>
      <c r="B1" s="1" t="s">
        <v>1657</v>
      </c>
    </row>
    <row r="2" customFormat="false" ht="15" hidden="false" customHeight="true" outlineLevel="0" collapsed="false">
      <c r="A2" s="1" t="s">
        <v>1562</v>
      </c>
      <c r="B2" s="1" t="s">
        <v>1151</v>
      </c>
      <c r="C2" s="1" t="s">
        <v>1148</v>
      </c>
      <c r="D2" s="1" t="s">
        <v>1134</v>
      </c>
      <c r="E2" s="1" t="s">
        <v>1199</v>
      </c>
      <c r="F2" s="1" t="s">
        <v>1218</v>
      </c>
      <c r="G2" s="1" t="s">
        <v>1208</v>
      </c>
      <c r="H2" s="1" t="s">
        <v>1156</v>
      </c>
      <c r="I2" s="1" t="s">
        <v>1129</v>
      </c>
      <c r="J2" s="1" t="s">
        <v>1141</v>
      </c>
      <c r="K2" s="1" t="s">
        <v>1292</v>
      </c>
      <c r="L2" s="1" t="s">
        <v>1658</v>
      </c>
      <c r="M2" s="1" t="s">
        <v>1659</v>
      </c>
      <c r="N2" s="1" t="s">
        <v>1660</v>
      </c>
      <c r="O2" s="1" t="s">
        <v>1172</v>
      </c>
      <c r="P2" s="1" t="s">
        <v>1162</v>
      </c>
    </row>
    <row r="3" customFormat="false" ht="15" hidden="false" customHeight="true" outlineLevel="0" collapsed="false">
      <c r="A3" s="1" t="s">
        <v>1127</v>
      </c>
      <c r="B3" s="1" t="s">
        <v>1151</v>
      </c>
      <c r="C3" s="1" t="s">
        <v>1148</v>
      </c>
      <c r="D3" s="1" t="s">
        <v>1134</v>
      </c>
      <c r="E3" s="1" t="s">
        <v>1199</v>
      </c>
      <c r="F3" s="1" t="s">
        <v>1218</v>
      </c>
      <c r="G3" s="1" t="s">
        <v>1208</v>
      </c>
      <c r="H3" s="1" t="s">
        <v>1156</v>
      </c>
      <c r="I3" s="1" t="s">
        <v>1129</v>
      </c>
      <c r="J3" s="1" t="s">
        <v>1141</v>
      </c>
      <c r="K3" s="1" t="s">
        <v>1292</v>
      </c>
      <c r="L3" s="1" t="s">
        <v>1658</v>
      </c>
      <c r="M3" s="1" t="s">
        <v>1659</v>
      </c>
      <c r="N3" s="1" t="s">
        <v>1660</v>
      </c>
      <c r="O3" s="1" t="s">
        <v>1172</v>
      </c>
      <c r="P3" s="1" t="s">
        <v>1162</v>
      </c>
    </row>
    <row r="4" customFormat="false" ht="15" hidden="false" customHeight="true" outlineLevel="0" collapsed="false">
      <c r="A4" s="1" t="s">
        <v>1196</v>
      </c>
      <c r="B4" s="1" t="s">
        <v>1151</v>
      </c>
      <c r="C4" s="1" t="s">
        <v>1148</v>
      </c>
      <c r="D4" s="1" t="s">
        <v>1134</v>
      </c>
      <c r="E4" s="1" t="s">
        <v>1199</v>
      </c>
      <c r="F4" s="1" t="s">
        <v>1218</v>
      </c>
      <c r="G4" s="1" t="s">
        <v>1208</v>
      </c>
      <c r="H4" s="1" t="s">
        <v>1156</v>
      </c>
      <c r="I4" s="1" t="s">
        <v>1129</v>
      </c>
      <c r="J4" s="1" t="s">
        <v>1141</v>
      </c>
      <c r="K4" s="1" t="s">
        <v>1292</v>
      </c>
      <c r="L4" s="1" t="s">
        <v>1658</v>
      </c>
      <c r="M4" s="1" t="s">
        <v>1659</v>
      </c>
      <c r="N4" s="1" t="s">
        <v>1660</v>
      </c>
      <c r="O4" s="1" t="s">
        <v>1172</v>
      </c>
      <c r="P4" s="1" t="s">
        <v>1162</v>
      </c>
    </row>
    <row r="5" customFormat="false" ht="15" hidden="false" customHeight="true" outlineLevel="0" collapsed="false">
      <c r="A5" s="1" t="s">
        <v>1247</v>
      </c>
      <c r="B5" s="1" t="s">
        <v>1151</v>
      </c>
      <c r="C5" s="1" t="s">
        <v>1148</v>
      </c>
      <c r="D5" s="1" t="s">
        <v>1134</v>
      </c>
      <c r="E5" s="1" t="s">
        <v>1199</v>
      </c>
      <c r="F5" s="1" t="s">
        <v>1218</v>
      </c>
      <c r="G5" s="1" t="s">
        <v>1208</v>
      </c>
      <c r="H5" s="1" t="s">
        <v>1156</v>
      </c>
      <c r="I5" s="1" t="s">
        <v>1129</v>
      </c>
      <c r="J5" s="1" t="s">
        <v>1141</v>
      </c>
      <c r="K5" s="1" t="s">
        <v>1292</v>
      </c>
      <c r="L5" s="1" t="s">
        <v>1658</v>
      </c>
      <c r="M5" s="1" t="s">
        <v>1659</v>
      </c>
      <c r="N5" s="1" t="s">
        <v>1660</v>
      </c>
      <c r="O5" s="1" t="s">
        <v>1172</v>
      </c>
      <c r="P5" s="1" t="s">
        <v>1162</v>
      </c>
    </row>
    <row r="6" customFormat="false" ht="15" hidden="false" customHeight="true" outlineLevel="0" collapsed="false">
      <c r="A6" s="1" t="s">
        <v>1294</v>
      </c>
      <c r="B6" s="1" t="s">
        <v>1151</v>
      </c>
      <c r="C6" s="1" t="s">
        <v>1148</v>
      </c>
      <c r="D6" s="1" t="s">
        <v>1134</v>
      </c>
      <c r="E6" s="1" t="s">
        <v>1199</v>
      </c>
      <c r="F6" s="1" t="s">
        <v>1218</v>
      </c>
      <c r="G6" s="1" t="s">
        <v>1208</v>
      </c>
      <c r="H6" s="1" t="s">
        <v>1156</v>
      </c>
      <c r="I6" s="1" t="s">
        <v>1129</v>
      </c>
      <c r="J6" s="1" t="s">
        <v>1141</v>
      </c>
      <c r="K6" s="1" t="s">
        <v>1292</v>
      </c>
      <c r="L6" s="1" t="s">
        <v>1658</v>
      </c>
      <c r="M6" s="1" t="s">
        <v>1659</v>
      </c>
      <c r="N6" s="1" t="s">
        <v>1660</v>
      </c>
      <c r="O6" s="1" t="s">
        <v>1172</v>
      </c>
      <c r="P6" s="1" t="s">
        <v>1162</v>
      </c>
    </row>
    <row r="7" customFormat="false" ht="15" hidden="false" customHeight="true" outlineLevel="0" collapsed="false">
      <c r="A7" s="1" t="s">
        <v>1341</v>
      </c>
      <c r="B7" s="1" t="s">
        <v>1151</v>
      </c>
      <c r="C7" s="1" t="s">
        <v>1148</v>
      </c>
      <c r="D7" s="1" t="s">
        <v>1134</v>
      </c>
      <c r="E7" s="1" t="s">
        <v>1199</v>
      </c>
      <c r="F7" s="1" t="s">
        <v>1218</v>
      </c>
      <c r="G7" s="1" t="s">
        <v>1208</v>
      </c>
      <c r="H7" s="1" t="s">
        <v>1156</v>
      </c>
      <c r="I7" s="1" t="s">
        <v>1129</v>
      </c>
      <c r="J7" s="1" t="s">
        <v>1141</v>
      </c>
      <c r="K7" s="1" t="s">
        <v>1292</v>
      </c>
      <c r="L7" s="1" t="s">
        <v>1658</v>
      </c>
      <c r="M7" s="1" t="s">
        <v>1659</v>
      </c>
      <c r="N7" s="1" t="s">
        <v>1660</v>
      </c>
      <c r="O7" s="1" t="s">
        <v>1172</v>
      </c>
      <c r="P7" s="1" t="s">
        <v>1162</v>
      </c>
    </row>
    <row r="8" customFormat="false" ht="15" hidden="false" customHeight="true" outlineLevel="0" collapsed="false">
      <c r="A8" s="1" t="s">
        <v>1403</v>
      </c>
      <c r="B8" s="1" t="s">
        <v>1151</v>
      </c>
      <c r="C8" s="1" t="s">
        <v>1148</v>
      </c>
      <c r="D8" s="1" t="s">
        <v>1134</v>
      </c>
      <c r="E8" s="1" t="s">
        <v>1199</v>
      </c>
      <c r="F8" s="1" t="s">
        <v>1218</v>
      </c>
      <c r="G8" s="1" t="s">
        <v>1208</v>
      </c>
      <c r="H8" s="1" t="s">
        <v>1156</v>
      </c>
      <c r="I8" s="1" t="s">
        <v>1129</v>
      </c>
      <c r="J8" s="1" t="s">
        <v>1141</v>
      </c>
      <c r="K8" s="1" t="s">
        <v>1292</v>
      </c>
      <c r="L8" s="1" t="s">
        <v>1658</v>
      </c>
      <c r="M8" s="1" t="s">
        <v>1659</v>
      </c>
      <c r="N8" s="1" t="s">
        <v>1660</v>
      </c>
      <c r="O8" s="1" t="s">
        <v>1172</v>
      </c>
      <c r="P8" s="1" t="s">
        <v>1162</v>
      </c>
    </row>
    <row r="9" customFormat="false" ht="15" hidden="false" customHeight="true" outlineLevel="0" collapsed="false">
      <c r="A9" s="1" t="s">
        <v>1447</v>
      </c>
      <c r="B9" s="1" t="s">
        <v>1151</v>
      </c>
      <c r="C9" s="1" t="s">
        <v>1148</v>
      </c>
      <c r="D9" s="1" t="s">
        <v>1134</v>
      </c>
      <c r="E9" s="1" t="s">
        <v>1199</v>
      </c>
      <c r="F9" s="1" t="s">
        <v>1218</v>
      </c>
      <c r="G9" s="1" t="s">
        <v>1208</v>
      </c>
      <c r="H9" s="1" t="s">
        <v>1156</v>
      </c>
      <c r="I9" s="1" t="s">
        <v>1129</v>
      </c>
      <c r="J9" s="1" t="s">
        <v>1141</v>
      </c>
      <c r="K9" s="1" t="s">
        <v>1292</v>
      </c>
      <c r="L9" s="1" t="s">
        <v>1658</v>
      </c>
      <c r="M9" s="1" t="s">
        <v>1659</v>
      </c>
      <c r="N9" s="1" t="s">
        <v>1660</v>
      </c>
      <c r="O9" s="1" t="s">
        <v>1172</v>
      </c>
      <c r="P9" s="1" t="s">
        <v>1162</v>
      </c>
    </row>
    <row r="10" customFormat="false" ht="15" hidden="false" customHeight="true" outlineLevel="0" collapsed="false">
      <c r="A10" s="1" t="s">
        <v>1661</v>
      </c>
      <c r="B10" s="1" t="s">
        <v>1151</v>
      </c>
      <c r="C10" s="1" t="s">
        <v>1148</v>
      </c>
      <c r="D10" s="1" t="s">
        <v>1134</v>
      </c>
      <c r="E10" s="1" t="s">
        <v>1199</v>
      </c>
      <c r="F10" s="1" t="s">
        <v>1218</v>
      </c>
      <c r="G10" s="1" t="s">
        <v>1208</v>
      </c>
      <c r="H10" s="1" t="s">
        <v>1156</v>
      </c>
      <c r="I10" s="1" t="s">
        <v>1129</v>
      </c>
      <c r="J10" s="1" t="s">
        <v>1141</v>
      </c>
      <c r="K10" s="1" t="s">
        <v>1292</v>
      </c>
      <c r="L10" s="1" t="s">
        <v>1658</v>
      </c>
      <c r="M10" s="1" t="s">
        <v>1659</v>
      </c>
      <c r="N10" s="1" t="s">
        <v>1660</v>
      </c>
      <c r="O10" s="1" t="s">
        <v>1172</v>
      </c>
      <c r="P10" s="1" t="s">
        <v>1162</v>
      </c>
    </row>
    <row r="11" customFormat="false" ht="15" hidden="false" customHeight="true" outlineLevel="0" collapsed="false">
      <c r="A11" s="1" t="s">
        <v>1662</v>
      </c>
      <c r="B11" s="1" t="s">
        <v>1151</v>
      </c>
      <c r="C11" s="1" t="s">
        <v>1148</v>
      </c>
      <c r="D11" s="1" t="s">
        <v>1134</v>
      </c>
      <c r="E11" s="1" t="s">
        <v>1199</v>
      </c>
      <c r="F11" s="1" t="s">
        <v>1218</v>
      </c>
      <c r="G11" s="1" t="s">
        <v>1208</v>
      </c>
      <c r="H11" s="1" t="s">
        <v>1156</v>
      </c>
      <c r="I11" s="1" t="s">
        <v>1129</v>
      </c>
      <c r="J11" s="1" t="s">
        <v>1141</v>
      </c>
      <c r="K11" s="1" t="s">
        <v>1292</v>
      </c>
      <c r="L11" s="1" t="s">
        <v>1658</v>
      </c>
      <c r="M11" s="1" t="s">
        <v>1659</v>
      </c>
      <c r="N11" s="1" t="s">
        <v>1660</v>
      </c>
      <c r="O11" s="1" t="s">
        <v>1172</v>
      </c>
      <c r="P11" s="1" t="s">
        <v>1162</v>
      </c>
    </row>
    <row r="12" customFormat="false" ht="15" hidden="false" customHeight="true" outlineLevel="0" collapsed="false">
      <c r="A12" s="1" t="s">
        <v>1663</v>
      </c>
      <c r="B12" s="1" t="s">
        <v>1151</v>
      </c>
      <c r="C12" s="1" t="s">
        <v>1148</v>
      </c>
      <c r="D12" s="1" t="s">
        <v>1134</v>
      </c>
      <c r="E12" s="1" t="s">
        <v>1199</v>
      </c>
      <c r="F12" s="1" t="s">
        <v>1218</v>
      </c>
      <c r="G12" s="1" t="s">
        <v>1208</v>
      </c>
      <c r="H12" s="1" t="s">
        <v>1156</v>
      </c>
      <c r="I12" s="1" t="s">
        <v>1129</v>
      </c>
      <c r="J12" s="1" t="s">
        <v>1141</v>
      </c>
      <c r="K12" s="1" t="s">
        <v>1292</v>
      </c>
      <c r="L12" s="1" t="s">
        <v>1658</v>
      </c>
      <c r="M12" s="1" t="s">
        <v>1659</v>
      </c>
      <c r="N12" s="1" t="s">
        <v>1660</v>
      </c>
      <c r="O12" s="1" t="s">
        <v>1172</v>
      </c>
      <c r="P12" s="1" t="s">
        <v>1162</v>
      </c>
    </row>
    <row r="13" customFormat="false" ht="15" hidden="false" customHeight="true" outlineLevel="0" collapsed="false">
      <c r="A13" s="1" t="s">
        <v>1664</v>
      </c>
      <c r="B13" s="1" t="s">
        <v>1151</v>
      </c>
      <c r="C13" s="1" t="s">
        <v>1148</v>
      </c>
      <c r="D13" s="1" t="s">
        <v>1134</v>
      </c>
      <c r="E13" s="1" t="s">
        <v>1199</v>
      </c>
      <c r="F13" s="1" t="s">
        <v>1218</v>
      </c>
      <c r="G13" s="1" t="s">
        <v>1208</v>
      </c>
      <c r="H13" s="1" t="s">
        <v>1156</v>
      </c>
      <c r="I13" s="1" t="s">
        <v>1129</v>
      </c>
      <c r="J13" s="1" t="s">
        <v>1141</v>
      </c>
      <c r="K13" s="1" t="s">
        <v>1292</v>
      </c>
      <c r="L13" s="1" t="s">
        <v>1658</v>
      </c>
      <c r="M13" s="1" t="s">
        <v>1659</v>
      </c>
      <c r="N13" s="1" t="s">
        <v>1660</v>
      </c>
      <c r="O13" s="1" t="s">
        <v>1172</v>
      </c>
      <c r="P13" s="1" t="s">
        <v>1162</v>
      </c>
    </row>
    <row r="14" customFormat="false" ht="15" hidden="false" customHeight="true" outlineLevel="0" collapsed="false">
      <c r="A14" s="1" t="s">
        <v>1665</v>
      </c>
      <c r="B14" s="1" t="s">
        <v>1151</v>
      </c>
      <c r="C14" s="1" t="s">
        <v>1148</v>
      </c>
      <c r="D14" s="1" t="s">
        <v>1134</v>
      </c>
      <c r="E14" s="1" t="s">
        <v>1199</v>
      </c>
      <c r="F14" s="1" t="s">
        <v>1218</v>
      </c>
      <c r="G14" s="1" t="s">
        <v>1208</v>
      </c>
      <c r="H14" s="1" t="s">
        <v>1156</v>
      </c>
      <c r="I14" s="1" t="s">
        <v>1129</v>
      </c>
      <c r="J14" s="1" t="s">
        <v>1141</v>
      </c>
      <c r="K14" s="1" t="s">
        <v>1292</v>
      </c>
      <c r="L14" s="1" t="s">
        <v>1658</v>
      </c>
      <c r="M14" s="1" t="s">
        <v>1659</v>
      </c>
      <c r="N14" s="1" t="s">
        <v>1660</v>
      </c>
      <c r="O14" s="1" t="s">
        <v>1172</v>
      </c>
      <c r="P14" s="1" t="s">
        <v>1162</v>
      </c>
    </row>
    <row r="15" customFormat="false" ht="15" hidden="false" customHeight="true" outlineLevel="0" collapsed="false">
      <c r="A15" s="1" t="s">
        <v>1666</v>
      </c>
      <c r="B15" s="1" t="s">
        <v>1151</v>
      </c>
      <c r="C15" s="1" t="s">
        <v>1148</v>
      </c>
      <c r="D15" s="1" t="s">
        <v>1134</v>
      </c>
      <c r="E15" s="1" t="s">
        <v>1199</v>
      </c>
      <c r="F15" s="1" t="s">
        <v>1218</v>
      </c>
      <c r="G15" s="1" t="s">
        <v>1208</v>
      </c>
      <c r="H15" s="1" t="s">
        <v>1156</v>
      </c>
      <c r="I15" s="1" t="s">
        <v>1129</v>
      </c>
      <c r="J15" s="1" t="s">
        <v>1141</v>
      </c>
      <c r="K15" s="1" t="s">
        <v>1292</v>
      </c>
      <c r="L15" s="1" t="s">
        <v>1658</v>
      </c>
      <c r="M15" s="1" t="s">
        <v>1659</v>
      </c>
      <c r="N15" s="1" t="s">
        <v>1660</v>
      </c>
      <c r="O15" s="1" t="s">
        <v>1172</v>
      </c>
      <c r="P15" s="1" t="s">
        <v>1162</v>
      </c>
    </row>
    <row r="16" customFormat="false" ht="15" hidden="false" customHeight="true" outlineLevel="0" collapsed="false">
      <c r="A16" s="1" t="s">
        <v>1667</v>
      </c>
      <c r="B16" s="1" t="s">
        <v>1151</v>
      </c>
      <c r="C16" s="1" t="s">
        <v>1148</v>
      </c>
      <c r="D16" s="1" t="s">
        <v>1134</v>
      </c>
      <c r="E16" s="1" t="s">
        <v>1199</v>
      </c>
      <c r="F16" s="1" t="s">
        <v>1218</v>
      </c>
      <c r="G16" s="1" t="s">
        <v>1208</v>
      </c>
      <c r="H16" s="1" t="s">
        <v>1156</v>
      </c>
      <c r="I16" s="1" t="s">
        <v>1129</v>
      </c>
      <c r="J16" s="1" t="s">
        <v>1141</v>
      </c>
      <c r="K16" s="1" t="s">
        <v>1292</v>
      </c>
      <c r="L16" s="1" t="s">
        <v>1658</v>
      </c>
      <c r="M16" s="1" t="s">
        <v>1659</v>
      </c>
      <c r="N16" s="1" t="s">
        <v>1660</v>
      </c>
      <c r="O16" s="1" t="s">
        <v>1172</v>
      </c>
      <c r="P16" s="1" t="s">
        <v>1162</v>
      </c>
    </row>
    <row r="17" customFormat="false" ht="15" hidden="false" customHeight="true" outlineLevel="0" collapsed="false">
      <c r="A17" s="1" t="s">
        <v>1668</v>
      </c>
      <c r="B17" s="1" t="s">
        <v>1151</v>
      </c>
      <c r="C17" s="1" t="s">
        <v>1148</v>
      </c>
      <c r="D17" s="1" t="s">
        <v>1134</v>
      </c>
      <c r="E17" s="1" t="s">
        <v>1199</v>
      </c>
      <c r="F17" s="1" t="s">
        <v>1218</v>
      </c>
      <c r="G17" s="1" t="s">
        <v>1208</v>
      </c>
      <c r="H17" s="1" t="s">
        <v>1156</v>
      </c>
      <c r="I17" s="1" t="s">
        <v>1129</v>
      </c>
      <c r="J17" s="1" t="s">
        <v>1141</v>
      </c>
      <c r="K17" s="1" t="s">
        <v>1292</v>
      </c>
      <c r="L17" s="1" t="s">
        <v>1658</v>
      </c>
      <c r="M17" s="1" t="s">
        <v>1659</v>
      </c>
      <c r="N17" s="1" t="s">
        <v>1660</v>
      </c>
      <c r="O17" s="1" t="s">
        <v>1172</v>
      </c>
      <c r="P17" s="1" t="s">
        <v>1162</v>
      </c>
    </row>
    <row r="18" customFormat="false" ht="15" hidden="false" customHeight="true" outlineLevel="0" collapsed="false">
      <c r="A18" s="1" t="s">
        <v>879</v>
      </c>
      <c r="B18" s="1" t="s">
        <v>1669</v>
      </c>
      <c r="C18" s="1" t="s">
        <v>944</v>
      </c>
      <c r="D18" s="1" t="s">
        <v>887</v>
      </c>
      <c r="E18" s="1" t="s">
        <v>881</v>
      </c>
      <c r="F18" s="1" t="s">
        <v>890</v>
      </c>
      <c r="G18" s="1" t="s">
        <v>1172</v>
      </c>
    </row>
    <row r="19" customFormat="false" ht="15" hidden="false" customHeight="true" outlineLevel="0" collapsed="false">
      <c r="A19" s="1" t="s">
        <v>891</v>
      </c>
      <c r="B19" s="1" t="s">
        <v>898</v>
      </c>
      <c r="C19" s="1" t="s">
        <v>1499</v>
      </c>
      <c r="D19" s="1" t="s">
        <v>1007</v>
      </c>
      <c r="E19" s="1" t="s">
        <v>1004</v>
      </c>
      <c r="F19" s="1" t="s">
        <v>1172</v>
      </c>
    </row>
    <row r="20" customFormat="false" ht="15" hidden="false" customHeight="true" outlineLevel="0" collapsed="false">
      <c r="A20" s="1" t="s">
        <v>1670</v>
      </c>
      <c r="B20" s="1" t="s">
        <v>1011</v>
      </c>
      <c r="C20" s="1" t="s">
        <v>1172</v>
      </c>
    </row>
    <row r="21" customFormat="false" ht="15" hidden="false" customHeight="true" outlineLevel="0" collapsed="false">
      <c r="A21" s="1" t="s">
        <v>950</v>
      </c>
      <c r="B21" s="1" t="s">
        <v>1025</v>
      </c>
      <c r="C21" s="1" t="s">
        <v>1019</v>
      </c>
      <c r="D21" s="1" t="s">
        <v>954</v>
      </c>
      <c r="E21" s="1" t="s">
        <v>1172</v>
      </c>
    </row>
    <row r="22" customFormat="false" ht="15" hidden="false" customHeight="true" outlineLevel="0" collapsed="false">
      <c r="A22" s="1" t="s">
        <v>896</v>
      </c>
      <c r="B22" s="1" t="s">
        <v>898</v>
      </c>
      <c r="C22" s="1" t="s">
        <v>903</v>
      </c>
      <c r="D22" s="1" t="s">
        <v>1029</v>
      </c>
      <c r="E22" s="1" t="s">
        <v>1172</v>
      </c>
    </row>
    <row r="23" customFormat="false" ht="15" hidden="false" customHeight="true" outlineLevel="0" collapsed="false">
      <c r="A23" s="1" t="s">
        <v>1671</v>
      </c>
      <c r="B23" s="1" t="s">
        <v>1672</v>
      </c>
      <c r="C23" s="1" t="s">
        <v>1039</v>
      </c>
      <c r="D23" s="1" t="s">
        <v>1034</v>
      </c>
      <c r="E23" s="1" t="s">
        <v>1032</v>
      </c>
      <c r="F23" s="1" t="s">
        <v>1172</v>
      </c>
    </row>
    <row r="24" customFormat="false" ht="15" hidden="false" customHeight="true" outlineLevel="0" collapsed="false">
      <c r="A24" s="1" t="s">
        <v>1673</v>
      </c>
      <c r="B24" s="1" t="s">
        <v>903</v>
      </c>
      <c r="C24" s="1" t="s">
        <v>1034</v>
      </c>
      <c r="D24" s="1" t="s">
        <v>1029</v>
      </c>
      <c r="E24" s="1" t="s">
        <v>1045</v>
      </c>
      <c r="F24" s="1" t="s">
        <v>1172</v>
      </c>
    </row>
    <row r="25" customFormat="false" ht="15" hidden="false" customHeight="true" outlineLevel="0" collapsed="false">
      <c r="A25" s="1" t="s">
        <v>1047</v>
      </c>
      <c r="B25" s="1" t="s">
        <v>1049</v>
      </c>
      <c r="C25" s="1" t="s">
        <v>991</v>
      </c>
      <c r="D25" s="1" t="s">
        <v>965</v>
      </c>
      <c r="E25" s="1" t="s">
        <v>1172</v>
      </c>
    </row>
    <row r="26" customFormat="false" ht="15" hidden="false" customHeight="true" outlineLevel="0" collapsed="false">
      <c r="A26" s="1" t="s">
        <v>917</v>
      </c>
      <c r="B26" s="1" t="s">
        <v>919</v>
      </c>
      <c r="C26" s="1" t="s">
        <v>922</v>
      </c>
      <c r="D26" s="1" t="s">
        <v>968</v>
      </c>
      <c r="E26" s="1" t="s">
        <v>1674</v>
      </c>
      <c r="F26" s="1" t="s">
        <v>1530</v>
      </c>
      <c r="G26" s="1" t="s">
        <v>1522</v>
      </c>
      <c r="H26" s="1" t="s">
        <v>965</v>
      </c>
      <c r="I26" s="1" t="s">
        <v>1172</v>
      </c>
    </row>
    <row r="27" customFormat="false" ht="15" hidden="false" customHeight="true" outlineLevel="0" collapsed="false">
      <c r="A27" s="1" t="s">
        <v>925</v>
      </c>
      <c r="B27" s="1" t="s">
        <v>968</v>
      </c>
      <c r="C27" s="1" t="s">
        <v>972</v>
      </c>
      <c r="D27" s="1" t="s">
        <v>1068</v>
      </c>
      <c r="E27" s="1" t="s">
        <v>1675</v>
      </c>
      <c r="F27" s="1" t="s">
        <v>1172</v>
      </c>
    </row>
    <row r="28" customFormat="false" ht="15" hidden="false" customHeight="true" outlineLevel="0" collapsed="false">
      <c r="A28" s="1" t="s">
        <v>977</v>
      </c>
      <c r="B28" s="1" t="s">
        <v>1073</v>
      </c>
      <c r="C28" s="1" t="s">
        <v>980</v>
      </c>
      <c r="D28" s="1" t="s">
        <v>1075</v>
      </c>
      <c r="E28" s="1" t="s">
        <v>1676</v>
      </c>
      <c r="F28" s="1" t="s">
        <v>1172</v>
      </c>
    </row>
    <row r="29" customFormat="false" ht="15" hidden="false" customHeight="true" outlineLevel="0" collapsed="false">
      <c r="A29" s="1" t="s">
        <v>932</v>
      </c>
      <c r="B29" s="1" t="s">
        <v>1090</v>
      </c>
      <c r="C29" s="1" t="s">
        <v>936</v>
      </c>
      <c r="D29" s="1" t="s">
        <v>1172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1186</v>
      </c>
    </row>
    <row r="5" customFormat="false" ht="15" hidden="false" customHeight="true" outlineLevel="0" collapsed="false">
      <c r="A5" s="1" t="s">
        <v>217</v>
      </c>
    </row>
    <row r="6" customFormat="false" ht="15" hidden="false" customHeight="true" outlineLevel="0" collapsed="false">
      <c r="A6" s="1" t="s">
        <v>1142</v>
      </c>
    </row>
    <row r="7" customFormat="false" ht="15" hidden="false" customHeight="true" outlineLevel="0" collapsed="false">
      <c r="A7" s="1" t="s">
        <v>174</v>
      </c>
    </row>
    <row r="8" customFormat="false" ht="15" hidden="false" customHeight="true" outlineLevel="0" collapsed="false">
      <c r="A8" s="1" t="s">
        <v>1135</v>
      </c>
    </row>
    <row r="9" customFormat="false" ht="15" hidden="false" customHeight="true" outlineLevel="0" collapsed="false">
      <c r="A9" s="1" t="s">
        <v>337</v>
      </c>
    </row>
    <row r="10" customFormat="false" ht="15" hidden="false" customHeight="true" outlineLevel="0" collapsed="false">
      <c r="A10" s="1" t="s">
        <v>1677</v>
      </c>
    </row>
    <row r="11" customFormat="false" ht="15" hidden="false" customHeight="true" outlineLevel="0" collapsed="false">
      <c r="A11" s="1" t="s">
        <v>1678</v>
      </c>
    </row>
    <row r="12" customFormat="false" ht="15" hidden="false" customHeight="true" outlineLevel="0" collapsed="false">
      <c r="A12" s="1" t="s">
        <v>1500</v>
      </c>
    </row>
    <row r="13" customFormat="false" ht="15" hidden="false" customHeight="true" outlineLevel="0" collapsed="false">
      <c r="A13" s="1" t="s">
        <v>1679</v>
      </c>
    </row>
    <row r="14" customFormat="false" ht="15" hidden="false" customHeight="true" outlineLevel="0" collapsed="false">
      <c r="A14" s="1" t="s">
        <v>673</v>
      </c>
    </row>
    <row r="15" customFormat="false" ht="15" hidden="false" customHeight="true" outlineLevel="0" collapsed="false">
      <c r="A15" s="1" t="s">
        <v>1680</v>
      </c>
    </row>
    <row r="16" customFormat="false" ht="15" hidden="false" customHeight="true" outlineLevel="0" collapsed="false">
      <c r="A16" s="1" t="s">
        <v>1681</v>
      </c>
    </row>
    <row r="17" customFormat="false" ht="15" hidden="false" customHeight="true" outlineLevel="0" collapsed="false">
      <c r="A17" s="1" t="s">
        <v>1682</v>
      </c>
    </row>
    <row r="18" customFormat="false" ht="15" hidden="false" customHeight="true" outlineLevel="0" collapsed="false">
      <c r="A18" s="1" t="s">
        <v>1683</v>
      </c>
    </row>
    <row r="19" customFormat="false" ht="15" hidden="false" customHeight="true" outlineLevel="0" collapsed="false">
      <c r="A19" s="1" t="s">
        <v>1684</v>
      </c>
    </row>
    <row r="20" customFormat="false" ht="15" hidden="false" customHeight="true" outlineLevel="0" collapsed="false">
      <c r="A20" s="1" t="s">
        <v>1685</v>
      </c>
    </row>
    <row r="21" customFormat="false" ht="15" hidden="false" customHeight="true" outlineLevel="0" collapsed="false">
      <c r="A21" s="1" t="s">
        <v>1686</v>
      </c>
    </row>
    <row r="22" customFormat="false" ht="15" hidden="false" customHeight="true" outlineLevel="0" collapsed="false">
      <c r="A22" s="1" t="s">
        <v>1547</v>
      </c>
    </row>
    <row r="23" customFormat="false" ht="15" hidden="false" customHeight="true" outlineLevel="0" collapsed="false">
      <c r="A23" s="1" t="s">
        <v>1687</v>
      </c>
    </row>
    <row r="24" customFormat="false" ht="15" hidden="false" customHeight="true" outlineLevel="0" collapsed="false">
      <c r="A24" s="1" t="s">
        <v>1688</v>
      </c>
    </row>
    <row r="25" customFormat="false" ht="15" hidden="false" customHeight="true" outlineLevel="0" collapsed="false">
      <c r="A25" s="1" t="s">
        <v>178</v>
      </c>
    </row>
    <row r="26" customFormat="false" ht="15" hidden="false" customHeight="true" outlineLevel="0" collapsed="false">
      <c r="A26" s="1" t="s">
        <v>1689</v>
      </c>
    </row>
    <row r="27" customFormat="false" ht="15" hidden="false" customHeight="true" outlineLevel="0" collapsed="false">
      <c r="A27" s="1" t="s">
        <v>1690</v>
      </c>
    </row>
    <row r="28" customFormat="false" ht="15" hidden="false" customHeight="true" outlineLevel="0" collapsed="false">
      <c r="A28" s="1" t="s">
        <v>1691</v>
      </c>
    </row>
    <row r="29" customFormat="false" ht="15" hidden="false" customHeight="true" outlineLevel="0" collapsed="false">
      <c r="A29" s="1" t="s">
        <v>1163</v>
      </c>
    </row>
    <row r="30" customFormat="false" ht="15" hidden="false" customHeight="true" outlineLevel="0" collapsed="false">
      <c r="A30" s="1" t="s">
        <v>1692</v>
      </c>
    </row>
    <row r="31" customFormat="false" ht="15" hidden="false" customHeight="true" outlineLevel="0" collapsed="false">
      <c r="A31" s="1" t="s">
        <v>1356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7" t="s">
        <v>1693</v>
      </c>
      <c r="B1" s="57"/>
      <c r="C1" s="57"/>
      <c r="D1" s="57"/>
      <c r="E1" s="57"/>
      <c r="F1" s="57"/>
      <c r="G1" s="57"/>
      <c r="H1" s="57"/>
      <c r="I1" s="57"/>
      <c r="J1" s="57"/>
    </row>
    <row r="2" customFormat="false" ht="36" hidden="false" customHeight="true" outlineLevel="0" collapsed="false">
      <c r="A2" s="58" t="s">
        <v>1694</v>
      </c>
      <c r="B2" s="58"/>
      <c r="C2" s="58"/>
      <c r="D2" s="58"/>
      <c r="E2" s="58"/>
      <c r="F2" s="58"/>
      <c r="G2" s="58"/>
      <c r="H2" s="58"/>
      <c r="I2" s="58"/>
      <c r="J2" s="58"/>
    </row>
    <row r="3" customFormat="false" ht="43.5" hidden="false" customHeight="true" outlineLevel="0" collapsed="false">
      <c r="A3" s="59" t="s">
        <v>872</v>
      </c>
      <c r="B3" s="59" t="s">
        <v>873</v>
      </c>
      <c r="C3" s="59" t="s">
        <v>1695</v>
      </c>
      <c r="D3" s="60" t="s">
        <v>1696</v>
      </c>
      <c r="E3" s="60" t="s">
        <v>1697</v>
      </c>
      <c r="F3" s="61" t="s">
        <v>1698</v>
      </c>
      <c r="G3" s="59" t="s">
        <v>875</v>
      </c>
      <c r="H3" s="59" t="s">
        <v>686</v>
      </c>
      <c r="I3" s="62" t="s">
        <v>1699</v>
      </c>
      <c r="J3" s="18" t="s">
        <v>1700</v>
      </c>
    </row>
    <row r="4" customFormat="false" ht="15" hidden="false" customHeight="true" outlineLevel="0" collapsed="false">
      <c r="A4" s="63" t="s">
        <v>1562</v>
      </c>
      <c r="B4" s="63" t="s">
        <v>1563</v>
      </c>
      <c r="C4" s="63" t="s">
        <v>1208</v>
      </c>
      <c r="D4" s="63" t="s">
        <v>1701</v>
      </c>
      <c r="E4" s="63" t="s">
        <v>1701</v>
      </c>
      <c r="F4" s="28" t="str">
        <f aca="false">IF(C4="","",IF(OR(C4="1. bekkur",C4="2. bekkur",C4="3. bekkur",C4="4. bekkur"),"Já",IF(C4="Starfsmaður","Nei","Nei")))</f>
        <v>Nei</v>
      </c>
      <c r="G4" s="63" t="s">
        <v>843</v>
      </c>
      <c r="H4" s="63" t="s">
        <v>1564</v>
      </c>
      <c r="I4" s="63"/>
      <c r="J4" s="64" t="s">
        <v>1702</v>
      </c>
    </row>
    <row r="5" customFormat="false" ht="15" hidden="false" customHeight="true" outlineLevel="0" collapsed="false">
      <c r="A5" s="9" t="s">
        <v>1562</v>
      </c>
      <c r="B5" s="9" t="s">
        <v>1565</v>
      </c>
      <c r="C5" s="9" t="s">
        <v>1199</v>
      </c>
      <c r="D5" s="9" t="s">
        <v>1701</v>
      </c>
      <c r="E5" s="9" t="s">
        <v>1701</v>
      </c>
      <c r="F5" s="28" t="str">
        <f aca="false">IF(C5="","",IF(OR(C5="1. bekkur",C5="2. bekkur",C5="3. bekkur",C5="4. bekkur"),"Já",IF(C5="Starfsmaður","Nei","Nei")))</f>
        <v>Já</v>
      </c>
      <c r="G5" s="9" t="s">
        <v>1135</v>
      </c>
      <c r="H5" s="9" t="s">
        <v>1566</v>
      </c>
      <c r="I5" s="9"/>
      <c r="J5" s="64" t="s">
        <v>1703</v>
      </c>
    </row>
    <row r="6" customFormat="false" ht="15" hidden="false" customHeight="true" outlineLevel="0" collapsed="false">
      <c r="A6" s="63" t="s">
        <v>1562</v>
      </c>
      <c r="B6" s="63" t="s">
        <v>1567</v>
      </c>
      <c r="C6" s="63" t="s">
        <v>1218</v>
      </c>
      <c r="D6" s="63" t="s">
        <v>1701</v>
      </c>
      <c r="E6" s="63" t="s">
        <v>1701</v>
      </c>
      <c r="F6" s="28" t="str">
        <f aca="false">IF(C6="","",IF(OR(C6="1. bekkur",C6="2. bekkur",C6="3. bekkur",C6="4. bekkur"),"Já",IF(C6="Starfsmaður","Nei","Nei")))</f>
        <v>Nei</v>
      </c>
      <c r="G6" s="63" t="s">
        <v>1568</v>
      </c>
      <c r="H6" s="63" t="s">
        <v>1569</v>
      </c>
      <c r="I6" s="63"/>
      <c r="J6" s="64" t="s">
        <v>1704</v>
      </c>
    </row>
    <row r="7" customFormat="false" ht="15" hidden="false" customHeight="true" outlineLevel="0" collapsed="false">
      <c r="A7" s="9" t="s">
        <v>1562</v>
      </c>
      <c r="B7" s="9" t="s">
        <v>1570</v>
      </c>
      <c r="C7" s="9" t="s">
        <v>1208</v>
      </c>
      <c r="D7" s="9" t="s">
        <v>1701</v>
      </c>
      <c r="E7" s="9" t="s">
        <v>1701</v>
      </c>
      <c r="F7" s="28" t="str">
        <f aca="false">IF(C7="","",IF(OR(C7="1. bekkur",C7="2. bekkur",C7="3. bekkur",C7="4. bekkur"),"Já",IF(C7="Starfsmaður","Nei","Nei")))</f>
        <v>Nei</v>
      </c>
      <c r="G7" s="9" t="s">
        <v>1571</v>
      </c>
      <c r="H7" s="9" t="s">
        <v>1572</v>
      </c>
      <c r="I7" s="9"/>
      <c r="J7" s="64" t="s">
        <v>1705</v>
      </c>
    </row>
    <row r="8" customFormat="false" ht="15" hidden="false" customHeight="true" outlineLevel="0" collapsed="false">
      <c r="A8" s="63" t="s">
        <v>1562</v>
      </c>
      <c r="B8" s="63" t="s">
        <v>1706</v>
      </c>
      <c r="C8" s="63" t="s">
        <v>1162</v>
      </c>
      <c r="D8" s="63" t="s">
        <v>1701</v>
      </c>
      <c r="E8" s="63" t="s">
        <v>1701</v>
      </c>
      <c r="F8" s="28" t="str">
        <f aca="false">IF(C8="","",IF(OR(C8="1. bekkur",C8="2. bekkur",C8="3. bekkur",C8="4. bekkur"),"Já",IF(C8="Starfsmaður","Nei","Nei")))</f>
        <v>Nei</v>
      </c>
      <c r="G8" s="63" t="s">
        <v>1135</v>
      </c>
      <c r="H8" s="63"/>
      <c r="I8" s="63"/>
      <c r="J8" s="64" t="s">
        <v>1707</v>
      </c>
    </row>
    <row r="9" customFormat="false" ht="15" hidden="false" customHeight="true" outlineLevel="0" collapsed="false">
      <c r="A9" s="9" t="s">
        <v>1562</v>
      </c>
      <c r="B9" s="9" t="s">
        <v>1708</v>
      </c>
      <c r="C9" s="9" t="s">
        <v>1208</v>
      </c>
      <c r="D9" s="9" t="s">
        <v>1701</v>
      </c>
      <c r="E9" s="9" t="s">
        <v>1701</v>
      </c>
      <c r="F9" s="28" t="str">
        <f aca="false">IF(C9="","",IF(OR(C9="1. bekkur",C9="2. bekkur",C9="3. bekkur",C9="4. bekkur"),"Já",IF(C9="Starfsmaður","Nei","Nei")))</f>
        <v>Nei</v>
      </c>
      <c r="G9" s="9" t="s">
        <v>1135</v>
      </c>
      <c r="H9" s="9"/>
      <c r="I9" s="9"/>
      <c r="J9" s="64" t="s">
        <v>1709</v>
      </c>
    </row>
    <row r="10" customFormat="false" ht="15" hidden="false" customHeight="true" outlineLevel="0" collapsed="false">
      <c r="A10" s="63" t="s">
        <v>1562</v>
      </c>
      <c r="B10" s="63" t="s">
        <v>1573</v>
      </c>
      <c r="C10" s="63" t="s">
        <v>1151</v>
      </c>
      <c r="D10" s="63" t="s">
        <v>1701</v>
      </c>
      <c r="E10" s="63" t="s">
        <v>1701</v>
      </c>
      <c r="F10" s="28" t="str">
        <f aca="false">IF(C10="","",IF(OR(C10="1. bekkur",C10="2. bekkur",C10="3. bekkur",C10="4. bekkur"),"Já",IF(C10="Starfsmaður","Nei","Nei")))</f>
        <v>Já</v>
      </c>
      <c r="G10" s="63" t="s">
        <v>1135</v>
      </c>
      <c r="H10" s="63" t="s">
        <v>1574</v>
      </c>
      <c r="I10" s="63"/>
      <c r="J10" s="64" t="s">
        <v>1710</v>
      </c>
    </row>
    <row r="11" customFormat="false" ht="15" hidden="false" customHeight="true" outlineLevel="0" collapsed="false">
      <c r="A11" s="9" t="s">
        <v>1562</v>
      </c>
      <c r="B11" s="9" t="s">
        <v>1575</v>
      </c>
      <c r="C11" s="9" t="s">
        <v>1218</v>
      </c>
      <c r="D11" s="9" t="s">
        <v>1701</v>
      </c>
      <c r="E11" s="9" t="s">
        <v>1701</v>
      </c>
      <c r="F11" s="28" t="str">
        <f aca="false">IF(C11="","",IF(OR(C11="1. bekkur",C11="2. bekkur",C11="3. bekkur",C11="4. bekkur"),"Já",IF(C11="Starfsmaður","Nei","Nei")))</f>
        <v>Nei</v>
      </c>
      <c r="G11" s="9" t="s">
        <v>1395</v>
      </c>
      <c r="H11" s="9" t="s">
        <v>1533</v>
      </c>
      <c r="I11" s="9"/>
      <c r="J11" s="64" t="s">
        <v>1711</v>
      </c>
    </row>
    <row r="12" customFormat="false" ht="15" hidden="false" customHeight="true" outlineLevel="0" collapsed="false">
      <c r="A12" s="63" t="s">
        <v>1562</v>
      </c>
      <c r="B12" s="63" t="s">
        <v>1576</v>
      </c>
      <c r="C12" s="63" t="s">
        <v>1199</v>
      </c>
      <c r="D12" s="63" t="s">
        <v>1701</v>
      </c>
      <c r="E12" s="63" t="s">
        <v>1701</v>
      </c>
      <c r="F12" s="28" t="str">
        <f aca="false">IF(C12="","",IF(OR(C12="1. bekkur",C12="2. bekkur",C12="3. bekkur",C12="4. bekkur"),"Já",IF(C12="Starfsmaður","Nei","Nei")))</f>
        <v>Já</v>
      </c>
      <c r="G12" s="63" t="s">
        <v>1577</v>
      </c>
      <c r="H12" s="63" t="s">
        <v>1578</v>
      </c>
      <c r="I12" s="63"/>
      <c r="J12" s="64" t="s">
        <v>1712</v>
      </c>
    </row>
    <row r="13" customFormat="false" ht="15" hidden="false" customHeight="true" outlineLevel="0" collapsed="false">
      <c r="A13" s="9" t="s">
        <v>1562</v>
      </c>
      <c r="B13" s="9" t="s">
        <v>1579</v>
      </c>
      <c r="C13" s="9" t="s">
        <v>1208</v>
      </c>
      <c r="D13" s="9" t="s">
        <v>1701</v>
      </c>
      <c r="E13" s="9" t="s">
        <v>1701</v>
      </c>
      <c r="F13" s="28" t="str">
        <f aca="false">IF(C13="","",IF(OR(C13="1. bekkur",C13="2. bekkur",C13="3. bekkur",C13="4. bekkur"),"Já",IF(C13="Starfsmaður","Nei","Nei")))</f>
        <v>Nei</v>
      </c>
      <c r="G13" s="9" t="s">
        <v>146</v>
      </c>
      <c r="H13" s="9" t="s">
        <v>1580</v>
      </c>
      <c r="I13" s="9"/>
      <c r="J13" s="64" t="s">
        <v>1713</v>
      </c>
    </row>
    <row r="14" customFormat="false" ht="15" hidden="false" customHeight="true" outlineLevel="0" collapsed="false">
      <c r="A14" s="63" t="s">
        <v>1562</v>
      </c>
      <c r="B14" s="63" t="s">
        <v>1581</v>
      </c>
      <c r="C14" s="63" t="s">
        <v>1208</v>
      </c>
      <c r="D14" s="63" t="s">
        <v>1701</v>
      </c>
      <c r="E14" s="63" t="s">
        <v>1701</v>
      </c>
      <c r="F14" s="28" t="str">
        <f aca="false">IF(C14="","",IF(OR(C14="1. bekkur",C14="2. bekkur",C14="3. bekkur",C14="4. bekkur"),"Já",IF(C14="Starfsmaður","Nei","Nei")))</f>
        <v>Nei</v>
      </c>
      <c r="G14" s="63" t="s">
        <v>1226</v>
      </c>
      <c r="H14" s="63" t="s">
        <v>1582</v>
      </c>
      <c r="I14" s="63"/>
      <c r="J14" s="64" t="s">
        <v>1714</v>
      </c>
    </row>
    <row r="15" customFormat="false" ht="15" hidden="false" customHeight="true" outlineLevel="0" collapsed="false">
      <c r="A15" s="9" t="s">
        <v>1562</v>
      </c>
      <c r="B15" s="9" t="s">
        <v>1583</v>
      </c>
      <c r="C15" s="9" t="s">
        <v>1151</v>
      </c>
      <c r="D15" s="9" t="s">
        <v>1701</v>
      </c>
      <c r="E15" s="9" t="s">
        <v>1701</v>
      </c>
      <c r="F15" s="28" t="str">
        <f aca="false">IF(C15="","",IF(OR(C15="1. bekkur",C15="2. bekkur",C15="3. bekkur",C15="4. bekkur"),"Já",IF(C15="Starfsmaður","Nei","Nei")))</f>
        <v>Já</v>
      </c>
      <c r="G15" s="9" t="s">
        <v>1395</v>
      </c>
      <c r="H15" s="9" t="s">
        <v>1533</v>
      </c>
      <c r="I15" s="9"/>
      <c r="J15" s="64" t="s">
        <v>1715</v>
      </c>
    </row>
    <row r="16" customFormat="false" ht="15" hidden="false" customHeight="true" outlineLevel="0" collapsed="false">
      <c r="A16" s="63" t="s">
        <v>1562</v>
      </c>
      <c r="B16" s="63" t="s">
        <v>1584</v>
      </c>
      <c r="C16" s="63" t="s">
        <v>1199</v>
      </c>
      <c r="D16" s="63" t="s">
        <v>1701</v>
      </c>
      <c r="E16" s="63" t="s">
        <v>1701</v>
      </c>
      <c r="F16" s="28" t="str">
        <f aca="false">IF(C16="","",IF(OR(C16="1. bekkur",C16="2. bekkur",C16="3. bekkur",C16="4. bekkur"),"Já",IF(C16="Starfsmaður","Nei","Nei")))</f>
        <v>Já</v>
      </c>
      <c r="G16" s="63" t="s">
        <v>1186</v>
      </c>
      <c r="H16" s="63" t="s">
        <v>1585</v>
      </c>
      <c r="I16" s="63"/>
      <c r="J16" s="64" t="s">
        <v>1716</v>
      </c>
    </row>
    <row r="17" customFormat="false" ht="15" hidden="false" customHeight="true" outlineLevel="0" collapsed="false">
      <c r="A17" s="9" t="s">
        <v>1562</v>
      </c>
      <c r="B17" s="9" t="s">
        <v>1586</v>
      </c>
      <c r="C17" s="9" t="s">
        <v>1218</v>
      </c>
      <c r="D17" s="9" t="s">
        <v>1701</v>
      </c>
      <c r="E17" s="9" t="s">
        <v>1701</v>
      </c>
      <c r="F17" s="28" t="str">
        <f aca="false">IF(C17="","",IF(OR(C17="1. bekkur",C17="2. bekkur",C17="3. bekkur",C17="4. bekkur"),"Já",IF(C17="Starfsmaður","Nei","Nei")))</f>
        <v>Nei</v>
      </c>
      <c r="G17" s="9" t="s">
        <v>1135</v>
      </c>
      <c r="H17" s="9" t="s">
        <v>1587</v>
      </c>
      <c r="I17" s="9"/>
      <c r="J17" s="64" t="s">
        <v>1717</v>
      </c>
    </row>
    <row r="18" customFormat="false" ht="15" hidden="false" customHeight="true" outlineLevel="0" collapsed="false">
      <c r="A18" s="63" t="s">
        <v>1562</v>
      </c>
      <c r="B18" s="63" t="s">
        <v>1171</v>
      </c>
      <c r="C18" s="63" t="s">
        <v>1172</v>
      </c>
      <c r="D18" s="63" t="s">
        <v>1701</v>
      </c>
      <c r="E18" s="63" t="s">
        <v>1701</v>
      </c>
      <c r="F18" s="28" t="str">
        <f aca="false">IF(C18="","",IF(OR(C18="1. bekkur",C18="2. bekkur",C18="3. bekkur",C18="4. bekkur"),"Já",IF(C18="Starfsmaður","Nei","Nei")))</f>
        <v>Nei</v>
      </c>
      <c r="G18" s="63" t="s">
        <v>1173</v>
      </c>
      <c r="H18" s="63" t="s">
        <v>1197</v>
      </c>
      <c r="I18" s="63"/>
      <c r="J18" s="64" t="s">
        <v>1718</v>
      </c>
    </row>
    <row r="19" customFormat="false" ht="15" hidden="false" customHeight="true" outlineLevel="0" collapsed="false">
      <c r="A19" s="9" t="s">
        <v>1562</v>
      </c>
      <c r="B19" s="9" t="s">
        <v>1719</v>
      </c>
      <c r="C19" s="9" t="s">
        <v>1162</v>
      </c>
      <c r="D19" s="9" t="s">
        <v>1701</v>
      </c>
      <c r="E19" s="9" t="s">
        <v>1701</v>
      </c>
      <c r="F19" s="28" t="str">
        <f aca="false">IF(C19="","",IF(OR(C19="1. bekkur",C19="2. bekkur",C19="3. bekkur",C19="4. bekkur"),"Já",IF(C19="Starfsmaður","Nei","Nei")))</f>
        <v>Nei</v>
      </c>
      <c r="G19" s="9" t="s">
        <v>1163</v>
      </c>
      <c r="H19" s="9"/>
      <c r="I19" s="9"/>
      <c r="J19" s="64" t="s">
        <v>1720</v>
      </c>
    </row>
    <row r="20" customFormat="false" ht="15" hidden="false" customHeight="true" outlineLevel="0" collapsed="false">
      <c r="A20" s="63" t="s">
        <v>1562</v>
      </c>
      <c r="B20" s="63" t="s">
        <v>1721</v>
      </c>
      <c r="C20" s="63" t="s">
        <v>1162</v>
      </c>
      <c r="D20" s="63" t="s">
        <v>1701</v>
      </c>
      <c r="E20" s="63" t="s">
        <v>1701</v>
      </c>
      <c r="F20" s="28" t="str">
        <f aca="false">IF(C20="","",IF(OR(C20="1. bekkur",C20="2. bekkur",C20="3. bekkur",C20="4. bekkur"),"Já",IF(C20="Starfsmaður","Nei","Nei")))</f>
        <v>Nei</v>
      </c>
      <c r="G20" s="63" t="s">
        <v>1163</v>
      </c>
      <c r="H20" s="63"/>
      <c r="I20" s="63"/>
      <c r="J20" s="64" t="s">
        <v>1722</v>
      </c>
    </row>
    <row r="21" customFormat="false" ht="15" hidden="false" customHeight="true" outlineLevel="0" collapsed="false">
      <c r="A21" s="9" t="s">
        <v>1562</v>
      </c>
      <c r="B21" s="9" t="s">
        <v>1588</v>
      </c>
      <c r="C21" s="9" t="s">
        <v>1199</v>
      </c>
      <c r="D21" s="9" t="s">
        <v>1701</v>
      </c>
      <c r="E21" s="9" t="s">
        <v>1701</v>
      </c>
      <c r="F21" s="28" t="str">
        <f aca="false">IF(C21="","",IF(OR(C21="1. bekkur",C21="2. bekkur",C21="3. bekkur",C21="4. bekkur"),"Já",IF(C21="Starfsmaður","Nei","Nei")))</f>
        <v>Já</v>
      </c>
      <c r="G21" s="9" t="s">
        <v>217</v>
      </c>
      <c r="H21" s="9" t="s">
        <v>1589</v>
      </c>
      <c r="I21" s="9"/>
      <c r="J21" s="64" t="s">
        <v>1723</v>
      </c>
    </row>
    <row r="22" customFormat="false" ht="15" hidden="false" customHeight="true" outlineLevel="0" collapsed="false">
      <c r="A22" s="63" t="s">
        <v>1562</v>
      </c>
      <c r="B22" s="63" t="s">
        <v>1590</v>
      </c>
      <c r="C22" s="63" t="s">
        <v>1151</v>
      </c>
      <c r="D22" s="63" t="s">
        <v>1724</v>
      </c>
      <c r="E22" s="63" t="s">
        <v>1701</v>
      </c>
      <c r="F22" s="28" t="str">
        <f aca="false">IF(C22="","",IF(OR(C22="1. bekkur",C22="2. bekkur",C22="3. bekkur",C22="4. bekkur"),"Já",IF(C22="Starfsmaður","Nei","Nei")))</f>
        <v>Já</v>
      </c>
      <c r="G22" s="63" t="s">
        <v>1520</v>
      </c>
      <c r="H22" s="63" t="s">
        <v>1591</v>
      </c>
      <c r="I22" s="63"/>
      <c r="J22" s="64" t="s">
        <v>1725</v>
      </c>
    </row>
    <row r="23" customFormat="false" ht="15" hidden="false" customHeight="true" outlineLevel="0" collapsed="false">
      <c r="A23" s="9" t="s">
        <v>1562</v>
      </c>
      <c r="B23" s="9" t="s">
        <v>1592</v>
      </c>
      <c r="C23" s="9" t="s">
        <v>1148</v>
      </c>
      <c r="D23" s="9" t="s">
        <v>1724</v>
      </c>
      <c r="E23" s="9" t="s">
        <v>1701</v>
      </c>
      <c r="F23" s="28" t="str">
        <f aca="false">IF(C23="","",IF(OR(C23="1. bekkur",C23="2. bekkur",C23="3. bekkur",C23="4. bekkur"),"Já",IF(C23="Starfsmaður","Nei","Nei")))</f>
        <v>Já</v>
      </c>
      <c r="G23" s="9" t="s">
        <v>217</v>
      </c>
      <c r="H23" s="9" t="s">
        <v>1593</v>
      </c>
      <c r="I23" s="9"/>
      <c r="J23" s="64" t="s">
        <v>1726</v>
      </c>
    </row>
    <row r="24" customFormat="false" ht="15" hidden="false" customHeight="true" outlineLevel="0" collapsed="false">
      <c r="A24" s="63" t="s">
        <v>1562</v>
      </c>
      <c r="B24" s="63" t="s">
        <v>1594</v>
      </c>
      <c r="C24" s="63" t="s">
        <v>1151</v>
      </c>
      <c r="D24" s="63" t="s">
        <v>1724</v>
      </c>
      <c r="E24" s="63" t="s">
        <v>1701</v>
      </c>
      <c r="F24" s="28" t="str">
        <f aca="false">IF(C24="","",IF(OR(C24="1. bekkur",C24="2. bekkur",C24="3. bekkur",C24="4. bekkur"),"Já",IF(C24="Starfsmaður","Nei","Nei")))</f>
        <v>Já</v>
      </c>
      <c r="G24" s="63" t="s">
        <v>671</v>
      </c>
      <c r="H24" s="63" t="s">
        <v>1595</v>
      </c>
      <c r="I24" s="63"/>
      <c r="J24" s="64" t="s">
        <v>1727</v>
      </c>
    </row>
    <row r="25" customFormat="false" ht="15" hidden="false" customHeight="true" outlineLevel="0" collapsed="false">
      <c r="A25" s="9" t="s">
        <v>1127</v>
      </c>
      <c r="B25" s="9" t="s">
        <v>1596</v>
      </c>
      <c r="C25" s="9" t="s">
        <v>1218</v>
      </c>
      <c r="D25" s="9" t="s">
        <v>1701</v>
      </c>
      <c r="E25" s="9" t="s">
        <v>1701</v>
      </c>
      <c r="F25" s="28" t="str">
        <f aca="false">IF(C25="","",IF(OR(C25="1. bekkur",C25="2. bekkur",C25="3. bekkur",C25="4. bekkur"),"Já",IF(C25="Starfsmaður","Nei","Nei")))</f>
        <v>Nei</v>
      </c>
      <c r="G25" s="9" t="s">
        <v>1135</v>
      </c>
      <c r="H25" s="9" t="s">
        <v>1216</v>
      </c>
      <c r="I25" s="9"/>
      <c r="J25" s="64" t="s">
        <v>1728</v>
      </c>
    </row>
    <row r="26" customFormat="false" ht="15" hidden="false" customHeight="true" outlineLevel="0" collapsed="false">
      <c r="A26" s="63" t="s">
        <v>1127</v>
      </c>
      <c r="B26" s="63" t="s">
        <v>1597</v>
      </c>
      <c r="C26" s="63" t="s">
        <v>1218</v>
      </c>
      <c r="D26" s="63" t="s">
        <v>1701</v>
      </c>
      <c r="E26" s="63" t="s">
        <v>1701</v>
      </c>
      <c r="F26" s="28" t="str">
        <f aca="false">IF(C26="","",IF(OR(C26="1. bekkur",C26="2. bekkur",C26="3. bekkur",C26="4. bekkur"),"Já",IF(C26="Starfsmaður","Nei","Nei")))</f>
        <v>Nei</v>
      </c>
      <c r="G26" s="63" t="s">
        <v>1183</v>
      </c>
      <c r="H26" s="63" t="s">
        <v>1598</v>
      </c>
      <c r="I26" s="63"/>
      <c r="J26" s="64" t="s">
        <v>1729</v>
      </c>
    </row>
    <row r="27" customFormat="false" ht="15" hidden="false" customHeight="true" outlineLevel="0" collapsed="false">
      <c r="A27" s="9" t="s">
        <v>1127</v>
      </c>
      <c r="B27" s="9" t="s">
        <v>1599</v>
      </c>
      <c r="C27" s="9" t="s">
        <v>1151</v>
      </c>
      <c r="D27" s="9" t="s">
        <v>1701</v>
      </c>
      <c r="E27" s="9" t="s">
        <v>1701</v>
      </c>
      <c r="F27" s="28" t="str">
        <f aca="false">IF(C27="","",IF(OR(C27="1. bekkur",C27="2. bekkur",C27="3. bekkur",C27="4. bekkur"),"Já",IF(C27="Starfsmaður","Nei","Nei")))</f>
        <v>Já</v>
      </c>
      <c r="G27" s="9" t="s">
        <v>1135</v>
      </c>
      <c r="H27" s="9" t="s">
        <v>1600</v>
      </c>
      <c r="I27" s="9"/>
      <c r="J27" s="64" t="s">
        <v>1730</v>
      </c>
    </row>
    <row r="28" customFormat="false" ht="15" hidden="false" customHeight="true" outlineLevel="0" collapsed="false">
      <c r="A28" s="63" t="s">
        <v>1127</v>
      </c>
      <c r="B28" s="63" t="s">
        <v>1601</v>
      </c>
      <c r="C28" s="63" t="s">
        <v>1218</v>
      </c>
      <c r="D28" s="63" t="s">
        <v>1701</v>
      </c>
      <c r="E28" s="63" t="s">
        <v>1701</v>
      </c>
      <c r="F28" s="28" t="str">
        <f aca="false">IF(C28="","",IF(OR(C28="1. bekkur",C28="2. bekkur",C28="3. bekkur",C28="4. bekkur"),"Já",IF(C28="Starfsmaður","Nei","Nei")))</f>
        <v>Nei</v>
      </c>
      <c r="G28" s="63" t="s">
        <v>893</v>
      </c>
      <c r="H28" s="63" t="s">
        <v>1602</v>
      </c>
      <c r="I28" s="63"/>
      <c r="J28" s="64" t="s">
        <v>1731</v>
      </c>
    </row>
    <row r="29" customFormat="false" ht="23.25" hidden="false" customHeight="true" outlineLevel="0" collapsed="false">
      <c r="A29" s="9" t="s">
        <v>1127</v>
      </c>
      <c r="B29" s="9" t="s">
        <v>1603</v>
      </c>
      <c r="C29" s="9" t="s">
        <v>1162</v>
      </c>
      <c r="D29" s="9" t="s">
        <v>1701</v>
      </c>
      <c r="E29" s="9" t="s">
        <v>1701</v>
      </c>
      <c r="F29" s="28" t="str">
        <f aca="false">IF(C29="","",IF(OR(C29="1. bekkur",C29="2. bekkur",C29="3. bekkur",C29="4. bekkur"),"Já",IF(C29="Starfsmaður","Nei","Nei")))</f>
        <v>Nei</v>
      </c>
      <c r="G29" s="9" t="s">
        <v>1163</v>
      </c>
      <c r="H29" s="9" t="s">
        <v>1604</v>
      </c>
      <c r="I29" s="9"/>
      <c r="J29" s="64" t="s">
        <v>1732</v>
      </c>
    </row>
    <row r="30" customFormat="false" ht="15" hidden="false" customHeight="true" outlineLevel="0" collapsed="false">
      <c r="A30" s="63" t="s">
        <v>1127</v>
      </c>
      <c r="B30" s="63" t="s">
        <v>1603</v>
      </c>
      <c r="C30" s="63" t="s">
        <v>1658</v>
      </c>
      <c r="D30" s="63" t="s">
        <v>1701</v>
      </c>
      <c r="E30" s="63" t="s">
        <v>1724</v>
      </c>
      <c r="F30" s="28" t="str">
        <f aca="false">IF(C30="","",IF(OR(C30="1. bekkur",C30="2. bekkur",C30="3. bekkur",C30="4. bekkur"),"Já",IF(C30="Starfsmaður","Nei","Nei")))</f>
        <v>Nei</v>
      </c>
      <c r="G30" s="63" t="s">
        <v>1163</v>
      </c>
      <c r="H30" s="63"/>
      <c r="I30" s="63"/>
      <c r="J30" s="64" t="s">
        <v>1733</v>
      </c>
    </row>
    <row r="31" customFormat="false" ht="15" hidden="false" customHeight="true" outlineLevel="0" collapsed="false">
      <c r="A31" s="9" t="s">
        <v>1127</v>
      </c>
      <c r="B31" s="9" t="s">
        <v>1734</v>
      </c>
      <c r="C31" s="9" t="s">
        <v>1658</v>
      </c>
      <c r="D31" s="9" t="s">
        <v>1701</v>
      </c>
      <c r="E31" s="9" t="s">
        <v>1724</v>
      </c>
      <c r="F31" s="28" t="str">
        <f aca="false">IF(C31="","",IF(OR(C31="1. bekkur",C31="2. bekkur",C31="3. bekkur",C31="4. bekkur"),"Já",IF(C31="Starfsmaður","Nei","Nei")))</f>
        <v>Nei</v>
      </c>
      <c r="G31" s="9" t="s">
        <v>1163</v>
      </c>
      <c r="H31" s="9"/>
      <c r="I31" s="9"/>
      <c r="J31" s="64" t="s">
        <v>1735</v>
      </c>
    </row>
    <row r="32" customFormat="false" ht="15" hidden="false" customHeight="true" outlineLevel="0" collapsed="false">
      <c r="A32" s="63" t="s">
        <v>1127</v>
      </c>
      <c r="B32" s="63" t="s">
        <v>1736</v>
      </c>
      <c r="C32" s="63" t="s">
        <v>1658</v>
      </c>
      <c r="D32" s="63" t="s">
        <v>1701</v>
      </c>
      <c r="E32" s="63" t="s">
        <v>1724</v>
      </c>
      <c r="F32" s="28" t="str">
        <f aca="false">IF(C32="","",IF(OR(C32="1. bekkur",C32="2. bekkur",C32="3. bekkur",C32="4. bekkur"),"Já",IF(C32="Starfsmaður","Nei","Nei")))</f>
        <v>Nei</v>
      </c>
      <c r="G32" s="63" t="s">
        <v>1163</v>
      </c>
      <c r="H32" s="63"/>
      <c r="I32" s="63"/>
      <c r="J32" s="64" t="s">
        <v>1737</v>
      </c>
    </row>
    <row r="33" customFormat="false" ht="15" hidden="false" customHeight="true" outlineLevel="0" collapsed="false">
      <c r="A33" s="9" t="s">
        <v>1127</v>
      </c>
      <c r="B33" s="9" t="s">
        <v>1605</v>
      </c>
      <c r="C33" s="9" t="s">
        <v>1218</v>
      </c>
      <c r="D33" s="9" t="s">
        <v>1701</v>
      </c>
      <c r="E33" s="9" t="s">
        <v>1701</v>
      </c>
      <c r="F33" s="28" t="str">
        <f aca="false">IF(C33="","",IF(OR(C33="1. bekkur",C33="2. bekkur",C33="3. bekkur",C33="4. bekkur"),"Já",IF(C33="Starfsmaður","Nei","Nei")))</f>
        <v>Nei</v>
      </c>
      <c r="G33" s="9" t="s">
        <v>1135</v>
      </c>
      <c r="H33" s="9" t="s">
        <v>1136</v>
      </c>
      <c r="I33" s="9"/>
      <c r="J33" s="64" t="s">
        <v>1738</v>
      </c>
    </row>
    <row r="34" customFormat="false" ht="15" hidden="false" customHeight="true" outlineLevel="0" collapsed="false">
      <c r="A34" s="63" t="s">
        <v>1127</v>
      </c>
      <c r="B34" s="63" t="s">
        <v>1606</v>
      </c>
      <c r="C34" s="63" t="s">
        <v>1148</v>
      </c>
      <c r="D34" s="63" t="s">
        <v>1701</v>
      </c>
      <c r="E34" s="63" t="s">
        <v>1701</v>
      </c>
      <c r="F34" s="28" t="str">
        <f aca="false">IF(C34="","",IF(OR(C34="1. bekkur",C34="2. bekkur",C34="3. bekkur",C34="4. bekkur"),"Já",IF(C34="Starfsmaður","Nei","Nei")))</f>
        <v>Já</v>
      </c>
      <c r="G34" s="63" t="s">
        <v>893</v>
      </c>
      <c r="H34" s="63" t="s">
        <v>1607</v>
      </c>
      <c r="I34" s="63"/>
      <c r="J34" s="64" t="s">
        <v>1739</v>
      </c>
    </row>
    <row r="35" customFormat="false" ht="15" hidden="false" customHeight="true" outlineLevel="0" collapsed="false">
      <c r="A35" s="9" t="s">
        <v>1127</v>
      </c>
      <c r="B35" s="9" t="s">
        <v>1608</v>
      </c>
      <c r="C35" s="9" t="s">
        <v>1218</v>
      </c>
      <c r="D35" s="9" t="s">
        <v>1701</v>
      </c>
      <c r="E35" s="9" t="s">
        <v>1701</v>
      </c>
      <c r="F35" s="28" t="str">
        <f aca="false">IF(C35="","",IF(OR(C35="1. bekkur",C35="2. bekkur",C35="3. bekkur",C35="4. bekkur"),"Já",IF(C35="Starfsmaður","Nei","Nei")))</f>
        <v>Nei</v>
      </c>
      <c r="G35" s="9" t="s">
        <v>1609</v>
      </c>
      <c r="H35" s="9" t="s">
        <v>1610</v>
      </c>
      <c r="I35" s="9"/>
      <c r="J35" s="64" t="s">
        <v>1740</v>
      </c>
    </row>
    <row r="36" customFormat="false" ht="15" hidden="false" customHeight="true" outlineLevel="0" collapsed="false">
      <c r="A36" s="63" t="s">
        <v>1127</v>
      </c>
      <c r="B36" s="63" t="s">
        <v>1611</v>
      </c>
      <c r="C36" s="63" t="s">
        <v>1151</v>
      </c>
      <c r="D36" s="63" t="s">
        <v>1701</v>
      </c>
      <c r="E36" s="63" t="s">
        <v>1701</v>
      </c>
      <c r="F36" s="28" t="str">
        <f aca="false">IF(C36="","",IF(OR(C36="1. bekkur",C36="2. bekkur",C36="3. bekkur",C36="4. bekkur"),"Já",IF(C36="Starfsmaður","Nei","Nei")))</f>
        <v>Já</v>
      </c>
      <c r="G36" s="63" t="s">
        <v>1135</v>
      </c>
      <c r="H36" s="63" t="s">
        <v>1600</v>
      </c>
      <c r="I36" s="63"/>
      <c r="J36" s="64" t="s">
        <v>1741</v>
      </c>
    </row>
    <row r="37" customFormat="false" ht="15" hidden="false" customHeight="true" outlineLevel="0" collapsed="false">
      <c r="A37" s="9" t="s">
        <v>1127</v>
      </c>
      <c r="B37" s="9" t="s">
        <v>1612</v>
      </c>
      <c r="C37" s="9" t="s">
        <v>1218</v>
      </c>
      <c r="D37" s="9" t="s">
        <v>1701</v>
      </c>
      <c r="E37" s="9" t="s">
        <v>1701</v>
      </c>
      <c r="F37" s="28" t="str">
        <f aca="false">IF(C37="","",IF(OR(C37="1. bekkur",C37="2. bekkur",C37="3. bekkur",C37="4. bekkur"),"Já",IF(C37="Starfsmaður","Nei","Nei")))</f>
        <v>Nei</v>
      </c>
      <c r="G37" s="9" t="s">
        <v>1135</v>
      </c>
      <c r="H37" s="9" t="s">
        <v>1170</v>
      </c>
      <c r="I37" s="9"/>
      <c r="J37" s="64" t="s">
        <v>1742</v>
      </c>
    </row>
    <row r="38" customFormat="false" ht="15" hidden="false" customHeight="true" outlineLevel="0" collapsed="false">
      <c r="A38" s="63" t="s">
        <v>1127</v>
      </c>
      <c r="B38" s="63" t="s">
        <v>1613</v>
      </c>
      <c r="C38" s="63" t="s">
        <v>1208</v>
      </c>
      <c r="D38" s="63" t="s">
        <v>1701</v>
      </c>
      <c r="E38" s="63" t="s">
        <v>1701</v>
      </c>
      <c r="F38" s="28" t="str">
        <f aca="false">IF(C38="","",IF(OR(C38="1. bekkur",C38="2. bekkur",C38="3. bekkur",C38="4. bekkur"),"Já",IF(C38="Starfsmaður","Nei","Nei")))</f>
        <v>Nei</v>
      </c>
      <c r="G38" s="63" t="s">
        <v>1183</v>
      </c>
      <c r="H38" s="63" t="s">
        <v>1614</v>
      </c>
      <c r="I38" s="63"/>
      <c r="J38" s="64" t="s">
        <v>1743</v>
      </c>
    </row>
    <row r="39" customFormat="false" ht="15" hidden="false" customHeight="true" outlineLevel="0" collapsed="false">
      <c r="A39" s="9" t="s">
        <v>1127</v>
      </c>
      <c r="B39" s="9" t="s">
        <v>1744</v>
      </c>
      <c r="C39" s="9" t="s">
        <v>1162</v>
      </c>
      <c r="D39" s="9" t="s">
        <v>1701</v>
      </c>
      <c r="E39" s="9" t="s">
        <v>1701</v>
      </c>
      <c r="F39" s="28" t="str">
        <f aca="false">IF(C39="","",IF(OR(C39="1. bekkur",C39="2. bekkur",C39="3. bekkur",C39="4. bekkur"),"Já",IF(C39="Starfsmaður","Nei","Nei")))</f>
        <v>Nei</v>
      </c>
      <c r="G39" s="9" t="s">
        <v>1163</v>
      </c>
      <c r="H39" s="9"/>
      <c r="I39" s="9"/>
      <c r="J39" s="64" t="s">
        <v>1745</v>
      </c>
    </row>
    <row r="40" customFormat="false" ht="15" hidden="false" customHeight="true" outlineLevel="0" collapsed="false">
      <c r="A40" s="63" t="s">
        <v>1127</v>
      </c>
      <c r="B40" s="63" t="s">
        <v>1744</v>
      </c>
      <c r="C40" s="63" t="s">
        <v>1658</v>
      </c>
      <c r="D40" s="63" t="s">
        <v>1701</v>
      </c>
      <c r="E40" s="63" t="s">
        <v>1724</v>
      </c>
      <c r="F40" s="28" t="str">
        <f aca="false">IF(C40="","",IF(OR(C40="1. bekkur",C40="2. bekkur",C40="3. bekkur",C40="4. bekkur"),"Já",IF(C40="Starfsmaður","Nei","Nei")))</f>
        <v>Nei</v>
      </c>
      <c r="G40" s="63" t="s">
        <v>1163</v>
      </c>
      <c r="H40" s="63"/>
      <c r="I40" s="63"/>
      <c r="J40" s="64" t="s">
        <v>1746</v>
      </c>
    </row>
    <row r="41" customFormat="false" ht="15" hidden="false" customHeight="true" outlineLevel="0" collapsed="false">
      <c r="A41" s="9" t="s">
        <v>1127</v>
      </c>
      <c r="B41" s="9" t="s">
        <v>1747</v>
      </c>
      <c r="C41" s="9" t="s">
        <v>1134</v>
      </c>
      <c r="D41" s="9" t="s">
        <v>1701</v>
      </c>
      <c r="E41" s="9" t="s">
        <v>1701</v>
      </c>
      <c r="F41" s="28" t="str">
        <f aca="false">IF(C41="","",IF(OR(C41="1. bekkur",C41="2. bekkur",C41="3. bekkur",C41="4. bekkur"),"Já",IF(C41="Starfsmaður","Nei","Nei")))</f>
        <v>Já</v>
      </c>
      <c r="G41" s="9" t="s">
        <v>217</v>
      </c>
      <c r="H41" s="9"/>
      <c r="I41" s="9"/>
      <c r="J41" s="64" t="s">
        <v>1748</v>
      </c>
    </row>
    <row r="42" customFormat="false" ht="15" hidden="false" customHeight="true" outlineLevel="0" collapsed="false">
      <c r="A42" s="63" t="s">
        <v>1127</v>
      </c>
      <c r="B42" s="63" t="s">
        <v>1615</v>
      </c>
      <c r="C42" s="63" t="s">
        <v>1129</v>
      </c>
      <c r="D42" s="63" t="s">
        <v>1701</v>
      </c>
      <c r="E42" s="63" t="s">
        <v>1701</v>
      </c>
      <c r="F42" s="28" t="str">
        <f aca="false">IF(C42="","",IF(OR(C42="1. bekkur",C42="2. bekkur",C42="3. bekkur",C42="4. bekkur"),"Já",IF(C42="Starfsmaður","Nei","Nei")))</f>
        <v>Nei</v>
      </c>
      <c r="G42" s="63" t="s">
        <v>1226</v>
      </c>
      <c r="H42" s="63" t="s">
        <v>1616</v>
      </c>
      <c r="I42" s="63"/>
      <c r="J42" s="64" t="s">
        <v>1749</v>
      </c>
    </row>
    <row r="43" customFormat="false" ht="15" hidden="false" customHeight="true" outlineLevel="0" collapsed="false">
      <c r="A43" s="9" t="s">
        <v>1127</v>
      </c>
      <c r="B43" s="9" t="s">
        <v>1128</v>
      </c>
      <c r="C43" s="9" t="s">
        <v>1129</v>
      </c>
      <c r="D43" s="9" t="s">
        <v>1701</v>
      </c>
      <c r="E43" s="9" t="s">
        <v>1701</v>
      </c>
      <c r="F43" s="28" t="str">
        <f aca="false">IF(C43="","",IF(OR(C43="1. bekkur",C43="2. bekkur",C43="3. bekkur",C43="4. bekkur"),"Já",IF(C43="Starfsmaður","Nei","Nei")))</f>
        <v>Nei</v>
      </c>
      <c r="G43" s="9" t="s">
        <v>1130</v>
      </c>
      <c r="H43" s="9" t="s">
        <v>1131</v>
      </c>
      <c r="I43" s="9"/>
      <c r="J43" s="64" t="s">
        <v>1750</v>
      </c>
    </row>
    <row r="44" customFormat="false" ht="15" hidden="false" customHeight="true" outlineLevel="0" collapsed="false">
      <c r="A44" s="63" t="s">
        <v>1127</v>
      </c>
      <c r="B44" s="63" t="s">
        <v>1133</v>
      </c>
      <c r="C44" s="63" t="s">
        <v>1134</v>
      </c>
      <c r="D44" s="63" t="s">
        <v>1701</v>
      </c>
      <c r="E44" s="63" t="s">
        <v>1701</v>
      </c>
      <c r="F44" s="28" t="str">
        <f aca="false">IF(C44="","",IF(OR(C44="1. bekkur",C44="2. bekkur",C44="3. bekkur",C44="4. bekkur"),"Já",IF(C44="Starfsmaður","Nei","Nei")))</f>
        <v>Já</v>
      </c>
      <c r="G44" s="63" t="s">
        <v>1135</v>
      </c>
      <c r="H44" s="63" t="s">
        <v>1136</v>
      </c>
      <c r="I44" s="63"/>
      <c r="J44" s="64" t="s">
        <v>1751</v>
      </c>
    </row>
    <row r="45" customFormat="false" ht="15" hidden="false" customHeight="true" outlineLevel="0" collapsed="false">
      <c r="A45" s="9" t="s">
        <v>1127</v>
      </c>
      <c r="B45" s="9" t="s">
        <v>1137</v>
      </c>
      <c r="C45" s="9" t="s">
        <v>1129</v>
      </c>
      <c r="D45" s="9" t="s">
        <v>1701</v>
      </c>
      <c r="E45" s="9" t="s">
        <v>1701</v>
      </c>
      <c r="F45" s="28" t="str">
        <f aca="false">IF(C45="","",IF(OR(C45="1. bekkur",C45="2. bekkur",C45="3. bekkur",C45="4. bekkur"),"Já",IF(C45="Starfsmaður","Nei","Nei")))</f>
        <v>Nei</v>
      </c>
      <c r="G45" s="9" t="s">
        <v>1135</v>
      </c>
      <c r="H45" s="9" t="s">
        <v>1138</v>
      </c>
      <c r="I45" s="9"/>
      <c r="J45" s="64" t="s">
        <v>1752</v>
      </c>
    </row>
    <row r="46" customFormat="false" ht="15" hidden="false" customHeight="true" outlineLevel="0" collapsed="false">
      <c r="A46" s="63" t="s">
        <v>1127</v>
      </c>
      <c r="B46" s="63" t="s">
        <v>1139</v>
      </c>
      <c r="C46" s="63" t="s">
        <v>1134</v>
      </c>
      <c r="D46" s="63" t="s">
        <v>1701</v>
      </c>
      <c r="E46" s="63" t="s">
        <v>1701</v>
      </c>
      <c r="F46" s="28" t="str">
        <f aca="false">IF(C46="","",IF(OR(C46="1. bekkur",C46="2. bekkur",C46="3. bekkur",C46="4. bekkur"),"Já",IF(C46="Starfsmaður","Nei","Nei")))</f>
        <v>Já</v>
      </c>
      <c r="G46" s="63" t="s">
        <v>1135</v>
      </c>
      <c r="H46" s="63" t="s">
        <v>1136</v>
      </c>
      <c r="I46" s="63"/>
      <c r="J46" s="64" t="s">
        <v>1753</v>
      </c>
    </row>
    <row r="47" customFormat="false" ht="15" hidden="false" customHeight="true" outlineLevel="0" collapsed="false">
      <c r="A47" s="9" t="s">
        <v>1127</v>
      </c>
      <c r="B47" s="9" t="s">
        <v>1140</v>
      </c>
      <c r="C47" s="9" t="s">
        <v>1141</v>
      </c>
      <c r="D47" s="9" t="s">
        <v>1701</v>
      </c>
      <c r="E47" s="9" t="s">
        <v>1701</v>
      </c>
      <c r="F47" s="28" t="str">
        <f aca="false">IF(C47="","",IF(OR(C47="1. bekkur",C47="2. bekkur",C47="3. bekkur",C47="4. bekkur"),"Já",IF(C47="Starfsmaður","Nei","Nei")))</f>
        <v>Nei</v>
      </c>
      <c r="G47" s="9" t="s">
        <v>1142</v>
      </c>
      <c r="H47" s="9" t="s">
        <v>1143</v>
      </c>
      <c r="I47" s="9"/>
      <c r="J47" s="64" t="s">
        <v>1754</v>
      </c>
    </row>
    <row r="48" customFormat="false" ht="15" hidden="false" customHeight="true" outlineLevel="0" collapsed="false">
      <c r="A48" s="63" t="s">
        <v>1127</v>
      </c>
      <c r="B48" s="63" t="s">
        <v>1144</v>
      </c>
      <c r="C48" s="63" t="s">
        <v>1134</v>
      </c>
      <c r="D48" s="63" t="s">
        <v>1701</v>
      </c>
      <c r="E48" s="63" t="s">
        <v>1701</v>
      </c>
      <c r="F48" s="28" t="str">
        <f aca="false">IF(C48="","",IF(OR(C48="1. bekkur",C48="2. bekkur",C48="3. bekkur",C48="4. bekkur"),"Já",IF(C48="Starfsmaður","Nei","Nei")))</f>
        <v>Já</v>
      </c>
      <c r="G48" s="63" t="s">
        <v>1145</v>
      </c>
      <c r="H48" s="63" t="s">
        <v>1146</v>
      </c>
      <c r="I48" s="63"/>
      <c r="J48" s="64" t="s">
        <v>1755</v>
      </c>
    </row>
    <row r="49" customFormat="false" ht="15" hidden="false" customHeight="true" outlineLevel="0" collapsed="false">
      <c r="A49" s="9" t="s">
        <v>1127</v>
      </c>
      <c r="B49" s="9" t="s">
        <v>1147</v>
      </c>
      <c r="C49" s="9" t="s">
        <v>1148</v>
      </c>
      <c r="D49" s="9" t="s">
        <v>1701</v>
      </c>
      <c r="E49" s="9" t="s">
        <v>1701</v>
      </c>
      <c r="F49" s="28" t="str">
        <f aca="false">IF(C49="","",IF(OR(C49="1. bekkur",C49="2. bekkur",C49="3. bekkur",C49="4. bekkur"),"Já",IF(C49="Starfsmaður","Nei","Nei")))</f>
        <v>Já</v>
      </c>
      <c r="G49" s="9" t="s">
        <v>1135</v>
      </c>
      <c r="H49" s="9" t="s">
        <v>1136</v>
      </c>
      <c r="I49" s="9"/>
      <c r="J49" s="64" t="s">
        <v>1756</v>
      </c>
    </row>
    <row r="50" customFormat="false" ht="15" hidden="false" customHeight="true" outlineLevel="0" collapsed="false">
      <c r="A50" s="63" t="s">
        <v>1127</v>
      </c>
      <c r="B50" s="63" t="s">
        <v>1149</v>
      </c>
      <c r="C50" s="63" t="s">
        <v>1134</v>
      </c>
      <c r="D50" s="63" t="s">
        <v>1701</v>
      </c>
      <c r="E50" s="63" t="s">
        <v>1701</v>
      </c>
      <c r="F50" s="28" t="str">
        <f aca="false">IF(C50="","",IF(OR(C50="1. bekkur",C50="2. bekkur",C50="3. bekkur",C50="4. bekkur"),"Já",IF(C50="Starfsmaður","Nei","Nei")))</f>
        <v>Já</v>
      </c>
      <c r="G50" s="63" t="s">
        <v>1135</v>
      </c>
      <c r="H50" s="63" t="s">
        <v>1136</v>
      </c>
      <c r="I50" s="63"/>
      <c r="J50" s="64" t="s">
        <v>1757</v>
      </c>
    </row>
    <row r="51" customFormat="false" ht="15" hidden="false" customHeight="true" outlineLevel="0" collapsed="false">
      <c r="A51" s="9" t="s">
        <v>1127</v>
      </c>
      <c r="B51" s="9" t="s">
        <v>1150</v>
      </c>
      <c r="C51" s="9" t="s">
        <v>1151</v>
      </c>
      <c r="D51" s="9" t="s">
        <v>1701</v>
      </c>
      <c r="E51" s="9" t="s">
        <v>1701</v>
      </c>
      <c r="F51" s="28" t="str">
        <f aca="false">IF(C51="","",IF(OR(C51="1. bekkur",C51="2. bekkur",C51="3. bekkur",C51="4. bekkur"),"Já",IF(C51="Starfsmaður","Nei","Nei")))</f>
        <v>Já</v>
      </c>
      <c r="G51" s="9" t="s">
        <v>1152</v>
      </c>
      <c r="H51" s="9" t="s">
        <v>1153</v>
      </c>
      <c r="I51" s="9"/>
      <c r="J51" s="64" t="s">
        <v>1758</v>
      </c>
    </row>
    <row r="52" customFormat="false" ht="15" hidden="false" customHeight="true" outlineLevel="0" collapsed="false">
      <c r="A52" s="63" t="s">
        <v>1127</v>
      </c>
      <c r="B52" s="63" t="s">
        <v>1759</v>
      </c>
      <c r="C52" s="63" t="s">
        <v>1156</v>
      </c>
      <c r="D52" s="63" t="s">
        <v>1701</v>
      </c>
      <c r="E52" s="63" t="s">
        <v>1701</v>
      </c>
      <c r="F52" s="28" t="str">
        <f aca="false">IF(C52="","",IF(OR(C52="1. bekkur",C52="2. bekkur",C52="3. bekkur",C52="4. bekkur"),"Já",IF(C52="Starfsmaður","Nei","Nei")))</f>
        <v>Nei</v>
      </c>
      <c r="G52" s="63" t="s">
        <v>893</v>
      </c>
      <c r="H52" s="63"/>
      <c r="I52" s="63"/>
      <c r="J52" s="64" t="s">
        <v>1760</v>
      </c>
    </row>
    <row r="53" customFormat="false" ht="15" hidden="false" customHeight="true" outlineLevel="0" collapsed="false">
      <c r="A53" s="9" t="s">
        <v>1127</v>
      </c>
      <c r="B53" s="9" t="s">
        <v>1761</v>
      </c>
      <c r="C53" s="9" t="s">
        <v>1151</v>
      </c>
      <c r="D53" s="9" t="s">
        <v>1701</v>
      </c>
      <c r="E53" s="9" t="s">
        <v>1701</v>
      </c>
      <c r="F53" s="28" t="str">
        <f aca="false">IF(C53="","",IF(OR(C53="1. bekkur",C53="2. bekkur",C53="3. bekkur",C53="4. bekkur"),"Já",IF(C53="Starfsmaður","Nei","Nei")))</f>
        <v>Já</v>
      </c>
      <c r="G53" s="9" t="s">
        <v>1135</v>
      </c>
      <c r="H53" s="9"/>
      <c r="I53" s="9"/>
      <c r="J53" s="64" t="s">
        <v>1762</v>
      </c>
    </row>
    <row r="54" customFormat="false" ht="15" hidden="false" customHeight="true" outlineLevel="0" collapsed="false">
      <c r="A54" s="63" t="s">
        <v>1127</v>
      </c>
      <c r="B54" s="63" t="s">
        <v>1763</v>
      </c>
      <c r="C54" s="63" t="s">
        <v>1658</v>
      </c>
      <c r="D54" s="63" t="s">
        <v>1701</v>
      </c>
      <c r="E54" s="63" t="s">
        <v>1724</v>
      </c>
      <c r="F54" s="28" t="str">
        <f aca="false">IF(C54="","",IF(OR(C54="1. bekkur",C54="2. bekkur",C54="3. bekkur",C54="4. bekkur"),"Já",IF(C54="Starfsmaður","Nei","Nei")))</f>
        <v>Nei</v>
      </c>
      <c r="G54" s="63" t="s">
        <v>1163</v>
      </c>
      <c r="H54" s="63"/>
      <c r="I54" s="63"/>
      <c r="J54" s="64" t="s">
        <v>1764</v>
      </c>
    </row>
    <row r="55" customFormat="false" ht="15" hidden="false" customHeight="true" outlineLevel="0" collapsed="false">
      <c r="A55" s="9" t="s">
        <v>1127</v>
      </c>
      <c r="B55" s="9" t="s">
        <v>1765</v>
      </c>
      <c r="C55" s="9" t="s">
        <v>1162</v>
      </c>
      <c r="D55" s="9" t="s">
        <v>1701</v>
      </c>
      <c r="E55" s="9" t="s">
        <v>1701</v>
      </c>
      <c r="F55" s="28" t="str">
        <f aca="false">IF(C55="","",IF(OR(C55="1. bekkur",C55="2. bekkur",C55="3. bekkur",C55="4. bekkur"),"Já",IF(C55="Starfsmaður","Nei","Nei")))</f>
        <v>Nei</v>
      </c>
      <c r="G55" s="9" t="s">
        <v>1163</v>
      </c>
      <c r="H55" s="9"/>
      <c r="I55" s="9"/>
      <c r="J55" s="64" t="s">
        <v>1766</v>
      </c>
    </row>
    <row r="56" customFormat="false" ht="15" hidden="false" customHeight="true" outlineLevel="0" collapsed="false">
      <c r="A56" s="63" t="s">
        <v>1127</v>
      </c>
      <c r="B56" s="63" t="s">
        <v>1767</v>
      </c>
      <c r="C56" s="63" t="s">
        <v>1162</v>
      </c>
      <c r="D56" s="63" t="s">
        <v>1701</v>
      </c>
      <c r="E56" s="63" t="s">
        <v>1701</v>
      </c>
      <c r="F56" s="28" t="str">
        <f aca="false">IF(C56="","",IF(OR(C56="1. bekkur",C56="2. bekkur",C56="3. bekkur",C56="4. bekkur"),"Já",IF(C56="Starfsmaður","Nei","Nei")))</f>
        <v>Nei</v>
      </c>
      <c r="G56" s="63" t="s">
        <v>1163</v>
      </c>
      <c r="H56" s="63"/>
      <c r="I56" s="63"/>
      <c r="J56" s="64" t="s">
        <v>1768</v>
      </c>
    </row>
    <row r="57" customFormat="false" ht="15" hidden="false" customHeight="true" outlineLevel="0" collapsed="false">
      <c r="A57" s="9" t="s">
        <v>1127</v>
      </c>
      <c r="B57" s="9" t="s">
        <v>1767</v>
      </c>
      <c r="C57" s="9" t="s">
        <v>1658</v>
      </c>
      <c r="D57" s="9" t="s">
        <v>1701</v>
      </c>
      <c r="E57" s="9" t="s">
        <v>1724</v>
      </c>
      <c r="F57" s="28" t="str">
        <f aca="false">IF(C57="","",IF(OR(C57="1. bekkur",C57="2. bekkur",C57="3. bekkur",C57="4. bekkur"),"Já",IF(C57="Starfsmaður","Nei","Nei")))</f>
        <v>Nei</v>
      </c>
      <c r="G57" s="9" t="s">
        <v>1163</v>
      </c>
      <c r="H57" s="9"/>
      <c r="I57" s="9"/>
      <c r="J57" s="64" t="s">
        <v>1769</v>
      </c>
    </row>
    <row r="58" customFormat="false" ht="15" hidden="false" customHeight="true" outlineLevel="0" collapsed="false">
      <c r="A58" s="63" t="s">
        <v>1127</v>
      </c>
      <c r="B58" s="63" t="s">
        <v>1770</v>
      </c>
      <c r="C58" s="63" t="s">
        <v>1156</v>
      </c>
      <c r="D58" s="63" t="s">
        <v>1701</v>
      </c>
      <c r="E58" s="63" t="s">
        <v>1701</v>
      </c>
      <c r="F58" s="28" t="str">
        <f aca="false">IF(C58="","",IF(OR(C58="1. bekkur",C58="2. bekkur",C58="3. bekkur",C58="4. bekkur"),"Já",IF(C58="Starfsmaður","Nei","Nei")))</f>
        <v>Nei</v>
      </c>
      <c r="G58" s="63" t="s">
        <v>1135</v>
      </c>
      <c r="H58" s="63"/>
      <c r="I58" s="63"/>
      <c r="J58" s="64" t="s">
        <v>1771</v>
      </c>
    </row>
    <row r="59" customFormat="false" ht="15" hidden="false" customHeight="true" outlineLevel="0" collapsed="false">
      <c r="A59" s="9" t="s">
        <v>1127</v>
      </c>
      <c r="B59" s="9" t="s">
        <v>1154</v>
      </c>
      <c r="C59" s="9" t="s">
        <v>1134</v>
      </c>
      <c r="D59" s="9" t="s">
        <v>1701</v>
      </c>
      <c r="E59" s="9" t="s">
        <v>1701</v>
      </c>
      <c r="F59" s="28" t="str">
        <f aca="false">IF(C59="","",IF(OR(C59="1. bekkur",C59="2. bekkur",C59="3. bekkur",C59="4. bekkur"),"Já",IF(C59="Starfsmaður","Nei","Nei")))</f>
        <v>Já</v>
      </c>
      <c r="G59" s="9" t="s">
        <v>1135</v>
      </c>
      <c r="H59" s="9" t="s">
        <v>1136</v>
      </c>
      <c r="I59" s="9"/>
      <c r="J59" s="64" t="s">
        <v>1772</v>
      </c>
    </row>
    <row r="60" customFormat="false" ht="15" hidden="false" customHeight="true" outlineLevel="0" collapsed="false">
      <c r="A60" s="63" t="s">
        <v>1127</v>
      </c>
      <c r="B60" s="63" t="s">
        <v>1155</v>
      </c>
      <c r="C60" s="63" t="s">
        <v>1156</v>
      </c>
      <c r="D60" s="63" t="s">
        <v>1701</v>
      </c>
      <c r="E60" s="63" t="s">
        <v>1701</v>
      </c>
      <c r="F60" s="28" t="str">
        <f aca="false">IF(C60="","",IF(OR(C60="1. bekkur",C60="2. bekkur",C60="3. bekkur",C60="4. bekkur"),"Já",IF(C60="Starfsmaður","Nei","Nei")))</f>
        <v>Nei</v>
      </c>
      <c r="G60" s="63" t="s">
        <v>1157</v>
      </c>
      <c r="H60" s="63" t="s">
        <v>1158</v>
      </c>
      <c r="I60" s="63"/>
      <c r="J60" s="64" t="s">
        <v>1773</v>
      </c>
    </row>
    <row r="61" customFormat="false" ht="15" hidden="false" customHeight="true" outlineLevel="0" collapsed="false">
      <c r="A61" s="9" t="s">
        <v>1127</v>
      </c>
      <c r="B61" s="9" t="s">
        <v>1774</v>
      </c>
      <c r="C61" s="9" t="s">
        <v>1134</v>
      </c>
      <c r="D61" s="9" t="s">
        <v>1701</v>
      </c>
      <c r="E61" s="9" t="s">
        <v>1701</v>
      </c>
      <c r="F61" s="28" t="str">
        <f aca="false">IF(C61="","",IF(OR(C61="1. bekkur",C61="2. bekkur",C61="3. bekkur",C61="4. bekkur"),"Já",IF(C61="Starfsmaður","Nei","Nei")))</f>
        <v>Já</v>
      </c>
      <c r="G61" s="9" t="s">
        <v>1135</v>
      </c>
      <c r="H61" s="9"/>
      <c r="I61" s="9"/>
      <c r="J61" s="64" t="s">
        <v>1775</v>
      </c>
    </row>
    <row r="62" customFormat="false" ht="15" hidden="false" customHeight="true" outlineLevel="0" collapsed="false">
      <c r="A62" s="63" t="s">
        <v>1127</v>
      </c>
      <c r="B62" s="63" t="s">
        <v>1159</v>
      </c>
      <c r="C62" s="63" t="s">
        <v>1148</v>
      </c>
      <c r="D62" s="63" t="s">
        <v>1701</v>
      </c>
      <c r="E62" s="63" t="s">
        <v>1701</v>
      </c>
      <c r="F62" s="28" t="str">
        <f aca="false">IF(C62="","",IF(OR(C62="1. bekkur",C62="2. bekkur",C62="3. bekkur",C62="4. bekkur"),"Já",IF(C62="Starfsmaður","Nei","Nei")))</f>
        <v>Já</v>
      </c>
      <c r="G62" s="63" t="s">
        <v>1135</v>
      </c>
      <c r="H62" s="63" t="s">
        <v>1136</v>
      </c>
      <c r="I62" s="63"/>
      <c r="J62" s="64" t="s">
        <v>1776</v>
      </c>
    </row>
    <row r="63" customFormat="false" ht="15" hidden="false" customHeight="true" outlineLevel="0" collapsed="false">
      <c r="A63" s="9" t="s">
        <v>1127</v>
      </c>
      <c r="B63" s="9" t="s">
        <v>1777</v>
      </c>
      <c r="C63" s="9" t="s">
        <v>1199</v>
      </c>
      <c r="D63" s="9" t="s">
        <v>1701</v>
      </c>
      <c r="E63" s="9" t="s">
        <v>1701</v>
      </c>
      <c r="F63" s="28" t="str">
        <f aca="false">IF(C63="","",IF(OR(C63="1. bekkur",C63="2. bekkur",C63="3. bekkur",C63="4. bekkur"),"Já",IF(C63="Starfsmaður","Nei","Nei")))</f>
        <v>Já</v>
      </c>
      <c r="G63" s="9" t="s">
        <v>1135</v>
      </c>
      <c r="H63" s="9"/>
      <c r="I63" s="9"/>
      <c r="J63" s="64" t="s">
        <v>1778</v>
      </c>
    </row>
    <row r="64" customFormat="false" ht="15" hidden="false" customHeight="true" outlineLevel="0" collapsed="false">
      <c r="A64" s="63" t="s">
        <v>1127</v>
      </c>
      <c r="B64" s="63" t="s">
        <v>1160</v>
      </c>
      <c r="C64" s="63" t="s">
        <v>1134</v>
      </c>
      <c r="D64" s="63" t="s">
        <v>1701</v>
      </c>
      <c r="E64" s="63" t="s">
        <v>1701</v>
      </c>
      <c r="F64" s="28" t="str">
        <f aca="false">IF(C64="","",IF(OR(C64="1. bekkur",C64="2. bekkur",C64="3. bekkur",C64="4. bekkur"),"Já",IF(C64="Starfsmaður","Nei","Nei")))</f>
        <v>Já</v>
      </c>
      <c r="G64" s="63" t="s">
        <v>1157</v>
      </c>
      <c r="H64" s="63" t="s">
        <v>1158</v>
      </c>
      <c r="I64" s="63"/>
      <c r="J64" s="64" t="s">
        <v>1779</v>
      </c>
    </row>
    <row r="65" customFormat="false" ht="23.25" hidden="false" customHeight="true" outlineLevel="0" collapsed="false">
      <c r="A65" s="9" t="s">
        <v>1127</v>
      </c>
      <c r="B65" s="9" t="s">
        <v>1161</v>
      </c>
      <c r="C65" s="9" t="s">
        <v>1162</v>
      </c>
      <c r="D65" s="9" t="s">
        <v>1701</v>
      </c>
      <c r="E65" s="9" t="s">
        <v>1701</v>
      </c>
      <c r="F65" s="28" t="str">
        <f aca="false">IF(C65="","",IF(OR(C65="1. bekkur",C65="2. bekkur",C65="3. bekkur",C65="4. bekkur"),"Já",IF(C65="Starfsmaður","Nei","Nei")))</f>
        <v>Nei</v>
      </c>
      <c r="G65" s="9" t="s">
        <v>1163</v>
      </c>
      <c r="H65" s="9" t="s">
        <v>1164</v>
      </c>
      <c r="I65" s="9"/>
      <c r="J65" s="64" t="s">
        <v>1780</v>
      </c>
    </row>
    <row r="66" customFormat="false" ht="15" hidden="false" customHeight="true" outlineLevel="0" collapsed="false">
      <c r="A66" s="63" t="s">
        <v>1127</v>
      </c>
      <c r="B66" s="63" t="s">
        <v>1161</v>
      </c>
      <c r="C66" s="63" t="s">
        <v>1658</v>
      </c>
      <c r="D66" s="63" t="s">
        <v>1701</v>
      </c>
      <c r="E66" s="63" t="s">
        <v>1724</v>
      </c>
      <c r="F66" s="28" t="str">
        <f aca="false">IF(C66="","",IF(OR(C66="1. bekkur",C66="2. bekkur",C66="3. bekkur",C66="4. bekkur"),"Já",IF(C66="Starfsmaður","Nei","Nei")))</f>
        <v>Nei</v>
      </c>
      <c r="G66" s="63" t="s">
        <v>1163</v>
      </c>
      <c r="H66" s="63"/>
      <c r="I66" s="63"/>
      <c r="J66" s="64" t="s">
        <v>1781</v>
      </c>
    </row>
    <row r="67" customFormat="false" ht="15" hidden="false" customHeight="true" outlineLevel="0" collapsed="false">
      <c r="A67" s="9" t="s">
        <v>1127</v>
      </c>
      <c r="B67" s="9" t="s">
        <v>1782</v>
      </c>
      <c r="C67" s="9" t="s">
        <v>1208</v>
      </c>
      <c r="D67" s="9" t="s">
        <v>1701</v>
      </c>
      <c r="E67" s="9" t="s">
        <v>1701</v>
      </c>
      <c r="F67" s="28" t="str">
        <f aca="false">IF(C67="","",IF(OR(C67="1. bekkur",C67="2. bekkur",C67="3. bekkur",C67="4. bekkur"),"Já",IF(C67="Starfsmaður","Nei","Nei")))</f>
        <v>Nei</v>
      </c>
      <c r="G67" s="9" t="s">
        <v>893</v>
      </c>
      <c r="H67" s="9"/>
      <c r="I67" s="9"/>
      <c r="J67" s="64" t="s">
        <v>1783</v>
      </c>
    </row>
    <row r="68" customFormat="false" ht="15" hidden="false" customHeight="true" outlineLevel="0" collapsed="false">
      <c r="A68" s="63" t="s">
        <v>1127</v>
      </c>
      <c r="B68" s="63" t="s">
        <v>1784</v>
      </c>
      <c r="C68" s="63" t="s">
        <v>1151</v>
      </c>
      <c r="D68" s="63" t="s">
        <v>1701</v>
      </c>
      <c r="E68" s="63" t="s">
        <v>1701</v>
      </c>
      <c r="F68" s="28" t="str">
        <f aca="false">IF(C68="","",IF(OR(C68="1. bekkur",C68="2. bekkur",C68="3. bekkur",C68="4. bekkur"),"Já",IF(C68="Starfsmaður","Nei","Nei")))</f>
        <v>Já</v>
      </c>
      <c r="G68" s="63" t="s">
        <v>1135</v>
      </c>
      <c r="H68" s="63"/>
      <c r="I68" s="63"/>
      <c r="J68" s="64" t="s">
        <v>1785</v>
      </c>
    </row>
    <row r="69" customFormat="false" ht="15" hidden="false" customHeight="true" outlineLevel="0" collapsed="false">
      <c r="A69" s="9" t="s">
        <v>1127</v>
      </c>
      <c r="B69" s="9" t="s">
        <v>1165</v>
      </c>
      <c r="C69" s="9" t="s">
        <v>1156</v>
      </c>
      <c r="D69" s="9" t="s">
        <v>1701</v>
      </c>
      <c r="E69" s="9" t="s">
        <v>1701</v>
      </c>
      <c r="F69" s="28" t="str">
        <f aca="false">IF(C69="","",IF(OR(C69="1. bekkur",C69="2. bekkur",C69="3. bekkur",C69="4. bekkur"),"Já",IF(C69="Starfsmaður","Nei","Nei")))</f>
        <v>Nei</v>
      </c>
      <c r="G69" s="9" t="s">
        <v>146</v>
      </c>
      <c r="H69" s="9" t="s">
        <v>1166</v>
      </c>
      <c r="I69" s="9"/>
      <c r="J69" s="64" t="s">
        <v>1786</v>
      </c>
    </row>
    <row r="70" customFormat="false" ht="15" hidden="false" customHeight="true" outlineLevel="0" collapsed="false">
      <c r="A70" s="63" t="s">
        <v>1127</v>
      </c>
      <c r="B70" s="63" t="s">
        <v>1167</v>
      </c>
      <c r="C70" s="63" t="s">
        <v>1141</v>
      </c>
      <c r="D70" s="63" t="s">
        <v>1701</v>
      </c>
      <c r="E70" s="63" t="s">
        <v>1701</v>
      </c>
      <c r="F70" s="28" t="str">
        <f aca="false">IF(C70="","",IF(OR(C70="1. bekkur",C70="2. bekkur",C70="3. bekkur",C70="4. bekkur"),"Já",IF(C70="Starfsmaður","Nei","Nei")))</f>
        <v>Nei</v>
      </c>
      <c r="G70" s="63" t="s">
        <v>1135</v>
      </c>
      <c r="H70" s="63" t="s">
        <v>1136</v>
      </c>
      <c r="I70" s="63"/>
      <c r="J70" s="64" t="s">
        <v>1787</v>
      </c>
    </row>
    <row r="71" customFormat="false" ht="15" hidden="false" customHeight="true" outlineLevel="0" collapsed="false">
      <c r="A71" s="9" t="s">
        <v>1127</v>
      </c>
      <c r="B71" s="9" t="s">
        <v>1168</v>
      </c>
      <c r="C71" s="9" t="s">
        <v>1141</v>
      </c>
      <c r="D71" s="9" t="s">
        <v>1701</v>
      </c>
      <c r="E71" s="9" t="s">
        <v>1701</v>
      </c>
      <c r="F71" s="28" t="str">
        <f aca="false">IF(C71="","",IF(OR(C71="1. bekkur",C71="2. bekkur",C71="3. bekkur",C71="4. bekkur"),"Já",IF(C71="Starfsmaður","Nei","Nei")))</f>
        <v>Nei</v>
      </c>
      <c r="G71" s="9" t="s">
        <v>1145</v>
      </c>
      <c r="H71" s="9" t="s">
        <v>1146</v>
      </c>
      <c r="I71" s="9"/>
      <c r="J71" s="64" t="s">
        <v>1788</v>
      </c>
    </row>
    <row r="72" customFormat="false" ht="15" hidden="false" customHeight="true" outlineLevel="0" collapsed="false">
      <c r="A72" s="63" t="s">
        <v>1127</v>
      </c>
      <c r="B72" s="63" t="s">
        <v>1789</v>
      </c>
      <c r="C72" s="63" t="s">
        <v>1162</v>
      </c>
      <c r="D72" s="63" t="s">
        <v>1701</v>
      </c>
      <c r="E72" s="63" t="s">
        <v>1701</v>
      </c>
      <c r="F72" s="28" t="str">
        <f aca="false">IF(C72="","",IF(OR(C72="1. bekkur",C72="2. bekkur",C72="3. bekkur",C72="4. bekkur"),"Já",IF(C72="Starfsmaður","Nei","Nei")))</f>
        <v>Nei</v>
      </c>
      <c r="G72" s="63" t="s">
        <v>1163</v>
      </c>
      <c r="H72" s="63"/>
      <c r="I72" s="63"/>
      <c r="J72" s="64" t="s">
        <v>1790</v>
      </c>
    </row>
    <row r="73" customFormat="false" ht="15" hidden="false" customHeight="true" outlineLevel="0" collapsed="false">
      <c r="A73" s="9" t="s">
        <v>1127</v>
      </c>
      <c r="B73" s="9" t="s">
        <v>1789</v>
      </c>
      <c r="C73" s="9" t="s">
        <v>1658</v>
      </c>
      <c r="D73" s="9" t="s">
        <v>1701</v>
      </c>
      <c r="E73" s="9" t="s">
        <v>1724</v>
      </c>
      <c r="F73" s="28" t="str">
        <f aca="false">IF(C73="","",IF(OR(C73="1. bekkur",C73="2. bekkur",C73="3. bekkur",C73="4. bekkur"),"Já",IF(C73="Starfsmaður","Nei","Nei")))</f>
        <v>Nei</v>
      </c>
      <c r="G73" s="9" t="s">
        <v>1163</v>
      </c>
      <c r="H73" s="9"/>
      <c r="I73" s="9"/>
      <c r="J73" s="64" t="s">
        <v>1791</v>
      </c>
    </row>
    <row r="74" customFormat="false" ht="15" hidden="false" customHeight="true" outlineLevel="0" collapsed="false">
      <c r="A74" s="63" t="s">
        <v>1127</v>
      </c>
      <c r="B74" s="63" t="s">
        <v>1792</v>
      </c>
      <c r="C74" s="63" t="s">
        <v>1658</v>
      </c>
      <c r="D74" s="63" t="s">
        <v>1701</v>
      </c>
      <c r="E74" s="63" t="s">
        <v>1724</v>
      </c>
      <c r="F74" s="28" t="str">
        <f aca="false">IF(C74="","",IF(OR(C74="1. bekkur",C74="2. bekkur",C74="3. bekkur",C74="4. bekkur"),"Já",IF(C74="Starfsmaður","Nei","Nei")))</f>
        <v>Nei</v>
      </c>
      <c r="G74" s="63" t="s">
        <v>1163</v>
      </c>
      <c r="H74" s="63"/>
      <c r="I74" s="63"/>
      <c r="J74" s="64" t="s">
        <v>1793</v>
      </c>
    </row>
    <row r="75" customFormat="false" ht="15" hidden="false" customHeight="true" outlineLevel="0" collapsed="false">
      <c r="A75" s="9" t="s">
        <v>1127</v>
      </c>
      <c r="B75" s="9" t="s">
        <v>1169</v>
      </c>
      <c r="C75" s="9" t="s">
        <v>1148</v>
      </c>
      <c r="D75" s="9" t="s">
        <v>1701</v>
      </c>
      <c r="E75" s="9" t="s">
        <v>1701</v>
      </c>
      <c r="F75" s="28" t="str">
        <f aca="false">IF(C75="","",IF(OR(C75="1. bekkur",C75="2. bekkur",C75="3. bekkur",C75="4. bekkur"),"Já",IF(C75="Starfsmaður","Nei","Nei")))</f>
        <v>Já</v>
      </c>
      <c r="G75" s="9" t="s">
        <v>1135</v>
      </c>
      <c r="H75" s="9" t="s">
        <v>1170</v>
      </c>
      <c r="I75" s="9"/>
      <c r="J75" s="64" t="s">
        <v>1794</v>
      </c>
    </row>
    <row r="76" customFormat="false" ht="15" hidden="false" customHeight="true" outlineLevel="0" collapsed="false">
      <c r="A76" s="63" t="s">
        <v>1127</v>
      </c>
      <c r="B76" s="63" t="s">
        <v>1171</v>
      </c>
      <c r="C76" s="63" t="s">
        <v>1172</v>
      </c>
      <c r="D76" s="63" t="s">
        <v>1701</v>
      </c>
      <c r="E76" s="63" t="s">
        <v>1701</v>
      </c>
      <c r="F76" s="28" t="str">
        <f aca="false">IF(C76="","",IF(OR(C76="1. bekkur",C76="2. bekkur",C76="3. bekkur",C76="4. bekkur"),"Já",IF(C76="Starfsmaður","Nei","Nei")))</f>
        <v>Nei</v>
      </c>
      <c r="G76" s="63" t="s">
        <v>1173</v>
      </c>
      <c r="H76" s="63" t="s">
        <v>1174</v>
      </c>
      <c r="I76" s="63"/>
      <c r="J76" s="64" t="s">
        <v>1795</v>
      </c>
    </row>
    <row r="77" customFormat="false" ht="15" hidden="false" customHeight="true" outlineLevel="0" collapsed="false">
      <c r="A77" s="9" t="s">
        <v>1127</v>
      </c>
      <c r="B77" s="9" t="s">
        <v>1175</v>
      </c>
      <c r="C77" s="9" t="s">
        <v>1162</v>
      </c>
      <c r="D77" s="9" t="s">
        <v>1701</v>
      </c>
      <c r="E77" s="9" t="s">
        <v>1701</v>
      </c>
      <c r="F77" s="28" t="str">
        <f aca="false">IF(C77="","",IF(OR(C77="1. bekkur",C77="2. bekkur",C77="3. bekkur",C77="4. bekkur"),"Já",IF(C77="Starfsmaður","Nei","Nei")))</f>
        <v>Nei</v>
      </c>
      <c r="G77" s="9" t="s">
        <v>893</v>
      </c>
      <c r="H77" s="9" t="s">
        <v>1176</v>
      </c>
      <c r="I77" s="9"/>
      <c r="J77" s="64" t="s">
        <v>1796</v>
      </c>
    </row>
    <row r="78" customFormat="false" ht="15" hidden="false" customHeight="true" outlineLevel="0" collapsed="false">
      <c r="A78" s="63" t="s">
        <v>1127</v>
      </c>
      <c r="B78" s="63" t="s">
        <v>1797</v>
      </c>
      <c r="C78" s="63" t="s">
        <v>1156</v>
      </c>
      <c r="D78" s="63" t="s">
        <v>1701</v>
      </c>
      <c r="E78" s="63" t="s">
        <v>1701</v>
      </c>
      <c r="F78" s="28" t="str">
        <f aca="false">IF(C78="","",IF(OR(C78="1. bekkur",C78="2. bekkur",C78="3. bekkur",C78="4. bekkur"),"Já",IF(C78="Starfsmaður","Nei","Nei")))</f>
        <v>Nei</v>
      </c>
      <c r="G78" s="63" t="s">
        <v>1135</v>
      </c>
      <c r="H78" s="63"/>
      <c r="I78" s="63"/>
      <c r="J78" s="64" t="s">
        <v>1798</v>
      </c>
    </row>
    <row r="79" customFormat="false" ht="15" hidden="false" customHeight="true" outlineLevel="0" collapsed="false">
      <c r="A79" s="9" t="s">
        <v>1127</v>
      </c>
      <c r="B79" s="9" t="s">
        <v>1799</v>
      </c>
      <c r="C79" s="9" t="s">
        <v>1151</v>
      </c>
      <c r="D79" s="9" t="s">
        <v>1701</v>
      </c>
      <c r="E79" s="9" t="s">
        <v>1701</v>
      </c>
      <c r="F79" s="28" t="str">
        <f aca="false">IF(C79="","",IF(OR(C79="1. bekkur",C79="2. bekkur",C79="3. bekkur",C79="4. bekkur"),"Já",IF(C79="Starfsmaður","Nei","Nei")))</f>
        <v>Já</v>
      </c>
      <c r="G79" s="9" t="s">
        <v>1800</v>
      </c>
      <c r="H79" s="9"/>
      <c r="I79" s="9"/>
      <c r="J79" s="64" t="s">
        <v>1801</v>
      </c>
    </row>
    <row r="80" customFormat="false" ht="15" hidden="false" customHeight="true" outlineLevel="0" collapsed="false">
      <c r="A80" s="63" t="s">
        <v>1127</v>
      </c>
      <c r="B80" s="63" t="s">
        <v>1188</v>
      </c>
      <c r="C80" s="63" t="s">
        <v>1134</v>
      </c>
      <c r="D80" s="63" t="s">
        <v>1701</v>
      </c>
      <c r="E80" s="63" t="s">
        <v>1701</v>
      </c>
      <c r="F80" s="28" t="str">
        <f aca="false">IF(C80="","",IF(OR(C80="1. bekkur",C80="2. bekkur",C80="3. bekkur",C80="4. bekkur"),"Já",IF(C80="Starfsmaður","Nei","Nei")))</f>
        <v>Já</v>
      </c>
      <c r="G80" s="63" t="s">
        <v>1186</v>
      </c>
      <c r="H80" s="63"/>
      <c r="I80" s="63"/>
      <c r="J80" s="64" t="s">
        <v>1802</v>
      </c>
    </row>
    <row r="81" customFormat="false" ht="15" hidden="false" customHeight="true" outlineLevel="0" collapsed="false">
      <c r="A81" s="9" t="s">
        <v>1127</v>
      </c>
      <c r="B81" s="9" t="s">
        <v>1177</v>
      </c>
      <c r="C81" s="9" t="s">
        <v>1148</v>
      </c>
      <c r="D81" s="9" t="s">
        <v>1724</v>
      </c>
      <c r="E81" s="9" t="s">
        <v>1701</v>
      </c>
      <c r="F81" s="28" t="str">
        <f aca="false">IF(C81="","",IF(OR(C81="1. bekkur",C81="2. bekkur",C81="3. bekkur",C81="4. bekkur"),"Já",IF(C81="Starfsmaður","Nei","Nei")))</f>
        <v>Já</v>
      </c>
      <c r="G81" s="9" t="s">
        <v>217</v>
      </c>
      <c r="H81" s="9" t="s">
        <v>1178</v>
      </c>
      <c r="I81" s="9"/>
      <c r="J81" s="64" t="s">
        <v>1803</v>
      </c>
    </row>
    <row r="82" customFormat="false" ht="15" hidden="false" customHeight="true" outlineLevel="0" collapsed="false">
      <c r="A82" s="63" t="s">
        <v>1127</v>
      </c>
      <c r="B82" s="63" t="s">
        <v>1179</v>
      </c>
      <c r="C82" s="63" t="s">
        <v>1151</v>
      </c>
      <c r="D82" s="63" t="s">
        <v>1724</v>
      </c>
      <c r="E82" s="63" t="s">
        <v>1701</v>
      </c>
      <c r="F82" s="28" t="str">
        <f aca="false">IF(C82="","",IF(OR(C82="1. bekkur",C82="2. bekkur",C82="3. bekkur",C82="4. bekkur"),"Já",IF(C82="Starfsmaður","Nei","Nei")))</f>
        <v>Já</v>
      </c>
      <c r="G82" s="63" t="s">
        <v>1180</v>
      </c>
      <c r="H82" s="63" t="s">
        <v>1181</v>
      </c>
      <c r="I82" s="63"/>
      <c r="J82" s="64" t="s">
        <v>1804</v>
      </c>
    </row>
    <row r="83" customFormat="false" ht="15" hidden="false" customHeight="true" outlineLevel="0" collapsed="false">
      <c r="A83" s="9" t="s">
        <v>1127</v>
      </c>
      <c r="B83" s="9" t="s">
        <v>1799</v>
      </c>
      <c r="C83" s="9" t="s">
        <v>1151</v>
      </c>
      <c r="D83" s="9" t="s">
        <v>1724</v>
      </c>
      <c r="E83" s="9" t="s">
        <v>1701</v>
      </c>
      <c r="F83" s="28" t="str">
        <f aca="false">IF(C83="","",IF(OR(C83="1. bekkur",C83="2. bekkur",C83="3. bekkur",C83="4. bekkur"),"Já",IF(C83="Starfsmaður","Nei","Nei")))</f>
        <v>Já</v>
      </c>
      <c r="G83" s="9" t="s">
        <v>1800</v>
      </c>
      <c r="H83" s="9"/>
      <c r="I83" s="9"/>
      <c r="J83" s="64" t="s">
        <v>1805</v>
      </c>
    </row>
    <row r="84" customFormat="false" ht="15" hidden="false" customHeight="true" outlineLevel="0" collapsed="false">
      <c r="A84" s="63" t="s">
        <v>1127</v>
      </c>
      <c r="B84" s="63" t="s">
        <v>1182</v>
      </c>
      <c r="C84" s="63" t="s">
        <v>1148</v>
      </c>
      <c r="D84" s="63" t="s">
        <v>1724</v>
      </c>
      <c r="E84" s="63" t="s">
        <v>1701</v>
      </c>
      <c r="F84" s="28" t="str">
        <f aca="false">IF(C84="","",IF(OR(C84="1. bekkur",C84="2. bekkur",C84="3. bekkur",C84="4. bekkur"),"Já",IF(C84="Starfsmaður","Nei","Nei")))</f>
        <v>Já</v>
      </c>
      <c r="G84" s="63" t="s">
        <v>1183</v>
      </c>
      <c r="H84" s="63" t="s">
        <v>1184</v>
      </c>
      <c r="I84" s="63"/>
      <c r="J84" s="64" t="s">
        <v>1806</v>
      </c>
    </row>
    <row r="85" customFormat="false" ht="15" hidden="false" customHeight="true" outlineLevel="0" collapsed="false">
      <c r="A85" s="9" t="s">
        <v>1127</v>
      </c>
      <c r="B85" s="9" t="s">
        <v>1185</v>
      </c>
      <c r="C85" s="9" t="s">
        <v>1134</v>
      </c>
      <c r="D85" s="9" t="s">
        <v>1724</v>
      </c>
      <c r="E85" s="9" t="s">
        <v>1701</v>
      </c>
      <c r="F85" s="28" t="str">
        <f aca="false">IF(C85="","",IF(OR(C85="1. bekkur",C85="2. bekkur",C85="3. bekkur",C85="4. bekkur"),"Já",IF(C85="Starfsmaður","Nei","Nei")))</f>
        <v>Já</v>
      </c>
      <c r="G85" s="9" t="s">
        <v>1186</v>
      </c>
      <c r="H85" s="9" t="s">
        <v>1187</v>
      </c>
      <c r="I85" s="9"/>
      <c r="J85" s="64" t="s">
        <v>1807</v>
      </c>
    </row>
    <row r="86" customFormat="false" ht="15" hidden="false" customHeight="true" outlineLevel="0" collapsed="false">
      <c r="A86" s="63" t="s">
        <v>1127</v>
      </c>
      <c r="B86" s="63" t="s">
        <v>1188</v>
      </c>
      <c r="C86" s="63" t="s">
        <v>1134</v>
      </c>
      <c r="D86" s="63" t="s">
        <v>1724</v>
      </c>
      <c r="E86" s="63" t="s">
        <v>1701</v>
      </c>
      <c r="F86" s="28" t="str">
        <f aca="false">IF(C86="","",IF(OR(C86="1. bekkur",C86="2. bekkur",C86="3. bekkur",C86="4. bekkur"),"Já",IF(C86="Starfsmaður","Nei","Nei")))</f>
        <v>Já</v>
      </c>
      <c r="G86" s="63" t="s">
        <v>1189</v>
      </c>
      <c r="H86" s="63" t="s">
        <v>1190</v>
      </c>
      <c r="I86" s="63"/>
      <c r="J86" s="64" t="s">
        <v>1808</v>
      </c>
    </row>
    <row r="87" customFormat="false" ht="15" hidden="false" customHeight="true" outlineLevel="0" collapsed="false">
      <c r="A87" s="9" t="s">
        <v>1127</v>
      </c>
      <c r="B87" s="9" t="s">
        <v>1191</v>
      </c>
      <c r="C87" s="9" t="s">
        <v>1151</v>
      </c>
      <c r="D87" s="9" t="s">
        <v>1724</v>
      </c>
      <c r="E87" s="9" t="s">
        <v>1701</v>
      </c>
      <c r="F87" s="28" t="str">
        <f aca="false">IF(C87="","",IF(OR(C87="1. bekkur",C87="2. bekkur",C87="3. bekkur",C87="4. bekkur"),"Já",IF(C87="Starfsmaður","Nei","Nei")))</f>
        <v>Já</v>
      </c>
      <c r="G87" s="9" t="s">
        <v>1142</v>
      </c>
      <c r="H87" s="9" t="s">
        <v>1192</v>
      </c>
      <c r="I87" s="9"/>
      <c r="J87" s="64" t="s">
        <v>1809</v>
      </c>
    </row>
    <row r="88" customFormat="false" ht="15" hidden="false" customHeight="true" outlineLevel="0" collapsed="false">
      <c r="A88" s="63" t="s">
        <v>1127</v>
      </c>
      <c r="B88" s="63" t="s">
        <v>1193</v>
      </c>
      <c r="C88" s="63" t="s">
        <v>1148</v>
      </c>
      <c r="D88" s="63" t="s">
        <v>1724</v>
      </c>
      <c r="E88" s="63" t="s">
        <v>1701</v>
      </c>
      <c r="F88" s="28" t="str">
        <f aca="false">IF(C88="","",IF(OR(C88="1. bekkur",C88="2. bekkur",C88="3. bekkur",C88="4. bekkur"),"Já",IF(C88="Starfsmaður","Nei","Nei")))</f>
        <v>Já</v>
      </c>
      <c r="G88" s="63" t="s">
        <v>1194</v>
      </c>
      <c r="H88" s="63" t="s">
        <v>1195</v>
      </c>
      <c r="I88" s="63"/>
      <c r="J88" s="64" t="s">
        <v>1810</v>
      </c>
    </row>
    <row r="89" customFormat="false" ht="15" hidden="false" customHeight="true" outlineLevel="0" collapsed="false">
      <c r="A89" s="9" t="s">
        <v>1127</v>
      </c>
      <c r="B89" s="9" t="s">
        <v>1792</v>
      </c>
      <c r="C89" s="9" t="s">
        <v>1162</v>
      </c>
      <c r="D89" s="9" t="s">
        <v>1701</v>
      </c>
      <c r="E89" s="9" t="s">
        <v>1724</v>
      </c>
      <c r="F89" s="28" t="str">
        <f aca="false">IF(C89="","",IF(OR(C89="1. bekkur",C89="2. bekkur",C89="3. bekkur",C89="4. bekkur"),"Já",IF(C89="Starfsmaður","Nei","Nei")))</f>
        <v>Nei</v>
      </c>
      <c r="G89" s="9" t="s">
        <v>1163</v>
      </c>
      <c r="H89" s="9"/>
      <c r="I89" s="9"/>
      <c r="J89" s="64" t="s">
        <v>1811</v>
      </c>
    </row>
    <row r="90" customFormat="false" ht="15" hidden="false" customHeight="true" outlineLevel="0" collapsed="false">
      <c r="A90" s="63" t="s">
        <v>1196</v>
      </c>
      <c r="B90" s="63" t="s">
        <v>1171</v>
      </c>
      <c r="C90" s="63" t="s">
        <v>1172</v>
      </c>
      <c r="D90" s="63" t="s">
        <v>1701</v>
      </c>
      <c r="E90" s="63" t="s">
        <v>1701</v>
      </c>
      <c r="F90" s="28" t="str">
        <f aca="false">IF(C90="","",IF(OR(C90="1. bekkur",C90="2. bekkur",C90="3. bekkur",C90="4. bekkur"),"Já",IF(C90="Starfsmaður","Nei","Nei")))</f>
        <v>Nei</v>
      </c>
      <c r="G90" s="63" t="s">
        <v>1173</v>
      </c>
      <c r="H90" s="63" t="s">
        <v>1197</v>
      </c>
      <c r="I90" s="63"/>
      <c r="J90" s="64" t="s">
        <v>1812</v>
      </c>
    </row>
    <row r="91" customFormat="false" ht="15" hidden="false" customHeight="true" outlineLevel="0" collapsed="false">
      <c r="A91" s="9" t="s">
        <v>1196</v>
      </c>
      <c r="B91" s="9" t="s">
        <v>1198</v>
      </c>
      <c r="C91" s="9" t="s">
        <v>1199</v>
      </c>
      <c r="D91" s="9" t="s">
        <v>1701</v>
      </c>
      <c r="E91" s="9" t="s">
        <v>1701</v>
      </c>
      <c r="F91" s="28" t="str">
        <f aca="false">IF(C91="","",IF(OR(C91="1. bekkur",C91="2. bekkur",C91="3. bekkur",C91="4. bekkur"),"Já",IF(C91="Starfsmaður","Nei","Nei")))</f>
        <v>Já</v>
      </c>
      <c r="G91" s="9" t="s">
        <v>1200</v>
      </c>
      <c r="H91" s="9" t="s">
        <v>1201</v>
      </c>
      <c r="I91" s="9"/>
      <c r="J91" s="64" t="s">
        <v>1813</v>
      </c>
    </row>
    <row r="92" customFormat="false" ht="15" hidden="false" customHeight="true" outlineLevel="0" collapsed="false">
      <c r="A92" s="63" t="s">
        <v>1196</v>
      </c>
      <c r="B92" s="63" t="s">
        <v>1202</v>
      </c>
      <c r="C92" s="63" t="s">
        <v>1151</v>
      </c>
      <c r="D92" s="63" t="s">
        <v>1701</v>
      </c>
      <c r="E92" s="63" t="s">
        <v>1701</v>
      </c>
      <c r="F92" s="28" t="str">
        <f aca="false">IF(C92="","",IF(OR(C92="1. bekkur",C92="2. bekkur",C92="3. bekkur",C92="4. bekkur"),"Já",IF(C92="Starfsmaður","Nei","Nei")))</f>
        <v>Já</v>
      </c>
      <c r="G92" s="63" t="s">
        <v>217</v>
      </c>
      <c r="H92" s="63" t="s">
        <v>1203</v>
      </c>
      <c r="I92" s="63"/>
      <c r="J92" s="64" t="s">
        <v>1814</v>
      </c>
    </row>
    <row r="93" customFormat="false" ht="15" hidden="false" customHeight="true" outlineLevel="0" collapsed="false">
      <c r="A93" s="9" t="s">
        <v>1196</v>
      </c>
      <c r="B93" s="9" t="s">
        <v>1204</v>
      </c>
      <c r="C93" s="9" t="s">
        <v>1151</v>
      </c>
      <c r="D93" s="9" t="s">
        <v>1701</v>
      </c>
      <c r="E93" s="9" t="s">
        <v>1701</v>
      </c>
      <c r="F93" s="28" t="str">
        <f aca="false">IF(C93="","",IF(OR(C93="1. bekkur",C93="2. bekkur",C93="3. bekkur",C93="4. bekkur"),"Já",IF(C93="Starfsmaður","Nei","Nei")))</f>
        <v>Já</v>
      </c>
      <c r="G93" s="9" t="s">
        <v>1205</v>
      </c>
      <c r="H93" s="9" t="s">
        <v>1206</v>
      </c>
      <c r="I93" s="9"/>
      <c r="J93" s="64" t="s">
        <v>1815</v>
      </c>
    </row>
    <row r="94" customFormat="false" ht="15" hidden="false" customHeight="true" outlineLevel="0" collapsed="false">
      <c r="A94" s="63" t="s">
        <v>1196</v>
      </c>
      <c r="B94" s="63" t="s">
        <v>1207</v>
      </c>
      <c r="C94" s="63" t="s">
        <v>1208</v>
      </c>
      <c r="D94" s="63" t="s">
        <v>1701</v>
      </c>
      <c r="E94" s="63" t="s">
        <v>1701</v>
      </c>
      <c r="F94" s="28" t="str">
        <f aca="false">IF(C94="","",IF(OR(C94="1. bekkur",C94="2. bekkur",C94="3. bekkur",C94="4. bekkur"),"Já",IF(C94="Starfsmaður","Nei","Nei")))</f>
        <v>Nei</v>
      </c>
      <c r="G94" s="63" t="s">
        <v>1183</v>
      </c>
      <c r="H94" s="63" t="s">
        <v>1209</v>
      </c>
      <c r="I94" s="63"/>
      <c r="J94" s="64" t="s">
        <v>1816</v>
      </c>
    </row>
    <row r="95" customFormat="false" ht="15" hidden="false" customHeight="true" outlineLevel="0" collapsed="false">
      <c r="A95" s="9" t="s">
        <v>1196</v>
      </c>
      <c r="B95" s="9" t="s">
        <v>1210</v>
      </c>
      <c r="C95" s="9" t="s">
        <v>1141</v>
      </c>
      <c r="D95" s="9" t="s">
        <v>1701</v>
      </c>
      <c r="E95" s="9" t="s">
        <v>1701</v>
      </c>
      <c r="F95" s="28" t="str">
        <f aca="false">IF(C95="","",IF(OR(C95="1. bekkur",C95="2. bekkur",C95="3. bekkur",C95="4. bekkur"),"Já",IF(C95="Starfsmaður","Nei","Nei")))</f>
        <v>Nei</v>
      </c>
      <c r="G95" s="9" t="s">
        <v>1135</v>
      </c>
      <c r="H95" s="9" t="s">
        <v>1211</v>
      </c>
      <c r="I95" s="9"/>
      <c r="J95" s="64" t="s">
        <v>1817</v>
      </c>
    </row>
    <row r="96" customFormat="false" ht="15" hidden="false" customHeight="true" outlineLevel="0" collapsed="false">
      <c r="A96" s="63" t="s">
        <v>1196</v>
      </c>
      <c r="B96" s="63" t="s">
        <v>1212</v>
      </c>
      <c r="C96" s="63" t="s">
        <v>1156</v>
      </c>
      <c r="D96" s="63" t="s">
        <v>1701</v>
      </c>
      <c r="E96" s="63" t="s">
        <v>1701</v>
      </c>
      <c r="F96" s="28" t="str">
        <f aca="false">IF(C96="","",IF(OR(C96="1. bekkur",C96="2. bekkur",C96="3. bekkur",C96="4. bekkur"),"Já",IF(C96="Starfsmaður","Nei","Nei")))</f>
        <v>Nei</v>
      </c>
      <c r="G96" s="63" t="s">
        <v>1213</v>
      </c>
      <c r="H96" s="63" t="s">
        <v>1214</v>
      </c>
      <c r="I96" s="63"/>
      <c r="J96" s="64" t="s">
        <v>1818</v>
      </c>
    </row>
    <row r="97" customFormat="false" ht="15" hidden="false" customHeight="true" outlineLevel="0" collapsed="false">
      <c r="A97" s="9" t="s">
        <v>1196</v>
      </c>
      <c r="B97" s="9" t="s">
        <v>1215</v>
      </c>
      <c r="C97" s="9" t="s">
        <v>1151</v>
      </c>
      <c r="D97" s="9" t="s">
        <v>1701</v>
      </c>
      <c r="E97" s="9" t="s">
        <v>1701</v>
      </c>
      <c r="F97" s="28" t="str">
        <f aca="false">IF(C97="","",IF(OR(C97="1. bekkur",C97="2. bekkur",C97="3. bekkur",C97="4. bekkur"),"Já",IF(C97="Starfsmaður","Nei","Nei")))</f>
        <v>Já</v>
      </c>
      <c r="G97" s="9" t="s">
        <v>1135</v>
      </c>
      <c r="H97" s="9" t="s">
        <v>1216</v>
      </c>
      <c r="I97" s="9"/>
      <c r="J97" s="64" t="s">
        <v>1819</v>
      </c>
    </row>
    <row r="98" customFormat="false" ht="15" hidden="false" customHeight="true" outlineLevel="0" collapsed="false">
      <c r="A98" s="63" t="s">
        <v>1196</v>
      </c>
      <c r="B98" s="63" t="s">
        <v>1820</v>
      </c>
      <c r="C98" s="63" t="s">
        <v>1162</v>
      </c>
      <c r="D98" s="63" t="s">
        <v>1701</v>
      </c>
      <c r="E98" s="63" t="s">
        <v>1701</v>
      </c>
      <c r="F98" s="28" t="str">
        <f aca="false">IF(C98="","",IF(OR(C98="1. bekkur",C98="2. bekkur",C98="3. bekkur",C98="4. bekkur"),"Já",IF(C98="Starfsmaður","Nei","Nei")))</f>
        <v>Nei</v>
      </c>
      <c r="G98" s="63" t="s">
        <v>146</v>
      </c>
      <c r="H98" s="63"/>
      <c r="I98" s="63"/>
      <c r="J98" s="64" t="s">
        <v>1821</v>
      </c>
    </row>
    <row r="99" customFormat="false" ht="15" hidden="false" customHeight="true" outlineLevel="0" collapsed="false">
      <c r="A99" s="9" t="s">
        <v>1196</v>
      </c>
      <c r="B99" s="9" t="s">
        <v>1217</v>
      </c>
      <c r="C99" s="9" t="s">
        <v>1218</v>
      </c>
      <c r="D99" s="9" t="s">
        <v>1701</v>
      </c>
      <c r="E99" s="9" t="s">
        <v>1701</v>
      </c>
      <c r="F99" s="28" t="str">
        <f aca="false">IF(C99="","",IF(OR(C99="1. bekkur",C99="2. bekkur",C99="3. bekkur",C99="4. bekkur"),"Já",IF(C99="Starfsmaður","Nei","Nei")))</f>
        <v>Nei</v>
      </c>
      <c r="G99" s="9" t="s">
        <v>146</v>
      </c>
      <c r="H99" s="9" t="s">
        <v>1219</v>
      </c>
      <c r="I99" s="9"/>
      <c r="J99" s="64" t="s">
        <v>1822</v>
      </c>
    </row>
    <row r="100" customFormat="false" ht="15" hidden="false" customHeight="true" outlineLevel="0" collapsed="false">
      <c r="A100" s="63" t="s">
        <v>1196</v>
      </c>
      <c r="B100" s="63" t="s">
        <v>1823</v>
      </c>
      <c r="C100" s="63" t="s">
        <v>1151</v>
      </c>
      <c r="D100" s="63" t="s">
        <v>1701</v>
      </c>
      <c r="E100" s="63" t="s">
        <v>1701</v>
      </c>
      <c r="F100" s="28" t="str">
        <f aca="false">IF(C100="","",IF(OR(C100="1. bekkur",C100="2. bekkur",C100="3. bekkur",C100="4. bekkur"),"Já",IF(C100="Starfsmaður","Nei","Nei")))</f>
        <v>Já</v>
      </c>
      <c r="G100" s="63" t="s">
        <v>1135</v>
      </c>
      <c r="H100" s="63"/>
      <c r="I100" s="63"/>
      <c r="J100" s="64" t="s">
        <v>1824</v>
      </c>
    </row>
    <row r="101" customFormat="false" ht="15" hidden="false" customHeight="true" outlineLevel="0" collapsed="false">
      <c r="A101" s="9" t="s">
        <v>1196</v>
      </c>
      <c r="B101" s="9" t="s">
        <v>1220</v>
      </c>
      <c r="C101" s="9" t="s">
        <v>1129</v>
      </c>
      <c r="D101" s="9" t="s">
        <v>1701</v>
      </c>
      <c r="E101" s="9" t="s">
        <v>1701</v>
      </c>
      <c r="F101" s="28" t="str">
        <f aca="false">IF(C101="","",IF(OR(C101="1. bekkur",C101="2. bekkur",C101="3. bekkur",C101="4. bekkur"),"Já",IF(C101="Starfsmaður","Nei","Nei")))</f>
        <v>Nei</v>
      </c>
      <c r="G101" s="9" t="s">
        <v>1183</v>
      </c>
      <c r="H101" s="9" t="s">
        <v>1221</v>
      </c>
      <c r="I101" s="9"/>
      <c r="J101" s="64" t="s">
        <v>1825</v>
      </c>
    </row>
    <row r="102" customFormat="false" ht="15" hidden="false" customHeight="true" outlineLevel="0" collapsed="false">
      <c r="A102" s="63" t="s">
        <v>1196</v>
      </c>
      <c r="B102" s="63" t="s">
        <v>1222</v>
      </c>
      <c r="C102" s="63" t="s">
        <v>1141</v>
      </c>
      <c r="D102" s="63" t="s">
        <v>1701</v>
      </c>
      <c r="E102" s="63" t="s">
        <v>1701</v>
      </c>
      <c r="F102" s="28" t="str">
        <f aca="false">IF(C102="","",IF(OR(C102="1. bekkur",C102="2. bekkur",C102="3. bekkur",C102="4. bekkur"),"Já",IF(C102="Starfsmaður","Nei","Nei")))</f>
        <v>Nei</v>
      </c>
      <c r="G102" s="63" t="s">
        <v>1223</v>
      </c>
      <c r="H102" s="63" t="s">
        <v>1224</v>
      </c>
      <c r="I102" s="63"/>
      <c r="J102" s="64" t="s">
        <v>1826</v>
      </c>
    </row>
    <row r="103" customFormat="false" ht="15" hidden="false" customHeight="true" outlineLevel="0" collapsed="false">
      <c r="A103" s="9" t="s">
        <v>1196</v>
      </c>
      <c r="B103" s="9" t="s">
        <v>1225</v>
      </c>
      <c r="C103" s="9" t="s">
        <v>1141</v>
      </c>
      <c r="D103" s="9" t="s">
        <v>1701</v>
      </c>
      <c r="E103" s="9" t="s">
        <v>1701</v>
      </c>
      <c r="F103" s="28" t="str">
        <f aca="false">IF(C103="","",IF(OR(C103="1. bekkur",C103="2. bekkur",C103="3. bekkur",C103="4. bekkur"),"Já",IF(C103="Starfsmaður","Nei","Nei")))</f>
        <v>Nei</v>
      </c>
      <c r="G103" s="9" t="s">
        <v>1226</v>
      </c>
      <c r="H103" s="9" t="s">
        <v>1227</v>
      </c>
      <c r="I103" s="9"/>
      <c r="J103" s="64" t="s">
        <v>1827</v>
      </c>
    </row>
    <row r="104" customFormat="false" ht="15" hidden="false" customHeight="true" outlineLevel="0" collapsed="false">
      <c r="A104" s="63" t="s">
        <v>1196</v>
      </c>
      <c r="B104" s="63" t="s">
        <v>1828</v>
      </c>
      <c r="C104" s="63" t="s">
        <v>1148</v>
      </c>
      <c r="D104" s="63" t="s">
        <v>1701</v>
      </c>
      <c r="E104" s="63" t="s">
        <v>1701</v>
      </c>
      <c r="F104" s="28" t="str">
        <f aca="false">IF(C104="","",IF(OR(C104="1. bekkur",C104="2. bekkur",C104="3. bekkur",C104="4. bekkur"),"Já",IF(C104="Starfsmaður","Nei","Nei")))</f>
        <v>Já</v>
      </c>
      <c r="G104" s="63" t="s">
        <v>1113</v>
      </c>
      <c r="H104" s="63"/>
      <c r="I104" s="63"/>
      <c r="J104" s="64" t="s">
        <v>1829</v>
      </c>
    </row>
    <row r="105" customFormat="false" ht="15" hidden="false" customHeight="true" outlineLevel="0" collapsed="false">
      <c r="A105" s="9" t="s">
        <v>1196</v>
      </c>
      <c r="B105" s="9" t="s">
        <v>1228</v>
      </c>
      <c r="C105" s="9" t="s">
        <v>1199</v>
      </c>
      <c r="D105" s="9" t="s">
        <v>1701</v>
      </c>
      <c r="E105" s="9" t="s">
        <v>1701</v>
      </c>
      <c r="F105" s="28" t="str">
        <f aca="false">IF(C105="","",IF(OR(C105="1. bekkur",C105="2. bekkur",C105="3. bekkur",C105="4. bekkur"),"Já",IF(C105="Starfsmaður","Nei","Nei")))</f>
        <v>Já</v>
      </c>
      <c r="G105" s="9" t="s">
        <v>1135</v>
      </c>
      <c r="H105" s="9" t="s">
        <v>1229</v>
      </c>
      <c r="I105" s="9"/>
      <c r="J105" s="64" t="s">
        <v>1830</v>
      </c>
    </row>
    <row r="106" customFormat="false" ht="15" hidden="false" customHeight="true" outlineLevel="0" collapsed="false">
      <c r="A106" s="63" t="s">
        <v>1196</v>
      </c>
      <c r="B106" s="63" t="s">
        <v>1230</v>
      </c>
      <c r="C106" s="63" t="s">
        <v>1208</v>
      </c>
      <c r="D106" s="63" t="s">
        <v>1701</v>
      </c>
      <c r="E106" s="63" t="s">
        <v>1701</v>
      </c>
      <c r="F106" s="28" t="str">
        <f aca="false">IF(C106="","",IF(OR(C106="1. bekkur",C106="2. bekkur",C106="3. bekkur",C106="4. bekkur"),"Já",IF(C106="Starfsmaður","Nei","Nei")))</f>
        <v>Nei</v>
      </c>
      <c r="G106" s="63" t="s">
        <v>1183</v>
      </c>
      <c r="H106" s="63" t="s">
        <v>1231</v>
      </c>
      <c r="I106" s="63"/>
      <c r="J106" s="64" t="s">
        <v>1831</v>
      </c>
    </row>
    <row r="107" customFormat="false" ht="15" hidden="false" customHeight="true" outlineLevel="0" collapsed="false">
      <c r="A107" s="9" t="s">
        <v>1196</v>
      </c>
      <c r="B107" s="9" t="s">
        <v>1232</v>
      </c>
      <c r="C107" s="9" t="s">
        <v>1208</v>
      </c>
      <c r="D107" s="9" t="s">
        <v>1701</v>
      </c>
      <c r="E107" s="9" t="s">
        <v>1701</v>
      </c>
      <c r="F107" s="28" t="str">
        <f aca="false">IF(C107="","",IF(OR(C107="1. bekkur",C107="2. bekkur",C107="3. bekkur",C107="4. bekkur"),"Já",IF(C107="Starfsmaður","Nei","Nei")))</f>
        <v>Nei</v>
      </c>
      <c r="G107" s="9" t="s">
        <v>1135</v>
      </c>
      <c r="H107" s="9" t="s">
        <v>1229</v>
      </c>
      <c r="I107" s="9"/>
      <c r="J107" s="64" t="s">
        <v>1832</v>
      </c>
    </row>
    <row r="108" customFormat="false" ht="15" hidden="false" customHeight="true" outlineLevel="0" collapsed="false">
      <c r="A108" s="63" t="s">
        <v>1196</v>
      </c>
      <c r="B108" s="63" t="s">
        <v>1233</v>
      </c>
      <c r="C108" s="63" t="s">
        <v>1129</v>
      </c>
      <c r="D108" s="63" t="s">
        <v>1701</v>
      </c>
      <c r="E108" s="63" t="s">
        <v>1701</v>
      </c>
      <c r="F108" s="28" t="str">
        <f aca="false">IF(C108="","",IF(OR(C108="1. bekkur",C108="2. bekkur",C108="3. bekkur",C108="4. bekkur"),"Já",IF(C108="Starfsmaður","Nei","Nei")))</f>
        <v>Nei</v>
      </c>
      <c r="G108" s="63" t="s">
        <v>1234</v>
      </c>
      <c r="H108" s="63" t="s">
        <v>1235</v>
      </c>
      <c r="I108" s="63"/>
      <c r="J108" s="64" t="s">
        <v>1833</v>
      </c>
    </row>
    <row r="109" customFormat="false" ht="15" hidden="false" customHeight="true" outlineLevel="0" collapsed="false">
      <c r="A109" s="9" t="s">
        <v>1196</v>
      </c>
      <c r="B109" s="9" t="s">
        <v>1236</v>
      </c>
      <c r="C109" s="9" t="s">
        <v>1199</v>
      </c>
      <c r="D109" s="9" t="s">
        <v>1701</v>
      </c>
      <c r="E109" s="9" t="s">
        <v>1701</v>
      </c>
      <c r="F109" s="28" t="str">
        <f aca="false">IF(C109="","",IF(OR(C109="1. bekkur",C109="2. bekkur",C109="3. bekkur",C109="4. bekkur"),"Já",IF(C109="Starfsmaður","Nei","Nei")))</f>
        <v>Já</v>
      </c>
      <c r="G109" s="9" t="s">
        <v>1237</v>
      </c>
      <c r="H109" s="9" t="s">
        <v>1238</v>
      </c>
      <c r="I109" s="9"/>
      <c r="J109" s="64" t="s">
        <v>1834</v>
      </c>
    </row>
    <row r="110" customFormat="false" ht="15" hidden="false" customHeight="true" outlineLevel="0" collapsed="false">
      <c r="A110" s="63" t="s">
        <v>1196</v>
      </c>
      <c r="B110" s="63" t="s">
        <v>1835</v>
      </c>
      <c r="C110" s="63" t="s">
        <v>1148</v>
      </c>
      <c r="D110" s="63" t="s">
        <v>1701</v>
      </c>
      <c r="E110" s="63" t="s">
        <v>1701</v>
      </c>
      <c r="F110" s="28" t="str">
        <f aca="false">IF(C110="","",IF(OR(C110="1. bekkur",C110="2. bekkur",C110="3. bekkur",C110="4. bekkur"),"Já",IF(C110="Starfsmaður","Nei","Nei")))</f>
        <v>Já</v>
      </c>
      <c r="G110" s="63" t="s">
        <v>1186</v>
      </c>
      <c r="H110" s="63"/>
      <c r="I110" s="63"/>
      <c r="J110" s="64" t="s">
        <v>1836</v>
      </c>
    </row>
    <row r="111" customFormat="false" ht="15" hidden="false" customHeight="true" outlineLevel="0" collapsed="false">
      <c r="A111" s="9" t="s">
        <v>1196</v>
      </c>
      <c r="B111" s="9" t="s">
        <v>1239</v>
      </c>
      <c r="C111" s="9" t="s">
        <v>1134</v>
      </c>
      <c r="D111" s="9" t="s">
        <v>1701</v>
      </c>
      <c r="E111" s="9" t="s">
        <v>1701</v>
      </c>
      <c r="F111" s="28" t="str">
        <f aca="false">IF(C111="","",IF(OR(C111="1. bekkur",C111="2. bekkur",C111="3. bekkur",C111="4. bekkur"),"Já",IF(C111="Starfsmaður","Nei","Nei")))</f>
        <v>Já</v>
      </c>
      <c r="G111" s="9" t="s">
        <v>1240</v>
      </c>
      <c r="H111" s="9" t="s">
        <v>1241</v>
      </c>
      <c r="I111" s="9"/>
      <c r="J111" s="64" t="s">
        <v>1837</v>
      </c>
    </row>
    <row r="112" customFormat="false" ht="15" hidden="false" customHeight="true" outlineLevel="0" collapsed="false">
      <c r="A112" s="63" t="s">
        <v>1196</v>
      </c>
      <c r="B112" s="63" t="s">
        <v>1835</v>
      </c>
      <c r="C112" s="63" t="s">
        <v>1148</v>
      </c>
      <c r="D112" s="63" t="s">
        <v>1724</v>
      </c>
      <c r="E112" s="63" t="s">
        <v>1701</v>
      </c>
      <c r="F112" s="28" t="str">
        <f aca="false">IF(C112="","",IF(OR(C112="1. bekkur",C112="2. bekkur",C112="3. bekkur",C112="4. bekkur"),"Já",IF(C112="Starfsmaður","Nei","Nei")))</f>
        <v>Já</v>
      </c>
      <c r="G112" s="63" t="s">
        <v>1186</v>
      </c>
      <c r="H112" s="63"/>
      <c r="I112" s="63"/>
      <c r="J112" s="64" t="s">
        <v>1838</v>
      </c>
    </row>
    <row r="113" customFormat="false" ht="15" hidden="false" customHeight="true" outlineLevel="0" collapsed="false">
      <c r="A113" s="9" t="s">
        <v>1196</v>
      </c>
      <c r="B113" s="9" t="s">
        <v>1236</v>
      </c>
      <c r="C113" s="9" t="s">
        <v>1199</v>
      </c>
      <c r="D113" s="9" t="s">
        <v>1724</v>
      </c>
      <c r="E113" s="9" t="s">
        <v>1701</v>
      </c>
      <c r="F113" s="28" t="str">
        <f aca="false">IF(C113="","",IF(OR(C113="1. bekkur",C113="2. bekkur",C113="3. bekkur",C113="4. bekkur"),"Já",IF(C113="Starfsmaður","Nei","Nei")))</f>
        <v>Já</v>
      </c>
      <c r="G113" s="9" t="s">
        <v>1237</v>
      </c>
      <c r="H113" s="9" t="s">
        <v>1242</v>
      </c>
      <c r="I113" s="9"/>
      <c r="J113" s="64" t="s">
        <v>1839</v>
      </c>
    </row>
    <row r="114" customFormat="false" ht="15" hidden="false" customHeight="true" outlineLevel="0" collapsed="false">
      <c r="A114" s="63" t="s">
        <v>1196</v>
      </c>
      <c r="B114" s="63" t="s">
        <v>1840</v>
      </c>
      <c r="C114" s="63" t="s">
        <v>1151</v>
      </c>
      <c r="D114" s="63" t="s">
        <v>1724</v>
      </c>
      <c r="E114" s="63" t="s">
        <v>1701</v>
      </c>
      <c r="F114" s="28" t="str">
        <f aca="false">IF(C114="","",IF(OR(C114="1. bekkur",C114="2. bekkur",C114="3. bekkur",C114="4. bekkur"),"Já",IF(C114="Starfsmaður","Nei","Nei")))</f>
        <v>Já</v>
      </c>
      <c r="G114" s="63" t="s">
        <v>146</v>
      </c>
      <c r="H114" s="63"/>
      <c r="I114" s="63"/>
      <c r="J114" s="64" t="s">
        <v>1841</v>
      </c>
    </row>
    <row r="115" customFormat="false" ht="15" hidden="false" customHeight="true" outlineLevel="0" collapsed="false">
      <c r="A115" s="9" t="s">
        <v>1196</v>
      </c>
      <c r="B115" s="9" t="s">
        <v>1243</v>
      </c>
      <c r="C115" s="9" t="s">
        <v>1151</v>
      </c>
      <c r="D115" s="9" t="s">
        <v>1724</v>
      </c>
      <c r="E115" s="9" t="s">
        <v>1701</v>
      </c>
      <c r="F115" s="28" t="str">
        <f aca="false">IF(C115="","",IF(OR(C115="1. bekkur",C115="2. bekkur",C115="3. bekkur",C115="4. bekkur"),"Já",IF(C115="Starfsmaður","Nei","Nei")))</f>
        <v>Já</v>
      </c>
      <c r="G115" s="9" t="s">
        <v>217</v>
      </c>
      <c r="H115" s="9" t="s">
        <v>1244</v>
      </c>
      <c r="I115" s="9"/>
      <c r="J115" s="64" t="s">
        <v>1842</v>
      </c>
    </row>
    <row r="116" customFormat="false" ht="15" hidden="false" customHeight="true" outlineLevel="0" collapsed="false">
      <c r="A116" s="63" t="s">
        <v>1196</v>
      </c>
      <c r="B116" s="63" t="s">
        <v>1245</v>
      </c>
      <c r="C116" s="63" t="s">
        <v>1151</v>
      </c>
      <c r="D116" s="63" t="s">
        <v>1724</v>
      </c>
      <c r="E116" s="63" t="s">
        <v>1701</v>
      </c>
      <c r="F116" s="28" t="str">
        <f aca="false">IF(C116="","",IF(OR(C116="1. bekkur",C116="2. bekkur",C116="3. bekkur",C116="4. bekkur"),"Já",IF(C116="Starfsmaður","Nei","Nei")))</f>
        <v>Já</v>
      </c>
      <c r="G116" s="63" t="s">
        <v>1183</v>
      </c>
      <c r="H116" s="63" t="s">
        <v>1246</v>
      </c>
      <c r="I116" s="63"/>
      <c r="J116" s="64" t="s">
        <v>1843</v>
      </c>
    </row>
    <row r="117" customFormat="false" ht="15" hidden="false" customHeight="true" outlineLevel="0" collapsed="false">
      <c r="A117" s="9" t="s">
        <v>1247</v>
      </c>
      <c r="B117" s="9" t="s">
        <v>1171</v>
      </c>
      <c r="C117" s="9" t="s">
        <v>1172</v>
      </c>
      <c r="D117" s="9" t="s">
        <v>1701</v>
      </c>
      <c r="E117" s="9" t="s">
        <v>1701</v>
      </c>
      <c r="F117" s="28" t="str">
        <f aca="false">IF(C117="","",IF(OR(C117="1. bekkur",C117="2. bekkur",C117="3. bekkur",C117="4. bekkur"),"Já",IF(C117="Starfsmaður","Nei","Nei")))</f>
        <v>Nei</v>
      </c>
      <c r="G117" s="9" t="s">
        <v>1173</v>
      </c>
      <c r="H117" s="9" t="s">
        <v>1248</v>
      </c>
      <c r="I117" s="9"/>
      <c r="J117" s="64" t="s">
        <v>1844</v>
      </c>
    </row>
    <row r="118" customFormat="false" ht="15" hidden="false" customHeight="true" outlineLevel="0" collapsed="false">
      <c r="A118" s="63" t="s">
        <v>1247</v>
      </c>
      <c r="B118" s="63" t="s">
        <v>1249</v>
      </c>
      <c r="C118" s="63" t="s">
        <v>1218</v>
      </c>
      <c r="D118" s="63" t="s">
        <v>1701</v>
      </c>
      <c r="E118" s="63" t="s">
        <v>1701</v>
      </c>
      <c r="F118" s="28" t="str">
        <f aca="false">IF(C118="","",IF(OR(C118="1. bekkur",C118="2. bekkur",C118="3. bekkur",C118="4. bekkur"),"Já",IF(C118="Starfsmaður","Nei","Nei")))</f>
        <v>Nei</v>
      </c>
      <c r="G118" s="63" t="s">
        <v>1250</v>
      </c>
      <c r="H118" s="63" t="s">
        <v>1251</v>
      </c>
      <c r="I118" s="63"/>
      <c r="J118" s="64" t="s">
        <v>1845</v>
      </c>
    </row>
    <row r="119" customFormat="false" ht="15" hidden="false" customHeight="true" outlineLevel="0" collapsed="false">
      <c r="A119" s="9" t="s">
        <v>1247</v>
      </c>
      <c r="B119" s="9" t="s">
        <v>1846</v>
      </c>
      <c r="C119" s="9" t="s">
        <v>1208</v>
      </c>
      <c r="D119" s="9" t="s">
        <v>1701</v>
      </c>
      <c r="E119" s="9" t="s">
        <v>1701</v>
      </c>
      <c r="F119" s="28" t="str">
        <f aca="false">IF(C119="","",IF(OR(C119="1. bekkur",C119="2. bekkur",C119="3. bekkur",C119="4. bekkur"),"Já",IF(C119="Starfsmaður","Nei","Nei")))</f>
        <v>Nei</v>
      </c>
      <c r="G119" s="9" t="s">
        <v>1135</v>
      </c>
      <c r="H119" s="9"/>
      <c r="I119" s="9"/>
      <c r="J119" s="64" t="s">
        <v>1847</v>
      </c>
    </row>
    <row r="120" customFormat="false" ht="15" hidden="false" customHeight="true" outlineLevel="0" collapsed="false">
      <c r="A120" s="63" t="s">
        <v>1247</v>
      </c>
      <c r="B120" s="63" t="s">
        <v>1848</v>
      </c>
      <c r="C120" s="63" t="s">
        <v>1199</v>
      </c>
      <c r="D120" s="63" t="s">
        <v>1701</v>
      </c>
      <c r="E120" s="63" t="s">
        <v>1701</v>
      </c>
      <c r="F120" s="28" t="str">
        <f aca="false">IF(C120="","",IF(OR(C120="1. bekkur",C120="2. bekkur",C120="3. bekkur",C120="4. bekkur"),"Já",IF(C120="Starfsmaður","Nei","Nei")))</f>
        <v>Já</v>
      </c>
      <c r="G120" s="63" t="s">
        <v>1135</v>
      </c>
      <c r="H120" s="63"/>
      <c r="I120" s="63"/>
      <c r="J120" s="64" t="s">
        <v>1849</v>
      </c>
    </row>
    <row r="121" customFormat="false" ht="15" hidden="false" customHeight="true" outlineLevel="0" collapsed="false">
      <c r="A121" s="9" t="s">
        <v>1247</v>
      </c>
      <c r="B121" s="9" t="s">
        <v>1850</v>
      </c>
      <c r="C121" s="9" t="s">
        <v>1199</v>
      </c>
      <c r="D121" s="9" t="s">
        <v>1701</v>
      </c>
      <c r="E121" s="9" t="s">
        <v>1701</v>
      </c>
      <c r="F121" s="28" t="str">
        <f aca="false">IF(C121="","",IF(OR(C121="1. bekkur",C121="2. bekkur",C121="3. bekkur",C121="4. bekkur"),"Já",IF(C121="Starfsmaður","Nei","Nei")))</f>
        <v>Já</v>
      </c>
      <c r="G121" s="9" t="s">
        <v>1135</v>
      </c>
      <c r="H121" s="9"/>
      <c r="I121" s="9"/>
      <c r="J121" s="64" t="s">
        <v>1851</v>
      </c>
    </row>
    <row r="122" customFormat="false" ht="15" hidden="false" customHeight="true" outlineLevel="0" collapsed="false">
      <c r="A122" s="63" t="s">
        <v>1247</v>
      </c>
      <c r="B122" s="63" t="s">
        <v>1852</v>
      </c>
      <c r="C122" s="63" t="s">
        <v>1156</v>
      </c>
      <c r="D122" s="63" t="s">
        <v>1701</v>
      </c>
      <c r="E122" s="63" t="s">
        <v>1701</v>
      </c>
      <c r="F122" s="28" t="str">
        <f aca="false">IF(C122="","",IF(OR(C122="1. bekkur",C122="2. bekkur",C122="3. bekkur",C122="4. bekkur"),"Já",IF(C122="Starfsmaður","Nei","Nei")))</f>
        <v>Nei</v>
      </c>
      <c r="G122" s="63" t="s">
        <v>1135</v>
      </c>
      <c r="H122" s="63"/>
      <c r="I122" s="63"/>
      <c r="J122" s="64" t="s">
        <v>1853</v>
      </c>
    </row>
    <row r="123" customFormat="false" ht="15" hidden="false" customHeight="true" outlineLevel="0" collapsed="false">
      <c r="A123" s="9" t="s">
        <v>1247</v>
      </c>
      <c r="B123" s="9" t="s">
        <v>1854</v>
      </c>
      <c r="C123" s="9" t="s">
        <v>1292</v>
      </c>
      <c r="D123" s="9" t="s">
        <v>1701</v>
      </c>
      <c r="E123" s="9" t="s">
        <v>1701</v>
      </c>
      <c r="F123" s="28" t="str">
        <f aca="false">IF(C123="","",IF(OR(C123="1. bekkur",C123="2. bekkur",C123="3. bekkur",C123="4. bekkur"),"Já",IF(C123="Starfsmaður","Nei","Nei")))</f>
        <v>Nei</v>
      </c>
      <c r="G123" s="9" t="s">
        <v>893</v>
      </c>
      <c r="H123" s="9"/>
      <c r="I123" s="9"/>
      <c r="J123" s="64" t="s">
        <v>1855</v>
      </c>
    </row>
    <row r="124" customFormat="false" ht="15" hidden="false" customHeight="true" outlineLevel="0" collapsed="false">
      <c r="A124" s="63" t="s">
        <v>1247</v>
      </c>
      <c r="B124" s="63" t="s">
        <v>1856</v>
      </c>
      <c r="C124" s="63" t="s">
        <v>1129</v>
      </c>
      <c r="D124" s="63" t="s">
        <v>1701</v>
      </c>
      <c r="E124" s="63" t="s">
        <v>1701</v>
      </c>
      <c r="F124" s="28" t="str">
        <f aca="false">IF(C124="","",IF(OR(C124="1. bekkur",C124="2. bekkur",C124="3. bekkur",C124="4. bekkur"),"Já",IF(C124="Starfsmaður","Nei","Nei")))</f>
        <v>Nei</v>
      </c>
      <c r="G124" s="63" t="s">
        <v>1135</v>
      </c>
      <c r="H124" s="63"/>
      <c r="I124" s="63"/>
      <c r="J124" s="64" t="s">
        <v>1857</v>
      </c>
    </row>
    <row r="125" customFormat="false" ht="15" hidden="false" customHeight="true" outlineLevel="0" collapsed="false">
      <c r="A125" s="9" t="s">
        <v>1247</v>
      </c>
      <c r="B125" s="9" t="s">
        <v>1252</v>
      </c>
      <c r="C125" s="9" t="s">
        <v>1148</v>
      </c>
      <c r="D125" s="9" t="s">
        <v>1701</v>
      </c>
      <c r="E125" s="9" t="s">
        <v>1701</v>
      </c>
      <c r="F125" s="28" t="str">
        <f aca="false">IF(C125="","",IF(OR(C125="1. bekkur",C125="2. bekkur",C125="3. bekkur",C125="4. bekkur"),"Já",IF(C125="Starfsmaður","Nei","Nei")))</f>
        <v>Já</v>
      </c>
      <c r="G125" s="9" t="s">
        <v>1183</v>
      </c>
      <c r="H125" s="9" t="s">
        <v>1253</v>
      </c>
      <c r="I125" s="9"/>
      <c r="J125" s="64" t="s">
        <v>1858</v>
      </c>
    </row>
    <row r="126" customFormat="false" ht="15" hidden="false" customHeight="true" outlineLevel="0" collapsed="false">
      <c r="A126" s="63" t="s">
        <v>1247</v>
      </c>
      <c r="B126" s="63" t="s">
        <v>1859</v>
      </c>
      <c r="C126" s="63" t="s">
        <v>1162</v>
      </c>
      <c r="D126" s="63" t="s">
        <v>1701</v>
      </c>
      <c r="E126" s="63" t="s">
        <v>1701</v>
      </c>
      <c r="F126" s="28" t="str">
        <f aca="false">IF(C126="","",IF(OR(C126="1. bekkur",C126="2. bekkur",C126="3. bekkur",C126="4. bekkur"),"Já",IF(C126="Starfsmaður","Nei","Nei")))</f>
        <v>Nei</v>
      </c>
      <c r="G126" s="63" t="s">
        <v>893</v>
      </c>
      <c r="H126" s="63"/>
      <c r="I126" s="63"/>
      <c r="J126" s="64" t="s">
        <v>1860</v>
      </c>
    </row>
    <row r="127" customFormat="false" ht="15" hidden="false" customHeight="true" outlineLevel="0" collapsed="false">
      <c r="A127" s="9" t="s">
        <v>1247</v>
      </c>
      <c r="B127" s="9" t="s">
        <v>1254</v>
      </c>
      <c r="C127" s="9" t="s">
        <v>1141</v>
      </c>
      <c r="D127" s="9" t="s">
        <v>1701</v>
      </c>
      <c r="E127" s="9" t="s">
        <v>1701</v>
      </c>
      <c r="F127" s="28" t="str">
        <f aca="false">IF(C127="","",IF(OR(C127="1. bekkur",C127="2. bekkur",C127="3. bekkur",C127="4. bekkur"),"Já",IF(C127="Starfsmaður","Nei","Nei")))</f>
        <v>Nei</v>
      </c>
      <c r="G127" s="9" t="s">
        <v>1135</v>
      </c>
      <c r="H127" s="9" t="s">
        <v>1255</v>
      </c>
      <c r="I127" s="9"/>
      <c r="J127" s="64" t="s">
        <v>1861</v>
      </c>
    </row>
    <row r="128" customFormat="false" ht="15" hidden="false" customHeight="true" outlineLevel="0" collapsed="false">
      <c r="A128" s="63" t="s">
        <v>1247</v>
      </c>
      <c r="B128" s="63" t="s">
        <v>1256</v>
      </c>
      <c r="C128" s="63" t="s">
        <v>1218</v>
      </c>
      <c r="D128" s="63" t="s">
        <v>1701</v>
      </c>
      <c r="E128" s="63" t="s">
        <v>1701</v>
      </c>
      <c r="F128" s="28" t="str">
        <f aca="false">IF(C128="","",IF(OR(C128="1. bekkur",C128="2. bekkur",C128="3. bekkur",C128="4. bekkur"),"Já",IF(C128="Starfsmaður","Nei","Nei")))</f>
        <v>Nei</v>
      </c>
      <c r="G128" s="63" t="s">
        <v>1135</v>
      </c>
      <c r="H128" s="63" t="s">
        <v>1257</v>
      </c>
      <c r="I128" s="63"/>
      <c r="J128" s="64" t="s">
        <v>1862</v>
      </c>
    </row>
    <row r="129" customFormat="false" ht="15" hidden="false" customHeight="true" outlineLevel="0" collapsed="false">
      <c r="A129" s="9" t="s">
        <v>1247</v>
      </c>
      <c r="B129" s="9" t="s">
        <v>1258</v>
      </c>
      <c r="C129" s="9" t="s">
        <v>1156</v>
      </c>
      <c r="D129" s="9" t="s">
        <v>1701</v>
      </c>
      <c r="E129" s="9" t="s">
        <v>1701</v>
      </c>
      <c r="F129" s="28" t="str">
        <f aca="false">IF(C129="","",IF(OR(C129="1. bekkur",C129="2. bekkur",C129="3. bekkur",C129="4. bekkur"),"Já",IF(C129="Starfsmaður","Nei","Nei")))</f>
        <v>Nei</v>
      </c>
      <c r="G129" s="9" t="s">
        <v>217</v>
      </c>
      <c r="H129" s="9" t="s">
        <v>1259</v>
      </c>
      <c r="I129" s="9"/>
      <c r="J129" s="64" t="s">
        <v>1863</v>
      </c>
    </row>
    <row r="130" customFormat="false" ht="15" hidden="false" customHeight="true" outlineLevel="0" collapsed="false">
      <c r="A130" s="63" t="s">
        <v>1247</v>
      </c>
      <c r="B130" s="63" t="s">
        <v>1260</v>
      </c>
      <c r="C130" s="63" t="s">
        <v>1208</v>
      </c>
      <c r="D130" s="63" t="s">
        <v>1701</v>
      </c>
      <c r="E130" s="63" t="s">
        <v>1701</v>
      </c>
      <c r="F130" s="28" t="str">
        <f aca="false">IF(C130="","",IF(OR(C130="1. bekkur",C130="2. bekkur",C130="3. bekkur",C130="4. bekkur"),"Já",IF(C130="Starfsmaður","Nei","Nei")))</f>
        <v>Nei</v>
      </c>
      <c r="G130" s="63" t="s">
        <v>1183</v>
      </c>
      <c r="H130" s="63" t="s">
        <v>1261</v>
      </c>
      <c r="I130" s="63"/>
      <c r="J130" s="64" t="s">
        <v>1864</v>
      </c>
    </row>
    <row r="131" customFormat="false" ht="15" hidden="false" customHeight="true" outlineLevel="0" collapsed="false">
      <c r="A131" s="9" t="s">
        <v>1247</v>
      </c>
      <c r="B131" s="9" t="s">
        <v>1262</v>
      </c>
      <c r="C131" s="9" t="s">
        <v>1162</v>
      </c>
      <c r="D131" s="9" t="s">
        <v>1701</v>
      </c>
      <c r="E131" s="9" t="s">
        <v>1701</v>
      </c>
      <c r="F131" s="28" t="str">
        <f aca="false">IF(C131="","",IF(OR(C131="1. bekkur",C131="2. bekkur",C131="3. bekkur",C131="4. bekkur"),"Já",IF(C131="Starfsmaður","Nei","Nei")))</f>
        <v>Nei</v>
      </c>
      <c r="G131" s="9" t="s">
        <v>217</v>
      </c>
      <c r="H131" s="9" t="s">
        <v>1263</v>
      </c>
      <c r="I131" s="9"/>
      <c r="J131" s="64" t="s">
        <v>1865</v>
      </c>
    </row>
    <row r="132" customFormat="false" ht="15" hidden="false" customHeight="true" outlineLevel="0" collapsed="false">
      <c r="A132" s="63" t="s">
        <v>1247</v>
      </c>
      <c r="B132" s="63" t="s">
        <v>1264</v>
      </c>
      <c r="C132" s="63" t="s">
        <v>1134</v>
      </c>
      <c r="D132" s="63" t="s">
        <v>1701</v>
      </c>
      <c r="E132" s="63" t="s">
        <v>1701</v>
      </c>
      <c r="F132" s="28" t="str">
        <f aca="false">IF(C132="","",IF(OR(C132="1. bekkur",C132="2. bekkur",C132="3. bekkur",C132="4. bekkur"),"Já",IF(C132="Starfsmaður","Nei","Nei")))</f>
        <v>Já</v>
      </c>
      <c r="G132" s="63" t="s">
        <v>1265</v>
      </c>
      <c r="H132" s="63" t="s">
        <v>1266</v>
      </c>
      <c r="I132" s="63"/>
      <c r="J132" s="64" t="s">
        <v>1866</v>
      </c>
    </row>
    <row r="133" customFormat="false" ht="15" hidden="false" customHeight="true" outlineLevel="0" collapsed="false">
      <c r="A133" s="9" t="s">
        <v>1247</v>
      </c>
      <c r="B133" s="9" t="s">
        <v>1867</v>
      </c>
      <c r="C133" s="9" t="s">
        <v>1208</v>
      </c>
      <c r="D133" s="9" t="s">
        <v>1701</v>
      </c>
      <c r="E133" s="9" t="s">
        <v>1701</v>
      </c>
      <c r="F133" s="28" t="str">
        <f aca="false">IF(C133="","",IF(OR(C133="1. bekkur",C133="2. bekkur",C133="3. bekkur",C133="4. bekkur"),"Já",IF(C133="Starfsmaður","Nei","Nei")))</f>
        <v>Nei</v>
      </c>
      <c r="G133" s="9" t="s">
        <v>1183</v>
      </c>
      <c r="H133" s="9"/>
      <c r="I133" s="9"/>
      <c r="J133" s="64" t="s">
        <v>1868</v>
      </c>
    </row>
    <row r="134" customFormat="false" ht="15" hidden="false" customHeight="true" outlineLevel="0" collapsed="false">
      <c r="A134" s="63" t="s">
        <v>1247</v>
      </c>
      <c r="B134" s="63" t="s">
        <v>1267</v>
      </c>
      <c r="C134" s="63" t="s">
        <v>1141</v>
      </c>
      <c r="D134" s="63" t="s">
        <v>1701</v>
      </c>
      <c r="E134" s="63" t="s">
        <v>1701</v>
      </c>
      <c r="F134" s="28" t="str">
        <f aca="false">IF(C134="","",IF(OR(C134="1. bekkur",C134="2. bekkur",C134="3. bekkur",C134="4. bekkur"),"Já",IF(C134="Starfsmaður","Nei","Nei")))</f>
        <v>Nei</v>
      </c>
      <c r="G134" s="63" t="s">
        <v>1268</v>
      </c>
      <c r="H134" s="63" t="s">
        <v>1269</v>
      </c>
      <c r="I134" s="63"/>
      <c r="J134" s="64" t="s">
        <v>1869</v>
      </c>
    </row>
    <row r="135" customFormat="false" ht="15" hidden="false" customHeight="true" outlineLevel="0" collapsed="false">
      <c r="A135" s="9" t="s">
        <v>1247</v>
      </c>
      <c r="B135" s="9" t="s">
        <v>1270</v>
      </c>
      <c r="C135" s="9" t="s">
        <v>1208</v>
      </c>
      <c r="D135" s="9" t="s">
        <v>1701</v>
      </c>
      <c r="E135" s="9" t="s">
        <v>1701</v>
      </c>
      <c r="F135" s="28" t="str">
        <f aca="false">IF(C135="","",IF(OR(C135="1. bekkur",C135="2. bekkur",C135="3. bekkur",C135="4. bekkur"),"Já",IF(C135="Starfsmaður","Nei","Nei")))</f>
        <v>Nei</v>
      </c>
      <c r="G135" s="9" t="s">
        <v>1271</v>
      </c>
      <c r="H135" s="9" t="s">
        <v>1272</v>
      </c>
      <c r="I135" s="9"/>
      <c r="J135" s="64" t="s">
        <v>1870</v>
      </c>
    </row>
    <row r="136" customFormat="false" ht="15" hidden="false" customHeight="true" outlineLevel="0" collapsed="false">
      <c r="A136" s="63" t="s">
        <v>1247</v>
      </c>
      <c r="B136" s="63" t="s">
        <v>1273</v>
      </c>
      <c r="C136" s="63" t="s">
        <v>1218</v>
      </c>
      <c r="D136" s="63" t="s">
        <v>1701</v>
      </c>
      <c r="E136" s="63" t="s">
        <v>1701</v>
      </c>
      <c r="F136" s="28" t="str">
        <f aca="false">IF(C136="","",IF(OR(C136="1. bekkur",C136="2. bekkur",C136="3. bekkur",C136="4. bekkur"),"Já",IF(C136="Starfsmaður","Nei","Nei")))</f>
        <v>Nei</v>
      </c>
      <c r="G136" s="63" t="s">
        <v>893</v>
      </c>
      <c r="H136" s="63" t="s">
        <v>1274</v>
      </c>
      <c r="I136" s="63"/>
      <c r="J136" s="64" t="s">
        <v>1871</v>
      </c>
    </row>
    <row r="137" customFormat="false" ht="15" hidden="false" customHeight="true" outlineLevel="0" collapsed="false">
      <c r="A137" s="9" t="s">
        <v>1247</v>
      </c>
      <c r="B137" s="9" t="s">
        <v>1275</v>
      </c>
      <c r="C137" s="9" t="s">
        <v>1156</v>
      </c>
      <c r="D137" s="9" t="s">
        <v>1701</v>
      </c>
      <c r="E137" s="9" t="s">
        <v>1701</v>
      </c>
      <c r="F137" s="28" t="str">
        <f aca="false">IF(C137="","",IF(OR(C137="1. bekkur",C137="2. bekkur",C137="3. bekkur",C137="4. bekkur"),"Já",IF(C137="Starfsmaður","Nei","Nei")))</f>
        <v>Nei</v>
      </c>
      <c r="G137" s="9" t="s">
        <v>893</v>
      </c>
      <c r="H137" s="9" t="s">
        <v>1274</v>
      </c>
      <c r="I137" s="9"/>
      <c r="J137" s="64" t="s">
        <v>1872</v>
      </c>
    </row>
    <row r="138" customFormat="false" ht="15" hidden="false" customHeight="true" outlineLevel="0" collapsed="false">
      <c r="A138" s="63" t="s">
        <v>1247</v>
      </c>
      <c r="B138" s="63" t="s">
        <v>1276</v>
      </c>
      <c r="C138" s="63" t="s">
        <v>1134</v>
      </c>
      <c r="D138" s="63" t="s">
        <v>1701</v>
      </c>
      <c r="E138" s="63" t="s">
        <v>1701</v>
      </c>
      <c r="F138" s="28" t="str">
        <f aca="false">IF(C138="","",IF(OR(C138="1. bekkur",C138="2. bekkur",C138="3. bekkur",C138="4. bekkur"),"Já",IF(C138="Starfsmaður","Nei","Nei")))</f>
        <v>Já</v>
      </c>
      <c r="G138" s="63" t="s">
        <v>1183</v>
      </c>
      <c r="H138" s="63" t="s">
        <v>1277</v>
      </c>
      <c r="I138" s="63"/>
      <c r="J138" s="64" t="s">
        <v>1873</v>
      </c>
    </row>
    <row r="139" customFormat="false" ht="15" hidden="false" customHeight="true" outlineLevel="0" collapsed="false">
      <c r="A139" s="9" t="s">
        <v>1247</v>
      </c>
      <c r="B139" s="9" t="s">
        <v>1278</v>
      </c>
      <c r="C139" s="9" t="s">
        <v>1208</v>
      </c>
      <c r="D139" s="9" t="s">
        <v>1701</v>
      </c>
      <c r="E139" s="9" t="s">
        <v>1701</v>
      </c>
      <c r="F139" s="28" t="str">
        <f aca="false">IF(C139="","",IF(OR(C139="1. bekkur",C139="2. bekkur",C139="3. bekkur",C139="4. bekkur"),"Já",IF(C139="Starfsmaður","Nei","Nei")))</f>
        <v>Nei</v>
      </c>
      <c r="G139" s="9" t="s">
        <v>1279</v>
      </c>
      <c r="H139" s="9" t="s">
        <v>1280</v>
      </c>
      <c r="I139" s="9"/>
      <c r="J139" s="64" t="s">
        <v>1874</v>
      </c>
    </row>
    <row r="140" customFormat="false" ht="15" hidden="false" customHeight="true" outlineLevel="0" collapsed="false">
      <c r="A140" s="63" t="s">
        <v>1247</v>
      </c>
      <c r="B140" s="63" t="s">
        <v>1281</v>
      </c>
      <c r="C140" s="63" t="s">
        <v>1162</v>
      </c>
      <c r="D140" s="63" t="s">
        <v>1701</v>
      </c>
      <c r="E140" s="63" t="s">
        <v>1701</v>
      </c>
      <c r="F140" s="28" t="str">
        <f aca="false">IF(C140="","",IF(OR(C140="1. bekkur",C140="2. bekkur",C140="3. bekkur",C140="4. bekkur"),"Já",IF(C140="Starfsmaður","Nei","Nei")))</f>
        <v>Nei</v>
      </c>
      <c r="G140" s="63" t="s">
        <v>1163</v>
      </c>
      <c r="H140" s="63" t="s">
        <v>1282</v>
      </c>
      <c r="I140" s="63"/>
      <c r="J140" s="64" t="s">
        <v>1875</v>
      </c>
    </row>
    <row r="141" customFormat="false" ht="15" hidden="false" customHeight="true" outlineLevel="0" collapsed="false">
      <c r="A141" s="9" t="s">
        <v>1247</v>
      </c>
      <c r="B141" s="9" t="s">
        <v>1283</v>
      </c>
      <c r="C141" s="9" t="s">
        <v>1199</v>
      </c>
      <c r="D141" s="9" t="s">
        <v>1701</v>
      </c>
      <c r="E141" s="9" t="s">
        <v>1701</v>
      </c>
      <c r="F141" s="28" t="str">
        <f aca="false">IF(C141="","",IF(OR(C141="1. bekkur",C141="2. bekkur",C141="3. bekkur",C141="4. bekkur"),"Já",IF(C141="Starfsmaður","Nei","Nei")))</f>
        <v>Já</v>
      </c>
      <c r="G141" s="9" t="s">
        <v>1284</v>
      </c>
      <c r="H141" s="9" t="s">
        <v>1285</v>
      </c>
      <c r="I141" s="9"/>
      <c r="J141" s="64" t="s">
        <v>1876</v>
      </c>
    </row>
    <row r="142" customFormat="false" ht="15" hidden="false" customHeight="true" outlineLevel="0" collapsed="false">
      <c r="A142" s="63" t="s">
        <v>1247</v>
      </c>
      <c r="B142" s="63" t="s">
        <v>1286</v>
      </c>
      <c r="C142" s="63" t="s">
        <v>1208</v>
      </c>
      <c r="D142" s="63" t="s">
        <v>1701</v>
      </c>
      <c r="E142" s="63" t="s">
        <v>1701</v>
      </c>
      <c r="F142" s="28" t="str">
        <f aca="false">IF(C142="","",IF(OR(C142="1. bekkur",C142="2. bekkur",C142="3. bekkur",C142="4. bekkur"),"Já",IF(C142="Starfsmaður","Nei","Nei")))</f>
        <v>Nei</v>
      </c>
      <c r="G142" s="63" t="s">
        <v>217</v>
      </c>
      <c r="H142" s="63" t="s">
        <v>1287</v>
      </c>
      <c r="I142" s="63"/>
      <c r="J142" s="64" t="s">
        <v>1877</v>
      </c>
    </row>
    <row r="143" customFormat="false" ht="15" hidden="false" customHeight="true" outlineLevel="0" collapsed="false">
      <c r="A143" s="9" t="s">
        <v>1247</v>
      </c>
      <c r="B143" s="9" t="s">
        <v>1878</v>
      </c>
      <c r="C143" s="9" t="s">
        <v>1162</v>
      </c>
      <c r="D143" s="9" t="s">
        <v>1701</v>
      </c>
      <c r="E143" s="9" t="s">
        <v>1701</v>
      </c>
      <c r="F143" s="28" t="str">
        <f aca="false">IF(C143="","",IF(OR(C143="1. bekkur",C143="2. bekkur",C143="3. bekkur",C143="4. bekkur"),"Já",IF(C143="Starfsmaður","Nei","Nei")))</f>
        <v>Nei</v>
      </c>
      <c r="G143" s="9" t="s">
        <v>893</v>
      </c>
      <c r="H143" s="9"/>
      <c r="I143" s="9"/>
      <c r="J143" s="64" t="s">
        <v>1879</v>
      </c>
    </row>
    <row r="144" customFormat="false" ht="15" hidden="false" customHeight="true" outlineLevel="0" collapsed="false">
      <c r="A144" s="63" t="s">
        <v>1247</v>
      </c>
      <c r="B144" s="63" t="s">
        <v>1880</v>
      </c>
      <c r="C144" s="63" t="s">
        <v>1292</v>
      </c>
      <c r="D144" s="63" t="s">
        <v>1701</v>
      </c>
      <c r="E144" s="63" t="s">
        <v>1701</v>
      </c>
      <c r="F144" s="28" t="str">
        <f aca="false">IF(C144="","",IF(OR(C144="1. bekkur",C144="2. bekkur",C144="3. bekkur",C144="4. bekkur"),"Já",IF(C144="Starfsmaður","Nei","Nei")))</f>
        <v>Nei</v>
      </c>
      <c r="G144" s="63" t="s">
        <v>1289</v>
      </c>
      <c r="H144" s="63"/>
      <c r="I144" s="63"/>
      <c r="J144" s="64" t="s">
        <v>1881</v>
      </c>
    </row>
    <row r="145" customFormat="false" ht="15" hidden="false" customHeight="true" outlineLevel="0" collapsed="false">
      <c r="A145" s="9" t="s">
        <v>1247</v>
      </c>
      <c r="B145" s="9" t="s">
        <v>1288</v>
      </c>
      <c r="C145" s="9" t="s">
        <v>1218</v>
      </c>
      <c r="D145" s="9" t="s">
        <v>1701</v>
      </c>
      <c r="E145" s="9" t="s">
        <v>1701</v>
      </c>
      <c r="F145" s="28" t="str">
        <f aca="false">IF(C145="","",IF(OR(C145="1. bekkur",C145="2. bekkur",C145="3. bekkur",C145="4. bekkur"),"Já",IF(C145="Starfsmaður","Nei","Nei")))</f>
        <v>Nei</v>
      </c>
      <c r="G145" s="9" t="s">
        <v>1289</v>
      </c>
      <c r="H145" s="9" t="s">
        <v>1290</v>
      </c>
      <c r="I145" s="9"/>
      <c r="J145" s="64" t="s">
        <v>1882</v>
      </c>
    </row>
    <row r="146" customFormat="false" ht="15" hidden="false" customHeight="true" outlineLevel="0" collapsed="false">
      <c r="A146" s="63" t="s">
        <v>1247</v>
      </c>
      <c r="B146" s="63" t="s">
        <v>1291</v>
      </c>
      <c r="C146" s="63" t="s">
        <v>1292</v>
      </c>
      <c r="D146" s="63" t="s">
        <v>1701</v>
      </c>
      <c r="E146" s="63" t="s">
        <v>1701</v>
      </c>
      <c r="F146" s="28" t="str">
        <f aca="false">IF(C146="","",IF(OR(C146="1. bekkur",C146="2. bekkur",C146="3. bekkur",C146="4. bekkur"),"Já",IF(C146="Starfsmaður","Nei","Nei")))</f>
        <v>Nei</v>
      </c>
      <c r="G146" s="63" t="s">
        <v>1157</v>
      </c>
      <c r="H146" s="63" t="s">
        <v>1293</v>
      </c>
      <c r="I146" s="63"/>
      <c r="J146" s="64" t="s">
        <v>1883</v>
      </c>
    </row>
    <row r="147" customFormat="false" ht="15" hidden="false" customHeight="true" outlineLevel="0" collapsed="false">
      <c r="A147" s="9" t="s">
        <v>1294</v>
      </c>
      <c r="B147" s="9" t="s">
        <v>1171</v>
      </c>
      <c r="C147" s="9" t="s">
        <v>1172</v>
      </c>
      <c r="D147" s="9" t="s">
        <v>1701</v>
      </c>
      <c r="E147" s="9" t="s">
        <v>1701</v>
      </c>
      <c r="F147" s="28" t="str">
        <f aca="false">IF(C147="","",IF(OR(C147="1. bekkur",C147="2. bekkur",C147="3. bekkur",C147="4. bekkur"),"Já",IF(C147="Starfsmaður","Nei","Nei")))</f>
        <v>Nei</v>
      </c>
      <c r="G147" s="9" t="s">
        <v>1173</v>
      </c>
      <c r="H147" s="9" t="s">
        <v>1174</v>
      </c>
      <c r="I147" s="9"/>
      <c r="J147" s="64" t="s">
        <v>1884</v>
      </c>
    </row>
    <row r="148" customFormat="false" ht="15" hidden="false" customHeight="true" outlineLevel="0" collapsed="false">
      <c r="A148" s="63" t="s">
        <v>1294</v>
      </c>
      <c r="B148" s="63" t="s">
        <v>1295</v>
      </c>
      <c r="C148" s="63" t="s">
        <v>1292</v>
      </c>
      <c r="D148" s="63" t="s">
        <v>1701</v>
      </c>
      <c r="E148" s="63" t="s">
        <v>1701</v>
      </c>
      <c r="F148" s="28" t="str">
        <f aca="false">IF(C148="","",IF(OR(C148="1. bekkur",C148="2. bekkur",C148="3. bekkur",C148="4. bekkur"),"Já",IF(C148="Starfsmaður","Nei","Nei")))</f>
        <v>Nei</v>
      </c>
      <c r="G148" s="63" t="s">
        <v>1296</v>
      </c>
      <c r="H148" s="63" t="s">
        <v>1297</v>
      </c>
      <c r="I148" s="63"/>
      <c r="J148" s="64" t="s">
        <v>1885</v>
      </c>
    </row>
    <row r="149" customFormat="false" ht="15" hidden="false" customHeight="true" outlineLevel="0" collapsed="false">
      <c r="A149" s="9" t="s">
        <v>1294</v>
      </c>
      <c r="B149" s="9" t="s">
        <v>1298</v>
      </c>
      <c r="C149" s="9" t="s">
        <v>1141</v>
      </c>
      <c r="D149" s="9" t="s">
        <v>1701</v>
      </c>
      <c r="E149" s="9" t="s">
        <v>1701</v>
      </c>
      <c r="F149" s="28" t="str">
        <f aca="false">IF(C149="","",IF(OR(C149="1. bekkur",C149="2. bekkur",C149="3. bekkur",C149="4. bekkur"),"Já",IF(C149="Starfsmaður","Nei","Nei")))</f>
        <v>Nei</v>
      </c>
      <c r="G149" s="9" t="s">
        <v>1183</v>
      </c>
      <c r="H149" s="9" t="s">
        <v>1299</v>
      </c>
      <c r="I149" s="9"/>
      <c r="J149" s="64" t="s">
        <v>1886</v>
      </c>
    </row>
    <row r="150" customFormat="false" ht="15" hidden="false" customHeight="true" outlineLevel="0" collapsed="false">
      <c r="A150" s="63" t="s">
        <v>1294</v>
      </c>
      <c r="B150" s="63" t="s">
        <v>1300</v>
      </c>
      <c r="C150" s="63" t="s">
        <v>1218</v>
      </c>
      <c r="D150" s="63" t="s">
        <v>1701</v>
      </c>
      <c r="E150" s="63" t="s">
        <v>1701</v>
      </c>
      <c r="F150" s="28" t="str">
        <f aca="false">IF(C150="","",IF(OR(C150="1. bekkur",C150="2. bekkur",C150="3. bekkur",C150="4. bekkur"),"Já",IF(C150="Starfsmaður","Nei","Nei")))</f>
        <v>Nei</v>
      </c>
      <c r="G150" s="63" t="s">
        <v>1183</v>
      </c>
      <c r="H150" s="63" t="s">
        <v>1301</v>
      </c>
      <c r="I150" s="63"/>
      <c r="J150" s="64" t="s">
        <v>1887</v>
      </c>
    </row>
    <row r="151" customFormat="false" ht="15" hidden="false" customHeight="true" outlineLevel="0" collapsed="false">
      <c r="A151" s="9" t="s">
        <v>1294</v>
      </c>
      <c r="B151" s="9" t="s">
        <v>1888</v>
      </c>
      <c r="C151" s="9" t="s">
        <v>1199</v>
      </c>
      <c r="D151" s="9" t="s">
        <v>1701</v>
      </c>
      <c r="E151" s="9" t="s">
        <v>1701</v>
      </c>
      <c r="F151" s="28" t="str">
        <f aca="false">IF(C151="","",IF(OR(C151="1. bekkur",C151="2. bekkur",C151="3. bekkur",C151="4. bekkur"),"Já",IF(C151="Starfsmaður","Nei","Nei")))</f>
        <v>Já</v>
      </c>
      <c r="G151" s="9" t="s">
        <v>893</v>
      </c>
      <c r="H151" s="9"/>
      <c r="I151" s="9"/>
      <c r="J151" s="64" t="s">
        <v>1889</v>
      </c>
    </row>
    <row r="152" customFormat="false" ht="15" hidden="false" customHeight="true" outlineLevel="0" collapsed="false">
      <c r="A152" s="63" t="s">
        <v>1294</v>
      </c>
      <c r="B152" s="63" t="s">
        <v>1302</v>
      </c>
      <c r="C152" s="63" t="s">
        <v>1199</v>
      </c>
      <c r="D152" s="63" t="s">
        <v>1701</v>
      </c>
      <c r="E152" s="63" t="s">
        <v>1701</v>
      </c>
      <c r="F152" s="28" t="str">
        <f aca="false">IF(C152="","",IF(OR(C152="1. bekkur",C152="2. bekkur",C152="3. bekkur",C152="4. bekkur"),"Já",IF(C152="Starfsmaður","Nei","Nei")))</f>
        <v>Já</v>
      </c>
      <c r="G152" s="63" t="s">
        <v>1183</v>
      </c>
      <c r="H152" s="63" t="s">
        <v>1303</v>
      </c>
      <c r="I152" s="63"/>
      <c r="J152" s="64" t="s">
        <v>1890</v>
      </c>
    </row>
    <row r="153" customFormat="false" ht="15" hidden="false" customHeight="true" outlineLevel="0" collapsed="false">
      <c r="A153" s="9" t="s">
        <v>1294</v>
      </c>
      <c r="B153" s="9" t="s">
        <v>1304</v>
      </c>
      <c r="C153" s="9" t="s">
        <v>1156</v>
      </c>
      <c r="D153" s="9" t="s">
        <v>1701</v>
      </c>
      <c r="E153" s="9" t="s">
        <v>1701</v>
      </c>
      <c r="F153" s="28" t="str">
        <f aca="false">IF(C153="","",IF(OR(C153="1. bekkur",C153="2. bekkur",C153="3. bekkur",C153="4. bekkur"),"Já",IF(C153="Starfsmaður","Nei","Nei")))</f>
        <v>Nei</v>
      </c>
      <c r="G153" s="9" t="s">
        <v>1265</v>
      </c>
      <c r="H153" s="9" t="s">
        <v>1305</v>
      </c>
      <c r="I153" s="9"/>
      <c r="J153" s="64" t="s">
        <v>1891</v>
      </c>
    </row>
    <row r="154" customFormat="false" ht="15" hidden="false" customHeight="true" outlineLevel="0" collapsed="false">
      <c r="A154" s="63" t="s">
        <v>1294</v>
      </c>
      <c r="B154" s="63" t="s">
        <v>1306</v>
      </c>
      <c r="C154" s="63" t="s">
        <v>1148</v>
      </c>
      <c r="D154" s="63" t="s">
        <v>1701</v>
      </c>
      <c r="E154" s="63" t="s">
        <v>1701</v>
      </c>
      <c r="F154" s="28" t="str">
        <f aca="false">IF(C154="","",IF(OR(C154="1. bekkur",C154="2. bekkur",C154="3. bekkur",C154="4. bekkur"),"Já",IF(C154="Starfsmaður","Nei","Nei")))</f>
        <v>Já</v>
      </c>
      <c r="G154" s="63" t="s">
        <v>1226</v>
      </c>
      <c r="H154" s="63" t="s">
        <v>1307</v>
      </c>
      <c r="I154" s="63"/>
      <c r="J154" s="64" t="s">
        <v>1892</v>
      </c>
    </row>
    <row r="155" customFormat="false" ht="15" hidden="false" customHeight="true" outlineLevel="0" collapsed="false">
      <c r="A155" s="9" t="s">
        <v>1294</v>
      </c>
      <c r="B155" s="9" t="s">
        <v>1308</v>
      </c>
      <c r="C155" s="9" t="s">
        <v>1156</v>
      </c>
      <c r="D155" s="9" t="s">
        <v>1701</v>
      </c>
      <c r="E155" s="9" t="s">
        <v>1701</v>
      </c>
      <c r="F155" s="28" t="str">
        <f aca="false">IF(C155="","",IF(OR(C155="1. bekkur",C155="2. bekkur",C155="3. bekkur",C155="4. bekkur"),"Já",IF(C155="Starfsmaður","Nei","Nei")))</f>
        <v>Nei</v>
      </c>
      <c r="G155" s="9" t="s">
        <v>1309</v>
      </c>
      <c r="H155" s="9" t="s">
        <v>1310</v>
      </c>
      <c r="I155" s="9"/>
      <c r="J155" s="64" t="s">
        <v>1893</v>
      </c>
    </row>
    <row r="156" customFormat="false" ht="15" hidden="false" customHeight="true" outlineLevel="0" collapsed="false">
      <c r="A156" s="63" t="s">
        <v>1294</v>
      </c>
      <c r="B156" s="63" t="s">
        <v>1311</v>
      </c>
      <c r="C156" s="63" t="s">
        <v>1199</v>
      </c>
      <c r="D156" s="63" t="s">
        <v>1701</v>
      </c>
      <c r="E156" s="63" t="s">
        <v>1701</v>
      </c>
      <c r="F156" s="28" t="str">
        <f aca="false">IF(C156="","",IF(OR(C156="1. bekkur",C156="2. bekkur",C156="3. bekkur",C156="4. bekkur"),"Já",IF(C156="Starfsmaður","Nei","Nei")))</f>
        <v>Já</v>
      </c>
      <c r="G156" s="63" t="s">
        <v>217</v>
      </c>
      <c r="H156" s="63" t="s">
        <v>1312</v>
      </c>
      <c r="I156" s="63"/>
      <c r="J156" s="64" t="s">
        <v>1894</v>
      </c>
    </row>
    <row r="157" customFormat="false" ht="15" hidden="false" customHeight="true" outlineLevel="0" collapsed="false">
      <c r="A157" s="9" t="s">
        <v>1294</v>
      </c>
      <c r="B157" s="9" t="s">
        <v>1313</v>
      </c>
      <c r="C157" s="9" t="s">
        <v>1208</v>
      </c>
      <c r="D157" s="9" t="s">
        <v>1701</v>
      </c>
      <c r="E157" s="9" t="s">
        <v>1701</v>
      </c>
      <c r="F157" s="28" t="str">
        <f aca="false">IF(C157="","",IF(OR(C157="1. bekkur",C157="2. bekkur",C157="3. bekkur",C157="4. bekkur"),"Já",IF(C157="Starfsmaður","Nei","Nei")))</f>
        <v>Nei</v>
      </c>
      <c r="G157" s="9" t="s">
        <v>1183</v>
      </c>
      <c r="H157" s="9" t="s">
        <v>1314</v>
      </c>
      <c r="I157" s="9"/>
      <c r="J157" s="64" t="s">
        <v>1895</v>
      </c>
    </row>
    <row r="158" customFormat="false" ht="15" hidden="false" customHeight="true" outlineLevel="0" collapsed="false">
      <c r="A158" s="63" t="s">
        <v>1294</v>
      </c>
      <c r="B158" s="63" t="s">
        <v>1315</v>
      </c>
      <c r="C158" s="63" t="s">
        <v>1208</v>
      </c>
      <c r="D158" s="63" t="s">
        <v>1701</v>
      </c>
      <c r="E158" s="63" t="s">
        <v>1701</v>
      </c>
      <c r="F158" s="28" t="str">
        <f aca="false">IF(C158="","",IF(OR(C158="1. bekkur",C158="2. bekkur",C158="3. bekkur",C158="4. bekkur"),"Já",IF(C158="Starfsmaður","Nei","Nei")))</f>
        <v>Nei</v>
      </c>
      <c r="G158" s="63" t="s">
        <v>1186</v>
      </c>
      <c r="H158" s="63" t="s">
        <v>1316</v>
      </c>
      <c r="I158" s="63"/>
      <c r="J158" s="64" t="s">
        <v>1896</v>
      </c>
    </row>
    <row r="159" customFormat="false" ht="15" hidden="false" customHeight="true" outlineLevel="0" collapsed="false">
      <c r="A159" s="9" t="s">
        <v>1294</v>
      </c>
      <c r="B159" s="9" t="s">
        <v>1317</v>
      </c>
      <c r="C159" s="9" t="s">
        <v>1151</v>
      </c>
      <c r="D159" s="9" t="s">
        <v>1701</v>
      </c>
      <c r="E159" s="9" t="s">
        <v>1701</v>
      </c>
      <c r="F159" s="28" t="str">
        <f aca="false">IF(C159="","",IF(OR(C159="1. bekkur",C159="2. bekkur",C159="3. bekkur",C159="4. bekkur"),"Já",IF(C159="Starfsmaður","Nei","Nei")))</f>
        <v>Já</v>
      </c>
      <c r="G159" s="9" t="s">
        <v>1265</v>
      </c>
      <c r="H159" s="9" t="s">
        <v>1318</v>
      </c>
      <c r="I159" s="9"/>
      <c r="J159" s="64" t="s">
        <v>1897</v>
      </c>
    </row>
    <row r="160" customFormat="false" ht="15" hidden="false" customHeight="true" outlineLevel="0" collapsed="false">
      <c r="A160" s="63" t="s">
        <v>1294</v>
      </c>
      <c r="B160" s="63" t="s">
        <v>1319</v>
      </c>
      <c r="C160" s="63" t="s">
        <v>1156</v>
      </c>
      <c r="D160" s="63" t="s">
        <v>1701</v>
      </c>
      <c r="E160" s="63" t="s">
        <v>1701</v>
      </c>
      <c r="F160" s="28" t="str">
        <f aca="false">IF(C160="","",IF(OR(C160="1. bekkur",C160="2. bekkur",C160="3. bekkur",C160="4. bekkur"),"Já",IF(C160="Starfsmaður","Nei","Nei")))</f>
        <v>Nei</v>
      </c>
      <c r="G160" s="63" t="s">
        <v>1183</v>
      </c>
      <c r="H160" s="63" t="s">
        <v>1320</v>
      </c>
      <c r="I160" s="63"/>
      <c r="J160" s="64" t="s">
        <v>1898</v>
      </c>
    </row>
    <row r="161" customFormat="false" ht="15" hidden="false" customHeight="true" outlineLevel="0" collapsed="false">
      <c r="A161" s="9" t="s">
        <v>1294</v>
      </c>
      <c r="B161" s="9" t="s">
        <v>1321</v>
      </c>
      <c r="C161" s="9" t="s">
        <v>1151</v>
      </c>
      <c r="D161" s="9" t="s">
        <v>1701</v>
      </c>
      <c r="E161" s="9" t="s">
        <v>1701</v>
      </c>
      <c r="F161" s="28" t="str">
        <f aca="false">IF(C161="","",IF(OR(C161="1. bekkur",C161="2. bekkur",C161="3. bekkur",C161="4. bekkur"),"Já",IF(C161="Starfsmaður","Nei","Nei")))</f>
        <v>Já</v>
      </c>
      <c r="G161" s="9" t="s">
        <v>1265</v>
      </c>
      <c r="H161" s="9" t="s">
        <v>1227</v>
      </c>
      <c r="I161" s="9"/>
      <c r="J161" s="64" t="s">
        <v>1899</v>
      </c>
    </row>
    <row r="162" customFormat="false" ht="15" hidden="false" customHeight="true" outlineLevel="0" collapsed="false">
      <c r="A162" s="63" t="s">
        <v>1294</v>
      </c>
      <c r="B162" s="63" t="s">
        <v>1322</v>
      </c>
      <c r="C162" s="63" t="s">
        <v>1208</v>
      </c>
      <c r="D162" s="63" t="s">
        <v>1701</v>
      </c>
      <c r="E162" s="63" t="s">
        <v>1701</v>
      </c>
      <c r="F162" s="28" t="str">
        <f aca="false">IF(C162="","",IF(OR(C162="1. bekkur",C162="2. bekkur",C162="3. bekkur",C162="4. bekkur"),"Já",IF(C162="Starfsmaður","Nei","Nei")))</f>
        <v>Nei</v>
      </c>
      <c r="G162" s="63" t="s">
        <v>1183</v>
      </c>
      <c r="H162" s="63" t="s">
        <v>1323</v>
      </c>
      <c r="I162" s="63"/>
      <c r="J162" s="64" t="s">
        <v>1900</v>
      </c>
    </row>
    <row r="163" customFormat="false" ht="15" hidden="false" customHeight="true" outlineLevel="0" collapsed="false">
      <c r="A163" s="9" t="s">
        <v>1294</v>
      </c>
      <c r="B163" s="9" t="s">
        <v>1324</v>
      </c>
      <c r="C163" s="9" t="s">
        <v>1129</v>
      </c>
      <c r="D163" s="9" t="s">
        <v>1701</v>
      </c>
      <c r="E163" s="9" t="s">
        <v>1701</v>
      </c>
      <c r="F163" s="28" t="str">
        <f aca="false">IF(C163="","",IF(OR(C163="1. bekkur",C163="2. bekkur",C163="3. bekkur",C163="4. bekkur"),"Já",IF(C163="Starfsmaður","Nei","Nei")))</f>
        <v>Nei</v>
      </c>
      <c r="G163" s="9" t="s">
        <v>1183</v>
      </c>
      <c r="H163" s="9" t="s">
        <v>1325</v>
      </c>
      <c r="I163" s="9"/>
      <c r="J163" s="64" t="s">
        <v>1901</v>
      </c>
    </row>
    <row r="164" customFormat="false" ht="15" hidden="false" customHeight="true" outlineLevel="0" collapsed="false">
      <c r="A164" s="63" t="s">
        <v>1294</v>
      </c>
      <c r="B164" s="63" t="s">
        <v>1326</v>
      </c>
      <c r="C164" s="63" t="s">
        <v>1129</v>
      </c>
      <c r="D164" s="63" t="s">
        <v>1701</v>
      </c>
      <c r="E164" s="63" t="s">
        <v>1701</v>
      </c>
      <c r="F164" s="28" t="str">
        <f aca="false">IF(C164="","",IF(OR(C164="1. bekkur",C164="2. bekkur",C164="3. bekkur",C164="4. bekkur"),"Já",IF(C164="Starfsmaður","Nei","Nei")))</f>
        <v>Nei</v>
      </c>
      <c r="G164" s="63" t="s">
        <v>893</v>
      </c>
      <c r="H164" s="63" t="s">
        <v>1327</v>
      </c>
      <c r="I164" s="63"/>
      <c r="J164" s="64" t="s">
        <v>1902</v>
      </c>
    </row>
    <row r="165" customFormat="false" ht="15" hidden="false" customHeight="true" outlineLevel="0" collapsed="false">
      <c r="A165" s="9" t="s">
        <v>1294</v>
      </c>
      <c r="B165" s="9" t="s">
        <v>1328</v>
      </c>
      <c r="C165" s="9" t="s">
        <v>1129</v>
      </c>
      <c r="D165" s="9" t="s">
        <v>1701</v>
      </c>
      <c r="E165" s="9" t="s">
        <v>1701</v>
      </c>
      <c r="F165" s="28" t="str">
        <f aca="false">IF(C165="","",IF(OR(C165="1. bekkur",C165="2. bekkur",C165="3. bekkur",C165="4. bekkur"),"Já",IF(C165="Starfsmaður","Nei","Nei")))</f>
        <v>Nei</v>
      </c>
      <c r="G165" s="9" t="s">
        <v>1183</v>
      </c>
      <c r="H165" s="9" t="s">
        <v>1329</v>
      </c>
      <c r="I165" s="9"/>
      <c r="J165" s="64" t="s">
        <v>1903</v>
      </c>
    </row>
    <row r="166" customFormat="false" ht="15" hidden="false" customHeight="true" outlineLevel="0" collapsed="false">
      <c r="A166" s="63" t="s">
        <v>1294</v>
      </c>
      <c r="B166" s="63" t="s">
        <v>1330</v>
      </c>
      <c r="C166" s="63" t="s">
        <v>1134</v>
      </c>
      <c r="D166" s="63" t="s">
        <v>1701</v>
      </c>
      <c r="E166" s="63" t="s">
        <v>1701</v>
      </c>
      <c r="F166" s="28" t="str">
        <f aca="false">IF(C166="","",IF(OR(C166="1. bekkur",C166="2. bekkur",C166="3. bekkur",C166="4. bekkur"),"Já",IF(C166="Starfsmaður","Nei","Nei")))</f>
        <v>Já</v>
      </c>
      <c r="G166" s="63" t="s">
        <v>1183</v>
      </c>
      <c r="H166" s="63" t="s">
        <v>1331</v>
      </c>
      <c r="I166" s="63"/>
      <c r="J166" s="64" t="s">
        <v>1904</v>
      </c>
    </row>
    <row r="167" customFormat="false" ht="15" hidden="false" customHeight="true" outlineLevel="0" collapsed="false">
      <c r="A167" s="9" t="s">
        <v>1294</v>
      </c>
      <c r="B167" s="9" t="s">
        <v>1332</v>
      </c>
      <c r="C167" s="9" t="s">
        <v>1156</v>
      </c>
      <c r="D167" s="9" t="s">
        <v>1701</v>
      </c>
      <c r="E167" s="9" t="s">
        <v>1701</v>
      </c>
      <c r="F167" s="28" t="str">
        <f aca="false">IF(C167="","",IF(OR(C167="1. bekkur",C167="2. bekkur",C167="3. bekkur",C167="4. bekkur"),"Já",IF(C167="Starfsmaður","Nei","Nei")))</f>
        <v>Nei</v>
      </c>
      <c r="G167" s="9" t="s">
        <v>1333</v>
      </c>
      <c r="H167" s="9" t="s">
        <v>1334</v>
      </c>
      <c r="I167" s="9"/>
      <c r="J167" s="64" t="s">
        <v>1905</v>
      </c>
    </row>
    <row r="168" customFormat="false" ht="15" hidden="false" customHeight="true" outlineLevel="0" collapsed="false">
      <c r="A168" s="63" t="s">
        <v>1294</v>
      </c>
      <c r="B168" s="63" t="s">
        <v>1335</v>
      </c>
      <c r="C168" s="63" t="s">
        <v>1199</v>
      </c>
      <c r="D168" s="63" t="s">
        <v>1701</v>
      </c>
      <c r="E168" s="63" t="s">
        <v>1701</v>
      </c>
      <c r="F168" s="28" t="str">
        <f aca="false">IF(C168="","",IF(OR(C168="1. bekkur",C168="2. bekkur",C168="3. bekkur",C168="4. bekkur"),"Já",IF(C168="Starfsmaður","Nei","Nei")))</f>
        <v>Já</v>
      </c>
      <c r="G168" s="63" t="s">
        <v>1183</v>
      </c>
      <c r="H168" s="63" t="s">
        <v>1336</v>
      </c>
      <c r="I168" s="63"/>
      <c r="J168" s="64" t="s">
        <v>1906</v>
      </c>
    </row>
    <row r="169" customFormat="false" ht="15" hidden="false" customHeight="true" outlineLevel="0" collapsed="false">
      <c r="A169" s="9" t="s">
        <v>1294</v>
      </c>
      <c r="B169" s="9" t="s">
        <v>1337</v>
      </c>
      <c r="C169" s="9" t="s">
        <v>1134</v>
      </c>
      <c r="D169" s="9" t="s">
        <v>1701</v>
      </c>
      <c r="E169" s="9" t="s">
        <v>1701</v>
      </c>
      <c r="F169" s="28" t="str">
        <f aca="false">IF(C169="","",IF(OR(C169="1. bekkur",C169="2. bekkur",C169="3. bekkur",C169="4. bekkur"),"Já",IF(C169="Starfsmaður","Nei","Nei")))</f>
        <v>Já</v>
      </c>
      <c r="G169" s="9" t="s">
        <v>217</v>
      </c>
      <c r="H169" s="9" t="s">
        <v>1338</v>
      </c>
      <c r="I169" s="9"/>
      <c r="J169" s="64" t="s">
        <v>1907</v>
      </c>
    </row>
    <row r="170" customFormat="false" ht="15" hidden="false" customHeight="true" outlineLevel="0" collapsed="false">
      <c r="A170" s="63" t="s">
        <v>1294</v>
      </c>
      <c r="B170" s="63" t="s">
        <v>1908</v>
      </c>
      <c r="C170" s="63" t="s">
        <v>1218</v>
      </c>
      <c r="D170" s="63" t="s">
        <v>1701</v>
      </c>
      <c r="E170" s="63" t="s">
        <v>1701</v>
      </c>
      <c r="F170" s="28" t="str">
        <f aca="false">IF(C170="","",IF(OR(C170="1. bekkur",C170="2. bekkur",C170="3. bekkur",C170="4. bekkur"),"Já",IF(C170="Starfsmaður","Nei","Nei")))</f>
        <v>Nei</v>
      </c>
      <c r="G170" s="63" t="s">
        <v>1289</v>
      </c>
      <c r="H170" s="63"/>
      <c r="I170" s="63"/>
      <c r="J170" s="64" t="s">
        <v>1909</v>
      </c>
    </row>
    <row r="171" customFormat="false" ht="15" hidden="false" customHeight="true" outlineLevel="0" collapsed="false">
      <c r="A171" s="9" t="s">
        <v>1294</v>
      </c>
      <c r="B171" s="9" t="s">
        <v>1339</v>
      </c>
      <c r="C171" s="9" t="s">
        <v>1208</v>
      </c>
      <c r="D171" s="9" t="s">
        <v>1701</v>
      </c>
      <c r="E171" s="9" t="s">
        <v>1701</v>
      </c>
      <c r="F171" s="28" t="str">
        <f aca="false">IF(C171="","",IF(OR(C171="1. bekkur",C171="2. bekkur",C171="3. bekkur",C171="4. bekkur"),"Já",IF(C171="Starfsmaður","Nei","Nei")))</f>
        <v>Nei</v>
      </c>
      <c r="G171" s="9" t="s">
        <v>40</v>
      </c>
      <c r="H171" s="9" t="s">
        <v>1340</v>
      </c>
      <c r="I171" s="9"/>
      <c r="J171" s="64" t="s">
        <v>1910</v>
      </c>
    </row>
    <row r="172" customFormat="false" ht="15" hidden="false" customHeight="true" outlineLevel="0" collapsed="false">
      <c r="A172" s="63" t="s">
        <v>1341</v>
      </c>
      <c r="B172" s="63" t="s">
        <v>1171</v>
      </c>
      <c r="C172" s="63" t="s">
        <v>1172</v>
      </c>
      <c r="D172" s="63" t="s">
        <v>1701</v>
      </c>
      <c r="E172" s="63" t="s">
        <v>1701</v>
      </c>
      <c r="F172" s="28" t="str">
        <f aca="false">IF(C172="","",IF(OR(C172="1. bekkur",C172="2. bekkur",C172="3. bekkur",C172="4. bekkur"),"Já",IF(C172="Starfsmaður","Nei","Nei")))</f>
        <v>Nei</v>
      </c>
      <c r="G172" s="63" t="s">
        <v>1173</v>
      </c>
      <c r="H172" s="63" t="s">
        <v>1174</v>
      </c>
      <c r="I172" s="63"/>
      <c r="J172" s="64" t="s">
        <v>1911</v>
      </c>
    </row>
    <row r="173" customFormat="false" ht="15" hidden="false" customHeight="true" outlineLevel="0" collapsed="false">
      <c r="A173" s="9" t="s">
        <v>1341</v>
      </c>
      <c r="B173" s="9" t="s">
        <v>1342</v>
      </c>
      <c r="C173" s="9" t="s">
        <v>1292</v>
      </c>
      <c r="D173" s="9" t="s">
        <v>1701</v>
      </c>
      <c r="E173" s="9" t="s">
        <v>1701</v>
      </c>
      <c r="F173" s="28" t="str">
        <f aca="false">IF(C173="","",IF(OR(C173="1. bekkur",C173="2. bekkur",C173="3. bekkur",C173="4. bekkur"),"Já",IF(C173="Starfsmaður","Nei","Nei")))</f>
        <v>Nei</v>
      </c>
      <c r="G173" s="9" t="s">
        <v>1113</v>
      </c>
      <c r="H173" s="9" t="s">
        <v>1343</v>
      </c>
      <c r="I173" s="9"/>
      <c r="J173" s="64" t="s">
        <v>1912</v>
      </c>
    </row>
    <row r="174" customFormat="false" ht="15" hidden="false" customHeight="true" outlineLevel="0" collapsed="false">
      <c r="A174" s="63" t="s">
        <v>1341</v>
      </c>
      <c r="B174" s="63" t="s">
        <v>1344</v>
      </c>
      <c r="C174" s="63" t="s">
        <v>1208</v>
      </c>
      <c r="D174" s="63" t="s">
        <v>1701</v>
      </c>
      <c r="E174" s="63" t="s">
        <v>1701</v>
      </c>
      <c r="F174" s="28" t="str">
        <f aca="false">IF(C174="","",IF(OR(C174="1. bekkur",C174="2. bekkur",C174="3. bekkur",C174="4. bekkur"),"Já",IF(C174="Starfsmaður","Nei","Nei")))</f>
        <v>Nei</v>
      </c>
      <c r="G174" s="63" t="s">
        <v>1183</v>
      </c>
      <c r="H174" s="63" t="s">
        <v>1345</v>
      </c>
      <c r="I174" s="63"/>
      <c r="J174" s="64" t="s">
        <v>1913</v>
      </c>
    </row>
    <row r="175" customFormat="false" ht="15" hidden="false" customHeight="true" outlineLevel="0" collapsed="false">
      <c r="A175" s="9" t="s">
        <v>1341</v>
      </c>
      <c r="B175" s="9" t="s">
        <v>1346</v>
      </c>
      <c r="C175" s="9" t="s">
        <v>1218</v>
      </c>
      <c r="D175" s="9" t="s">
        <v>1701</v>
      </c>
      <c r="E175" s="9" t="s">
        <v>1701</v>
      </c>
      <c r="F175" s="28" t="str">
        <f aca="false">IF(C175="","",IF(OR(C175="1. bekkur",C175="2. bekkur",C175="3. bekkur",C175="4. bekkur"),"Já",IF(C175="Starfsmaður","Nei","Nei")))</f>
        <v>Nei</v>
      </c>
      <c r="G175" s="9" t="s">
        <v>1347</v>
      </c>
      <c r="H175" s="9" t="s">
        <v>1348</v>
      </c>
      <c r="I175" s="9"/>
      <c r="J175" s="64" t="s">
        <v>1914</v>
      </c>
    </row>
    <row r="176" customFormat="false" ht="15" hidden="false" customHeight="true" outlineLevel="0" collapsed="false">
      <c r="A176" s="63" t="s">
        <v>1341</v>
      </c>
      <c r="B176" s="63" t="s">
        <v>1915</v>
      </c>
      <c r="C176" s="63" t="s">
        <v>1148</v>
      </c>
      <c r="D176" s="63" t="s">
        <v>1701</v>
      </c>
      <c r="E176" s="63" t="s">
        <v>1701</v>
      </c>
      <c r="F176" s="28" t="str">
        <f aca="false">IF(C176="","",IF(OR(C176="1. bekkur",C176="2. bekkur",C176="3. bekkur",C176="4. bekkur"),"Já",IF(C176="Starfsmaður","Nei","Nei")))</f>
        <v>Já</v>
      </c>
      <c r="G176" s="63" t="s">
        <v>217</v>
      </c>
      <c r="H176" s="63"/>
      <c r="I176" s="63"/>
      <c r="J176" s="64" t="s">
        <v>1916</v>
      </c>
    </row>
    <row r="177" customFormat="false" ht="15" hidden="false" customHeight="true" outlineLevel="0" collapsed="false">
      <c r="A177" s="9" t="s">
        <v>1341</v>
      </c>
      <c r="B177" s="9" t="s">
        <v>1349</v>
      </c>
      <c r="C177" s="9" t="s">
        <v>1218</v>
      </c>
      <c r="D177" s="9" t="s">
        <v>1701</v>
      </c>
      <c r="E177" s="9" t="s">
        <v>1701</v>
      </c>
      <c r="F177" s="28" t="str">
        <f aca="false">IF(C177="","",IF(OR(C177="1. bekkur",C177="2. bekkur",C177="3. bekkur",C177="4. bekkur"),"Já",IF(C177="Starfsmaður","Nei","Nei")))</f>
        <v>Nei</v>
      </c>
      <c r="G177" s="9" t="s">
        <v>1183</v>
      </c>
      <c r="H177" s="9" t="s">
        <v>1350</v>
      </c>
      <c r="I177" s="9"/>
      <c r="J177" s="64" t="s">
        <v>1917</v>
      </c>
    </row>
    <row r="178" customFormat="false" ht="15" hidden="false" customHeight="true" outlineLevel="0" collapsed="false">
      <c r="A178" s="63" t="s">
        <v>1341</v>
      </c>
      <c r="B178" s="63" t="s">
        <v>1351</v>
      </c>
      <c r="C178" s="63" t="s">
        <v>1134</v>
      </c>
      <c r="D178" s="63" t="s">
        <v>1701</v>
      </c>
      <c r="E178" s="63" t="s">
        <v>1701</v>
      </c>
      <c r="F178" s="28" t="str">
        <f aca="false">IF(C178="","",IF(OR(C178="1. bekkur",C178="2. bekkur",C178="3. bekkur",C178="4. bekkur"),"Já",IF(C178="Starfsmaður","Nei","Nei")))</f>
        <v>Já</v>
      </c>
      <c r="G178" s="63" t="s">
        <v>1055</v>
      </c>
      <c r="H178" s="63" t="s">
        <v>1352</v>
      </c>
      <c r="I178" s="63"/>
      <c r="J178" s="64" t="s">
        <v>1918</v>
      </c>
    </row>
    <row r="179" customFormat="false" ht="15" hidden="false" customHeight="true" outlineLevel="0" collapsed="false">
      <c r="A179" s="9" t="s">
        <v>1341</v>
      </c>
      <c r="B179" s="9" t="s">
        <v>1353</v>
      </c>
      <c r="C179" s="9" t="s">
        <v>1134</v>
      </c>
      <c r="D179" s="9" t="s">
        <v>1701</v>
      </c>
      <c r="E179" s="9" t="s">
        <v>1701</v>
      </c>
      <c r="F179" s="28" t="str">
        <f aca="false">IF(C179="","",IF(OR(C179="1. bekkur",C179="2. bekkur",C179="3. bekkur",C179="4. bekkur"),"Já",IF(C179="Starfsmaður","Nei","Nei")))</f>
        <v>Já</v>
      </c>
      <c r="G179" s="9" t="s">
        <v>1226</v>
      </c>
      <c r="H179" s="9" t="s">
        <v>1354</v>
      </c>
      <c r="I179" s="9"/>
      <c r="J179" s="64" t="s">
        <v>1919</v>
      </c>
    </row>
    <row r="180" customFormat="false" ht="15" hidden="false" customHeight="true" outlineLevel="0" collapsed="false">
      <c r="A180" s="63" t="s">
        <v>1341</v>
      </c>
      <c r="B180" s="63" t="s">
        <v>1355</v>
      </c>
      <c r="C180" s="63" t="s">
        <v>1148</v>
      </c>
      <c r="D180" s="63" t="s">
        <v>1701</v>
      </c>
      <c r="E180" s="63" t="s">
        <v>1701</v>
      </c>
      <c r="F180" s="28" t="str">
        <f aca="false">IF(C180="","",IF(OR(C180="1. bekkur",C180="2. bekkur",C180="3. bekkur",C180="4. bekkur"),"Já",IF(C180="Starfsmaður","Nei","Nei")))</f>
        <v>Já</v>
      </c>
      <c r="G180" s="63" t="s">
        <v>1356</v>
      </c>
      <c r="H180" s="63" t="s">
        <v>1357</v>
      </c>
      <c r="I180" s="63"/>
      <c r="J180" s="64" t="s">
        <v>1920</v>
      </c>
    </row>
    <row r="181" customFormat="false" ht="15" hidden="false" customHeight="true" outlineLevel="0" collapsed="false">
      <c r="A181" s="9" t="s">
        <v>1341</v>
      </c>
      <c r="B181" s="9" t="s">
        <v>1358</v>
      </c>
      <c r="C181" s="9" t="s">
        <v>1218</v>
      </c>
      <c r="D181" s="9" t="s">
        <v>1701</v>
      </c>
      <c r="E181" s="9" t="s">
        <v>1701</v>
      </c>
      <c r="F181" s="28" t="str">
        <f aca="false">IF(C181="","",IF(OR(C181="1. bekkur",C181="2. bekkur",C181="3. bekkur",C181="4. bekkur"),"Já",IF(C181="Starfsmaður","Nei","Nei")))</f>
        <v>Nei</v>
      </c>
      <c r="G181" s="9" t="s">
        <v>1359</v>
      </c>
      <c r="H181" s="9" t="s">
        <v>1360</v>
      </c>
      <c r="I181" s="9"/>
      <c r="J181" s="64" t="s">
        <v>1921</v>
      </c>
    </row>
    <row r="182" customFormat="false" ht="15" hidden="false" customHeight="true" outlineLevel="0" collapsed="false">
      <c r="A182" s="63" t="s">
        <v>1341</v>
      </c>
      <c r="B182" s="63" t="s">
        <v>1361</v>
      </c>
      <c r="C182" s="63" t="s">
        <v>1148</v>
      </c>
      <c r="D182" s="63" t="s">
        <v>1701</v>
      </c>
      <c r="E182" s="63" t="s">
        <v>1701</v>
      </c>
      <c r="F182" s="28" t="str">
        <f aca="false">IF(C182="","",IF(OR(C182="1. bekkur",C182="2. bekkur",C182="3. bekkur",C182="4. bekkur"),"Já",IF(C182="Starfsmaður","Nei","Nei")))</f>
        <v>Já</v>
      </c>
      <c r="G182" s="63" t="s">
        <v>1183</v>
      </c>
      <c r="H182" s="63" t="s">
        <v>1362</v>
      </c>
      <c r="I182" s="63"/>
      <c r="J182" s="64" t="s">
        <v>1922</v>
      </c>
    </row>
    <row r="183" customFormat="false" ht="15" hidden="false" customHeight="true" outlineLevel="0" collapsed="false">
      <c r="A183" s="9" t="s">
        <v>1341</v>
      </c>
      <c r="B183" s="9" t="s">
        <v>1363</v>
      </c>
      <c r="C183" s="9" t="s">
        <v>1148</v>
      </c>
      <c r="D183" s="9" t="s">
        <v>1701</v>
      </c>
      <c r="E183" s="9" t="s">
        <v>1701</v>
      </c>
      <c r="F183" s="28" t="str">
        <f aca="false">IF(C183="","",IF(OR(C183="1. bekkur",C183="2. bekkur",C183="3. bekkur",C183="4. bekkur"),"Já",IF(C183="Starfsmaður","Nei","Nei")))</f>
        <v>Já</v>
      </c>
      <c r="G183" s="9" t="s">
        <v>1364</v>
      </c>
      <c r="H183" s="9" t="s">
        <v>1365</v>
      </c>
      <c r="I183" s="9"/>
      <c r="J183" s="64" t="s">
        <v>1923</v>
      </c>
    </row>
    <row r="184" customFormat="false" ht="15" hidden="false" customHeight="true" outlineLevel="0" collapsed="false">
      <c r="A184" s="63" t="s">
        <v>1341</v>
      </c>
      <c r="B184" s="63" t="s">
        <v>1366</v>
      </c>
      <c r="C184" s="63" t="s">
        <v>1148</v>
      </c>
      <c r="D184" s="63" t="s">
        <v>1701</v>
      </c>
      <c r="E184" s="63" t="s">
        <v>1701</v>
      </c>
      <c r="F184" s="28" t="str">
        <f aca="false">IF(C184="","",IF(OR(C184="1. bekkur",C184="2. bekkur",C184="3. bekkur",C184="4. bekkur"),"Já",IF(C184="Starfsmaður","Nei","Nei")))</f>
        <v>Já</v>
      </c>
      <c r="G184" s="63" t="s">
        <v>1183</v>
      </c>
      <c r="H184" s="63" t="s">
        <v>1367</v>
      </c>
      <c r="I184" s="63"/>
      <c r="J184" s="64" t="s">
        <v>1924</v>
      </c>
    </row>
    <row r="185" customFormat="false" ht="15" hidden="false" customHeight="true" outlineLevel="0" collapsed="false">
      <c r="A185" s="9" t="s">
        <v>1341</v>
      </c>
      <c r="B185" s="9" t="s">
        <v>1368</v>
      </c>
      <c r="C185" s="9" t="s">
        <v>1218</v>
      </c>
      <c r="D185" s="9" t="s">
        <v>1701</v>
      </c>
      <c r="E185" s="9" t="s">
        <v>1701</v>
      </c>
      <c r="F185" s="28" t="str">
        <f aca="false">IF(C185="","",IF(OR(C185="1. bekkur",C185="2. bekkur",C185="3. bekkur",C185="4. bekkur"),"Já",IF(C185="Starfsmaður","Nei","Nei")))</f>
        <v>Nei</v>
      </c>
      <c r="G185" s="9" t="s">
        <v>217</v>
      </c>
      <c r="H185" s="9" t="s">
        <v>1369</v>
      </c>
      <c r="I185" s="9"/>
      <c r="J185" s="64" t="s">
        <v>1925</v>
      </c>
    </row>
    <row r="186" customFormat="false" ht="15" hidden="false" customHeight="true" outlineLevel="0" collapsed="false">
      <c r="A186" s="63" t="s">
        <v>1341</v>
      </c>
      <c r="B186" s="63" t="s">
        <v>1370</v>
      </c>
      <c r="C186" s="63" t="s">
        <v>1208</v>
      </c>
      <c r="D186" s="63" t="s">
        <v>1701</v>
      </c>
      <c r="E186" s="63" t="s">
        <v>1701</v>
      </c>
      <c r="F186" s="28" t="str">
        <f aca="false">IF(C186="","",IF(OR(C186="1. bekkur",C186="2. bekkur",C186="3. bekkur",C186="4. bekkur"),"Já",IF(C186="Starfsmaður","Nei","Nei")))</f>
        <v>Nei</v>
      </c>
      <c r="G186" s="63" t="s">
        <v>893</v>
      </c>
      <c r="H186" s="63" t="s">
        <v>1371</v>
      </c>
      <c r="I186" s="63"/>
      <c r="J186" s="64" t="s">
        <v>1926</v>
      </c>
    </row>
    <row r="187" customFormat="false" ht="15" hidden="false" customHeight="true" outlineLevel="0" collapsed="false">
      <c r="A187" s="9" t="s">
        <v>1341</v>
      </c>
      <c r="B187" s="9" t="s">
        <v>1372</v>
      </c>
      <c r="C187" s="9" t="s">
        <v>1199</v>
      </c>
      <c r="D187" s="9" t="s">
        <v>1701</v>
      </c>
      <c r="E187" s="9" t="s">
        <v>1701</v>
      </c>
      <c r="F187" s="28" t="str">
        <f aca="false">IF(C187="","",IF(OR(C187="1. bekkur",C187="2. bekkur",C187="3. bekkur",C187="4. bekkur"),"Já",IF(C187="Starfsmaður","Nei","Nei")))</f>
        <v>Já</v>
      </c>
      <c r="G187" s="9" t="s">
        <v>1135</v>
      </c>
      <c r="H187" s="9" t="s">
        <v>1373</v>
      </c>
      <c r="I187" s="9"/>
      <c r="J187" s="64" t="s">
        <v>1927</v>
      </c>
    </row>
    <row r="188" customFormat="false" ht="15" hidden="false" customHeight="true" outlineLevel="0" collapsed="false">
      <c r="A188" s="63" t="s">
        <v>1341</v>
      </c>
      <c r="B188" s="63" t="s">
        <v>1928</v>
      </c>
      <c r="C188" s="63" t="s">
        <v>1162</v>
      </c>
      <c r="D188" s="63" t="s">
        <v>1701</v>
      </c>
      <c r="E188" s="63" t="s">
        <v>1701</v>
      </c>
      <c r="F188" s="28" t="str">
        <f aca="false">IF(C188="","",IF(OR(C188="1. bekkur",C188="2. bekkur",C188="3. bekkur",C188="4. bekkur"),"Já",IF(C188="Starfsmaður","Nei","Nei")))</f>
        <v>Nei</v>
      </c>
      <c r="G188" s="63" t="s">
        <v>1186</v>
      </c>
      <c r="H188" s="63"/>
      <c r="I188" s="63"/>
      <c r="J188" s="64" t="s">
        <v>1929</v>
      </c>
    </row>
    <row r="189" customFormat="false" ht="15" hidden="false" customHeight="true" outlineLevel="0" collapsed="false">
      <c r="A189" s="9" t="s">
        <v>1341</v>
      </c>
      <c r="B189" s="9" t="s">
        <v>1374</v>
      </c>
      <c r="C189" s="9" t="s">
        <v>1208</v>
      </c>
      <c r="D189" s="9" t="s">
        <v>1701</v>
      </c>
      <c r="E189" s="9" t="s">
        <v>1701</v>
      </c>
      <c r="F189" s="28" t="str">
        <f aca="false">IF(C189="","",IF(OR(C189="1. bekkur",C189="2. bekkur",C189="3. bekkur",C189="4. bekkur"),"Já",IF(C189="Starfsmaður","Nei","Nei")))</f>
        <v>Nei</v>
      </c>
      <c r="G189" s="9" t="s">
        <v>1183</v>
      </c>
      <c r="H189" s="9" t="s">
        <v>1375</v>
      </c>
      <c r="I189" s="9"/>
      <c r="J189" s="64" t="s">
        <v>1930</v>
      </c>
    </row>
    <row r="190" customFormat="false" ht="15" hidden="false" customHeight="true" outlineLevel="0" collapsed="false">
      <c r="A190" s="63" t="s">
        <v>1341</v>
      </c>
      <c r="B190" s="63" t="s">
        <v>1376</v>
      </c>
      <c r="C190" s="63" t="s">
        <v>1208</v>
      </c>
      <c r="D190" s="63" t="s">
        <v>1701</v>
      </c>
      <c r="E190" s="63" t="s">
        <v>1701</v>
      </c>
      <c r="F190" s="28" t="str">
        <f aca="false">IF(C190="","",IF(OR(C190="1. bekkur",C190="2. bekkur",C190="3. bekkur",C190="4. bekkur"),"Já",IF(C190="Starfsmaður","Nei","Nei")))</f>
        <v>Nei</v>
      </c>
      <c r="G190" s="63" t="s">
        <v>1377</v>
      </c>
      <c r="H190" s="63" t="s">
        <v>1378</v>
      </c>
      <c r="I190" s="63"/>
      <c r="J190" s="64" t="s">
        <v>1931</v>
      </c>
    </row>
    <row r="191" customFormat="false" ht="15" hidden="false" customHeight="true" outlineLevel="0" collapsed="false">
      <c r="A191" s="9" t="s">
        <v>1341</v>
      </c>
      <c r="B191" s="9" t="s">
        <v>1379</v>
      </c>
      <c r="C191" s="9" t="s">
        <v>1199</v>
      </c>
      <c r="D191" s="9" t="s">
        <v>1701</v>
      </c>
      <c r="E191" s="9" t="s">
        <v>1701</v>
      </c>
      <c r="F191" s="28" t="str">
        <f aca="false">IF(C191="","",IF(OR(C191="1. bekkur",C191="2. bekkur",C191="3. bekkur",C191="4. bekkur"),"Já",IF(C191="Starfsmaður","Nei","Nei")))</f>
        <v>Já</v>
      </c>
      <c r="G191" s="9" t="s">
        <v>1183</v>
      </c>
      <c r="H191" s="9" t="s">
        <v>1380</v>
      </c>
      <c r="I191" s="9"/>
      <c r="J191" s="64" t="s">
        <v>1932</v>
      </c>
    </row>
    <row r="192" customFormat="false" ht="15" hidden="false" customHeight="true" outlineLevel="0" collapsed="false">
      <c r="A192" s="63" t="s">
        <v>1341</v>
      </c>
      <c r="B192" s="63" t="s">
        <v>1381</v>
      </c>
      <c r="C192" s="63" t="s">
        <v>1162</v>
      </c>
      <c r="D192" s="63" t="s">
        <v>1701</v>
      </c>
      <c r="E192" s="63" t="s">
        <v>1701</v>
      </c>
      <c r="F192" s="28" t="str">
        <f aca="false">IF(C192="","",IF(OR(C192="1. bekkur",C192="2. bekkur",C192="3. bekkur",C192="4. bekkur"),"Já",IF(C192="Starfsmaður","Nei","Nei")))</f>
        <v>Nei</v>
      </c>
      <c r="G192" s="63" t="s">
        <v>1382</v>
      </c>
      <c r="H192" s="63" t="s">
        <v>1383</v>
      </c>
      <c r="I192" s="63"/>
      <c r="J192" s="64" t="s">
        <v>1933</v>
      </c>
    </row>
    <row r="193" customFormat="false" ht="15" hidden="false" customHeight="true" outlineLevel="0" collapsed="false">
      <c r="A193" s="9" t="s">
        <v>1341</v>
      </c>
      <c r="B193" s="9" t="s">
        <v>1384</v>
      </c>
      <c r="C193" s="9" t="s">
        <v>1292</v>
      </c>
      <c r="D193" s="9" t="s">
        <v>1701</v>
      </c>
      <c r="E193" s="9" t="s">
        <v>1701</v>
      </c>
      <c r="F193" s="28" t="str">
        <f aca="false">IF(C193="","",IF(OR(C193="1. bekkur",C193="2. bekkur",C193="3. bekkur",C193="4. bekkur"),"Já",IF(C193="Starfsmaður","Nei","Nei")))</f>
        <v>Nei</v>
      </c>
      <c r="G193" s="9" t="s">
        <v>1189</v>
      </c>
      <c r="H193" s="9" t="s">
        <v>1385</v>
      </c>
      <c r="I193" s="9"/>
      <c r="J193" s="64" t="s">
        <v>1934</v>
      </c>
    </row>
    <row r="194" customFormat="false" ht="15" hidden="false" customHeight="true" outlineLevel="0" collapsed="false">
      <c r="A194" s="63" t="s">
        <v>1341</v>
      </c>
      <c r="B194" s="63" t="s">
        <v>1386</v>
      </c>
      <c r="C194" s="63" t="s">
        <v>1156</v>
      </c>
      <c r="D194" s="63" t="s">
        <v>1701</v>
      </c>
      <c r="E194" s="63" t="s">
        <v>1701</v>
      </c>
      <c r="F194" s="28" t="str">
        <f aca="false">IF(C194="","",IF(OR(C194="1. bekkur",C194="2. bekkur",C194="3. bekkur",C194="4. bekkur"),"Já",IF(C194="Starfsmaður","Nei","Nei")))</f>
        <v>Nei</v>
      </c>
      <c r="G194" s="63" t="s">
        <v>1183</v>
      </c>
      <c r="H194" s="63" t="s">
        <v>1387</v>
      </c>
      <c r="I194" s="63"/>
      <c r="J194" s="64" t="s">
        <v>1935</v>
      </c>
    </row>
    <row r="195" customFormat="false" ht="15" hidden="false" customHeight="true" outlineLevel="0" collapsed="false">
      <c r="A195" s="9" t="s">
        <v>1341</v>
      </c>
      <c r="B195" s="9" t="s">
        <v>1936</v>
      </c>
      <c r="C195" s="9" t="s">
        <v>1199</v>
      </c>
      <c r="D195" s="9" t="s">
        <v>1701</v>
      </c>
      <c r="E195" s="9" t="s">
        <v>1701</v>
      </c>
      <c r="F195" s="28" t="str">
        <f aca="false">IF(C195="","",IF(OR(C195="1. bekkur",C195="2. bekkur",C195="3. bekkur",C195="4. bekkur"),"Já",IF(C195="Starfsmaður","Nei","Nei")))</f>
        <v>Já</v>
      </c>
      <c r="G195" s="9" t="s">
        <v>1135</v>
      </c>
      <c r="H195" s="9"/>
      <c r="I195" s="9"/>
      <c r="J195" s="64" t="s">
        <v>1937</v>
      </c>
    </row>
    <row r="196" customFormat="false" ht="15" hidden="false" customHeight="true" outlineLevel="0" collapsed="false">
      <c r="A196" s="63" t="s">
        <v>1341</v>
      </c>
      <c r="B196" s="63" t="s">
        <v>1938</v>
      </c>
      <c r="C196" s="63" t="s">
        <v>1129</v>
      </c>
      <c r="D196" s="63" t="s">
        <v>1701</v>
      </c>
      <c r="E196" s="63" t="s">
        <v>1701</v>
      </c>
      <c r="F196" s="28" t="str">
        <f aca="false">IF(C196="","",IF(OR(C196="1. bekkur",C196="2. bekkur",C196="3. bekkur",C196="4. bekkur"),"Já",IF(C196="Starfsmaður","Nei","Nei")))</f>
        <v>Nei</v>
      </c>
      <c r="G196" s="63" t="s">
        <v>1135</v>
      </c>
      <c r="H196" s="63"/>
      <c r="I196" s="63"/>
      <c r="J196" s="64" t="s">
        <v>1939</v>
      </c>
    </row>
    <row r="197" customFormat="false" ht="15" hidden="false" customHeight="true" outlineLevel="0" collapsed="false">
      <c r="A197" s="9" t="s">
        <v>1341</v>
      </c>
      <c r="B197" s="9" t="s">
        <v>1940</v>
      </c>
      <c r="C197" s="9" t="s">
        <v>1156</v>
      </c>
      <c r="D197" s="9" t="s">
        <v>1701</v>
      </c>
      <c r="E197" s="9" t="s">
        <v>1701</v>
      </c>
      <c r="F197" s="28" t="str">
        <f aca="false">IF(C197="","",IF(OR(C197="1. bekkur",C197="2. bekkur",C197="3. bekkur",C197="4. bekkur"),"Já",IF(C197="Starfsmaður","Nei","Nei")))</f>
        <v>Nei</v>
      </c>
      <c r="G197" s="9" t="s">
        <v>1135</v>
      </c>
      <c r="H197" s="9"/>
      <c r="I197" s="9"/>
      <c r="J197" s="64" t="s">
        <v>1941</v>
      </c>
    </row>
    <row r="198" customFormat="false" ht="15" hidden="false" customHeight="true" outlineLevel="0" collapsed="false">
      <c r="A198" s="63" t="s">
        <v>1341</v>
      </c>
      <c r="B198" s="63" t="s">
        <v>1942</v>
      </c>
      <c r="C198" s="63" t="s">
        <v>1134</v>
      </c>
      <c r="D198" s="63" t="s">
        <v>1701</v>
      </c>
      <c r="E198" s="63" t="s">
        <v>1701</v>
      </c>
      <c r="F198" s="28" t="str">
        <f aca="false">IF(C198="","",IF(OR(C198="1. bekkur",C198="2. bekkur",C198="3. bekkur",C198="4. bekkur"),"Já",IF(C198="Starfsmaður","Nei","Nei")))</f>
        <v>Já</v>
      </c>
      <c r="G198" s="63" t="s">
        <v>1135</v>
      </c>
      <c r="H198" s="63"/>
      <c r="I198" s="63"/>
      <c r="J198" s="64" t="s">
        <v>1943</v>
      </c>
    </row>
    <row r="199" customFormat="false" ht="15" hidden="false" customHeight="true" outlineLevel="0" collapsed="false">
      <c r="A199" s="9" t="s">
        <v>1341</v>
      </c>
      <c r="B199" s="9" t="s">
        <v>1944</v>
      </c>
      <c r="C199" s="9" t="s">
        <v>1292</v>
      </c>
      <c r="D199" s="9" t="s">
        <v>1701</v>
      </c>
      <c r="E199" s="9" t="s">
        <v>1701</v>
      </c>
      <c r="F199" s="28" t="str">
        <f aca="false">IF(C199="","",IF(OR(C199="1. bekkur",C199="2. bekkur",C199="3. bekkur",C199="4. bekkur"),"Já",IF(C199="Starfsmaður","Nei","Nei")))</f>
        <v>Nei</v>
      </c>
      <c r="G199" s="9" t="s">
        <v>1135</v>
      </c>
      <c r="H199" s="9"/>
      <c r="I199" s="9"/>
      <c r="J199" s="64" t="s">
        <v>1945</v>
      </c>
    </row>
    <row r="200" customFormat="false" ht="15" hidden="false" customHeight="true" outlineLevel="0" collapsed="false">
      <c r="A200" s="63" t="s">
        <v>1341</v>
      </c>
      <c r="B200" s="63" t="s">
        <v>1946</v>
      </c>
      <c r="C200" s="63" t="s">
        <v>1218</v>
      </c>
      <c r="D200" s="63" t="s">
        <v>1701</v>
      </c>
      <c r="E200" s="63" t="s">
        <v>1701</v>
      </c>
      <c r="F200" s="28" t="str">
        <f aca="false">IF(C200="","",IF(OR(C200="1. bekkur",C200="2. bekkur",C200="3. bekkur",C200="4. bekkur"),"Já",IF(C200="Starfsmaður","Nei","Nei")))</f>
        <v>Nei</v>
      </c>
      <c r="G200" s="63" t="s">
        <v>1135</v>
      </c>
      <c r="H200" s="63"/>
      <c r="I200" s="63"/>
      <c r="J200" s="64" t="s">
        <v>1947</v>
      </c>
    </row>
    <row r="201" customFormat="false" ht="15" hidden="false" customHeight="true" outlineLevel="0" collapsed="false">
      <c r="A201" s="9" t="s">
        <v>1341</v>
      </c>
      <c r="B201" s="9" t="s">
        <v>1948</v>
      </c>
      <c r="C201" s="9" t="s">
        <v>1162</v>
      </c>
      <c r="D201" s="9" t="s">
        <v>1701</v>
      </c>
      <c r="E201" s="9" t="s">
        <v>1701</v>
      </c>
      <c r="F201" s="28" t="str">
        <f aca="false">IF(C201="","",IF(OR(C201="1. bekkur",C201="2. bekkur",C201="3. bekkur",C201="4. bekkur"),"Já",IF(C201="Starfsmaður","Nei","Nei")))</f>
        <v>Nei</v>
      </c>
      <c r="G201" s="9" t="s">
        <v>1163</v>
      </c>
      <c r="H201" s="9"/>
      <c r="I201" s="9"/>
      <c r="J201" s="64" t="s">
        <v>1949</v>
      </c>
    </row>
    <row r="202" customFormat="false" ht="15" hidden="false" customHeight="true" outlineLevel="0" collapsed="false">
      <c r="A202" s="63" t="s">
        <v>1341</v>
      </c>
      <c r="B202" s="63" t="s">
        <v>1388</v>
      </c>
      <c r="C202" s="63" t="s">
        <v>1162</v>
      </c>
      <c r="D202" s="63" t="s">
        <v>1701</v>
      </c>
      <c r="E202" s="63" t="s">
        <v>1701</v>
      </c>
      <c r="F202" s="28" t="str">
        <f aca="false">IF(C202="","",IF(OR(C202="1. bekkur",C202="2. bekkur",C202="3. bekkur",C202="4. bekkur"),"Já",IF(C202="Starfsmaður","Nei","Nei")))</f>
        <v>Nei</v>
      </c>
      <c r="G202" s="63" t="s">
        <v>1163</v>
      </c>
      <c r="H202" s="63" t="s">
        <v>1389</v>
      </c>
      <c r="I202" s="63"/>
      <c r="J202" s="64" t="s">
        <v>1950</v>
      </c>
    </row>
    <row r="203" customFormat="false" ht="15" hidden="false" customHeight="true" outlineLevel="0" collapsed="false">
      <c r="A203" s="9" t="s">
        <v>1341</v>
      </c>
      <c r="B203" s="9" t="s">
        <v>1951</v>
      </c>
      <c r="C203" s="9" t="s">
        <v>1162</v>
      </c>
      <c r="D203" s="9" t="s">
        <v>1701</v>
      </c>
      <c r="E203" s="9" t="s">
        <v>1701</v>
      </c>
      <c r="F203" s="28" t="str">
        <f aca="false">IF(C203="","",IF(OR(C203="1. bekkur",C203="2. bekkur",C203="3. bekkur",C203="4. bekkur"),"Já",IF(C203="Starfsmaður","Nei","Nei")))</f>
        <v>Nei</v>
      </c>
      <c r="G203" s="9" t="s">
        <v>1163</v>
      </c>
      <c r="H203" s="9"/>
      <c r="I203" s="9"/>
      <c r="J203" s="64" t="s">
        <v>1952</v>
      </c>
    </row>
    <row r="204" customFormat="false" ht="15" hidden="false" customHeight="true" outlineLevel="0" collapsed="false">
      <c r="A204" s="63" t="s">
        <v>1341</v>
      </c>
      <c r="B204" s="63" t="s">
        <v>1390</v>
      </c>
      <c r="C204" s="63" t="s">
        <v>1162</v>
      </c>
      <c r="D204" s="63" t="s">
        <v>1701</v>
      </c>
      <c r="E204" s="63" t="s">
        <v>1701</v>
      </c>
      <c r="F204" s="28" t="str">
        <f aca="false">IF(C204="","",IF(OR(C204="1. bekkur",C204="2. bekkur",C204="3. bekkur",C204="4. bekkur"),"Já",IF(C204="Starfsmaður","Nei","Nei")))</f>
        <v>Nei</v>
      </c>
      <c r="G204" s="63" t="s">
        <v>1163</v>
      </c>
      <c r="H204" s="63" t="s">
        <v>1391</v>
      </c>
      <c r="I204" s="63"/>
      <c r="J204" s="64" t="s">
        <v>1953</v>
      </c>
    </row>
    <row r="205" customFormat="false" ht="15" hidden="false" customHeight="true" outlineLevel="0" collapsed="false">
      <c r="A205" s="9" t="s">
        <v>1341</v>
      </c>
      <c r="B205" s="9" t="s">
        <v>1954</v>
      </c>
      <c r="C205" s="9" t="s">
        <v>1162</v>
      </c>
      <c r="D205" s="9" t="s">
        <v>1701</v>
      </c>
      <c r="E205" s="9" t="s">
        <v>1701</v>
      </c>
      <c r="F205" s="28" t="str">
        <f aca="false">IF(C205="","",IF(OR(C205="1. bekkur",C205="2. bekkur",C205="3. bekkur",C205="4. bekkur"),"Já",IF(C205="Starfsmaður","Nei","Nei")))</f>
        <v>Nei</v>
      </c>
      <c r="G205" s="9" t="s">
        <v>1163</v>
      </c>
      <c r="H205" s="9"/>
      <c r="I205" s="9"/>
      <c r="J205" s="64" t="s">
        <v>1955</v>
      </c>
    </row>
    <row r="206" customFormat="false" ht="15" hidden="false" customHeight="true" outlineLevel="0" collapsed="false">
      <c r="A206" s="63" t="s">
        <v>1341</v>
      </c>
      <c r="B206" s="63" t="s">
        <v>1956</v>
      </c>
      <c r="C206" s="63" t="s">
        <v>1162</v>
      </c>
      <c r="D206" s="63" t="s">
        <v>1701</v>
      </c>
      <c r="E206" s="63" t="s">
        <v>1701</v>
      </c>
      <c r="F206" s="28" t="str">
        <f aca="false">IF(C206="","",IF(OR(C206="1. bekkur",C206="2. bekkur",C206="3. bekkur",C206="4. bekkur"),"Já",IF(C206="Starfsmaður","Nei","Nei")))</f>
        <v>Nei</v>
      </c>
      <c r="G206" s="63" t="s">
        <v>1163</v>
      </c>
      <c r="H206" s="63"/>
      <c r="I206" s="63"/>
      <c r="J206" s="64" t="s">
        <v>1957</v>
      </c>
    </row>
    <row r="207" customFormat="false" ht="15" hidden="false" customHeight="true" outlineLevel="0" collapsed="false">
      <c r="A207" s="9" t="s">
        <v>1341</v>
      </c>
      <c r="B207" s="9" t="s">
        <v>1958</v>
      </c>
      <c r="C207" s="9" t="s">
        <v>1162</v>
      </c>
      <c r="D207" s="9" t="s">
        <v>1701</v>
      </c>
      <c r="E207" s="9" t="s">
        <v>1701</v>
      </c>
      <c r="F207" s="28" t="str">
        <f aca="false">IF(C207="","",IF(OR(C207="1. bekkur",C207="2. bekkur",C207="3. bekkur",C207="4. bekkur"),"Já",IF(C207="Starfsmaður","Nei","Nei")))</f>
        <v>Nei</v>
      </c>
      <c r="G207" s="9" t="s">
        <v>1163</v>
      </c>
      <c r="H207" s="9"/>
      <c r="I207" s="9"/>
      <c r="J207" s="64" t="s">
        <v>1959</v>
      </c>
    </row>
    <row r="208" customFormat="false" ht="15" hidden="false" customHeight="true" outlineLevel="0" collapsed="false">
      <c r="A208" s="63" t="s">
        <v>1341</v>
      </c>
      <c r="B208" s="63" t="s">
        <v>1392</v>
      </c>
      <c r="C208" s="63" t="s">
        <v>1162</v>
      </c>
      <c r="D208" s="63" t="s">
        <v>1701</v>
      </c>
      <c r="E208" s="63" t="s">
        <v>1701</v>
      </c>
      <c r="F208" s="28" t="str">
        <f aca="false">IF(C208="","",IF(OR(C208="1. bekkur",C208="2. bekkur",C208="3. bekkur",C208="4. bekkur"),"Já",IF(C208="Starfsmaður","Nei","Nei")))</f>
        <v>Nei</v>
      </c>
      <c r="G208" s="63" t="s">
        <v>1163</v>
      </c>
      <c r="H208" s="63" t="s">
        <v>952</v>
      </c>
      <c r="I208" s="63"/>
      <c r="J208" s="64" t="s">
        <v>1960</v>
      </c>
    </row>
    <row r="209" customFormat="false" ht="15" hidden="false" customHeight="true" outlineLevel="0" collapsed="false">
      <c r="A209" s="9" t="s">
        <v>1341</v>
      </c>
      <c r="B209" s="9" t="s">
        <v>1372</v>
      </c>
      <c r="C209" s="9" t="s">
        <v>1199</v>
      </c>
      <c r="D209" s="9" t="s">
        <v>1701</v>
      </c>
      <c r="E209" s="9" t="s">
        <v>1701</v>
      </c>
      <c r="F209" s="28" t="str">
        <f aca="false">IF(C209="","",IF(OR(C209="1. bekkur",C209="2. bekkur",C209="3. bekkur",C209="4. bekkur"),"Já",IF(C209="Starfsmaður","Nei","Nei")))</f>
        <v>Já</v>
      </c>
      <c r="G209" s="9" t="s">
        <v>217</v>
      </c>
      <c r="H209" s="9" t="s">
        <v>1393</v>
      </c>
      <c r="I209" s="9"/>
      <c r="J209" s="64" t="s">
        <v>1961</v>
      </c>
    </row>
    <row r="210" customFormat="false" ht="15" hidden="false" customHeight="true" outlineLevel="0" collapsed="false">
      <c r="A210" s="63" t="s">
        <v>1341</v>
      </c>
      <c r="B210" s="63" t="s">
        <v>1394</v>
      </c>
      <c r="C210" s="63" t="s">
        <v>1129</v>
      </c>
      <c r="D210" s="63" t="s">
        <v>1701</v>
      </c>
      <c r="E210" s="63" t="s">
        <v>1701</v>
      </c>
      <c r="F210" s="28" t="str">
        <f aca="false">IF(C210="","",IF(OR(C210="1. bekkur",C210="2. bekkur",C210="3. bekkur",C210="4. bekkur"),"Já",IF(C210="Starfsmaður","Nei","Nei")))</f>
        <v>Nei</v>
      </c>
      <c r="G210" s="63" t="s">
        <v>1395</v>
      </c>
      <c r="H210" s="63" t="s">
        <v>1396</v>
      </c>
      <c r="I210" s="63"/>
      <c r="J210" s="64" t="s">
        <v>1962</v>
      </c>
    </row>
    <row r="211" customFormat="false" ht="15" hidden="false" customHeight="true" outlineLevel="0" collapsed="false">
      <c r="A211" s="9" t="s">
        <v>1341</v>
      </c>
      <c r="B211" s="9" t="s">
        <v>1397</v>
      </c>
      <c r="C211" s="9" t="s">
        <v>1148</v>
      </c>
      <c r="D211" s="9" t="s">
        <v>1701</v>
      </c>
      <c r="E211" s="9" t="s">
        <v>1701</v>
      </c>
      <c r="F211" s="28" t="str">
        <f aca="false">IF(C211="","",IF(OR(C211="1. bekkur",C211="2. bekkur",C211="3. bekkur",C211="4. bekkur"),"Já",IF(C211="Starfsmaður","Nei","Nei")))</f>
        <v>Já</v>
      </c>
      <c r="G211" s="9" t="s">
        <v>1395</v>
      </c>
      <c r="H211" s="9" t="s">
        <v>1398</v>
      </c>
      <c r="I211" s="9"/>
      <c r="J211" s="64" t="s">
        <v>1963</v>
      </c>
    </row>
    <row r="212" customFormat="false" ht="15" hidden="false" customHeight="true" outlineLevel="0" collapsed="false">
      <c r="A212" s="63" t="s">
        <v>1341</v>
      </c>
      <c r="B212" s="63" t="s">
        <v>1399</v>
      </c>
      <c r="C212" s="63" t="s">
        <v>1199</v>
      </c>
      <c r="D212" s="63" t="s">
        <v>1701</v>
      </c>
      <c r="E212" s="63" t="s">
        <v>1701</v>
      </c>
      <c r="F212" s="28" t="str">
        <f aca="false">IF(C212="","",IF(OR(C212="1. bekkur",C212="2. bekkur",C212="3. bekkur",C212="4. bekkur"),"Já",IF(C212="Starfsmaður","Nei","Nei")))</f>
        <v>Já</v>
      </c>
      <c r="G212" s="63" t="s">
        <v>217</v>
      </c>
      <c r="H212" s="63" t="s">
        <v>1400</v>
      </c>
      <c r="I212" s="63"/>
      <c r="J212" s="64" t="s">
        <v>1964</v>
      </c>
    </row>
    <row r="213" customFormat="false" ht="15" hidden="false" customHeight="true" outlineLevel="0" collapsed="false">
      <c r="A213" s="9" t="s">
        <v>1341</v>
      </c>
      <c r="B213" s="9" t="s">
        <v>1651</v>
      </c>
      <c r="C213" s="9" t="s">
        <v>1148</v>
      </c>
      <c r="D213" s="9" t="s">
        <v>1701</v>
      </c>
      <c r="E213" s="9" t="s">
        <v>1701</v>
      </c>
      <c r="F213" s="28" t="str">
        <f aca="false">IF(C213="","",IF(OR(C213="1. bekkur",C213="2. bekkur",C213="3. bekkur",C213="4. bekkur"),"Já",IF(C213="Starfsmaður","Nei","Nei")))</f>
        <v>Já</v>
      </c>
      <c r="G213" s="9" t="s">
        <v>1289</v>
      </c>
      <c r="H213" s="9"/>
      <c r="I213" s="9"/>
      <c r="J213" s="64" t="s">
        <v>1965</v>
      </c>
    </row>
    <row r="214" customFormat="false" ht="15" hidden="false" customHeight="true" outlineLevel="0" collapsed="false">
      <c r="A214" s="63" t="s">
        <v>1341</v>
      </c>
      <c r="B214" s="63" t="s">
        <v>1401</v>
      </c>
      <c r="C214" s="63" t="s">
        <v>1199</v>
      </c>
      <c r="D214" s="63" t="s">
        <v>1701</v>
      </c>
      <c r="E214" s="63" t="s">
        <v>1701</v>
      </c>
      <c r="F214" s="28" t="str">
        <f aca="false">IF(C214="","",IF(OR(C214="1. bekkur",C214="2. bekkur",C214="3. bekkur",C214="4. bekkur"),"Já",IF(C214="Starfsmaður","Nei","Nei")))</f>
        <v>Já</v>
      </c>
      <c r="G214" s="63" t="s">
        <v>146</v>
      </c>
      <c r="H214" s="63" t="s">
        <v>1402</v>
      </c>
      <c r="I214" s="63"/>
      <c r="J214" s="64" t="s">
        <v>1966</v>
      </c>
    </row>
    <row r="215" customFormat="false" ht="15" hidden="false" customHeight="true" outlineLevel="0" collapsed="false">
      <c r="A215" s="9" t="s">
        <v>1403</v>
      </c>
      <c r="B215" s="9" t="s">
        <v>1171</v>
      </c>
      <c r="C215" s="9" t="s">
        <v>1172</v>
      </c>
      <c r="D215" s="9" t="s">
        <v>1701</v>
      </c>
      <c r="E215" s="9" t="s">
        <v>1701</v>
      </c>
      <c r="F215" s="28" t="str">
        <f aca="false">IF(C215="","",IF(OR(C215="1. bekkur",C215="2. bekkur",C215="3. bekkur",C215="4. bekkur"),"Já",IF(C215="Starfsmaður","Nei","Nei")))</f>
        <v>Nei</v>
      </c>
      <c r="G215" s="9" t="s">
        <v>1173</v>
      </c>
      <c r="H215" s="9" t="s">
        <v>1174</v>
      </c>
      <c r="I215" s="9"/>
      <c r="J215" s="64" t="s">
        <v>1967</v>
      </c>
    </row>
    <row r="216" customFormat="false" ht="15" hidden="false" customHeight="true" outlineLevel="0" collapsed="false">
      <c r="A216" s="63" t="s">
        <v>1403</v>
      </c>
      <c r="B216" s="63" t="s">
        <v>1404</v>
      </c>
      <c r="C216" s="63" t="s">
        <v>1151</v>
      </c>
      <c r="D216" s="63" t="s">
        <v>1701</v>
      </c>
      <c r="E216" s="63" t="s">
        <v>1701</v>
      </c>
      <c r="F216" s="28" t="str">
        <f aca="false">IF(C216="","",IF(OR(C216="1. bekkur",C216="2. bekkur",C216="3. bekkur",C216="4. bekkur"),"Já",IF(C216="Starfsmaður","Nei","Nei")))</f>
        <v>Já</v>
      </c>
      <c r="G216" s="63" t="s">
        <v>1405</v>
      </c>
      <c r="H216" s="63" t="s">
        <v>1406</v>
      </c>
      <c r="I216" s="63"/>
      <c r="J216" s="64" t="s">
        <v>1968</v>
      </c>
    </row>
    <row r="217" customFormat="false" ht="15" hidden="false" customHeight="true" outlineLevel="0" collapsed="false">
      <c r="A217" s="9" t="s">
        <v>1403</v>
      </c>
      <c r="B217" s="9" t="s">
        <v>1969</v>
      </c>
      <c r="C217" s="9" t="s">
        <v>1162</v>
      </c>
      <c r="D217" s="9" t="s">
        <v>1701</v>
      </c>
      <c r="E217" s="9" t="s">
        <v>1701</v>
      </c>
      <c r="F217" s="28" t="str">
        <f aca="false">IF(C217="","",IF(OR(C217="1. bekkur",C217="2. bekkur",C217="3. bekkur",C217="4. bekkur"),"Já",IF(C217="Starfsmaður","Nei","Nei")))</f>
        <v>Nei</v>
      </c>
      <c r="G217" s="9" t="s">
        <v>1970</v>
      </c>
      <c r="H217" s="9"/>
      <c r="I217" s="9"/>
      <c r="J217" s="64" t="s">
        <v>1971</v>
      </c>
    </row>
    <row r="218" customFormat="false" ht="15" hidden="false" customHeight="true" outlineLevel="0" collapsed="false">
      <c r="A218" s="63" t="s">
        <v>1403</v>
      </c>
      <c r="B218" s="63" t="s">
        <v>1407</v>
      </c>
      <c r="C218" s="63" t="s">
        <v>1141</v>
      </c>
      <c r="D218" s="63" t="s">
        <v>1701</v>
      </c>
      <c r="E218" s="63" t="s">
        <v>1701</v>
      </c>
      <c r="F218" s="28" t="str">
        <f aca="false">IF(C218="","",IF(OR(C218="1. bekkur",C218="2. bekkur",C218="3. bekkur",C218="4. bekkur"),"Já",IF(C218="Starfsmaður","Nei","Nei")))</f>
        <v>Nei</v>
      </c>
      <c r="G218" s="63" t="s">
        <v>1183</v>
      </c>
      <c r="H218" s="63" t="s">
        <v>1408</v>
      </c>
      <c r="I218" s="63"/>
      <c r="J218" s="64" t="s">
        <v>1972</v>
      </c>
    </row>
    <row r="219" customFormat="false" ht="15" hidden="false" customHeight="true" outlineLevel="0" collapsed="false">
      <c r="A219" s="9" t="s">
        <v>1403</v>
      </c>
      <c r="B219" s="9" t="s">
        <v>1409</v>
      </c>
      <c r="C219" s="9" t="s">
        <v>1208</v>
      </c>
      <c r="D219" s="9" t="s">
        <v>1701</v>
      </c>
      <c r="E219" s="9" t="s">
        <v>1701</v>
      </c>
      <c r="F219" s="28" t="str">
        <f aca="false">IF(C219="","",IF(OR(C219="1. bekkur",C219="2. bekkur",C219="3. bekkur",C219="4. bekkur"),"Já",IF(C219="Starfsmaður","Nei","Nei")))</f>
        <v>Nei</v>
      </c>
      <c r="G219" s="9" t="s">
        <v>1410</v>
      </c>
      <c r="H219" s="9" t="s">
        <v>1411</v>
      </c>
      <c r="I219" s="9"/>
      <c r="J219" s="64" t="s">
        <v>1973</v>
      </c>
    </row>
    <row r="220" customFormat="false" ht="15" hidden="false" customHeight="true" outlineLevel="0" collapsed="false">
      <c r="A220" s="63" t="s">
        <v>1403</v>
      </c>
      <c r="B220" s="63" t="s">
        <v>1412</v>
      </c>
      <c r="C220" s="63" t="s">
        <v>1199</v>
      </c>
      <c r="D220" s="63" t="s">
        <v>1701</v>
      </c>
      <c r="E220" s="63" t="s">
        <v>1701</v>
      </c>
      <c r="F220" s="28" t="str">
        <f aca="false">IF(C220="","",IF(OR(C220="1. bekkur",C220="2. bekkur",C220="3. bekkur",C220="4. bekkur"),"Já",IF(C220="Starfsmaður","Nei","Nei")))</f>
        <v>Já</v>
      </c>
      <c r="G220" s="63" t="s">
        <v>1183</v>
      </c>
      <c r="H220" s="63" t="s">
        <v>1413</v>
      </c>
      <c r="I220" s="63"/>
      <c r="J220" s="64" t="s">
        <v>1974</v>
      </c>
    </row>
    <row r="221" customFormat="false" ht="15" hidden="false" customHeight="true" outlineLevel="0" collapsed="false">
      <c r="A221" s="9" t="s">
        <v>1403</v>
      </c>
      <c r="B221" s="9" t="s">
        <v>1414</v>
      </c>
      <c r="C221" s="9" t="s">
        <v>1156</v>
      </c>
      <c r="D221" s="9" t="s">
        <v>1701</v>
      </c>
      <c r="E221" s="9" t="s">
        <v>1701</v>
      </c>
      <c r="F221" s="28" t="str">
        <f aca="false">IF(C221="","",IF(OR(C221="1. bekkur",C221="2. bekkur",C221="3. bekkur",C221="4. bekkur"),"Já",IF(C221="Starfsmaður","Nei","Nei")))</f>
        <v>Nei</v>
      </c>
      <c r="G221" s="9" t="s">
        <v>1183</v>
      </c>
      <c r="H221" s="9" t="s">
        <v>1415</v>
      </c>
      <c r="I221" s="9"/>
      <c r="J221" s="64" t="s">
        <v>1975</v>
      </c>
    </row>
    <row r="222" customFormat="false" ht="15" hidden="false" customHeight="true" outlineLevel="0" collapsed="false">
      <c r="A222" s="63" t="s">
        <v>1403</v>
      </c>
      <c r="B222" s="63" t="s">
        <v>1429</v>
      </c>
      <c r="C222" s="63" t="s">
        <v>1129</v>
      </c>
      <c r="D222" s="63" t="s">
        <v>1701</v>
      </c>
      <c r="E222" s="63" t="s">
        <v>1701</v>
      </c>
      <c r="F222" s="28" t="str">
        <f aca="false">IF(C222="","",IF(OR(C222="1. bekkur",C222="2. bekkur",C222="3. bekkur",C222="4. bekkur"),"Já",IF(C222="Starfsmaður","Nei","Nei")))</f>
        <v>Nei</v>
      </c>
      <c r="G222" s="63" t="s">
        <v>1976</v>
      </c>
      <c r="H222" s="63"/>
      <c r="I222" s="63"/>
      <c r="J222" s="64" t="s">
        <v>1977</v>
      </c>
    </row>
    <row r="223" customFormat="false" ht="15" hidden="false" customHeight="true" outlineLevel="0" collapsed="false">
      <c r="A223" s="9" t="s">
        <v>1403</v>
      </c>
      <c r="B223" s="9" t="s">
        <v>1416</v>
      </c>
      <c r="C223" s="9" t="s">
        <v>1134</v>
      </c>
      <c r="D223" s="9" t="s">
        <v>1701</v>
      </c>
      <c r="E223" s="9" t="s">
        <v>1701</v>
      </c>
      <c r="F223" s="28" t="str">
        <f aca="false">IF(C223="","",IF(OR(C223="1. bekkur",C223="2. bekkur",C223="3. bekkur",C223="4. bekkur"),"Já",IF(C223="Starfsmaður","Nei","Nei")))</f>
        <v>Já</v>
      </c>
      <c r="G223" s="9" t="s">
        <v>1226</v>
      </c>
      <c r="H223" s="9" t="s">
        <v>1417</v>
      </c>
      <c r="I223" s="9"/>
      <c r="J223" s="64" t="s">
        <v>1978</v>
      </c>
    </row>
    <row r="224" customFormat="false" ht="15" hidden="false" customHeight="true" outlineLevel="0" collapsed="false">
      <c r="A224" s="63" t="s">
        <v>1403</v>
      </c>
      <c r="B224" s="63" t="s">
        <v>1979</v>
      </c>
      <c r="C224" s="63" t="s">
        <v>1162</v>
      </c>
      <c r="D224" s="63" t="s">
        <v>1701</v>
      </c>
      <c r="E224" s="63" t="s">
        <v>1701</v>
      </c>
      <c r="F224" s="28" t="str">
        <f aca="false">IF(C224="","",IF(OR(C224="1. bekkur",C224="2. bekkur",C224="3. bekkur",C224="4. bekkur"),"Já",IF(C224="Starfsmaður","Nei","Nei")))</f>
        <v>Nei</v>
      </c>
      <c r="G224" s="63" t="s">
        <v>1980</v>
      </c>
      <c r="H224" s="63"/>
      <c r="I224" s="63"/>
      <c r="J224" s="64" t="s">
        <v>1981</v>
      </c>
    </row>
    <row r="225" customFormat="false" ht="15" hidden="false" customHeight="true" outlineLevel="0" collapsed="false">
      <c r="A225" s="9" t="s">
        <v>1403</v>
      </c>
      <c r="B225" s="9" t="s">
        <v>1418</v>
      </c>
      <c r="C225" s="9" t="s">
        <v>1129</v>
      </c>
      <c r="D225" s="9" t="s">
        <v>1701</v>
      </c>
      <c r="E225" s="9" t="s">
        <v>1701</v>
      </c>
      <c r="F225" s="28" t="str">
        <f aca="false">IF(C225="","",IF(OR(C225="1. bekkur",C225="2. bekkur",C225="3. bekkur",C225="4. bekkur"),"Já",IF(C225="Starfsmaður","Nei","Nei")))</f>
        <v>Nei</v>
      </c>
      <c r="G225" s="9" t="s">
        <v>1183</v>
      </c>
      <c r="H225" s="9" t="s">
        <v>1419</v>
      </c>
      <c r="I225" s="9"/>
      <c r="J225" s="64" t="s">
        <v>1982</v>
      </c>
    </row>
    <row r="226" customFormat="false" ht="15" hidden="false" customHeight="true" outlineLevel="0" collapsed="false">
      <c r="A226" s="63" t="s">
        <v>1403</v>
      </c>
      <c r="B226" s="63" t="s">
        <v>1420</v>
      </c>
      <c r="C226" s="63" t="s">
        <v>1129</v>
      </c>
      <c r="D226" s="63" t="s">
        <v>1701</v>
      </c>
      <c r="E226" s="63" t="s">
        <v>1701</v>
      </c>
      <c r="F226" s="28" t="str">
        <f aca="false">IF(C226="","",IF(OR(C226="1. bekkur",C226="2. bekkur",C226="3. bekkur",C226="4. bekkur"),"Já",IF(C226="Starfsmaður","Nei","Nei")))</f>
        <v>Nei</v>
      </c>
      <c r="G226" s="63" t="s">
        <v>146</v>
      </c>
      <c r="H226" s="63" t="s">
        <v>1421</v>
      </c>
      <c r="I226" s="63"/>
      <c r="J226" s="64" t="s">
        <v>1983</v>
      </c>
    </row>
    <row r="227" customFormat="false" ht="15" hidden="false" customHeight="true" outlineLevel="0" collapsed="false">
      <c r="A227" s="9" t="s">
        <v>1403</v>
      </c>
      <c r="B227" s="9" t="s">
        <v>1422</v>
      </c>
      <c r="C227" s="9" t="s">
        <v>1292</v>
      </c>
      <c r="D227" s="9" t="s">
        <v>1701</v>
      </c>
      <c r="E227" s="9" t="s">
        <v>1701</v>
      </c>
      <c r="F227" s="28" t="str">
        <f aca="false">IF(C227="","",IF(OR(C227="1. bekkur",C227="2. bekkur",C227="3. bekkur",C227="4. bekkur"),"Já",IF(C227="Starfsmaður","Nei","Nei")))</f>
        <v>Nei</v>
      </c>
      <c r="G227" s="9" t="s">
        <v>1135</v>
      </c>
      <c r="H227" s="9" t="s">
        <v>1423</v>
      </c>
      <c r="I227" s="9"/>
      <c r="J227" s="64" t="s">
        <v>1984</v>
      </c>
    </row>
    <row r="228" customFormat="false" ht="15" hidden="false" customHeight="true" outlineLevel="0" collapsed="false">
      <c r="A228" s="63" t="s">
        <v>1403</v>
      </c>
      <c r="B228" s="63" t="s">
        <v>1424</v>
      </c>
      <c r="C228" s="63" t="s">
        <v>1148</v>
      </c>
      <c r="D228" s="63" t="s">
        <v>1701</v>
      </c>
      <c r="E228" s="63" t="s">
        <v>1701</v>
      </c>
      <c r="F228" s="28" t="str">
        <f aca="false">IF(C228="","",IF(OR(C228="1. bekkur",C228="2. bekkur",C228="3. bekkur",C228="4. bekkur"),"Já",IF(C228="Starfsmaður","Nei","Nei")))</f>
        <v>Já</v>
      </c>
      <c r="G228" s="63" t="s">
        <v>1135</v>
      </c>
      <c r="H228" s="63" t="s">
        <v>1423</v>
      </c>
      <c r="I228" s="63"/>
      <c r="J228" s="64" t="s">
        <v>1985</v>
      </c>
    </row>
    <row r="229" customFormat="false" ht="15" hidden="false" customHeight="true" outlineLevel="0" collapsed="false">
      <c r="A229" s="9" t="s">
        <v>1403</v>
      </c>
      <c r="B229" s="9" t="s">
        <v>1425</v>
      </c>
      <c r="C229" s="9" t="s">
        <v>1199</v>
      </c>
      <c r="D229" s="9" t="s">
        <v>1701</v>
      </c>
      <c r="E229" s="9" t="s">
        <v>1701</v>
      </c>
      <c r="F229" s="28" t="str">
        <f aca="false">IF(C229="","",IF(OR(C229="1. bekkur",C229="2. bekkur",C229="3. bekkur",C229="4. bekkur"),"Já",IF(C229="Starfsmaður","Nei","Nei")))</f>
        <v>Já</v>
      </c>
      <c r="G229" s="9" t="s">
        <v>1183</v>
      </c>
      <c r="H229" s="9" t="s">
        <v>1415</v>
      </c>
      <c r="I229" s="9"/>
      <c r="J229" s="64" t="s">
        <v>1986</v>
      </c>
    </row>
    <row r="230" customFormat="false" ht="15" hidden="false" customHeight="true" outlineLevel="0" collapsed="false">
      <c r="A230" s="63" t="s">
        <v>1403</v>
      </c>
      <c r="B230" s="63" t="s">
        <v>1987</v>
      </c>
      <c r="C230" s="63" t="s">
        <v>1162</v>
      </c>
      <c r="D230" s="63" t="s">
        <v>1701</v>
      </c>
      <c r="E230" s="63" t="s">
        <v>1701</v>
      </c>
      <c r="F230" s="28" t="str">
        <f aca="false">IF(C230="","",IF(OR(C230="1. bekkur",C230="2. bekkur",C230="3. bekkur",C230="4. bekkur"),"Já",IF(C230="Starfsmaður","Nei","Nei")))</f>
        <v>Nei</v>
      </c>
      <c r="G230" s="63" t="s">
        <v>1135</v>
      </c>
      <c r="H230" s="63"/>
      <c r="I230" s="63"/>
      <c r="J230" s="64" t="s">
        <v>1988</v>
      </c>
    </row>
    <row r="231" customFormat="false" ht="23.25" hidden="false" customHeight="true" outlineLevel="0" collapsed="false">
      <c r="A231" s="9" t="s">
        <v>1403</v>
      </c>
      <c r="B231" s="9" t="s">
        <v>1426</v>
      </c>
      <c r="C231" s="9" t="s">
        <v>1208</v>
      </c>
      <c r="D231" s="9" t="s">
        <v>1701</v>
      </c>
      <c r="E231" s="9" t="s">
        <v>1701</v>
      </c>
      <c r="F231" s="28" t="str">
        <f aca="false">IF(C231="","",IF(OR(C231="1. bekkur",C231="2. bekkur",C231="3. bekkur",C231="4. bekkur"),"Já",IF(C231="Starfsmaður","Nei","Nei")))</f>
        <v>Nei</v>
      </c>
      <c r="G231" s="9" t="s">
        <v>1427</v>
      </c>
      <c r="H231" s="9" t="s">
        <v>1428</v>
      </c>
      <c r="I231" s="9"/>
      <c r="J231" s="64" t="s">
        <v>1989</v>
      </c>
    </row>
    <row r="232" customFormat="false" ht="15" hidden="false" customHeight="true" outlineLevel="0" collapsed="false">
      <c r="A232" s="63" t="s">
        <v>1403</v>
      </c>
      <c r="B232" s="63" t="s">
        <v>1990</v>
      </c>
      <c r="C232" s="63" t="s">
        <v>1134</v>
      </c>
      <c r="D232" s="63" t="s">
        <v>1701</v>
      </c>
      <c r="E232" s="63" t="s">
        <v>1701</v>
      </c>
      <c r="F232" s="28" t="str">
        <f aca="false">IF(C232="","",IF(OR(C232="1. bekkur",C232="2. bekkur",C232="3. bekkur",C232="4. bekkur"),"Já",IF(C232="Starfsmaður","Nei","Nei")))</f>
        <v>Já</v>
      </c>
      <c r="G232" s="63" t="s">
        <v>1135</v>
      </c>
      <c r="H232" s="63"/>
      <c r="I232" s="63"/>
      <c r="J232" s="64" t="s">
        <v>1991</v>
      </c>
    </row>
    <row r="233" customFormat="false" ht="15" hidden="false" customHeight="true" outlineLevel="0" collapsed="false">
      <c r="A233" s="9" t="s">
        <v>1403</v>
      </c>
      <c r="B233" s="9" t="s">
        <v>1992</v>
      </c>
      <c r="C233" s="9" t="s">
        <v>1208</v>
      </c>
      <c r="D233" s="9" t="s">
        <v>1701</v>
      </c>
      <c r="E233" s="9" t="s">
        <v>1701</v>
      </c>
      <c r="F233" s="28" t="str">
        <f aca="false">IF(C233="","",IF(OR(C233="1. bekkur",C233="2. bekkur",C233="3. bekkur",C233="4. bekkur"),"Já",IF(C233="Starfsmaður","Nei","Nei")))</f>
        <v>Nei</v>
      </c>
      <c r="G233" s="9" t="s">
        <v>1135</v>
      </c>
      <c r="H233" s="9"/>
      <c r="I233" s="9"/>
      <c r="J233" s="64" t="s">
        <v>1993</v>
      </c>
    </row>
    <row r="234" customFormat="false" ht="15" hidden="false" customHeight="true" outlineLevel="0" collapsed="false">
      <c r="A234" s="63" t="s">
        <v>1403</v>
      </c>
      <c r="B234" s="63" t="s">
        <v>1429</v>
      </c>
      <c r="C234" s="63" t="s">
        <v>1129</v>
      </c>
      <c r="D234" s="63" t="s">
        <v>1701</v>
      </c>
      <c r="E234" s="63" t="s">
        <v>1701</v>
      </c>
      <c r="F234" s="28" t="str">
        <f aca="false">IF(C234="","",IF(OR(C234="1. bekkur",C234="2. bekkur",C234="3. bekkur",C234="4. bekkur"),"Já",IF(C234="Starfsmaður","Nei","Nei")))</f>
        <v>Nei</v>
      </c>
      <c r="G234" s="63" t="s">
        <v>1223</v>
      </c>
      <c r="H234" s="63" t="s">
        <v>1430</v>
      </c>
      <c r="I234" s="63"/>
      <c r="J234" s="64" t="s">
        <v>1994</v>
      </c>
    </row>
    <row r="235" customFormat="false" ht="15" hidden="false" customHeight="true" outlineLevel="0" collapsed="false">
      <c r="A235" s="9" t="s">
        <v>1403</v>
      </c>
      <c r="B235" s="9" t="s">
        <v>1995</v>
      </c>
      <c r="C235" s="9" t="s">
        <v>1162</v>
      </c>
      <c r="D235" s="9" t="s">
        <v>1701</v>
      </c>
      <c r="E235" s="9" t="s">
        <v>1701</v>
      </c>
      <c r="F235" s="28" t="str">
        <f aca="false">IF(C235="","",IF(OR(C235="1. bekkur",C235="2. bekkur",C235="3. bekkur",C235="4. bekkur"),"Já",IF(C235="Starfsmaður","Nei","Nei")))</f>
        <v>Nei</v>
      </c>
      <c r="G235" s="9" t="s">
        <v>1135</v>
      </c>
      <c r="H235" s="9"/>
      <c r="I235" s="9"/>
      <c r="J235" s="64" t="s">
        <v>1996</v>
      </c>
    </row>
    <row r="236" customFormat="false" ht="15" hidden="false" customHeight="true" outlineLevel="0" collapsed="false">
      <c r="A236" s="63" t="s">
        <v>1403</v>
      </c>
      <c r="B236" s="63" t="s">
        <v>1997</v>
      </c>
      <c r="C236" s="63" t="s">
        <v>1162</v>
      </c>
      <c r="D236" s="63" t="s">
        <v>1701</v>
      </c>
      <c r="E236" s="63" t="s">
        <v>1701</v>
      </c>
      <c r="F236" s="28" t="str">
        <f aca="false">IF(C236="","",IF(OR(C236="1. bekkur",C236="2. bekkur",C236="3. bekkur",C236="4. bekkur"),"Já",IF(C236="Starfsmaður","Nei","Nei")))</f>
        <v>Nei</v>
      </c>
      <c r="G236" s="63" t="s">
        <v>1135</v>
      </c>
      <c r="H236" s="63"/>
      <c r="I236" s="63"/>
      <c r="J236" s="64" t="s">
        <v>1998</v>
      </c>
    </row>
    <row r="237" customFormat="false" ht="15" hidden="false" customHeight="true" outlineLevel="0" collapsed="false">
      <c r="A237" s="9" t="s">
        <v>1403</v>
      </c>
      <c r="B237" s="9" t="s">
        <v>1999</v>
      </c>
      <c r="C237" s="9" t="s">
        <v>1129</v>
      </c>
      <c r="D237" s="9" t="s">
        <v>1701</v>
      </c>
      <c r="E237" s="9" t="s">
        <v>1701</v>
      </c>
      <c r="F237" s="28" t="str">
        <f aca="false">IF(C237="","",IF(OR(C237="1. bekkur",C237="2. bekkur",C237="3. bekkur",C237="4. bekkur"),"Já",IF(C237="Starfsmaður","Nei","Nei")))</f>
        <v>Nei</v>
      </c>
      <c r="G237" s="9" t="s">
        <v>1135</v>
      </c>
      <c r="H237" s="9"/>
      <c r="I237" s="9"/>
      <c r="J237" s="64" t="s">
        <v>2000</v>
      </c>
    </row>
    <row r="238" customFormat="false" ht="15" hidden="false" customHeight="true" outlineLevel="0" collapsed="false">
      <c r="A238" s="63" t="s">
        <v>1403</v>
      </c>
      <c r="B238" s="63" t="s">
        <v>2001</v>
      </c>
      <c r="C238" s="63" t="s">
        <v>1162</v>
      </c>
      <c r="D238" s="63" t="s">
        <v>1701</v>
      </c>
      <c r="E238" s="63" t="s">
        <v>1701</v>
      </c>
      <c r="F238" s="28" t="str">
        <f aca="false">IF(C238="","",IF(OR(C238="1. bekkur",C238="2. bekkur",C238="3. bekkur",C238="4. bekkur"),"Já",IF(C238="Starfsmaður","Nei","Nei")))</f>
        <v>Nei</v>
      </c>
      <c r="G238" s="63" t="s">
        <v>1135</v>
      </c>
      <c r="H238" s="63"/>
      <c r="I238" s="63"/>
      <c r="J238" s="64" t="s">
        <v>2002</v>
      </c>
    </row>
    <row r="239" customFormat="false" ht="15" hidden="false" customHeight="true" outlineLevel="0" collapsed="false">
      <c r="A239" s="9" t="s">
        <v>1403</v>
      </c>
      <c r="B239" s="9" t="s">
        <v>2003</v>
      </c>
      <c r="C239" s="9" t="s">
        <v>1162</v>
      </c>
      <c r="D239" s="9" t="s">
        <v>1701</v>
      </c>
      <c r="E239" s="9" t="s">
        <v>1701</v>
      </c>
      <c r="F239" s="28" t="str">
        <f aca="false">IF(C239="","",IF(OR(C239="1. bekkur",C239="2. bekkur",C239="3. bekkur",C239="4. bekkur"),"Já",IF(C239="Starfsmaður","Nei","Nei")))</f>
        <v>Nei</v>
      </c>
      <c r="G239" s="9" t="s">
        <v>1135</v>
      </c>
      <c r="H239" s="9"/>
      <c r="I239" s="9"/>
      <c r="J239" s="64" t="s">
        <v>2004</v>
      </c>
    </row>
    <row r="240" customFormat="false" ht="15" hidden="false" customHeight="true" outlineLevel="0" collapsed="false">
      <c r="A240" s="63" t="s">
        <v>1403</v>
      </c>
      <c r="B240" s="63" t="s">
        <v>2005</v>
      </c>
      <c r="C240" s="63" t="s">
        <v>1162</v>
      </c>
      <c r="D240" s="63" t="s">
        <v>1701</v>
      </c>
      <c r="E240" s="63" t="s">
        <v>1701</v>
      </c>
      <c r="F240" s="28" t="str">
        <f aca="false">IF(C240="","",IF(OR(C240="1. bekkur",C240="2. bekkur",C240="3. bekkur",C240="4. bekkur"),"Já",IF(C240="Starfsmaður","Nei","Nei")))</f>
        <v>Nei</v>
      </c>
      <c r="G240" s="63" t="s">
        <v>1135</v>
      </c>
      <c r="H240" s="63"/>
      <c r="I240" s="63"/>
      <c r="J240" s="64" t="s">
        <v>2006</v>
      </c>
    </row>
    <row r="241" customFormat="false" ht="15" hidden="false" customHeight="true" outlineLevel="0" collapsed="false">
      <c r="A241" s="9" t="s">
        <v>1403</v>
      </c>
      <c r="B241" s="9" t="s">
        <v>2007</v>
      </c>
      <c r="C241" s="9" t="s">
        <v>1162</v>
      </c>
      <c r="D241" s="9" t="s">
        <v>1701</v>
      </c>
      <c r="E241" s="9" t="s">
        <v>1701</v>
      </c>
      <c r="F241" s="28" t="str">
        <f aca="false">IF(C241="","",IF(OR(C241="1. bekkur",C241="2. bekkur",C241="3. bekkur",C241="4. bekkur"),"Já",IF(C241="Starfsmaður","Nei","Nei")))</f>
        <v>Nei</v>
      </c>
      <c r="G241" s="9" t="s">
        <v>1135</v>
      </c>
      <c r="H241" s="9"/>
      <c r="I241" s="9"/>
      <c r="J241" s="64" t="s">
        <v>2008</v>
      </c>
    </row>
    <row r="242" customFormat="false" ht="15" hidden="false" customHeight="true" outlineLevel="0" collapsed="false">
      <c r="A242" s="63" t="s">
        <v>1403</v>
      </c>
      <c r="B242" s="63" t="s">
        <v>2009</v>
      </c>
      <c r="C242" s="63" t="s">
        <v>1162</v>
      </c>
      <c r="D242" s="63" t="s">
        <v>1701</v>
      </c>
      <c r="E242" s="63" t="s">
        <v>1701</v>
      </c>
      <c r="F242" s="28" t="str">
        <f aca="false">IF(C242="","",IF(OR(C242="1. bekkur",C242="2. bekkur",C242="3. bekkur",C242="4. bekkur"),"Já",IF(C242="Starfsmaður","Nei","Nei")))</f>
        <v>Nei</v>
      </c>
      <c r="G242" s="63" t="s">
        <v>1135</v>
      </c>
      <c r="H242" s="63"/>
      <c r="I242" s="63"/>
      <c r="J242" s="64" t="s">
        <v>2010</v>
      </c>
    </row>
    <row r="243" customFormat="false" ht="15" hidden="false" customHeight="true" outlineLevel="0" collapsed="false">
      <c r="A243" s="9" t="s">
        <v>1403</v>
      </c>
      <c r="B243" s="9" t="s">
        <v>2011</v>
      </c>
      <c r="C243" s="9" t="s">
        <v>1162</v>
      </c>
      <c r="D243" s="9" t="s">
        <v>1701</v>
      </c>
      <c r="E243" s="9" t="s">
        <v>1701</v>
      </c>
      <c r="F243" s="28" t="str">
        <f aca="false">IF(C243="","",IF(OR(C243="1. bekkur",C243="2. bekkur",C243="3. bekkur",C243="4. bekkur"),"Já",IF(C243="Starfsmaður","Nei","Nei")))</f>
        <v>Nei</v>
      </c>
      <c r="G243" s="9" t="s">
        <v>1135</v>
      </c>
      <c r="H243" s="9"/>
      <c r="I243" s="9"/>
      <c r="J243" s="64" t="s">
        <v>2012</v>
      </c>
    </row>
    <row r="244" customFormat="false" ht="15" hidden="false" customHeight="true" outlineLevel="0" collapsed="false">
      <c r="A244" s="63" t="s">
        <v>1403</v>
      </c>
      <c r="B244" s="63" t="s">
        <v>2013</v>
      </c>
      <c r="C244" s="63" t="s">
        <v>1162</v>
      </c>
      <c r="D244" s="63" t="s">
        <v>1701</v>
      </c>
      <c r="E244" s="63" t="s">
        <v>1701</v>
      </c>
      <c r="F244" s="28" t="str">
        <f aca="false">IF(C244="","",IF(OR(C244="1. bekkur",C244="2. bekkur",C244="3. bekkur",C244="4. bekkur"),"Já",IF(C244="Starfsmaður","Nei","Nei")))</f>
        <v>Nei</v>
      </c>
      <c r="G244" s="63" t="s">
        <v>1135</v>
      </c>
      <c r="H244" s="63"/>
      <c r="I244" s="63"/>
      <c r="J244" s="64" t="s">
        <v>2014</v>
      </c>
    </row>
    <row r="245" customFormat="false" ht="15" hidden="false" customHeight="true" outlineLevel="0" collapsed="false">
      <c r="A245" s="9" t="s">
        <v>1403</v>
      </c>
      <c r="B245" s="9" t="s">
        <v>2015</v>
      </c>
      <c r="C245" s="9" t="s">
        <v>1162</v>
      </c>
      <c r="D245" s="9" t="s">
        <v>1701</v>
      </c>
      <c r="E245" s="9" t="s">
        <v>1701</v>
      </c>
      <c r="F245" s="28" t="str">
        <f aca="false">IF(C245="","",IF(OR(C245="1. bekkur",C245="2. bekkur",C245="3. bekkur",C245="4. bekkur"),"Já",IF(C245="Starfsmaður","Nei","Nei")))</f>
        <v>Nei</v>
      </c>
      <c r="G245" s="9" t="s">
        <v>1135</v>
      </c>
      <c r="H245" s="9"/>
      <c r="I245" s="9"/>
      <c r="J245" s="64" t="s">
        <v>2016</v>
      </c>
    </row>
    <row r="246" customFormat="false" ht="15" hidden="false" customHeight="true" outlineLevel="0" collapsed="false">
      <c r="A246" s="63" t="s">
        <v>1403</v>
      </c>
      <c r="B246" s="63" t="s">
        <v>2017</v>
      </c>
      <c r="C246" s="63" t="s">
        <v>1162</v>
      </c>
      <c r="D246" s="63" t="s">
        <v>1701</v>
      </c>
      <c r="E246" s="63" t="s">
        <v>1701</v>
      </c>
      <c r="F246" s="28" t="str">
        <f aca="false">IF(C246="","",IF(OR(C246="1. bekkur",C246="2. bekkur",C246="3. bekkur",C246="4. bekkur"),"Já",IF(C246="Starfsmaður","Nei","Nei")))</f>
        <v>Nei</v>
      </c>
      <c r="G246" s="63" t="s">
        <v>1135</v>
      </c>
      <c r="H246" s="63"/>
      <c r="I246" s="63"/>
      <c r="J246" s="64" t="s">
        <v>2018</v>
      </c>
    </row>
    <row r="247" customFormat="false" ht="15" hidden="false" customHeight="true" outlineLevel="0" collapsed="false">
      <c r="A247" s="9" t="s">
        <v>1403</v>
      </c>
      <c r="B247" s="9" t="s">
        <v>2019</v>
      </c>
      <c r="C247" s="9" t="s">
        <v>1162</v>
      </c>
      <c r="D247" s="9" t="s">
        <v>1701</v>
      </c>
      <c r="E247" s="9" t="s">
        <v>1701</v>
      </c>
      <c r="F247" s="28" t="str">
        <f aca="false">IF(C247="","",IF(OR(C247="1. bekkur",C247="2. bekkur",C247="3. bekkur",C247="4. bekkur"),"Já",IF(C247="Starfsmaður","Nei","Nei")))</f>
        <v>Nei</v>
      </c>
      <c r="G247" s="9" t="s">
        <v>1135</v>
      </c>
      <c r="H247" s="9"/>
      <c r="I247" s="9"/>
      <c r="J247" s="64" t="s">
        <v>2020</v>
      </c>
    </row>
    <row r="248" customFormat="false" ht="15" hidden="false" customHeight="true" outlineLevel="0" collapsed="false">
      <c r="A248" s="63" t="s">
        <v>1403</v>
      </c>
      <c r="B248" s="63" t="s">
        <v>2021</v>
      </c>
      <c r="C248" s="63" t="s">
        <v>1134</v>
      </c>
      <c r="D248" s="63" t="s">
        <v>1701</v>
      </c>
      <c r="E248" s="63" t="s">
        <v>1701</v>
      </c>
      <c r="F248" s="28" t="str">
        <f aca="false">IF(C248="","",IF(OR(C248="1. bekkur",C248="2. bekkur",C248="3. bekkur",C248="4. bekkur"),"Já",IF(C248="Starfsmaður","Nei","Nei")))</f>
        <v>Já</v>
      </c>
      <c r="G248" s="63" t="s">
        <v>1135</v>
      </c>
      <c r="H248" s="63"/>
      <c r="I248" s="63"/>
      <c r="J248" s="64" t="s">
        <v>2022</v>
      </c>
    </row>
    <row r="249" customFormat="false" ht="15" hidden="false" customHeight="true" outlineLevel="0" collapsed="false">
      <c r="A249" s="9" t="s">
        <v>1403</v>
      </c>
      <c r="B249" s="9" t="s">
        <v>2023</v>
      </c>
      <c r="C249" s="9" t="s">
        <v>1199</v>
      </c>
      <c r="D249" s="9" t="s">
        <v>1701</v>
      </c>
      <c r="E249" s="9" t="s">
        <v>1701</v>
      </c>
      <c r="F249" s="28" t="str">
        <f aca="false">IF(C249="","",IF(OR(C249="1. bekkur",C249="2. bekkur",C249="3. bekkur",C249="4. bekkur"),"Já",IF(C249="Starfsmaður","Nei","Nei")))</f>
        <v>Já</v>
      </c>
      <c r="G249" s="9" t="s">
        <v>1135</v>
      </c>
      <c r="H249" s="9"/>
      <c r="I249" s="9"/>
      <c r="J249" s="64" t="s">
        <v>2024</v>
      </c>
    </row>
    <row r="250" customFormat="false" ht="15" hidden="false" customHeight="true" outlineLevel="0" collapsed="false">
      <c r="A250" s="63" t="s">
        <v>1403</v>
      </c>
      <c r="B250" s="63" t="s">
        <v>2025</v>
      </c>
      <c r="C250" s="63" t="s">
        <v>1199</v>
      </c>
      <c r="D250" s="63" t="s">
        <v>1701</v>
      </c>
      <c r="E250" s="63" t="s">
        <v>1701</v>
      </c>
      <c r="F250" s="28" t="str">
        <f aca="false">IF(C250="","",IF(OR(C250="1. bekkur",C250="2. bekkur",C250="3. bekkur",C250="4. bekkur"),"Já",IF(C250="Starfsmaður","Nei","Nei")))</f>
        <v>Já</v>
      </c>
      <c r="G250" s="63" t="s">
        <v>1135</v>
      </c>
      <c r="H250" s="63"/>
      <c r="I250" s="63"/>
      <c r="J250" s="64" t="s">
        <v>2026</v>
      </c>
    </row>
    <row r="251" customFormat="false" ht="15" hidden="false" customHeight="true" outlineLevel="0" collapsed="false">
      <c r="A251" s="9" t="s">
        <v>1403</v>
      </c>
      <c r="B251" s="9" t="s">
        <v>2027</v>
      </c>
      <c r="C251" s="9" t="s">
        <v>1134</v>
      </c>
      <c r="D251" s="9" t="s">
        <v>1701</v>
      </c>
      <c r="E251" s="9" t="s">
        <v>1701</v>
      </c>
      <c r="F251" s="28" t="str">
        <f aca="false">IF(C251="","",IF(OR(C251="1. bekkur",C251="2. bekkur",C251="3. bekkur",C251="4. bekkur"),"Já",IF(C251="Starfsmaður","Nei","Nei")))</f>
        <v>Já</v>
      </c>
      <c r="G251" s="9" t="s">
        <v>1135</v>
      </c>
      <c r="H251" s="9"/>
      <c r="I251" s="9"/>
      <c r="J251" s="64" t="s">
        <v>2028</v>
      </c>
    </row>
    <row r="252" customFormat="false" ht="15" hidden="false" customHeight="true" outlineLevel="0" collapsed="false">
      <c r="A252" s="63" t="s">
        <v>1403</v>
      </c>
      <c r="B252" s="63" t="s">
        <v>2029</v>
      </c>
      <c r="C252" s="63" t="s">
        <v>1151</v>
      </c>
      <c r="D252" s="63" t="s">
        <v>1701</v>
      </c>
      <c r="E252" s="63" t="s">
        <v>1701</v>
      </c>
      <c r="F252" s="28" t="str">
        <f aca="false">IF(C252="","",IF(OR(C252="1. bekkur",C252="2. bekkur",C252="3. bekkur",C252="4. bekkur"),"Já",IF(C252="Starfsmaður","Nei","Nei")))</f>
        <v>Já</v>
      </c>
      <c r="G252" s="63" t="s">
        <v>1135</v>
      </c>
      <c r="H252" s="63"/>
      <c r="I252" s="63"/>
      <c r="J252" s="64" t="s">
        <v>2030</v>
      </c>
    </row>
    <row r="253" customFormat="false" ht="15" hidden="false" customHeight="true" outlineLevel="0" collapsed="false">
      <c r="A253" s="9" t="s">
        <v>1403</v>
      </c>
      <c r="B253" s="9" t="s">
        <v>2031</v>
      </c>
      <c r="C253" s="9" t="s">
        <v>1148</v>
      </c>
      <c r="D253" s="9" t="s">
        <v>1701</v>
      </c>
      <c r="E253" s="9" t="s">
        <v>1701</v>
      </c>
      <c r="F253" s="28" t="str">
        <f aca="false">IF(C253="","",IF(OR(C253="1. bekkur",C253="2. bekkur",C253="3. bekkur",C253="4. bekkur"),"Já",IF(C253="Starfsmaður","Nei","Nei")))</f>
        <v>Já</v>
      </c>
      <c r="G253" s="9" t="s">
        <v>1135</v>
      </c>
      <c r="H253" s="9"/>
      <c r="I253" s="9"/>
      <c r="J253" s="64" t="s">
        <v>2032</v>
      </c>
    </row>
    <row r="254" customFormat="false" ht="34.5" hidden="false" customHeight="true" outlineLevel="0" collapsed="false">
      <c r="A254" s="63" t="s">
        <v>1403</v>
      </c>
      <c r="B254" s="63" t="s">
        <v>1431</v>
      </c>
      <c r="C254" s="63" t="s">
        <v>1208</v>
      </c>
      <c r="D254" s="63" t="s">
        <v>1701</v>
      </c>
      <c r="E254" s="63" t="s">
        <v>1701</v>
      </c>
      <c r="F254" s="28" t="str">
        <f aca="false">IF(C254="","",IF(OR(C254="1. bekkur",C254="2. bekkur",C254="3. bekkur",C254="4. bekkur"),"Já",IF(C254="Starfsmaður","Nei","Nei")))</f>
        <v>Nei</v>
      </c>
      <c r="G254" s="63" t="s">
        <v>1432</v>
      </c>
      <c r="H254" s="63" t="s">
        <v>1433</v>
      </c>
      <c r="I254" s="63"/>
      <c r="J254" s="64" t="s">
        <v>2033</v>
      </c>
    </row>
    <row r="255" customFormat="false" ht="15" hidden="false" customHeight="true" outlineLevel="0" collapsed="false">
      <c r="A255" s="9" t="s">
        <v>1403</v>
      </c>
      <c r="B255" s="9" t="s">
        <v>1434</v>
      </c>
      <c r="C255" s="9" t="s">
        <v>1162</v>
      </c>
      <c r="D255" s="9" t="s">
        <v>1701</v>
      </c>
      <c r="E255" s="9" t="s">
        <v>1701</v>
      </c>
      <c r="F255" s="28" t="str">
        <f aca="false">IF(C255="","",IF(OR(C255="1. bekkur",C255="2. bekkur",C255="3. bekkur",C255="4. bekkur"),"Já",IF(C255="Starfsmaður","Nei","Nei")))</f>
        <v>Nei</v>
      </c>
      <c r="G255" s="9" t="s">
        <v>1163</v>
      </c>
      <c r="H255" s="9" t="s">
        <v>1435</v>
      </c>
      <c r="I255" s="9"/>
      <c r="J255" s="64" t="s">
        <v>2034</v>
      </c>
    </row>
    <row r="256" customFormat="false" ht="15" hidden="false" customHeight="true" outlineLevel="0" collapsed="false">
      <c r="A256" s="63" t="s">
        <v>1403</v>
      </c>
      <c r="B256" s="63" t="s">
        <v>2035</v>
      </c>
      <c r="C256" s="63" t="s">
        <v>1162</v>
      </c>
      <c r="D256" s="63" t="s">
        <v>1701</v>
      </c>
      <c r="E256" s="63" t="s">
        <v>1701</v>
      </c>
      <c r="F256" s="28" t="str">
        <f aca="false">IF(C256="","",IF(OR(C256="1. bekkur",C256="2. bekkur",C256="3. bekkur",C256="4. bekkur"),"Já",IF(C256="Starfsmaður","Nei","Nei")))</f>
        <v>Nei</v>
      </c>
      <c r="G256" s="63" t="s">
        <v>1395</v>
      </c>
      <c r="H256" s="63"/>
      <c r="I256" s="63"/>
      <c r="J256" s="64" t="s">
        <v>2036</v>
      </c>
    </row>
    <row r="257" customFormat="false" ht="15" hidden="false" customHeight="true" outlineLevel="0" collapsed="false">
      <c r="A257" s="9" t="s">
        <v>1403</v>
      </c>
      <c r="B257" s="9" t="s">
        <v>2037</v>
      </c>
      <c r="C257" s="9" t="s">
        <v>1151</v>
      </c>
      <c r="D257" s="9" t="s">
        <v>1701</v>
      </c>
      <c r="E257" s="9" t="s">
        <v>1701</v>
      </c>
      <c r="F257" s="28" t="str">
        <f aca="false">IF(C257="","",IF(OR(C257="1. bekkur",C257="2. bekkur",C257="3. bekkur",C257="4. bekkur"),"Já",IF(C257="Starfsmaður","Nei","Nei")))</f>
        <v>Já</v>
      </c>
      <c r="G257" s="9" t="s">
        <v>1135</v>
      </c>
      <c r="H257" s="9"/>
      <c r="I257" s="9"/>
      <c r="J257" s="64" t="s">
        <v>2038</v>
      </c>
    </row>
    <row r="258" customFormat="false" ht="15" hidden="false" customHeight="true" outlineLevel="0" collapsed="false">
      <c r="A258" s="63" t="s">
        <v>1403</v>
      </c>
      <c r="B258" s="63" t="s">
        <v>1436</v>
      </c>
      <c r="C258" s="63" t="s">
        <v>1199</v>
      </c>
      <c r="D258" s="63" t="s">
        <v>1701</v>
      </c>
      <c r="E258" s="63" t="s">
        <v>1701</v>
      </c>
      <c r="F258" s="28" t="str">
        <f aca="false">IF(C258="","",IF(OR(C258="1. bekkur",C258="2. bekkur",C258="3. bekkur",C258="4. bekkur"),"Já",IF(C258="Starfsmaður","Nei","Nei")))</f>
        <v>Já</v>
      </c>
      <c r="G258" s="63" t="s">
        <v>146</v>
      </c>
      <c r="H258" s="63" t="s">
        <v>1437</v>
      </c>
      <c r="I258" s="63"/>
      <c r="J258" s="64" t="s">
        <v>2039</v>
      </c>
    </row>
    <row r="259" customFormat="false" ht="15" hidden="false" customHeight="true" outlineLevel="0" collapsed="false">
      <c r="A259" s="9" t="s">
        <v>1403</v>
      </c>
      <c r="B259" s="9" t="s">
        <v>1438</v>
      </c>
      <c r="C259" s="9" t="s">
        <v>1151</v>
      </c>
      <c r="D259" s="9" t="s">
        <v>1724</v>
      </c>
      <c r="E259" s="9" t="s">
        <v>1701</v>
      </c>
      <c r="F259" s="28" t="str">
        <f aca="false">IF(C259="","",IF(OR(C259="1. bekkur",C259="2. bekkur",C259="3. bekkur",C259="4. bekkur"),"Já",IF(C259="Starfsmaður","Nei","Nei")))</f>
        <v>Já</v>
      </c>
      <c r="G259" s="9" t="s">
        <v>1183</v>
      </c>
      <c r="H259" s="9" t="s">
        <v>1439</v>
      </c>
      <c r="I259" s="9"/>
      <c r="J259" s="64" t="s">
        <v>2040</v>
      </c>
    </row>
    <row r="260" customFormat="false" ht="15" hidden="false" customHeight="true" outlineLevel="0" collapsed="false">
      <c r="A260" s="63" t="s">
        <v>1403</v>
      </c>
      <c r="B260" s="63" t="s">
        <v>1440</v>
      </c>
      <c r="C260" s="63" t="s">
        <v>1134</v>
      </c>
      <c r="D260" s="63" t="s">
        <v>1724</v>
      </c>
      <c r="E260" s="63" t="s">
        <v>1701</v>
      </c>
      <c r="F260" s="28" t="str">
        <f aca="false">IF(C260="","",IF(OR(C260="1. bekkur",C260="2. bekkur",C260="3. bekkur",C260="4. bekkur"),"Já",IF(C260="Starfsmaður","Nei","Nei")))</f>
        <v>Já</v>
      </c>
      <c r="G260" s="63" t="s">
        <v>217</v>
      </c>
      <c r="H260" s="63" t="s">
        <v>1441</v>
      </c>
      <c r="I260" s="63"/>
      <c r="J260" s="64" t="s">
        <v>2041</v>
      </c>
    </row>
    <row r="261" customFormat="false" ht="15" hidden="false" customHeight="true" outlineLevel="0" collapsed="false">
      <c r="A261" s="9" t="s">
        <v>1403</v>
      </c>
      <c r="B261" s="9" t="s">
        <v>1442</v>
      </c>
      <c r="C261" s="9" t="s">
        <v>1151</v>
      </c>
      <c r="D261" s="9" t="s">
        <v>1724</v>
      </c>
      <c r="E261" s="9" t="s">
        <v>1701</v>
      </c>
      <c r="F261" s="28" t="str">
        <f aca="false">IF(C261="","",IF(OR(C261="1. bekkur",C261="2. bekkur",C261="3. bekkur",C261="4. bekkur"),"Já",IF(C261="Starfsmaður","Nei","Nei")))</f>
        <v>Já</v>
      </c>
      <c r="G261" s="9" t="s">
        <v>1443</v>
      </c>
      <c r="H261" s="9" t="s">
        <v>1444</v>
      </c>
      <c r="I261" s="9"/>
      <c r="J261" s="64" t="s">
        <v>2042</v>
      </c>
    </row>
    <row r="262" customFormat="false" ht="15" hidden="false" customHeight="true" outlineLevel="0" collapsed="false">
      <c r="A262" s="63" t="s">
        <v>1403</v>
      </c>
      <c r="B262" s="63" t="s">
        <v>1445</v>
      </c>
      <c r="C262" s="63" t="s">
        <v>1199</v>
      </c>
      <c r="D262" s="63" t="s">
        <v>1724</v>
      </c>
      <c r="E262" s="63" t="s">
        <v>1701</v>
      </c>
      <c r="F262" s="28" t="str">
        <f aca="false">IF(C262="","",IF(OR(C262="1. bekkur",C262="2. bekkur",C262="3. bekkur",C262="4. bekkur"),"Já",IF(C262="Starfsmaður","Nei","Nei")))</f>
        <v>Já</v>
      </c>
      <c r="G262" s="63" t="s">
        <v>1183</v>
      </c>
      <c r="H262" s="63" t="s">
        <v>1446</v>
      </c>
      <c r="I262" s="63"/>
      <c r="J262" s="64" t="s">
        <v>2043</v>
      </c>
    </row>
    <row r="263" customFormat="false" ht="15" hidden="false" customHeight="true" outlineLevel="0" collapsed="false">
      <c r="A263" s="9" t="s">
        <v>1403</v>
      </c>
      <c r="B263" s="9" t="s">
        <v>2044</v>
      </c>
      <c r="C263" s="9" t="s">
        <v>1199</v>
      </c>
      <c r="D263" s="9" t="s">
        <v>1724</v>
      </c>
      <c r="E263" s="9" t="s">
        <v>1701</v>
      </c>
      <c r="F263" s="28" t="str">
        <f aca="false">IF(C263="","",IF(OR(C263="1. bekkur",C263="2. bekkur",C263="3. bekkur",C263="4. bekkur"),"Já",IF(C263="Starfsmaður","Nei","Nei")))</f>
        <v>Já</v>
      </c>
      <c r="G263" s="9" t="s">
        <v>1679</v>
      </c>
      <c r="H263" s="9"/>
      <c r="I263" s="9"/>
      <c r="J263" s="64" t="s">
        <v>2045</v>
      </c>
    </row>
    <row r="264" customFormat="false" ht="15" hidden="false" customHeight="true" outlineLevel="0" collapsed="false">
      <c r="A264" s="63" t="s">
        <v>1447</v>
      </c>
      <c r="B264" s="63" t="s">
        <v>1171</v>
      </c>
      <c r="C264" s="63" t="s">
        <v>1172</v>
      </c>
      <c r="D264" s="63" t="s">
        <v>1701</v>
      </c>
      <c r="E264" s="63" t="s">
        <v>1701</v>
      </c>
      <c r="F264" s="28" t="str">
        <f aca="false">IF(C264="","",IF(OR(C264="1. bekkur",C264="2. bekkur",C264="3. bekkur",C264="4. bekkur"),"Já",IF(C264="Starfsmaður","Nei","Nei")))</f>
        <v>Nei</v>
      </c>
      <c r="G264" s="63" t="s">
        <v>1173</v>
      </c>
      <c r="H264" s="63" t="s">
        <v>1174</v>
      </c>
      <c r="I264" s="63"/>
      <c r="J264" s="64" t="s">
        <v>2046</v>
      </c>
    </row>
    <row r="265" customFormat="false" ht="15" hidden="false" customHeight="true" outlineLevel="0" collapsed="false">
      <c r="A265" s="9" t="s">
        <v>1447</v>
      </c>
      <c r="B265" s="9" t="s">
        <v>1448</v>
      </c>
      <c r="C265" s="9" t="s">
        <v>1141</v>
      </c>
      <c r="D265" s="9" t="s">
        <v>1701</v>
      </c>
      <c r="E265" s="9" t="s">
        <v>1701</v>
      </c>
      <c r="F265" s="28" t="str">
        <f aca="false">IF(C265="","",IF(OR(C265="1. bekkur",C265="2. bekkur",C265="3. bekkur",C265="4. bekkur"),"Já",IF(C265="Starfsmaður","Nei","Nei")))</f>
        <v>Nei</v>
      </c>
      <c r="G265" s="9" t="s">
        <v>1449</v>
      </c>
      <c r="H265" s="9" t="s">
        <v>1450</v>
      </c>
      <c r="I265" s="9"/>
      <c r="J265" s="64" t="s">
        <v>2047</v>
      </c>
    </row>
    <row r="266" customFormat="false" ht="15" hidden="false" customHeight="true" outlineLevel="0" collapsed="false">
      <c r="A266" s="63" t="s">
        <v>1447</v>
      </c>
      <c r="B266" s="63" t="s">
        <v>1451</v>
      </c>
      <c r="C266" s="63" t="s">
        <v>1129</v>
      </c>
      <c r="D266" s="63" t="s">
        <v>1701</v>
      </c>
      <c r="E266" s="63" t="s">
        <v>1701</v>
      </c>
      <c r="F266" s="28" t="str">
        <f aca="false">IF(C266="","",IF(OR(C266="1. bekkur",C266="2. bekkur",C266="3. bekkur",C266="4. bekkur"),"Já",IF(C266="Starfsmaður","Nei","Nei")))</f>
        <v>Nei</v>
      </c>
      <c r="G266" s="63" t="s">
        <v>1452</v>
      </c>
      <c r="H266" s="63" t="s">
        <v>1453</v>
      </c>
      <c r="I266" s="63"/>
      <c r="J266" s="64" t="s">
        <v>2048</v>
      </c>
    </row>
    <row r="267" customFormat="false" ht="23.25" hidden="false" customHeight="true" outlineLevel="0" collapsed="false">
      <c r="A267" s="9" t="s">
        <v>1447</v>
      </c>
      <c r="B267" s="9" t="s">
        <v>1454</v>
      </c>
      <c r="C267" s="9" t="s">
        <v>1156</v>
      </c>
      <c r="D267" s="9" t="s">
        <v>1701</v>
      </c>
      <c r="E267" s="9" t="s">
        <v>1701</v>
      </c>
      <c r="F267" s="28" t="str">
        <f aca="false">IF(C267="","",IF(OR(C267="1. bekkur",C267="2. bekkur",C267="3. bekkur",C267="4. bekkur"),"Já",IF(C267="Starfsmaður","Nei","Nei")))</f>
        <v>Nei</v>
      </c>
      <c r="G267" s="9" t="s">
        <v>1455</v>
      </c>
      <c r="H267" s="9" t="s">
        <v>1456</v>
      </c>
      <c r="I267" s="9"/>
      <c r="J267" s="64" t="s">
        <v>2049</v>
      </c>
    </row>
    <row r="268" customFormat="false" ht="23.25" hidden="false" customHeight="true" outlineLevel="0" collapsed="false">
      <c r="A268" s="63" t="s">
        <v>1447</v>
      </c>
      <c r="B268" s="63" t="s">
        <v>1457</v>
      </c>
      <c r="C268" s="63" t="s">
        <v>1156</v>
      </c>
      <c r="D268" s="63" t="s">
        <v>1701</v>
      </c>
      <c r="E268" s="63" t="s">
        <v>1701</v>
      </c>
      <c r="F268" s="28" t="str">
        <f aca="false">IF(C268="","",IF(OR(C268="1. bekkur",C268="2. bekkur",C268="3. bekkur",C268="4. bekkur"),"Já",IF(C268="Starfsmaður","Nei","Nei")))</f>
        <v>Nei</v>
      </c>
      <c r="G268" s="63" t="s">
        <v>1455</v>
      </c>
      <c r="H268" s="63" t="s">
        <v>1456</v>
      </c>
      <c r="I268" s="63"/>
      <c r="J268" s="64" t="s">
        <v>2050</v>
      </c>
    </row>
    <row r="269" customFormat="false" ht="15" hidden="false" customHeight="true" outlineLevel="0" collapsed="false">
      <c r="A269" s="9" t="s">
        <v>1447</v>
      </c>
      <c r="B269" s="9" t="s">
        <v>1458</v>
      </c>
      <c r="C269" s="9" t="s">
        <v>1208</v>
      </c>
      <c r="D269" s="9" t="s">
        <v>1701</v>
      </c>
      <c r="E269" s="9" t="s">
        <v>1701</v>
      </c>
      <c r="F269" s="28" t="str">
        <f aca="false">IF(C269="","",IF(OR(C269="1. bekkur",C269="2. bekkur",C269="3. bekkur",C269="4. bekkur"),"Já",IF(C269="Starfsmaður","Nei","Nei")))</f>
        <v>Nei</v>
      </c>
      <c r="G269" s="9" t="s">
        <v>1183</v>
      </c>
      <c r="H269" s="9" t="s">
        <v>1459</v>
      </c>
      <c r="I269" s="9"/>
      <c r="J269" s="64" t="s">
        <v>2051</v>
      </c>
    </row>
    <row r="270" customFormat="false" ht="15" hidden="false" customHeight="true" outlineLevel="0" collapsed="false">
      <c r="A270" s="63" t="s">
        <v>1447</v>
      </c>
      <c r="B270" s="63" t="s">
        <v>1460</v>
      </c>
      <c r="C270" s="63" t="s">
        <v>1141</v>
      </c>
      <c r="D270" s="63" t="s">
        <v>1701</v>
      </c>
      <c r="E270" s="63" t="s">
        <v>1701</v>
      </c>
      <c r="F270" s="28" t="str">
        <f aca="false">IF(C270="","",IF(OR(C270="1. bekkur",C270="2. bekkur",C270="3. bekkur",C270="4. bekkur"),"Já",IF(C270="Starfsmaður","Nei","Nei")))</f>
        <v>Nei</v>
      </c>
      <c r="G270" s="63" t="s">
        <v>1183</v>
      </c>
      <c r="H270" s="63" t="s">
        <v>1461</v>
      </c>
      <c r="I270" s="63"/>
      <c r="J270" s="64" t="s">
        <v>2052</v>
      </c>
    </row>
    <row r="271" customFormat="false" ht="15" hidden="false" customHeight="true" outlineLevel="0" collapsed="false">
      <c r="A271" s="9" t="s">
        <v>1447</v>
      </c>
      <c r="B271" s="9" t="s">
        <v>1462</v>
      </c>
      <c r="C271" s="9" t="s">
        <v>1156</v>
      </c>
      <c r="D271" s="9" t="s">
        <v>1701</v>
      </c>
      <c r="E271" s="9" t="s">
        <v>1701</v>
      </c>
      <c r="F271" s="28" t="str">
        <f aca="false">IF(C271="","",IF(OR(C271="1. bekkur",C271="2. bekkur",C271="3. bekkur",C271="4. bekkur"),"Já",IF(C271="Starfsmaður","Nei","Nei")))</f>
        <v>Nei</v>
      </c>
      <c r="G271" s="9" t="s">
        <v>1183</v>
      </c>
      <c r="H271" s="9" t="s">
        <v>1463</v>
      </c>
      <c r="I271" s="9"/>
      <c r="J271" s="64" t="s">
        <v>2053</v>
      </c>
    </row>
    <row r="272" customFormat="false" ht="15" hidden="false" customHeight="true" outlineLevel="0" collapsed="false">
      <c r="A272" s="63" t="s">
        <v>1447</v>
      </c>
      <c r="B272" s="63" t="s">
        <v>1464</v>
      </c>
      <c r="C272" s="63" t="s">
        <v>1218</v>
      </c>
      <c r="D272" s="63" t="s">
        <v>1701</v>
      </c>
      <c r="E272" s="63" t="s">
        <v>1701</v>
      </c>
      <c r="F272" s="28" t="str">
        <f aca="false">IF(C272="","",IF(OR(C272="1. bekkur",C272="2. bekkur",C272="3. bekkur",C272="4. bekkur"),"Já",IF(C272="Starfsmaður","Nei","Nei")))</f>
        <v>Nei</v>
      </c>
      <c r="G272" s="63" t="s">
        <v>1183</v>
      </c>
      <c r="H272" s="63" t="s">
        <v>1465</v>
      </c>
      <c r="I272" s="63"/>
      <c r="J272" s="64" t="s">
        <v>2054</v>
      </c>
    </row>
    <row r="273" customFormat="false" ht="15" hidden="false" customHeight="true" outlineLevel="0" collapsed="false">
      <c r="A273" s="9" t="s">
        <v>1447</v>
      </c>
      <c r="B273" s="9" t="s">
        <v>1466</v>
      </c>
      <c r="C273" s="9" t="s">
        <v>1141</v>
      </c>
      <c r="D273" s="9" t="s">
        <v>1701</v>
      </c>
      <c r="E273" s="9" t="s">
        <v>1701</v>
      </c>
      <c r="F273" s="28" t="str">
        <f aca="false">IF(C273="","",IF(OR(C273="1. bekkur",C273="2. bekkur",C273="3. bekkur",C273="4. bekkur"),"Já",IF(C273="Starfsmaður","Nei","Nei")))</f>
        <v>Nei</v>
      </c>
      <c r="G273" s="9" t="s">
        <v>1183</v>
      </c>
      <c r="H273" s="9" t="s">
        <v>1467</v>
      </c>
      <c r="I273" s="9"/>
      <c r="J273" s="64" t="s">
        <v>2055</v>
      </c>
    </row>
    <row r="274" customFormat="false" ht="15" hidden="false" customHeight="true" outlineLevel="0" collapsed="false">
      <c r="A274" s="63" t="s">
        <v>1447</v>
      </c>
      <c r="B274" s="63" t="s">
        <v>1468</v>
      </c>
      <c r="C274" s="63" t="s">
        <v>1292</v>
      </c>
      <c r="D274" s="63" t="s">
        <v>1701</v>
      </c>
      <c r="E274" s="63" t="s">
        <v>1701</v>
      </c>
      <c r="F274" s="28" t="str">
        <f aca="false">IF(C274="","",IF(OR(C274="1. bekkur",C274="2. bekkur",C274="3. bekkur",C274="4. bekkur"),"Já",IF(C274="Starfsmaður","Nei","Nei")))</f>
        <v>Nei</v>
      </c>
      <c r="G274" s="63" t="s">
        <v>1183</v>
      </c>
      <c r="H274" s="63" t="s">
        <v>1469</v>
      </c>
      <c r="I274" s="63"/>
      <c r="J274" s="64" t="s">
        <v>2056</v>
      </c>
    </row>
    <row r="275" customFormat="false" ht="15" hidden="false" customHeight="true" outlineLevel="0" collapsed="false">
      <c r="A275" s="9" t="s">
        <v>1447</v>
      </c>
      <c r="B275" s="9" t="s">
        <v>1470</v>
      </c>
      <c r="C275" s="9" t="s">
        <v>1218</v>
      </c>
      <c r="D275" s="9" t="s">
        <v>1701</v>
      </c>
      <c r="E275" s="9" t="s">
        <v>1701</v>
      </c>
      <c r="F275" s="28" t="str">
        <f aca="false">IF(C275="","",IF(OR(C275="1. bekkur",C275="2. bekkur",C275="3. bekkur",C275="4. bekkur"),"Já",IF(C275="Starfsmaður","Nei","Nei")))</f>
        <v>Nei</v>
      </c>
      <c r="G275" s="9" t="s">
        <v>1183</v>
      </c>
      <c r="H275" s="9" t="s">
        <v>1471</v>
      </c>
      <c r="I275" s="9"/>
      <c r="J275" s="64" t="s">
        <v>2057</v>
      </c>
    </row>
    <row r="276" customFormat="false" ht="15" hidden="false" customHeight="true" outlineLevel="0" collapsed="false">
      <c r="A276" s="63" t="s">
        <v>1447</v>
      </c>
      <c r="B276" s="63" t="s">
        <v>1472</v>
      </c>
      <c r="C276" s="63" t="s">
        <v>1134</v>
      </c>
      <c r="D276" s="63" t="s">
        <v>1701</v>
      </c>
      <c r="E276" s="63" t="s">
        <v>1701</v>
      </c>
      <c r="F276" s="28" t="str">
        <f aca="false">IF(C276="","",IF(OR(C276="1. bekkur",C276="2. bekkur",C276="3. bekkur",C276="4. bekkur"),"Já",IF(C276="Starfsmaður","Nei","Nei")))</f>
        <v>Já</v>
      </c>
      <c r="G276" s="63" t="s">
        <v>1405</v>
      </c>
      <c r="H276" s="63" t="s">
        <v>1473</v>
      </c>
      <c r="I276" s="63"/>
      <c r="J276" s="64" t="s">
        <v>2058</v>
      </c>
    </row>
    <row r="277" customFormat="false" ht="15" hidden="false" customHeight="true" outlineLevel="0" collapsed="false">
      <c r="A277" s="9" t="s">
        <v>1447</v>
      </c>
      <c r="B277" s="9" t="s">
        <v>1474</v>
      </c>
      <c r="C277" s="9" t="s">
        <v>1208</v>
      </c>
      <c r="D277" s="9" t="s">
        <v>1701</v>
      </c>
      <c r="E277" s="9" t="s">
        <v>1701</v>
      </c>
      <c r="F277" s="28" t="str">
        <f aca="false">IF(C277="","",IF(OR(C277="1. bekkur",C277="2. bekkur",C277="3. bekkur",C277="4. bekkur"),"Já",IF(C277="Starfsmaður","Nei","Nei")))</f>
        <v>Nei</v>
      </c>
      <c r="G277" s="9" t="s">
        <v>1475</v>
      </c>
      <c r="H277" s="9" t="s">
        <v>1476</v>
      </c>
      <c r="I277" s="9"/>
      <c r="J277" s="64" t="s">
        <v>2059</v>
      </c>
    </row>
    <row r="278" customFormat="false" ht="15" hidden="false" customHeight="true" outlineLevel="0" collapsed="false">
      <c r="A278" s="63" t="s">
        <v>1447</v>
      </c>
      <c r="B278" s="63" t="s">
        <v>1477</v>
      </c>
      <c r="C278" s="63" t="s">
        <v>1162</v>
      </c>
      <c r="D278" s="63" t="s">
        <v>1701</v>
      </c>
      <c r="E278" s="63" t="s">
        <v>1701</v>
      </c>
      <c r="F278" s="28" t="str">
        <f aca="false">IF(C278="","",IF(OR(C278="1. bekkur",C278="2. bekkur",C278="3. bekkur",C278="4. bekkur"),"Já",IF(C278="Starfsmaður","Nei","Nei")))</f>
        <v>Nei</v>
      </c>
      <c r="G278" s="63" t="s">
        <v>1478</v>
      </c>
      <c r="H278" s="63" t="s">
        <v>1479</v>
      </c>
      <c r="I278" s="63"/>
      <c r="J278" s="64" t="s">
        <v>2060</v>
      </c>
    </row>
    <row r="279" customFormat="false" ht="15" hidden="false" customHeight="true" outlineLevel="0" collapsed="false">
      <c r="A279" s="9" t="s">
        <v>1447</v>
      </c>
      <c r="B279" s="9" t="s">
        <v>1480</v>
      </c>
      <c r="C279" s="9" t="s">
        <v>1199</v>
      </c>
      <c r="D279" s="9" t="s">
        <v>1701</v>
      </c>
      <c r="E279" s="9" t="s">
        <v>1701</v>
      </c>
      <c r="F279" s="28" t="str">
        <f aca="false">IF(C279="","",IF(OR(C279="1. bekkur",C279="2. bekkur",C279="3. bekkur",C279="4. bekkur"),"Já",IF(C279="Starfsmaður","Nei","Nei")))</f>
        <v>Já</v>
      </c>
      <c r="G279" s="9" t="s">
        <v>1135</v>
      </c>
      <c r="H279" s="9" t="s">
        <v>1473</v>
      </c>
      <c r="I279" s="9"/>
      <c r="J279" s="64" t="s">
        <v>2061</v>
      </c>
    </row>
    <row r="280" customFormat="false" ht="15" hidden="false" customHeight="true" outlineLevel="0" collapsed="false">
      <c r="A280" s="63" t="s">
        <v>1447</v>
      </c>
      <c r="B280" s="63" t="s">
        <v>1481</v>
      </c>
      <c r="C280" s="63" t="s">
        <v>1292</v>
      </c>
      <c r="D280" s="63" t="s">
        <v>1701</v>
      </c>
      <c r="E280" s="63" t="s">
        <v>1701</v>
      </c>
      <c r="F280" s="28" t="str">
        <f aca="false">IF(C280="","",IF(OR(C280="1. bekkur",C280="2. bekkur",C280="3. bekkur",C280="4. bekkur"),"Já",IF(C280="Starfsmaður","Nei","Nei")))</f>
        <v>Nei</v>
      </c>
      <c r="G280" s="63" t="s">
        <v>1135</v>
      </c>
      <c r="H280" s="63" t="s">
        <v>1473</v>
      </c>
      <c r="I280" s="63"/>
      <c r="J280" s="64" t="s">
        <v>2062</v>
      </c>
    </row>
    <row r="281" customFormat="false" ht="15" hidden="false" customHeight="true" outlineLevel="0" collapsed="false">
      <c r="A281" s="9" t="s">
        <v>1447</v>
      </c>
      <c r="B281" s="9" t="s">
        <v>1482</v>
      </c>
      <c r="C281" s="9" t="s">
        <v>1199</v>
      </c>
      <c r="D281" s="9" t="s">
        <v>1701</v>
      </c>
      <c r="E281" s="9" t="s">
        <v>1701</v>
      </c>
      <c r="F281" s="28" t="str">
        <f aca="false">IF(C281="","",IF(OR(C281="1. bekkur",C281="2. bekkur",C281="3. bekkur",C281="4. bekkur"),"Já",IF(C281="Starfsmaður","Nei","Nei")))</f>
        <v>Já</v>
      </c>
      <c r="G281" s="9" t="s">
        <v>1483</v>
      </c>
      <c r="H281" s="9" t="s">
        <v>1484</v>
      </c>
      <c r="I281" s="9"/>
      <c r="J281" s="64" t="s">
        <v>2063</v>
      </c>
    </row>
    <row r="282" customFormat="false" ht="15" hidden="false" customHeight="true" outlineLevel="0" collapsed="false">
      <c r="A282" s="63" t="s">
        <v>1447</v>
      </c>
      <c r="B282" s="63" t="s">
        <v>1485</v>
      </c>
      <c r="C282" s="63" t="s">
        <v>1151</v>
      </c>
      <c r="D282" s="63" t="s">
        <v>1701</v>
      </c>
      <c r="E282" s="63" t="s">
        <v>1701</v>
      </c>
      <c r="F282" s="28" t="str">
        <f aca="false">IF(C282="","",IF(OR(C282="1. bekkur",C282="2. bekkur",C282="3. bekkur",C282="4. bekkur"),"Já",IF(C282="Starfsmaður","Nei","Nei")))</f>
        <v>Já</v>
      </c>
      <c r="G282" s="63" t="s">
        <v>1135</v>
      </c>
      <c r="H282" s="63" t="s">
        <v>1473</v>
      </c>
      <c r="I282" s="63"/>
      <c r="J282" s="64" t="s">
        <v>2064</v>
      </c>
    </row>
    <row r="283" customFormat="false" ht="15" hidden="false" customHeight="true" outlineLevel="0" collapsed="false">
      <c r="A283" s="9" t="s">
        <v>1447</v>
      </c>
      <c r="B283" s="9" t="s">
        <v>1486</v>
      </c>
      <c r="C283" s="9" t="s">
        <v>1199</v>
      </c>
      <c r="D283" s="9" t="s">
        <v>1701</v>
      </c>
      <c r="E283" s="9" t="s">
        <v>1701</v>
      </c>
      <c r="F283" s="28" t="str">
        <f aca="false">IF(C283="","",IF(OR(C283="1. bekkur",C283="2. bekkur",C283="3. bekkur",C283="4. bekkur"),"Já",IF(C283="Starfsmaður","Nei","Nei")))</f>
        <v>Já</v>
      </c>
      <c r="G283" s="9" t="s">
        <v>1135</v>
      </c>
      <c r="H283" s="9" t="s">
        <v>1473</v>
      </c>
      <c r="I283" s="9"/>
      <c r="J283" s="64" t="s">
        <v>2065</v>
      </c>
    </row>
    <row r="284" customFormat="false" ht="15" hidden="false" customHeight="true" outlineLevel="0" collapsed="false">
      <c r="A284" s="63" t="s">
        <v>1447</v>
      </c>
      <c r="B284" s="63" t="s">
        <v>1487</v>
      </c>
      <c r="C284" s="63" t="s">
        <v>1148</v>
      </c>
      <c r="D284" s="63" t="s">
        <v>1701</v>
      </c>
      <c r="E284" s="63" t="s">
        <v>1701</v>
      </c>
      <c r="F284" s="28" t="str">
        <f aca="false">IF(C284="","",IF(OR(C284="1. bekkur",C284="2. bekkur",C284="3. bekkur",C284="4. bekkur"),"Já",IF(C284="Starfsmaður","Nei","Nei")))</f>
        <v>Já</v>
      </c>
      <c r="G284" s="63" t="s">
        <v>1135</v>
      </c>
      <c r="H284" s="63" t="s">
        <v>1473</v>
      </c>
      <c r="I284" s="63"/>
      <c r="J284" s="64" t="s">
        <v>2066</v>
      </c>
    </row>
    <row r="285" customFormat="false" ht="15" hidden="false" customHeight="true" outlineLevel="0" collapsed="false">
      <c r="A285" s="9" t="s">
        <v>1447</v>
      </c>
      <c r="B285" s="9" t="s">
        <v>1488</v>
      </c>
      <c r="C285" s="9" t="s">
        <v>1151</v>
      </c>
      <c r="D285" s="9" t="s">
        <v>1701</v>
      </c>
      <c r="E285" s="9" t="s">
        <v>1701</v>
      </c>
      <c r="F285" s="28" t="str">
        <f aca="false">IF(C285="","",IF(OR(C285="1. bekkur",C285="2. bekkur",C285="3. bekkur",C285="4. bekkur"),"Já",IF(C285="Starfsmaður","Nei","Nei")))</f>
        <v>Já</v>
      </c>
      <c r="G285" s="9" t="s">
        <v>1135</v>
      </c>
      <c r="H285" s="9" t="s">
        <v>1473</v>
      </c>
      <c r="I285" s="9"/>
      <c r="J285" s="64" t="s">
        <v>2067</v>
      </c>
    </row>
    <row r="286" customFormat="false" ht="15" hidden="false" customHeight="true" outlineLevel="0" collapsed="false">
      <c r="A286" s="63" t="s">
        <v>1447</v>
      </c>
      <c r="B286" s="63" t="s">
        <v>1489</v>
      </c>
      <c r="C286" s="63" t="s">
        <v>1151</v>
      </c>
      <c r="D286" s="63" t="s">
        <v>1701</v>
      </c>
      <c r="E286" s="63" t="s">
        <v>1701</v>
      </c>
      <c r="F286" s="28" t="str">
        <f aca="false">IF(C286="","",IF(OR(C286="1. bekkur",C286="2. bekkur",C286="3. bekkur",C286="4. bekkur"),"Já",IF(C286="Starfsmaður","Nei","Nei")))</f>
        <v>Já</v>
      </c>
      <c r="G286" s="63" t="s">
        <v>1135</v>
      </c>
      <c r="H286" s="63" t="s">
        <v>1473</v>
      </c>
      <c r="I286" s="63"/>
      <c r="J286" s="64" t="s">
        <v>2068</v>
      </c>
    </row>
    <row r="287" customFormat="false" ht="15" hidden="false" customHeight="true" outlineLevel="0" collapsed="false">
      <c r="A287" s="9" t="s">
        <v>1447</v>
      </c>
      <c r="B287" s="9" t="s">
        <v>1490</v>
      </c>
      <c r="C287" s="9" t="s">
        <v>1141</v>
      </c>
      <c r="D287" s="9" t="s">
        <v>1701</v>
      </c>
      <c r="E287" s="9" t="s">
        <v>1701</v>
      </c>
      <c r="F287" s="28" t="str">
        <f aca="false">IF(C287="","",IF(OR(C287="1. bekkur",C287="2. bekkur",C287="3. bekkur",C287="4. bekkur"),"Já",IF(C287="Starfsmaður","Nei","Nei")))</f>
        <v>Nei</v>
      </c>
      <c r="G287" s="9" t="s">
        <v>1135</v>
      </c>
      <c r="H287" s="9" t="s">
        <v>1473</v>
      </c>
      <c r="I287" s="9"/>
      <c r="J287" s="64" t="s">
        <v>2069</v>
      </c>
    </row>
    <row r="288" customFormat="false" ht="15" hidden="false" customHeight="true" outlineLevel="0" collapsed="false">
      <c r="A288" s="63" t="s">
        <v>1447</v>
      </c>
      <c r="B288" s="63" t="s">
        <v>1491</v>
      </c>
      <c r="C288" s="63" t="s">
        <v>1218</v>
      </c>
      <c r="D288" s="63" t="s">
        <v>1701</v>
      </c>
      <c r="E288" s="63" t="s">
        <v>1701</v>
      </c>
      <c r="F288" s="28" t="str">
        <f aca="false">IF(C288="","",IF(OR(C288="1. bekkur",C288="2. bekkur",C288="3. bekkur",C288="4. bekkur"),"Já",IF(C288="Starfsmaður","Nei","Nei")))</f>
        <v>Nei</v>
      </c>
      <c r="G288" s="63" t="s">
        <v>1135</v>
      </c>
      <c r="H288" s="63" t="s">
        <v>1473</v>
      </c>
      <c r="I288" s="63"/>
      <c r="J288" s="64" t="s">
        <v>2070</v>
      </c>
    </row>
    <row r="289" customFormat="false" ht="15" hidden="false" customHeight="true" outlineLevel="0" collapsed="false">
      <c r="A289" s="9" t="s">
        <v>1447</v>
      </c>
      <c r="B289" s="9" t="s">
        <v>1492</v>
      </c>
      <c r="C289" s="9" t="s">
        <v>1156</v>
      </c>
      <c r="D289" s="9" t="s">
        <v>1701</v>
      </c>
      <c r="E289" s="9" t="s">
        <v>1701</v>
      </c>
      <c r="F289" s="28" t="str">
        <f aca="false">IF(C289="","",IF(OR(C289="1. bekkur",C289="2. bekkur",C289="3. bekkur",C289="4. bekkur"),"Já",IF(C289="Starfsmaður","Nei","Nei")))</f>
        <v>Nei</v>
      </c>
      <c r="G289" s="9" t="s">
        <v>1135</v>
      </c>
      <c r="H289" s="9" t="s">
        <v>1473</v>
      </c>
      <c r="I289" s="9"/>
      <c r="J289" s="64" t="s">
        <v>2071</v>
      </c>
    </row>
    <row r="290" customFormat="false" ht="15" hidden="false" customHeight="true" outlineLevel="0" collapsed="false">
      <c r="A290" s="63" t="s">
        <v>1447</v>
      </c>
      <c r="B290" s="63" t="s">
        <v>2072</v>
      </c>
      <c r="C290" s="63" t="s">
        <v>1151</v>
      </c>
      <c r="D290" s="63" t="s">
        <v>1701</v>
      </c>
      <c r="E290" s="63" t="s">
        <v>1701</v>
      </c>
      <c r="F290" s="28" t="str">
        <f aca="false">IF(C290="","",IF(OR(C290="1. bekkur",C290="2. bekkur",C290="3. bekkur",C290="4. bekkur"),"Já",IF(C290="Starfsmaður","Nei","Nei")))</f>
        <v>Já</v>
      </c>
      <c r="G290" s="63" t="s">
        <v>1135</v>
      </c>
      <c r="H290" s="63"/>
      <c r="I290" s="63"/>
      <c r="J290" s="64" t="s">
        <v>2073</v>
      </c>
    </row>
    <row r="291" customFormat="false" ht="15" hidden="false" customHeight="true" outlineLevel="0" collapsed="false">
      <c r="A291" s="9" t="s">
        <v>1447</v>
      </c>
      <c r="B291" s="9" t="s">
        <v>2074</v>
      </c>
      <c r="C291" s="9" t="s">
        <v>1162</v>
      </c>
      <c r="D291" s="9" t="s">
        <v>1701</v>
      </c>
      <c r="E291" s="9" t="s">
        <v>1701</v>
      </c>
      <c r="F291" s="28" t="str">
        <f aca="false">IF(C291="","",IF(OR(C291="1. bekkur",C291="2. bekkur",C291="3. bekkur",C291="4. bekkur"),"Já",IF(C291="Starfsmaður","Nei","Nei")))</f>
        <v>Nei</v>
      </c>
      <c r="G291" s="9" t="s">
        <v>40</v>
      </c>
      <c r="H291" s="9"/>
      <c r="I291" s="9"/>
      <c r="J291" s="64" t="s">
        <v>2075</v>
      </c>
    </row>
    <row r="292" customFormat="false" ht="15" hidden="false" customHeight="true" outlineLevel="0" collapsed="false">
      <c r="A292" s="63" t="s">
        <v>1447</v>
      </c>
      <c r="B292" s="63" t="s">
        <v>2076</v>
      </c>
      <c r="C292" s="63" t="s">
        <v>1162</v>
      </c>
      <c r="D292" s="63" t="s">
        <v>1701</v>
      </c>
      <c r="E292" s="63" t="s">
        <v>1701</v>
      </c>
      <c r="F292" s="28" t="str">
        <f aca="false">IF(C292="","",IF(OR(C292="1. bekkur",C292="2. bekkur",C292="3. bekkur",C292="4. bekkur"),"Já",IF(C292="Starfsmaður","Nei","Nei")))</f>
        <v>Nei</v>
      </c>
      <c r="G292" s="63" t="s">
        <v>1571</v>
      </c>
      <c r="H292" s="63"/>
      <c r="I292" s="63"/>
      <c r="J292" s="64" t="s">
        <v>2077</v>
      </c>
    </row>
    <row r="293" customFormat="false" ht="15" hidden="false" customHeight="true" outlineLevel="0" collapsed="false">
      <c r="A293" s="9" t="s">
        <v>1447</v>
      </c>
      <c r="B293" s="9" t="s">
        <v>1493</v>
      </c>
      <c r="C293" s="9" t="s">
        <v>1134</v>
      </c>
      <c r="D293" s="9" t="s">
        <v>1724</v>
      </c>
      <c r="E293" s="9" t="s">
        <v>1701</v>
      </c>
      <c r="F293" s="28" t="str">
        <f aca="false">IF(C293="","",IF(OR(C293="1. bekkur",C293="2. bekkur",C293="3. bekkur",C293="4. bekkur"),"Já",IF(C293="Starfsmaður","Nei","Nei")))</f>
        <v>Já</v>
      </c>
      <c r="G293" s="9" t="s">
        <v>1183</v>
      </c>
      <c r="H293" s="9" t="s">
        <v>1408</v>
      </c>
      <c r="I293" s="9"/>
      <c r="J293" s="64" t="s">
        <v>2078</v>
      </c>
    </row>
    <row r="294" customFormat="false" ht="15" hidden="false" customHeight="true" outlineLevel="0" collapsed="false">
      <c r="A294" s="63" t="s">
        <v>1447</v>
      </c>
      <c r="B294" s="63" t="s">
        <v>1494</v>
      </c>
      <c r="C294" s="63" t="s">
        <v>1151</v>
      </c>
      <c r="D294" s="63" t="s">
        <v>1724</v>
      </c>
      <c r="E294" s="63" t="s">
        <v>1701</v>
      </c>
      <c r="F294" s="28" t="str">
        <f aca="false">IF(C294="","",IF(OR(C294="1. bekkur",C294="2. bekkur",C294="3. bekkur",C294="4. bekkur"),"Já",IF(C294="Starfsmaður","Nei","Nei")))</f>
        <v>Já</v>
      </c>
      <c r="G294" s="63" t="s">
        <v>1135</v>
      </c>
      <c r="H294" s="63" t="s">
        <v>1473</v>
      </c>
      <c r="I294" s="63"/>
      <c r="J294" s="64" t="s">
        <v>2079</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64" t="str">
        <f aca="false">IF(OR(A295="",B295=""),"",CONCATENATE("https://matarstund.is/serfaedi?id=",LOWER(SUBSTITUTE(B295," ","-"))))</f>
        <v/>
      </c>
    </row>
    <row r="296" customFormat="false" ht="15" hidden="false" customHeight="true" outlineLevel="0" collapsed="false">
      <c r="A296" s="63"/>
      <c r="B296" s="63"/>
      <c r="C296" s="63"/>
      <c r="D296" s="63"/>
      <c r="E296" s="63"/>
      <c r="F296" s="28" t="str">
        <f aca="false">IF(C296="","",IF(OR(C296="1. bekkur",C296="2. bekkur",C296="3. bekkur",C296="4. bekkur"),"Já",IF(C296="Starfsmaður","Nei","Nei")))</f>
        <v/>
      </c>
      <c r="G296" s="63"/>
      <c r="H296" s="63"/>
      <c r="I296" s="63"/>
      <c r="J296" s="64" t="str">
        <f aca="false">IF(OR(A296="",B296=""),"",CONCATENATE("https://matarstund.is/serfaedi?id=",LOWER(SUBSTITUTE(B296,"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64" t="str">
        <f aca="false">IF(OR(A297="",B297=""),"",CONCATENATE("https://matarstund.is/serfaedi?id=",LOWER(SUBSTITUTE(B297," ","-"))))</f>
        <v/>
      </c>
    </row>
    <row r="298" customFormat="false" ht="15" hidden="false" customHeight="true" outlineLevel="0" collapsed="false">
      <c r="A298" s="63"/>
      <c r="B298" s="63"/>
      <c r="C298" s="63"/>
      <c r="D298" s="63"/>
      <c r="E298" s="63"/>
      <c r="F298" s="28" t="str">
        <f aca="false">IF(C298="","",IF(OR(C298="1. bekkur",C298="2. bekkur",C298="3. bekkur",C298="4. bekkur"),"Já",IF(C298="Starfsmaður","Nei","Nei")))</f>
        <v/>
      </c>
      <c r="G298" s="63"/>
      <c r="H298" s="63"/>
      <c r="I298" s="63"/>
      <c r="J298" s="64" t="str">
        <f aca="false">IF(OR(A298="",B298=""),"",CONCATENATE("https://matarstund.is/serfaedi?id=",LOWER(SUBSTITUTE(B298,"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64" t="str">
        <f aca="false">IF(OR(A299="",B299=""),"",CONCATENATE("https://matarstund.is/serfaedi?id=",LOWER(SUBSTITUTE(B299," ","-"))))</f>
        <v/>
      </c>
    </row>
    <row r="300" customFormat="false" ht="15" hidden="false" customHeight="true" outlineLevel="0" collapsed="false">
      <c r="A300" s="63"/>
      <c r="B300" s="63"/>
      <c r="C300" s="63"/>
      <c r="D300" s="63"/>
      <c r="E300" s="63"/>
      <c r="F300" s="28" t="str">
        <f aca="false">IF(C300="","",IF(OR(C300="1. bekkur",C300="2. bekkur",C300="3. bekkur",C300="4. bekkur"),"Já",IF(C300="Starfsmaður","Nei","Nei")))</f>
        <v/>
      </c>
      <c r="G300" s="63"/>
      <c r="H300" s="63"/>
      <c r="I300" s="63"/>
      <c r="J300" s="64" t="str">
        <f aca="false">IF(OR(A300="",B300=""),"",CONCATENATE("https://matarstund.is/serfaedi?id=",LOWER(SUBSTITUTE(B300,"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64" t="str">
        <f aca="false">IF(OR(A301="",B301=""),"",CONCATENATE("https://matarstund.is/serfaedi?id=",LOWER(SUBSTITUTE(B301," ","-"))))</f>
        <v/>
      </c>
    </row>
    <row r="302" customFormat="false" ht="15" hidden="false" customHeight="true" outlineLevel="0" collapsed="false">
      <c r="A302" s="63"/>
      <c r="B302" s="63"/>
      <c r="C302" s="63"/>
      <c r="D302" s="63"/>
      <c r="E302" s="63"/>
      <c r="F302" s="28" t="str">
        <f aca="false">IF(C302="","",IF(OR(C302="1. bekkur",C302="2. bekkur",C302="3. bekkur",C302="4. bekkur"),"Já",IF(C302="Starfsmaður","Nei","Nei")))</f>
        <v/>
      </c>
      <c r="G302" s="63"/>
      <c r="H302" s="63"/>
      <c r="I302" s="63"/>
      <c r="J302" s="64" t="str">
        <f aca="false">IF(OR(A302="",B302=""),"",CONCATENATE("https://matarstund.is/serfaedi?id=",LOWER(SUBSTITUTE(B302,"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64" t="str">
        <f aca="false">IF(OR(A303="",B303=""),"",CONCATENATE("https://matarstund.is/serfaedi?id=",LOWER(SUBSTITUTE(B303," ","-"))))</f>
        <v/>
      </c>
    </row>
    <row r="304" customFormat="false" ht="15" hidden="false" customHeight="true" outlineLevel="0" collapsed="false">
      <c r="A304" s="63"/>
      <c r="B304" s="63"/>
      <c r="C304" s="63"/>
      <c r="D304" s="63"/>
      <c r="E304" s="63"/>
      <c r="F304" s="28" t="str">
        <f aca="false">IF(C304="","",IF(OR(C304="1. bekkur",C304="2. bekkur",C304="3. bekkur",C304="4. bekkur"),"Já",IF(C304="Starfsmaður","Nei","Nei")))</f>
        <v/>
      </c>
      <c r="G304" s="63"/>
      <c r="H304" s="63"/>
      <c r="I304" s="63"/>
      <c r="J304" s="64" t="str">
        <f aca="false">IF(OR(A304="",B304=""),"",CONCATENATE("https://matarstund.is/serfaedi?id=",LOWER(SUBSTITUTE(B304,"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64" t="str">
        <f aca="false">IF(OR(A305="",B305=""),"",CONCATENATE("https://matarstund.is/serfaedi?id=",LOWER(SUBSTITUTE(B305," ","-"))))</f>
        <v/>
      </c>
    </row>
    <row r="306" customFormat="false" ht="15" hidden="false" customHeight="true" outlineLevel="0" collapsed="false">
      <c r="A306" s="63"/>
      <c r="B306" s="63"/>
      <c r="C306" s="63"/>
      <c r="D306" s="63"/>
      <c r="E306" s="63"/>
      <c r="F306" s="28" t="str">
        <f aca="false">IF(C306="","",IF(OR(C306="1. bekkur",C306="2. bekkur",C306="3. bekkur",C306="4. bekkur"),"Já",IF(C306="Starfsmaður","Nei","Nei")))</f>
        <v/>
      </c>
      <c r="G306" s="63"/>
      <c r="H306" s="63"/>
      <c r="I306" s="63"/>
      <c r="J306" s="64" t="str">
        <f aca="false">IF(OR(A306="",B306=""),"",CONCATENATE("https://matarstund.is/serfaedi?id=",LOWER(SUBSTITUTE(B306,"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64" t="str">
        <f aca="false">IF(OR(A307="",B307=""),"",CONCATENATE("https://matarstund.is/serfaedi?id=",LOWER(SUBSTITUTE(B307," ","-"))))</f>
        <v/>
      </c>
    </row>
    <row r="308" customFormat="false" ht="15" hidden="false" customHeight="true" outlineLevel="0" collapsed="false">
      <c r="A308" s="63"/>
      <c r="B308" s="63"/>
      <c r="C308" s="63"/>
      <c r="D308" s="63"/>
      <c r="E308" s="63"/>
      <c r="F308" s="28" t="str">
        <f aca="false">IF(C308="","",IF(OR(C308="1. bekkur",C308="2. bekkur",C308="3. bekkur",C308="4. bekkur"),"Já",IF(C308="Starfsmaður","Nei","Nei")))</f>
        <v/>
      </c>
      <c r="G308" s="63"/>
      <c r="H308" s="63"/>
      <c r="I308" s="63"/>
      <c r="J308" s="64" t="str">
        <f aca="false">IF(OR(A308="",B308=""),"",CONCATENATE("https://matarstund.is/serfaedi?id=",LOWER(SUBSTITUTE(B308,"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64" t="str">
        <f aca="false">IF(OR(A309="",B309=""),"",CONCATENATE("https://matarstund.is/serfaedi?id=",LOWER(SUBSTITUTE(B309," ","-"))))</f>
        <v/>
      </c>
    </row>
    <row r="310" customFormat="false" ht="15" hidden="false" customHeight="true" outlineLevel="0" collapsed="false">
      <c r="A310" s="63"/>
      <c r="B310" s="63"/>
      <c r="C310" s="63"/>
      <c r="D310" s="63"/>
      <c r="E310" s="63"/>
      <c r="F310" s="28" t="str">
        <f aca="false">IF(C310="","",IF(OR(C310="1. bekkur",C310="2. bekkur",C310="3. bekkur",C310="4. bekkur"),"Já",IF(C310="Starfsmaður","Nei","Nei")))</f>
        <v/>
      </c>
      <c r="G310" s="63"/>
      <c r="H310" s="63"/>
      <c r="I310" s="63"/>
      <c r="J310" s="64" t="str">
        <f aca="false">IF(OR(A310="",B310=""),"",CONCATENATE("https://matarstund.is/serfaedi?id=",LOWER(SUBSTITUTE(B310,"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64" t="str">
        <f aca="false">IF(OR(A311="",B311=""),"",CONCATENATE("https://matarstund.is/serfaedi?id=",LOWER(SUBSTITUTE(B311," ","-"))))</f>
        <v/>
      </c>
    </row>
    <row r="312" customFormat="false" ht="15" hidden="false" customHeight="true" outlineLevel="0" collapsed="false">
      <c r="A312" s="63"/>
      <c r="B312" s="63"/>
      <c r="C312" s="63"/>
      <c r="D312" s="63"/>
      <c r="E312" s="63"/>
      <c r="F312" s="28" t="str">
        <f aca="false">IF(C312="","",IF(OR(C312="1. bekkur",C312="2. bekkur",C312="3. bekkur",C312="4. bekkur"),"Já",IF(C312="Starfsmaður","Nei","Nei")))</f>
        <v/>
      </c>
      <c r="G312" s="63"/>
      <c r="H312" s="63"/>
      <c r="I312" s="63"/>
      <c r="J312" s="64" t="str">
        <f aca="false">IF(OR(A312="",B312=""),"",CONCATENATE("https://matarstund.is/serfaedi?id=",LOWER(SUBSTITUTE(B312,"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64" t="str">
        <f aca="false">IF(OR(A313="",B313=""),"",CONCATENATE("https://matarstund.is/serfaedi?id=",LOWER(SUBSTITUTE(B313," ","-"))))</f>
        <v/>
      </c>
    </row>
    <row r="314" customFormat="false" ht="15" hidden="false" customHeight="true" outlineLevel="0" collapsed="false">
      <c r="A314" s="63"/>
      <c r="B314" s="63"/>
      <c r="C314" s="63"/>
      <c r="D314" s="63"/>
      <c r="E314" s="63"/>
      <c r="F314" s="28" t="str">
        <f aca="false">IF(C314="","",IF(OR(C314="1. bekkur",C314="2. bekkur",C314="3. bekkur",C314="4. bekkur"),"Já",IF(C314="Starfsmaður","Nei","Nei")))</f>
        <v/>
      </c>
      <c r="G314" s="63"/>
      <c r="H314" s="63"/>
      <c r="I314" s="63"/>
      <c r="J314" s="64" t="str">
        <f aca="false">IF(OR(A314="",B314=""),"",CONCATENATE("https://matarstund.is/serfaedi?id=",LOWER(SUBSTITUTE(B314,"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64" t="str">
        <f aca="false">IF(OR(A315="",B315=""),"",CONCATENATE("https://matarstund.is/serfaedi?id=",LOWER(SUBSTITUTE(B315," ","-"))))</f>
        <v/>
      </c>
    </row>
    <row r="316" customFormat="false" ht="15" hidden="false" customHeight="true" outlineLevel="0" collapsed="false">
      <c r="A316" s="63"/>
      <c r="B316" s="63"/>
      <c r="C316" s="63"/>
      <c r="D316" s="63"/>
      <c r="E316" s="63"/>
      <c r="F316" s="28" t="str">
        <f aca="false">IF(C316="","",IF(OR(C316="1. bekkur",C316="2. bekkur",C316="3. bekkur",C316="4. bekkur"),"Já",IF(C316="Starfsmaður","Nei","Nei")))</f>
        <v/>
      </c>
      <c r="G316" s="63"/>
      <c r="H316" s="63"/>
      <c r="I316" s="63"/>
      <c r="J316" s="64" t="str">
        <f aca="false">IF(OR(A316="",B316=""),"",CONCATENATE("https://matarstund.is/serfaedi?id=",LOWER(SUBSTITUTE(B316,"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64" t="str">
        <f aca="false">IF(OR(A317="",B317=""),"",CONCATENATE("https://matarstund.is/serfaedi?id=",LOWER(SUBSTITUTE(B317," ","-"))))</f>
        <v/>
      </c>
    </row>
    <row r="318" customFormat="false" ht="15" hidden="false" customHeight="true" outlineLevel="0" collapsed="false">
      <c r="A318" s="63"/>
      <c r="B318" s="63"/>
      <c r="C318" s="63"/>
      <c r="D318" s="63"/>
      <c r="E318" s="63"/>
      <c r="F318" s="28" t="str">
        <f aca="false">IF(C318="","",IF(OR(C318="1. bekkur",C318="2. bekkur",C318="3. bekkur",C318="4. bekkur"),"Já",IF(C318="Starfsmaður","Nei","Nei")))</f>
        <v/>
      </c>
      <c r="G318" s="63"/>
      <c r="H318" s="63"/>
      <c r="I318" s="63"/>
      <c r="J318" s="64" t="str">
        <f aca="false">IF(OR(A318="",B318=""),"",CONCATENATE("https://matarstund.is/serfaedi?id=",LOWER(SUBSTITUTE(B318,"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64" t="str">
        <f aca="false">IF(OR(A319="",B319=""),"",CONCATENATE("https://matarstund.is/serfaedi?id=",LOWER(SUBSTITUTE(B319," ","-"))))</f>
        <v/>
      </c>
    </row>
    <row r="320" customFormat="false" ht="15" hidden="false" customHeight="true" outlineLevel="0" collapsed="false">
      <c r="A320" s="63"/>
      <c r="B320" s="63"/>
      <c r="C320" s="63"/>
      <c r="D320" s="63"/>
      <c r="E320" s="63"/>
      <c r="F320" s="28" t="str">
        <f aca="false">IF(C320="","",IF(OR(C320="1. bekkur",C320="2. bekkur",C320="3. bekkur",C320="4. bekkur"),"Já",IF(C320="Starfsmaður","Nei","Nei")))</f>
        <v/>
      </c>
      <c r="G320" s="63"/>
      <c r="H320" s="63"/>
      <c r="I320" s="63"/>
      <c r="J320" s="64" t="str">
        <f aca="false">IF(OR(A320="",B320=""),"",CONCATENATE("https://matarstund.is/serfaedi?id=",LOWER(SUBSTITUTE(B320,"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64" t="str">
        <f aca="false">IF(OR(A321="",B321=""),"",CONCATENATE("https://matarstund.is/serfaedi?id=",LOWER(SUBSTITUTE(B321," ","-"))))</f>
        <v/>
      </c>
    </row>
    <row r="322" customFormat="false" ht="15" hidden="false" customHeight="true" outlineLevel="0" collapsed="false">
      <c r="A322" s="63"/>
      <c r="B322" s="63"/>
      <c r="C322" s="63"/>
      <c r="D322" s="63"/>
      <c r="E322" s="63"/>
      <c r="F322" s="28" t="str">
        <f aca="false">IF(C322="","",IF(OR(C322="1. bekkur",C322="2. bekkur",C322="3. bekkur",C322="4. bekkur"),"Já",IF(C322="Starfsmaður","Nei","Nei")))</f>
        <v/>
      </c>
      <c r="G322" s="63"/>
      <c r="H322" s="63"/>
      <c r="I322" s="63"/>
      <c r="J322" s="64" t="str">
        <f aca="false">IF(OR(A322="",B322=""),"",CONCATENATE("https://matarstund.is/serfaedi?id=",LOWER(SUBSTITUTE(B322,"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64" t="str">
        <f aca="false">IF(OR(A323="",B323=""),"",CONCATENATE("https://matarstund.is/serfaedi?id=",LOWER(SUBSTITUTE(B323," ","-"))))</f>
        <v/>
      </c>
    </row>
    <row r="324" customFormat="false" ht="15" hidden="false" customHeight="true" outlineLevel="0" collapsed="false">
      <c r="A324" s="63"/>
      <c r="B324" s="63"/>
      <c r="C324" s="63"/>
      <c r="D324" s="63"/>
      <c r="E324" s="63"/>
      <c r="F324" s="28" t="str">
        <f aca="false">IF(C324="","",IF(OR(C324="1. bekkur",C324="2. bekkur",C324="3. bekkur",C324="4. bekkur"),"Já",IF(C324="Starfsmaður","Nei","Nei")))</f>
        <v/>
      </c>
      <c r="G324" s="63"/>
      <c r="H324" s="63"/>
      <c r="I324" s="63"/>
      <c r="J324" s="64" t="str">
        <f aca="false">IF(OR(A324="",B324=""),"",CONCATENATE("https://matarstund.is/serfaedi?id=",LOWER(SUBSTITUTE(B324,"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64" t="str">
        <f aca="false">IF(OR(A325="",B325=""),"",CONCATENATE("https://matarstund.is/serfaedi?id=",LOWER(SUBSTITUTE(B325," ","-"))))</f>
        <v/>
      </c>
    </row>
    <row r="326" customFormat="false" ht="15" hidden="false" customHeight="true" outlineLevel="0" collapsed="false">
      <c r="A326" s="63"/>
      <c r="B326" s="63"/>
      <c r="C326" s="63"/>
      <c r="D326" s="63"/>
      <c r="E326" s="63"/>
      <c r="F326" s="28" t="str">
        <f aca="false">IF(C326="","",IF(OR(C326="1. bekkur",C326="2. bekkur",C326="3. bekkur",C326="4. bekkur"),"Já",IF(C326="Starfsmaður","Nei","Nei")))</f>
        <v/>
      </c>
      <c r="G326" s="63"/>
      <c r="H326" s="63"/>
      <c r="I326" s="63"/>
      <c r="J326" s="64" t="str">
        <f aca="false">IF(OR(A326="",B326=""),"",CONCATENATE("https://matarstund.is/serfaedi?id=",LOWER(SUBSTITUTE(B326,"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64" t="str">
        <f aca="false">IF(OR(A327="",B327=""),"",CONCATENATE("https://matarstund.is/serfaedi?id=",LOWER(SUBSTITUTE(B327," ","-"))))</f>
        <v/>
      </c>
    </row>
    <row r="328" customFormat="false" ht="15" hidden="false" customHeight="true" outlineLevel="0" collapsed="false">
      <c r="A328" s="63"/>
      <c r="B328" s="63"/>
      <c r="C328" s="63"/>
      <c r="D328" s="63"/>
      <c r="E328" s="63"/>
      <c r="F328" s="28" t="str">
        <f aca="false">IF(C328="","",IF(OR(C328="1. bekkur",C328="2. bekkur",C328="3. bekkur",C328="4. bekkur"),"Já",IF(C328="Starfsmaður","Nei","Nei")))</f>
        <v/>
      </c>
      <c r="G328" s="63"/>
      <c r="H328" s="63"/>
      <c r="I328" s="63"/>
      <c r="J328" s="64" t="str">
        <f aca="false">IF(OR(A328="",B328=""),"",CONCATENATE("https://matarstund.is/serfaedi?id=",LOWER(SUBSTITUTE(B328,"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64" t="str">
        <f aca="false">IF(OR(A329="",B329=""),"",CONCATENATE("https://matarstund.is/serfaedi?id=",LOWER(SUBSTITUTE(B329," ","-"))))</f>
        <v/>
      </c>
    </row>
    <row r="330" customFormat="false" ht="15" hidden="false" customHeight="true" outlineLevel="0" collapsed="false">
      <c r="A330" s="63"/>
      <c r="B330" s="63"/>
      <c r="C330" s="63"/>
      <c r="D330" s="63"/>
      <c r="E330" s="63"/>
      <c r="F330" s="28" t="str">
        <f aca="false">IF(C330="","",IF(OR(C330="1. bekkur",C330="2. bekkur",C330="3. bekkur",C330="4. bekkur"),"Já",IF(C330="Starfsmaður","Nei","Nei")))</f>
        <v/>
      </c>
      <c r="G330" s="63"/>
      <c r="H330" s="63"/>
      <c r="I330" s="63"/>
      <c r="J330" s="64" t="str">
        <f aca="false">IF(OR(A330="",B330=""),"",CONCATENATE("https://matarstund.is/serfaedi?id=",LOWER(SUBSTITUTE(B330,"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64" t="str">
        <f aca="false">IF(OR(A331="",B331=""),"",CONCATENATE("https://matarstund.is/serfaedi?id=",LOWER(SUBSTITUTE(B331," ","-"))))</f>
        <v/>
      </c>
    </row>
    <row r="332" customFormat="false" ht="15" hidden="false" customHeight="true" outlineLevel="0" collapsed="false">
      <c r="A332" s="63"/>
      <c r="B332" s="63"/>
      <c r="C332" s="63"/>
      <c r="D332" s="63"/>
      <c r="E332" s="63"/>
      <c r="F332" s="28" t="str">
        <f aca="false">IF(C332="","",IF(OR(C332="1. bekkur",C332="2. bekkur",C332="3. bekkur",C332="4. bekkur"),"Já",IF(C332="Starfsmaður","Nei","Nei")))</f>
        <v/>
      </c>
      <c r="G332" s="63"/>
      <c r="H332" s="63"/>
      <c r="I332" s="63"/>
      <c r="J332" s="64" t="str">
        <f aca="false">IF(OR(A332="",B332=""),"",CONCATENATE("https://matarstund.is/serfaedi?id=",LOWER(SUBSTITUTE(B332,"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64" t="str">
        <f aca="false">IF(OR(A333="",B333=""),"",CONCATENATE("https://matarstund.is/serfaedi?id=",LOWER(SUBSTITUTE(B333," ","-"))))</f>
        <v/>
      </c>
    </row>
    <row r="334" customFormat="false" ht="15" hidden="false" customHeight="true" outlineLevel="0" collapsed="false">
      <c r="A334" s="63"/>
      <c r="B334" s="63"/>
      <c r="C334" s="63"/>
      <c r="D334" s="63"/>
      <c r="E334" s="63"/>
      <c r="F334" s="28" t="str">
        <f aca="false">IF(C334="","",IF(OR(C334="1. bekkur",C334="2. bekkur",C334="3. bekkur",C334="4. bekkur"),"Já",IF(C334="Starfsmaður","Nei","Nei")))</f>
        <v/>
      </c>
      <c r="G334" s="63"/>
      <c r="H334" s="63"/>
      <c r="I334" s="63"/>
      <c r="J334" s="64" t="str">
        <f aca="false">IF(OR(A334="",B334=""),"",CONCATENATE("https://matarstund.is/serfaedi?id=",LOWER(SUBSTITUTE(B334,"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64" t="str">
        <f aca="false">IF(OR(A335="",B335=""),"",CONCATENATE("https://matarstund.is/serfaedi?id=",LOWER(SUBSTITUTE(B335," ","-"))))</f>
        <v/>
      </c>
    </row>
    <row r="336" customFormat="false" ht="15" hidden="false" customHeight="true" outlineLevel="0" collapsed="false">
      <c r="A336" s="63"/>
      <c r="B336" s="63"/>
      <c r="C336" s="63"/>
      <c r="D336" s="63"/>
      <c r="E336" s="63"/>
      <c r="F336" s="28" t="str">
        <f aca="false">IF(C336="","",IF(OR(C336="1. bekkur",C336="2. bekkur",C336="3. bekkur",C336="4. bekkur"),"Já",IF(C336="Starfsmaður","Nei","Nei")))</f>
        <v/>
      </c>
      <c r="G336" s="63"/>
      <c r="H336" s="63"/>
      <c r="I336" s="63"/>
      <c r="J336" s="64" t="str">
        <f aca="false">IF(OR(A336="",B336=""),"",CONCATENATE("https://matarstund.is/serfaedi?id=",LOWER(SUBSTITUTE(B336,"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64" t="str">
        <f aca="false">IF(OR(A337="",B337=""),"",CONCATENATE("https://matarstund.is/serfaedi?id=",LOWER(SUBSTITUTE(B337," ","-"))))</f>
        <v/>
      </c>
    </row>
    <row r="338" customFormat="false" ht="15" hidden="false" customHeight="true" outlineLevel="0" collapsed="false">
      <c r="A338" s="63"/>
      <c r="B338" s="63"/>
      <c r="C338" s="63"/>
      <c r="D338" s="63"/>
      <c r="E338" s="63"/>
      <c r="F338" s="28" t="str">
        <f aca="false">IF(C338="","",IF(OR(C338="1. bekkur",C338="2. bekkur",C338="3. bekkur",C338="4. bekkur"),"Já",IF(C338="Starfsmaður","Nei","Nei")))</f>
        <v/>
      </c>
      <c r="G338" s="63"/>
      <c r="H338" s="63"/>
      <c r="I338" s="63"/>
      <c r="J338" s="64" t="str">
        <f aca="false">IF(OR(A338="",B338=""),"",CONCATENATE("https://matarstund.is/serfaedi?id=",LOWER(SUBSTITUTE(B338,"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64" t="str">
        <f aca="false">IF(OR(A339="",B339=""),"",CONCATENATE("https://matarstund.is/serfaedi?id=",LOWER(SUBSTITUTE(B339," ","-"))))</f>
        <v/>
      </c>
    </row>
    <row r="340" customFormat="false" ht="15" hidden="false" customHeight="true" outlineLevel="0" collapsed="false">
      <c r="A340" s="63"/>
      <c r="B340" s="63"/>
      <c r="C340" s="63"/>
      <c r="D340" s="63"/>
      <c r="E340" s="63"/>
      <c r="F340" s="28" t="str">
        <f aca="false">IF(C340="","",IF(OR(C340="1. bekkur",C340="2. bekkur",C340="3. bekkur",C340="4. bekkur"),"Já",IF(C340="Starfsmaður","Nei","Nei")))</f>
        <v/>
      </c>
      <c r="G340" s="63"/>
      <c r="H340" s="63"/>
      <c r="I340" s="63"/>
      <c r="J340" s="64" t="str">
        <f aca="false">IF(OR(A340="",B340=""),"",CONCATENATE("https://matarstund.is/serfaedi?id=",LOWER(SUBSTITUTE(B340,"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64" t="str">
        <f aca="false">IF(OR(A341="",B341=""),"",CONCATENATE("https://matarstund.is/serfaedi?id=",LOWER(SUBSTITUTE(B341," ","-"))))</f>
        <v/>
      </c>
    </row>
    <row r="342" customFormat="false" ht="15" hidden="false" customHeight="true" outlineLevel="0" collapsed="false">
      <c r="A342" s="63"/>
      <c r="B342" s="63"/>
      <c r="C342" s="63"/>
      <c r="D342" s="63"/>
      <c r="E342" s="63"/>
      <c r="F342" s="28" t="str">
        <f aca="false">IF(C342="","",IF(OR(C342="1. bekkur",C342="2. bekkur",C342="3. bekkur",C342="4. bekkur"),"Já",IF(C342="Starfsmaður","Nei","Nei")))</f>
        <v/>
      </c>
      <c r="G342" s="63"/>
      <c r="H342" s="63"/>
      <c r="I342" s="63"/>
      <c r="J342" s="64" t="str">
        <f aca="false">IF(OR(A342="",B342=""),"",CONCATENATE("https://matarstund.is/serfaedi?id=",LOWER(SUBSTITUTE(B342,"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64" t="str">
        <f aca="false">IF(OR(A343="",B343=""),"",CONCATENATE("https://matarstund.is/serfaedi?id=",LOWER(SUBSTITUTE(B343," ","-"))))</f>
        <v/>
      </c>
    </row>
    <row r="344" customFormat="false" ht="15" hidden="false" customHeight="true" outlineLevel="0" collapsed="false">
      <c r="A344" s="63"/>
      <c r="B344" s="63"/>
      <c r="C344" s="63"/>
      <c r="D344" s="63"/>
      <c r="E344" s="63"/>
      <c r="F344" s="28" t="str">
        <f aca="false">IF(C344="","",IF(OR(C344="1. bekkur",C344="2. bekkur",C344="3. bekkur",C344="4. bekkur"),"Já",IF(C344="Starfsmaður","Nei","Nei")))</f>
        <v/>
      </c>
      <c r="G344" s="63"/>
      <c r="H344" s="63"/>
      <c r="I344" s="63"/>
      <c r="J344" s="64" t="str">
        <f aca="false">IF(OR(A344="",B344=""),"",CONCATENATE("https://matarstund.is/serfaedi?id=",LOWER(SUBSTITUTE(B344,"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64" t="str">
        <f aca="false">IF(OR(A345="",B345=""),"",CONCATENATE("https://matarstund.is/serfaedi?id=",LOWER(SUBSTITUTE(B345," ","-"))))</f>
        <v/>
      </c>
    </row>
    <row r="346" customFormat="false" ht="15" hidden="false" customHeight="true" outlineLevel="0" collapsed="false">
      <c r="A346" s="63"/>
      <c r="B346" s="63"/>
      <c r="C346" s="63"/>
      <c r="D346" s="63"/>
      <c r="E346" s="63"/>
      <c r="F346" s="28" t="str">
        <f aca="false">IF(C346="","",IF(OR(C346="1. bekkur",C346="2. bekkur",C346="3. bekkur",C346="4. bekkur"),"Já",IF(C346="Starfsmaður","Nei","Nei")))</f>
        <v/>
      </c>
      <c r="G346" s="63"/>
      <c r="H346" s="63"/>
      <c r="I346" s="63"/>
      <c r="J346" s="64" t="str">
        <f aca="false">IF(OR(A346="",B346=""),"",CONCATENATE("https://matarstund.is/serfaedi?id=",LOWER(SUBSTITUTE(B346,"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64" t="str">
        <f aca="false">IF(OR(A347="",B347=""),"",CONCATENATE("https://matarstund.is/serfaedi?id=",LOWER(SUBSTITUTE(B347," ","-"))))</f>
        <v/>
      </c>
    </row>
    <row r="348" customFormat="false" ht="15" hidden="false" customHeight="true" outlineLevel="0" collapsed="false">
      <c r="A348" s="63"/>
      <c r="B348" s="63"/>
      <c r="C348" s="63"/>
      <c r="D348" s="63"/>
      <c r="E348" s="63"/>
      <c r="F348" s="28" t="str">
        <f aca="false">IF(C348="","",IF(OR(C348="1. bekkur",C348="2. bekkur",C348="3. bekkur",C348="4. bekkur"),"Já",IF(C348="Starfsmaður","Nei","Nei")))</f>
        <v/>
      </c>
      <c r="G348" s="63"/>
      <c r="H348" s="63"/>
      <c r="I348" s="63"/>
      <c r="J348" s="64" t="str">
        <f aca="false">IF(OR(A348="",B348=""),"",CONCATENATE("https://matarstund.is/serfaedi?id=",LOWER(SUBSTITUTE(B348,"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64" t="str">
        <f aca="false">IF(OR(A349="",B349=""),"",CONCATENATE("https://matarstund.is/serfaedi?id=",LOWER(SUBSTITUTE(B349," ","-"))))</f>
        <v/>
      </c>
    </row>
    <row r="350" customFormat="false" ht="15" hidden="false" customHeight="true" outlineLevel="0" collapsed="false">
      <c r="A350" s="63"/>
      <c r="B350" s="63"/>
      <c r="C350" s="63"/>
      <c r="D350" s="63"/>
      <c r="E350" s="63"/>
      <c r="F350" s="28" t="str">
        <f aca="false">IF(C350="","",IF(OR(C350="1. bekkur",C350="2. bekkur",C350="3. bekkur",C350="4. bekkur"),"Já",IF(C350="Starfsmaður","Nei","Nei")))</f>
        <v/>
      </c>
      <c r="G350" s="63"/>
      <c r="H350" s="63"/>
      <c r="I350" s="63"/>
      <c r="J350" s="64" t="str">
        <f aca="false">IF(OR(A350="",B350=""),"",CONCATENATE("https://matarstund.is/serfaedi?id=",LOWER(SUBSTITUTE(B350,"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64" t="str">
        <f aca="false">IF(OR(A351="",B351=""),"",CONCATENATE("https://matarstund.is/serfaedi?id=",LOWER(SUBSTITUTE(B351," ","-"))))</f>
        <v/>
      </c>
    </row>
    <row r="352" customFormat="false" ht="15" hidden="false" customHeight="true" outlineLevel="0" collapsed="false">
      <c r="A352" s="63"/>
      <c r="B352" s="63"/>
      <c r="C352" s="63"/>
      <c r="D352" s="63"/>
      <c r="E352" s="63"/>
      <c r="F352" s="28" t="str">
        <f aca="false">IF(C352="","",IF(OR(C352="1. bekkur",C352="2. bekkur",C352="3. bekkur",C352="4. bekkur"),"Já",IF(C352="Starfsmaður","Nei","Nei")))</f>
        <v/>
      </c>
      <c r="G352" s="63"/>
      <c r="H352" s="63"/>
      <c r="I352" s="63"/>
      <c r="J352" s="64" t="str">
        <f aca="false">IF(OR(A352="",B352=""),"",CONCATENATE("https://matarstund.is/serfaedi?id=",LOWER(SUBSTITUTE(B352,"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64" t="str">
        <f aca="false">IF(OR(A353="",B353=""),"",CONCATENATE("https://matarstund.is/serfaedi?id=",LOWER(SUBSTITUTE(B353," ","-"))))</f>
        <v/>
      </c>
    </row>
    <row r="354" customFormat="false" ht="15" hidden="false" customHeight="true" outlineLevel="0" collapsed="false">
      <c r="A354" s="63"/>
      <c r="B354" s="63"/>
      <c r="C354" s="63"/>
      <c r="D354" s="63"/>
      <c r="E354" s="63"/>
      <c r="F354" s="28" t="str">
        <f aca="false">IF(C354="","",IF(OR(C354="1. bekkur",C354="2. bekkur",C354="3. bekkur",C354="4. bekkur"),"Já",IF(C354="Starfsmaður","Nei","Nei")))</f>
        <v/>
      </c>
      <c r="G354" s="63"/>
      <c r="H354" s="63"/>
      <c r="I354" s="63"/>
      <c r="J354" s="64" t="str">
        <f aca="false">IF(OR(A354="",B354=""),"",CONCATENATE("https://matarstund.is/serfaedi?id=",LOWER(SUBSTITUTE(B354,"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64" t="str">
        <f aca="false">IF(OR(A355="",B355=""),"",CONCATENATE("https://matarstund.is/serfaedi?id=",LOWER(SUBSTITUTE(B355," ","-"))))</f>
        <v/>
      </c>
    </row>
    <row r="356" customFormat="false" ht="15" hidden="false" customHeight="true" outlineLevel="0" collapsed="false">
      <c r="A356" s="63"/>
      <c r="B356" s="63"/>
      <c r="C356" s="63"/>
      <c r="D356" s="63"/>
      <c r="E356" s="63"/>
      <c r="F356" s="28" t="str">
        <f aca="false">IF(C356="","",IF(OR(C356="1. bekkur",C356="2. bekkur",C356="3. bekkur",C356="4. bekkur"),"Já",IF(C356="Starfsmaður","Nei","Nei")))</f>
        <v/>
      </c>
      <c r="G356" s="63"/>
      <c r="H356" s="63"/>
      <c r="I356" s="63"/>
      <c r="J356" s="64" t="str">
        <f aca="false">IF(OR(A356="",B356=""),"",CONCATENATE("https://matarstund.is/serfaedi?id=",LOWER(SUBSTITUTE(B356,"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64" t="str">
        <f aca="false">IF(OR(A357="",B357=""),"",CONCATENATE("https://matarstund.is/serfaedi?id=",LOWER(SUBSTITUTE(B357," ","-"))))</f>
        <v/>
      </c>
    </row>
    <row r="358" customFormat="false" ht="15" hidden="false" customHeight="true" outlineLevel="0" collapsed="false">
      <c r="A358" s="63"/>
      <c r="B358" s="63"/>
      <c r="C358" s="63"/>
      <c r="D358" s="63"/>
      <c r="E358" s="63"/>
      <c r="F358" s="28" t="str">
        <f aca="false">IF(C358="","",IF(OR(C358="1. bekkur",C358="2. bekkur",C358="3. bekkur",C358="4. bekkur"),"Já",IF(C358="Starfsmaður","Nei","Nei")))</f>
        <v/>
      </c>
      <c r="G358" s="63"/>
      <c r="H358" s="63"/>
      <c r="I358" s="63"/>
      <c r="J358" s="64" t="str">
        <f aca="false">IF(OR(A358="",B358=""),"",CONCATENATE("https://matarstund.is/serfaedi?id=",LOWER(SUBSTITUTE(B358,"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64" t="str">
        <f aca="false">IF(OR(A359="",B359=""),"",CONCATENATE("https://matarstund.is/serfaedi?id=",LOWER(SUBSTITUTE(B359," ","-"))))</f>
        <v/>
      </c>
    </row>
    <row r="360" customFormat="false" ht="15" hidden="false" customHeight="true" outlineLevel="0" collapsed="false">
      <c r="A360" s="63"/>
      <c r="B360" s="63"/>
      <c r="C360" s="63"/>
      <c r="D360" s="63"/>
      <c r="E360" s="63"/>
      <c r="F360" s="28" t="str">
        <f aca="false">IF(C360="","",IF(OR(C360="1. bekkur",C360="2. bekkur",C360="3. bekkur",C360="4. bekkur"),"Já",IF(C360="Starfsmaður","Nei","Nei")))</f>
        <v/>
      </c>
      <c r="G360" s="63"/>
      <c r="H360" s="63"/>
      <c r="I360" s="63"/>
      <c r="J360" s="64" t="str">
        <f aca="false">IF(OR(A360="",B360=""),"",CONCATENATE("https://matarstund.is/serfaedi?id=",LOWER(SUBSTITUTE(B360,"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64" t="str">
        <f aca="false">IF(OR(A361="",B361=""),"",CONCATENATE("https://matarstund.is/serfaedi?id=",LOWER(SUBSTITUTE(B361," ","-"))))</f>
        <v/>
      </c>
    </row>
    <row r="362" customFormat="false" ht="15" hidden="false" customHeight="true" outlineLevel="0" collapsed="false">
      <c r="A362" s="63"/>
      <c r="B362" s="63"/>
      <c r="C362" s="63"/>
      <c r="D362" s="63"/>
      <c r="E362" s="63"/>
      <c r="F362" s="28" t="str">
        <f aca="false">IF(C362="","",IF(OR(C362="1. bekkur",C362="2. bekkur",C362="3. bekkur",C362="4. bekkur"),"Já",IF(C362="Starfsmaður","Nei","Nei")))</f>
        <v/>
      </c>
      <c r="G362" s="63"/>
      <c r="H362" s="63"/>
      <c r="I362" s="63"/>
      <c r="J362" s="64" t="str">
        <f aca="false">IF(OR(A362="",B362=""),"",CONCATENATE("https://matarstund.is/serfaedi?id=",LOWER(SUBSTITUTE(B362,"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64" t="str">
        <f aca="false">IF(OR(A363="",B363=""),"",CONCATENATE("https://matarstund.is/serfaedi?id=",LOWER(SUBSTITUTE(B363," ","-"))))</f>
        <v/>
      </c>
    </row>
    <row r="364" customFormat="false" ht="15" hidden="false" customHeight="true" outlineLevel="0" collapsed="false">
      <c r="A364" s="63"/>
      <c r="B364" s="63"/>
      <c r="C364" s="63"/>
      <c r="D364" s="63"/>
      <c r="E364" s="63"/>
      <c r="F364" s="28" t="str">
        <f aca="false">IF(C364="","",IF(OR(C364="1. bekkur",C364="2. bekkur",C364="3. bekkur",C364="4. bekkur"),"Já",IF(C364="Starfsmaður","Nei","Nei")))</f>
        <v/>
      </c>
      <c r="G364" s="63"/>
      <c r="H364" s="63"/>
      <c r="I364" s="63"/>
      <c r="J364" s="64" t="str">
        <f aca="false">IF(OR(A364="",B364=""),"",CONCATENATE("https://matarstund.is/serfaedi?id=",LOWER(SUBSTITUTE(B364,"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64" t="str">
        <f aca="false">IF(OR(A365="",B365=""),"",CONCATENATE("https://matarstund.is/serfaedi?id=",LOWER(SUBSTITUTE(B365," ","-"))))</f>
        <v/>
      </c>
    </row>
    <row r="366" customFormat="false" ht="15" hidden="false" customHeight="true" outlineLevel="0" collapsed="false">
      <c r="A366" s="63"/>
      <c r="B366" s="63"/>
      <c r="C366" s="63"/>
      <c r="D366" s="63"/>
      <c r="E366" s="63"/>
      <c r="F366" s="28" t="str">
        <f aca="false">IF(C366="","",IF(OR(C366="1. bekkur",C366="2. bekkur",C366="3. bekkur",C366="4. bekkur"),"Já",IF(C366="Starfsmaður","Nei","Nei")))</f>
        <v/>
      </c>
      <c r="G366" s="63"/>
      <c r="H366" s="63"/>
      <c r="I366" s="63"/>
      <c r="J366" s="64" t="str">
        <f aca="false">IF(OR(A366="",B366=""),"",CONCATENATE("https://matarstund.is/serfaedi?id=",LOWER(SUBSTITUTE(B366,"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64" t="str">
        <f aca="false">IF(OR(A367="",B367=""),"",CONCATENATE("https://matarstund.is/serfaedi?id=",LOWER(SUBSTITUTE(B367," ","-"))))</f>
        <v/>
      </c>
    </row>
    <row r="368" customFormat="false" ht="15" hidden="false" customHeight="true" outlineLevel="0" collapsed="false">
      <c r="A368" s="63"/>
      <c r="B368" s="63"/>
      <c r="C368" s="63"/>
      <c r="D368" s="63"/>
      <c r="E368" s="63"/>
      <c r="F368" s="28" t="str">
        <f aca="false">IF(C368="","",IF(OR(C368="1. bekkur",C368="2. bekkur",C368="3. bekkur",C368="4. bekkur"),"Já",IF(C368="Starfsmaður","Nei","Nei")))</f>
        <v/>
      </c>
      <c r="G368" s="63"/>
      <c r="H368" s="63"/>
      <c r="I368" s="63"/>
      <c r="J368" s="64" t="str">
        <f aca="false">IF(OR(A368="",B368=""),"",CONCATENATE("https://matarstund.is/serfaedi?id=",LOWER(SUBSTITUTE(B368,"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64" t="str">
        <f aca="false">IF(OR(A369="",B369=""),"",CONCATENATE("https://matarstund.is/serfaedi?id=",LOWER(SUBSTITUTE(B369," ","-"))))</f>
        <v/>
      </c>
    </row>
    <row r="370" customFormat="false" ht="15" hidden="false" customHeight="true" outlineLevel="0" collapsed="false">
      <c r="A370" s="63"/>
      <c r="B370" s="63"/>
      <c r="C370" s="63"/>
      <c r="D370" s="63"/>
      <c r="E370" s="63"/>
      <c r="F370" s="28" t="str">
        <f aca="false">IF(C370="","",IF(OR(C370="1. bekkur",C370="2. bekkur",C370="3. bekkur",C370="4. bekkur"),"Já",IF(C370="Starfsmaður","Nei","Nei")))</f>
        <v/>
      </c>
      <c r="G370" s="63"/>
      <c r="H370" s="63"/>
      <c r="I370" s="63"/>
      <c r="J370" s="64" t="str">
        <f aca="false">IF(OR(A370="",B370=""),"",CONCATENATE("https://matarstund.is/serfaedi?id=",LOWER(SUBSTITUTE(B370,"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64" t="str">
        <f aca="false">IF(OR(A371="",B371=""),"",CONCATENATE("https://matarstund.is/serfaedi?id=",LOWER(SUBSTITUTE(B371," ","-"))))</f>
        <v/>
      </c>
    </row>
    <row r="372" customFormat="false" ht="15" hidden="false" customHeight="true" outlineLevel="0" collapsed="false">
      <c r="A372" s="63"/>
      <c r="B372" s="63"/>
      <c r="C372" s="63"/>
      <c r="D372" s="63"/>
      <c r="E372" s="63"/>
      <c r="F372" s="28" t="str">
        <f aca="false">IF(C372="","",IF(OR(C372="1. bekkur",C372="2. bekkur",C372="3. bekkur",C372="4. bekkur"),"Já",IF(C372="Starfsmaður","Nei","Nei")))</f>
        <v/>
      </c>
      <c r="G372" s="63"/>
      <c r="H372" s="63"/>
      <c r="I372" s="63"/>
      <c r="J372" s="64" t="str">
        <f aca="false">IF(OR(A372="",B372=""),"",CONCATENATE("https://matarstund.is/serfaedi?id=",LOWER(SUBSTITUTE(B372,"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64" t="str">
        <f aca="false">IF(OR(A373="",B373=""),"",CONCATENATE("https://matarstund.is/serfaedi?id=",LOWER(SUBSTITUTE(B373," ","-"))))</f>
        <v/>
      </c>
    </row>
    <row r="374" customFormat="false" ht="15" hidden="false" customHeight="true" outlineLevel="0" collapsed="false">
      <c r="A374" s="63"/>
      <c r="B374" s="63"/>
      <c r="C374" s="63"/>
      <c r="D374" s="63"/>
      <c r="E374" s="63"/>
      <c r="F374" s="28" t="str">
        <f aca="false">IF(C374="","",IF(OR(C374="1. bekkur",C374="2. bekkur",C374="3. bekkur",C374="4. bekkur"),"Já",IF(C374="Starfsmaður","Nei","Nei")))</f>
        <v/>
      </c>
      <c r="G374" s="63"/>
      <c r="H374" s="63"/>
      <c r="I374" s="63"/>
      <c r="J374" s="64" t="str">
        <f aca="false">IF(OR(A374="",B374=""),"",CONCATENATE("https://matarstund.is/serfaedi?id=",LOWER(SUBSTITUTE(B374,"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64" t="str">
        <f aca="false">IF(OR(A375="",B375=""),"",CONCATENATE("https://matarstund.is/serfaedi?id=",LOWER(SUBSTITUTE(B375," ","-"))))</f>
        <v/>
      </c>
    </row>
    <row r="376" customFormat="false" ht="15" hidden="false" customHeight="true" outlineLevel="0" collapsed="false">
      <c r="A376" s="63"/>
      <c r="B376" s="63"/>
      <c r="C376" s="63"/>
      <c r="D376" s="63"/>
      <c r="E376" s="63"/>
      <c r="F376" s="28" t="str">
        <f aca="false">IF(C376="","",IF(OR(C376="1. bekkur",C376="2. bekkur",C376="3. bekkur",C376="4. bekkur"),"Já",IF(C376="Starfsmaður","Nei","Nei")))</f>
        <v/>
      </c>
      <c r="G376" s="63"/>
      <c r="H376" s="63"/>
      <c r="I376" s="63"/>
      <c r="J376" s="64" t="str">
        <f aca="false">IF(OR(A376="",B376=""),"",CONCATENATE("https://matarstund.is/serfaedi?id=",LOWER(SUBSTITUTE(B376,"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64" t="str">
        <f aca="false">IF(OR(A377="",B377=""),"",CONCATENATE("https://matarstund.is/serfaedi?id=",LOWER(SUBSTITUTE(B377," ","-"))))</f>
        <v/>
      </c>
    </row>
    <row r="378" customFormat="false" ht="15" hidden="false" customHeight="true" outlineLevel="0" collapsed="false">
      <c r="A378" s="63"/>
      <c r="B378" s="63"/>
      <c r="C378" s="63"/>
      <c r="D378" s="63"/>
      <c r="E378" s="63"/>
      <c r="F378" s="28" t="str">
        <f aca="false">IF(C378="","",IF(OR(C378="1. bekkur",C378="2. bekkur",C378="3. bekkur",C378="4. bekkur"),"Já",IF(C378="Starfsmaður","Nei","Nei")))</f>
        <v/>
      </c>
      <c r="G378" s="63"/>
      <c r="H378" s="63"/>
      <c r="I378" s="63"/>
      <c r="J378" s="64" t="str">
        <f aca="false">IF(OR(A378="",B378=""),"",CONCATENATE("https://matarstund.is/serfaedi?id=",LOWER(SUBSTITUTE(B378,"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64" t="str">
        <f aca="false">IF(OR(A379="",B379=""),"",CONCATENATE("https://matarstund.is/serfaedi?id=",LOWER(SUBSTITUTE(B379," ","-"))))</f>
        <v/>
      </c>
    </row>
    <row r="380" customFormat="false" ht="15" hidden="false" customHeight="true" outlineLevel="0" collapsed="false">
      <c r="A380" s="63"/>
      <c r="B380" s="63"/>
      <c r="C380" s="63"/>
      <c r="D380" s="63"/>
      <c r="E380" s="63"/>
      <c r="F380" s="28" t="str">
        <f aca="false">IF(C380="","",IF(OR(C380="1. bekkur",C380="2. bekkur",C380="3. bekkur",C380="4. bekkur"),"Já",IF(C380="Starfsmaður","Nei","Nei")))</f>
        <v/>
      </c>
      <c r="G380" s="63"/>
      <c r="H380" s="63"/>
      <c r="I380" s="63"/>
      <c r="J380" s="64" t="str">
        <f aca="false">IF(OR(A380="",B380=""),"",CONCATENATE("https://matarstund.is/serfaedi?id=",LOWER(SUBSTITUTE(B380,"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64" t="str">
        <f aca="false">IF(OR(A381="",B381=""),"",CONCATENATE("https://matarstund.is/serfaedi?id=",LOWER(SUBSTITUTE(B381," ","-"))))</f>
        <v/>
      </c>
    </row>
    <row r="382" customFormat="false" ht="15" hidden="false" customHeight="true" outlineLevel="0" collapsed="false">
      <c r="A382" s="63"/>
      <c r="B382" s="63"/>
      <c r="C382" s="63"/>
      <c r="D382" s="63"/>
      <c r="E382" s="63"/>
      <c r="F382" s="28" t="str">
        <f aca="false">IF(C382="","",IF(OR(C382="1. bekkur",C382="2. bekkur",C382="3. bekkur",C382="4. bekkur"),"Já",IF(C382="Starfsmaður","Nei","Nei")))</f>
        <v/>
      </c>
      <c r="G382" s="63"/>
      <c r="H382" s="63"/>
      <c r="I382" s="63"/>
      <c r="J382" s="64" t="str">
        <f aca="false">IF(OR(A382="",B382=""),"",CONCATENATE("https://matarstund.is/serfaedi?id=",LOWER(SUBSTITUTE(B382,"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64" t="str">
        <f aca="false">IF(OR(A383="",B383=""),"",CONCATENATE("https://matarstund.is/serfaedi?id=",LOWER(SUBSTITUTE(B383," ","-"))))</f>
        <v/>
      </c>
    </row>
    <row r="384" customFormat="false" ht="15" hidden="false" customHeight="true" outlineLevel="0" collapsed="false">
      <c r="A384" s="63"/>
      <c r="B384" s="63"/>
      <c r="C384" s="63"/>
      <c r="D384" s="63"/>
      <c r="E384" s="63"/>
      <c r="F384" s="28" t="str">
        <f aca="false">IF(C384="","",IF(OR(C384="1. bekkur",C384="2. bekkur",C384="3. bekkur",C384="4. bekkur"),"Já",IF(C384="Starfsmaður","Nei","Nei")))</f>
        <v/>
      </c>
      <c r="G384" s="63"/>
      <c r="H384" s="63"/>
      <c r="I384" s="63"/>
      <c r="J384" s="64" t="str">
        <f aca="false">IF(OR(A384="",B384=""),"",CONCATENATE("https://matarstund.is/serfaedi?id=",LOWER(SUBSTITUTE(B384,"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64" t="str">
        <f aca="false">IF(OR(A385="",B385=""),"",CONCATENATE("https://matarstund.is/serfaedi?id=",LOWER(SUBSTITUTE(B385," ","-"))))</f>
        <v/>
      </c>
    </row>
    <row r="386" customFormat="false" ht="15" hidden="false" customHeight="true" outlineLevel="0" collapsed="false">
      <c r="A386" s="63"/>
      <c r="B386" s="63"/>
      <c r="C386" s="63"/>
      <c r="D386" s="63"/>
      <c r="E386" s="63"/>
      <c r="F386" s="28" t="str">
        <f aca="false">IF(C386="","",IF(OR(C386="1. bekkur",C386="2. bekkur",C386="3. bekkur",C386="4. bekkur"),"Já",IF(C386="Starfsmaður","Nei","Nei")))</f>
        <v/>
      </c>
      <c r="G386" s="63"/>
      <c r="H386" s="63"/>
      <c r="I386" s="63"/>
      <c r="J386" s="64" t="str">
        <f aca="false">IF(OR(A386="",B386=""),"",CONCATENATE("https://matarstund.is/serfaedi?id=",LOWER(SUBSTITUTE(B386,"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64" t="str">
        <f aca="false">IF(OR(A387="",B387=""),"",CONCATENATE("https://matarstund.is/serfaedi?id=",LOWER(SUBSTITUTE(B387," ","-"))))</f>
        <v/>
      </c>
    </row>
    <row r="388" customFormat="false" ht="15" hidden="false" customHeight="true" outlineLevel="0" collapsed="false">
      <c r="A388" s="63"/>
      <c r="B388" s="63"/>
      <c r="C388" s="63"/>
      <c r="D388" s="63"/>
      <c r="E388" s="63"/>
      <c r="F388" s="28" t="str">
        <f aca="false">IF(C388="","",IF(OR(C388="1. bekkur",C388="2. bekkur",C388="3. bekkur",C388="4. bekkur"),"Já",IF(C388="Starfsmaður","Nei","Nei")))</f>
        <v/>
      </c>
      <c r="G388" s="63"/>
      <c r="H388" s="63"/>
      <c r="I388" s="63"/>
      <c r="J388" s="64" t="str">
        <f aca="false">IF(OR(A388="",B388=""),"",CONCATENATE("https://matarstund.is/serfaedi?id=",LOWER(SUBSTITUTE(B388,"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64" t="str">
        <f aca="false">IF(OR(A389="",B389=""),"",CONCATENATE("https://matarstund.is/serfaedi?id=",LOWER(SUBSTITUTE(B389," ","-"))))</f>
        <v/>
      </c>
    </row>
    <row r="390" customFormat="false" ht="15" hidden="false" customHeight="true" outlineLevel="0" collapsed="false">
      <c r="A390" s="63"/>
      <c r="B390" s="63"/>
      <c r="C390" s="63"/>
      <c r="D390" s="63"/>
      <c r="E390" s="63"/>
      <c r="F390" s="28" t="str">
        <f aca="false">IF(C390="","",IF(OR(C390="1. bekkur",C390="2. bekkur",C390="3. bekkur",C390="4. bekkur"),"Já",IF(C390="Starfsmaður","Nei","Nei")))</f>
        <v/>
      </c>
      <c r="G390" s="63"/>
      <c r="H390" s="63"/>
      <c r="I390" s="63"/>
      <c r="J390" s="64" t="str">
        <f aca="false">IF(OR(A390="",B390=""),"",CONCATENATE("https://matarstund.is/serfaedi?id=",LOWER(SUBSTITUTE(B390,"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64" t="str">
        <f aca="false">IF(OR(A391="",B391=""),"",CONCATENATE("https://matarstund.is/serfaedi?id=",LOWER(SUBSTITUTE(B391," ","-"))))</f>
        <v/>
      </c>
    </row>
    <row r="392" customFormat="false" ht="15" hidden="false" customHeight="true" outlineLevel="0" collapsed="false">
      <c r="A392" s="63"/>
      <c r="B392" s="63"/>
      <c r="C392" s="63"/>
      <c r="D392" s="63"/>
      <c r="E392" s="63"/>
      <c r="F392" s="28" t="str">
        <f aca="false">IF(C392="","",IF(OR(C392="1. bekkur",C392="2. bekkur",C392="3. bekkur",C392="4. bekkur"),"Já",IF(C392="Starfsmaður","Nei","Nei")))</f>
        <v/>
      </c>
      <c r="G392" s="63"/>
      <c r="H392" s="63"/>
      <c r="I392" s="63"/>
      <c r="J392" s="64" t="str">
        <f aca="false">IF(OR(A392="",B392=""),"",CONCATENATE("https://matarstund.is/serfaedi?id=",LOWER(SUBSTITUTE(B392,"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64" t="str">
        <f aca="false">IF(OR(A393="",B393=""),"",CONCATENATE("https://matarstund.is/serfaedi?id=",LOWER(SUBSTITUTE(B393," ","-"))))</f>
        <v/>
      </c>
    </row>
    <row r="394" customFormat="false" ht="15" hidden="false" customHeight="true" outlineLevel="0" collapsed="false">
      <c r="A394" s="63"/>
      <c r="B394" s="63"/>
      <c r="C394" s="63"/>
      <c r="D394" s="63"/>
      <c r="E394" s="63"/>
      <c r="F394" s="28" t="str">
        <f aca="false">IF(C394="","",IF(OR(C394="1. bekkur",C394="2. bekkur",C394="3. bekkur",C394="4. bekkur"),"Já",IF(C394="Starfsmaður","Nei","Nei")))</f>
        <v/>
      </c>
      <c r="G394" s="63"/>
      <c r="H394" s="63"/>
      <c r="I394" s="63"/>
      <c r="J394" s="64" t="str">
        <f aca="false">IF(OR(A394="",B394=""),"",CONCATENATE("https://matarstund.is/serfaedi?id=",LOWER(SUBSTITUTE(B394,"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64" t="str">
        <f aca="false">IF(OR(A395="",B395=""),"",CONCATENATE("https://matarstund.is/serfaedi?id=",LOWER(SUBSTITUTE(B395," ","-"))))</f>
        <v/>
      </c>
    </row>
    <row r="396" customFormat="false" ht="15" hidden="false" customHeight="true" outlineLevel="0" collapsed="false">
      <c r="A396" s="63"/>
      <c r="B396" s="63"/>
      <c r="C396" s="63"/>
      <c r="D396" s="63"/>
      <c r="E396" s="63"/>
      <c r="F396" s="28" t="str">
        <f aca="false">IF(C396="","",IF(OR(C396="1. bekkur",C396="2. bekkur",C396="3. bekkur",C396="4. bekkur"),"Já",IF(C396="Starfsmaður","Nei","Nei")))</f>
        <v/>
      </c>
      <c r="G396" s="63"/>
      <c r="H396" s="63"/>
      <c r="I396" s="63"/>
      <c r="J396" s="64" t="str">
        <f aca="false">IF(OR(A396="",B396=""),"",CONCATENATE("https://matarstund.is/serfaedi?id=",LOWER(SUBSTITUTE(B396,"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64" t="str">
        <f aca="false">IF(OR(A397="",B397=""),"",CONCATENATE("https://matarstund.is/serfaedi?id=",LOWER(SUBSTITUTE(B397," ","-"))))</f>
        <v/>
      </c>
    </row>
    <row r="398" customFormat="false" ht="15" hidden="false" customHeight="true" outlineLevel="0" collapsed="false">
      <c r="A398" s="63"/>
      <c r="B398" s="63"/>
      <c r="C398" s="63"/>
      <c r="D398" s="63"/>
      <c r="E398" s="63"/>
      <c r="F398" s="28" t="str">
        <f aca="false">IF(C398="","",IF(OR(C398="1. bekkur",C398="2. bekkur",C398="3. bekkur",C398="4. bekkur"),"Já",IF(C398="Starfsmaður","Nei","Nei")))</f>
        <v/>
      </c>
      <c r="G398" s="63"/>
      <c r="H398" s="63"/>
      <c r="I398" s="63"/>
      <c r="J398" s="64" t="str">
        <f aca="false">IF(OR(A398="",B398=""),"",CONCATENATE("https://matarstund.is/serfaedi?id=",LOWER(SUBSTITUTE(B398,"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64" t="str">
        <f aca="false">IF(OR(A399="",B399=""),"",CONCATENATE("https://matarstund.is/serfaedi?id=",LOWER(SUBSTITUTE(B399," ","-"))))</f>
        <v/>
      </c>
    </row>
    <row r="400" customFormat="false" ht="15" hidden="false" customHeight="true" outlineLevel="0" collapsed="false">
      <c r="A400" s="63"/>
      <c r="B400" s="63"/>
      <c r="C400" s="63"/>
      <c r="D400" s="63"/>
      <c r="E400" s="63"/>
      <c r="F400" s="28" t="str">
        <f aca="false">IF(C400="","",IF(OR(C400="1. bekkur",C400="2. bekkur",C400="3. bekkur",C400="4. bekkur"),"Já",IF(C400="Starfsmaður","Nei","Nei")))</f>
        <v/>
      </c>
      <c r="G400" s="63"/>
      <c r="H400" s="63"/>
      <c r="I400" s="63"/>
      <c r="J400" s="64" t="str">
        <f aca="false">IF(OR(A400="",B400=""),"",CONCATENATE("https://matarstund.is/serfaedi?id=",LOWER(SUBSTITUTE(B400,"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64" t="str">
        <f aca="false">IF(OR(A401="",B401=""),"",CONCATENATE("https://matarstund.is/serfaedi?id=",LOWER(SUBSTITUTE(B401," ","-"))))</f>
        <v/>
      </c>
    </row>
    <row r="402" customFormat="false" ht="15" hidden="false" customHeight="true" outlineLevel="0" collapsed="false">
      <c r="A402" s="63"/>
      <c r="B402" s="63"/>
      <c r="C402" s="63"/>
      <c r="D402" s="63"/>
      <c r="E402" s="63"/>
      <c r="F402" s="28" t="str">
        <f aca="false">IF(C402="","",IF(OR(C402="1. bekkur",C402="2. bekkur",C402="3. bekkur",C402="4. bekkur"),"Já",IF(C402="Starfsmaður","Nei","Nei")))</f>
        <v/>
      </c>
      <c r="G402" s="63"/>
      <c r="H402" s="63"/>
      <c r="I402" s="63"/>
      <c r="J402" s="64" t="str">
        <f aca="false">IF(OR(A402="",B402=""),"",CONCATENATE("https://matarstund.is/serfaedi?id=",LOWER(SUBSTITUTE(B402,"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64" t="str">
        <f aca="false">IF(OR(A403="",B403=""),"",CONCATENATE("https://matarstund.is/serfaedi?id=",LOWER(SUBSTITUTE(B403," ","-"))))</f>
        <v/>
      </c>
    </row>
    <row r="404" customFormat="false" ht="15" hidden="false" customHeight="true" outlineLevel="0" collapsed="false">
      <c r="A404" s="63"/>
      <c r="B404" s="63"/>
      <c r="C404" s="63"/>
      <c r="D404" s="63"/>
      <c r="E404" s="63"/>
      <c r="F404" s="28" t="str">
        <f aca="false">IF(C404="","",IF(OR(C404="1. bekkur",C404="2. bekkur",C404="3. bekkur",C404="4. bekkur"),"Já",IF(C404="Starfsmaður","Nei","Nei")))</f>
        <v/>
      </c>
      <c r="G404" s="63"/>
      <c r="H404" s="63"/>
      <c r="I404" s="63"/>
      <c r="J404" s="64" t="str">
        <f aca="false">IF(OR(A404="",B404=""),"",CONCATENATE("https://matarstund.is/serfaedi?id=",LOWER(SUBSTITUTE(B404,"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64" t="str">
        <f aca="false">IF(OR(A405="",B405=""),"",CONCATENATE("https://matarstund.is/serfaedi?id=",LOWER(SUBSTITUTE(B405," ","-"))))</f>
        <v/>
      </c>
    </row>
    <row r="406" customFormat="false" ht="15" hidden="false" customHeight="true" outlineLevel="0" collapsed="false">
      <c r="A406" s="63"/>
      <c r="B406" s="63"/>
      <c r="C406" s="63"/>
      <c r="D406" s="63"/>
      <c r="E406" s="63"/>
      <c r="F406" s="28" t="str">
        <f aca="false">IF(C406="","",IF(OR(C406="1. bekkur",C406="2. bekkur",C406="3. bekkur",C406="4. bekkur"),"Já",IF(C406="Starfsmaður","Nei","Nei")))</f>
        <v/>
      </c>
      <c r="G406" s="63"/>
      <c r="H406" s="63"/>
      <c r="I406" s="63"/>
      <c r="J406" s="64" t="str">
        <f aca="false">IF(OR(A406="",B406=""),"",CONCATENATE("https://matarstund.is/serfaedi?id=",LOWER(SUBSTITUTE(B406,"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64" t="str">
        <f aca="false">IF(OR(A407="",B407=""),"",CONCATENATE("https://matarstund.is/serfaedi?id=",LOWER(SUBSTITUTE(B407," ","-"))))</f>
        <v/>
      </c>
    </row>
    <row r="408" customFormat="false" ht="15" hidden="false" customHeight="true" outlineLevel="0" collapsed="false">
      <c r="A408" s="63"/>
      <c r="B408" s="63"/>
      <c r="C408" s="63"/>
      <c r="D408" s="63"/>
      <c r="E408" s="63"/>
      <c r="F408" s="28" t="str">
        <f aca="false">IF(C408="","",IF(OR(C408="1. bekkur",C408="2. bekkur",C408="3. bekkur",C408="4. bekkur"),"Já",IF(C408="Starfsmaður","Nei","Nei")))</f>
        <v/>
      </c>
      <c r="G408" s="63"/>
      <c r="H408" s="63"/>
      <c r="I408" s="63"/>
      <c r="J408" s="64" t="str">
        <f aca="false">IF(OR(A408="",B408=""),"",CONCATENATE("https://matarstund.is/serfaedi?id=",LOWER(SUBSTITUTE(B408,"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64" t="str">
        <f aca="false">IF(OR(A409="",B409=""),"",CONCATENATE("https://matarstund.is/serfaedi?id=",LOWER(SUBSTITUTE(B409," ","-"))))</f>
        <v/>
      </c>
    </row>
    <row r="410" customFormat="false" ht="15" hidden="false" customHeight="true" outlineLevel="0" collapsed="false">
      <c r="A410" s="63"/>
      <c r="B410" s="63"/>
      <c r="C410" s="63"/>
      <c r="D410" s="63"/>
      <c r="E410" s="63"/>
      <c r="F410" s="28" t="str">
        <f aca="false">IF(C410="","",IF(OR(C410="1. bekkur",C410="2. bekkur",C410="3. bekkur",C410="4. bekkur"),"Já",IF(C410="Starfsmaður","Nei","Nei")))</f>
        <v/>
      </c>
      <c r="G410" s="63"/>
      <c r="H410" s="63"/>
      <c r="I410" s="63"/>
      <c r="J410" s="64" t="str">
        <f aca="false">IF(OR(A410="",B410=""),"",CONCATENATE("https://matarstund.is/serfaedi?id=",LOWER(SUBSTITUTE(B410,"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64" t="str">
        <f aca="false">IF(OR(A411="",B411=""),"",CONCATENATE("https://matarstund.is/serfaedi?id=",LOWER(SUBSTITUTE(B411," ","-"))))</f>
        <v/>
      </c>
    </row>
    <row r="412" customFormat="false" ht="15" hidden="false" customHeight="true" outlineLevel="0" collapsed="false">
      <c r="A412" s="63"/>
      <c r="B412" s="63"/>
      <c r="C412" s="63"/>
      <c r="D412" s="63"/>
      <c r="E412" s="63"/>
      <c r="F412" s="28" t="str">
        <f aca="false">IF(C412="","",IF(OR(C412="1. bekkur",C412="2. bekkur",C412="3. bekkur",C412="4. bekkur"),"Já",IF(C412="Starfsmaður","Nei","Nei")))</f>
        <v/>
      </c>
      <c r="G412" s="63"/>
      <c r="H412" s="63"/>
      <c r="I412" s="63"/>
      <c r="J412" s="64" t="str">
        <f aca="false">IF(OR(A412="",B412=""),"",CONCATENATE("https://matarstund.is/serfaedi?id=",LOWER(SUBSTITUTE(B412,"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64" t="str">
        <f aca="false">IF(OR(A413="",B413=""),"",CONCATENATE("https://matarstund.is/serfaedi?id=",LOWER(SUBSTITUTE(B413," ","-"))))</f>
        <v/>
      </c>
    </row>
    <row r="414" customFormat="false" ht="15" hidden="false" customHeight="true" outlineLevel="0" collapsed="false">
      <c r="A414" s="63"/>
      <c r="B414" s="63"/>
      <c r="C414" s="63"/>
      <c r="D414" s="63"/>
      <c r="E414" s="63"/>
      <c r="F414" s="28" t="str">
        <f aca="false">IF(C414="","",IF(OR(C414="1. bekkur",C414="2. bekkur",C414="3. bekkur",C414="4. bekkur"),"Já",IF(C414="Starfsmaður","Nei","Nei")))</f>
        <v/>
      </c>
      <c r="G414" s="63"/>
      <c r="H414" s="63"/>
      <c r="I414" s="63"/>
      <c r="J414" s="64" t="str">
        <f aca="false">IF(OR(A414="",B414=""),"",CONCATENATE("https://matarstund.is/serfaedi?id=",LOWER(SUBSTITUTE(B414,"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64" t="str">
        <f aca="false">IF(OR(A415="",B415=""),"",CONCATENATE("https://matarstund.is/serfaedi?id=",LOWER(SUBSTITUTE(B415," ","-"))))</f>
        <v/>
      </c>
    </row>
    <row r="416" customFormat="false" ht="15" hidden="false" customHeight="true" outlineLevel="0" collapsed="false">
      <c r="A416" s="63"/>
      <c r="B416" s="63"/>
      <c r="C416" s="63"/>
      <c r="D416" s="63"/>
      <c r="E416" s="63"/>
      <c r="F416" s="28" t="str">
        <f aca="false">IF(C416="","",IF(OR(C416="1. bekkur",C416="2. bekkur",C416="3. bekkur",C416="4. bekkur"),"Já",IF(C416="Starfsmaður","Nei","Nei")))</f>
        <v/>
      </c>
      <c r="G416" s="63"/>
      <c r="H416" s="63"/>
      <c r="I416" s="63"/>
      <c r="J416" s="64" t="str">
        <f aca="false">IF(OR(A416="",B416=""),"",CONCATENATE("https://matarstund.is/serfaedi?id=",LOWER(SUBSTITUTE(B416,"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64" t="str">
        <f aca="false">IF(OR(A417="",B417=""),"",CONCATENATE("https://matarstund.is/serfaedi?id=",LOWER(SUBSTITUTE(B417," ","-"))))</f>
        <v/>
      </c>
    </row>
    <row r="418" customFormat="false" ht="15" hidden="false" customHeight="true" outlineLevel="0" collapsed="false">
      <c r="A418" s="63"/>
      <c r="B418" s="63"/>
      <c r="C418" s="63"/>
      <c r="D418" s="63"/>
      <c r="E418" s="63"/>
      <c r="F418" s="28" t="str">
        <f aca="false">IF(C418="","",IF(OR(C418="1. bekkur",C418="2. bekkur",C418="3. bekkur",C418="4. bekkur"),"Já",IF(C418="Starfsmaður","Nei","Nei")))</f>
        <v/>
      </c>
      <c r="G418" s="63"/>
      <c r="H418" s="63"/>
      <c r="I418" s="63"/>
      <c r="J418" s="64" t="str">
        <f aca="false">IF(OR(A418="",B418=""),"",CONCATENATE("https://matarstund.is/serfaedi?id=",LOWER(SUBSTITUTE(B418,"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64" t="str">
        <f aca="false">IF(OR(A419="",B419=""),"",CONCATENATE("https://matarstund.is/serfaedi?id=",LOWER(SUBSTITUTE(B419," ","-"))))</f>
        <v/>
      </c>
    </row>
    <row r="420" customFormat="false" ht="15" hidden="false" customHeight="true" outlineLevel="0" collapsed="false">
      <c r="A420" s="63"/>
      <c r="B420" s="63"/>
      <c r="C420" s="63"/>
      <c r="D420" s="63"/>
      <c r="E420" s="63"/>
      <c r="F420" s="28" t="str">
        <f aca="false">IF(C420="","",IF(OR(C420="1. bekkur",C420="2. bekkur",C420="3. bekkur",C420="4. bekkur"),"Já",IF(C420="Starfsmaður","Nei","Nei")))</f>
        <v/>
      </c>
      <c r="G420" s="63"/>
      <c r="H420" s="63"/>
      <c r="I420" s="63"/>
      <c r="J420" s="64" t="str">
        <f aca="false">IF(OR(A420="",B420=""),"",CONCATENATE("https://matarstund.is/serfaedi?id=",LOWER(SUBSTITUTE(B420,"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64" t="str">
        <f aca="false">IF(OR(A421="",B421=""),"",CONCATENATE("https://matarstund.is/serfaedi?id=",LOWER(SUBSTITUTE(B421," ","-"))))</f>
        <v/>
      </c>
    </row>
    <row r="422" customFormat="false" ht="15" hidden="false" customHeight="true" outlineLevel="0" collapsed="false">
      <c r="A422" s="63"/>
      <c r="B422" s="63"/>
      <c r="C422" s="63"/>
      <c r="D422" s="63"/>
      <c r="E422" s="63"/>
      <c r="F422" s="28" t="str">
        <f aca="false">IF(C422="","",IF(OR(C422="1. bekkur",C422="2. bekkur",C422="3. bekkur",C422="4. bekkur"),"Já",IF(C422="Starfsmaður","Nei","Nei")))</f>
        <v/>
      </c>
      <c r="G422" s="63"/>
      <c r="H422" s="63"/>
      <c r="I422" s="63"/>
      <c r="J422" s="64" t="str">
        <f aca="false">IF(OR(A422="",B422=""),"",CONCATENATE("https://matarstund.is/serfaedi?id=",LOWER(SUBSTITUTE(B422,"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64" t="str">
        <f aca="false">IF(OR(A423="",B423=""),"",CONCATENATE("https://matarstund.is/serfaedi?id=",LOWER(SUBSTITUTE(B423," ","-"))))</f>
        <v/>
      </c>
    </row>
    <row r="424" customFormat="false" ht="15" hidden="false" customHeight="true" outlineLevel="0" collapsed="false">
      <c r="A424" s="63"/>
      <c r="B424" s="63"/>
      <c r="C424" s="63"/>
      <c r="D424" s="63"/>
      <c r="E424" s="63"/>
      <c r="F424" s="28" t="str">
        <f aca="false">IF(C424="","",IF(OR(C424="1. bekkur",C424="2. bekkur",C424="3. bekkur",C424="4. bekkur"),"Já",IF(C424="Starfsmaður","Nei","Nei")))</f>
        <v/>
      </c>
      <c r="G424" s="63"/>
      <c r="H424" s="63"/>
      <c r="I424" s="63"/>
      <c r="J424" s="64" t="str">
        <f aca="false">IF(OR(A424="",B424=""),"",CONCATENATE("https://matarstund.is/serfaedi?id=",LOWER(SUBSTITUTE(B424,"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64" t="str">
        <f aca="false">IF(OR(A425="",B425=""),"",CONCATENATE("https://matarstund.is/serfaedi?id=",LOWER(SUBSTITUTE(B425," ","-"))))</f>
        <v/>
      </c>
    </row>
    <row r="426" customFormat="false" ht="15" hidden="false" customHeight="true" outlineLevel="0" collapsed="false">
      <c r="A426" s="63"/>
      <c r="B426" s="63"/>
      <c r="C426" s="63"/>
      <c r="D426" s="63"/>
      <c r="E426" s="63"/>
      <c r="F426" s="28" t="str">
        <f aca="false">IF(C426="","",IF(OR(C426="1. bekkur",C426="2. bekkur",C426="3. bekkur",C426="4. bekkur"),"Já",IF(C426="Starfsmaður","Nei","Nei")))</f>
        <v/>
      </c>
      <c r="G426" s="63"/>
      <c r="H426" s="63"/>
      <c r="I426" s="63"/>
      <c r="J426" s="64" t="str">
        <f aca="false">IF(OR(A426="",B426=""),"",CONCATENATE("https://matarstund.is/serfaedi?id=",LOWER(SUBSTITUTE(B426,"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64" t="str">
        <f aca="false">IF(OR(A427="",B427=""),"",CONCATENATE("https://matarstund.is/serfaedi?id=",LOWER(SUBSTITUTE(B427," ","-"))))</f>
        <v/>
      </c>
    </row>
    <row r="428" customFormat="false" ht="15" hidden="false" customHeight="true" outlineLevel="0" collapsed="false">
      <c r="A428" s="63"/>
      <c r="B428" s="63"/>
      <c r="C428" s="63"/>
      <c r="D428" s="63"/>
      <c r="E428" s="63"/>
      <c r="F428" s="28" t="str">
        <f aca="false">IF(C428="","",IF(OR(C428="1. bekkur",C428="2. bekkur",C428="3. bekkur",C428="4. bekkur"),"Já",IF(C428="Starfsmaður","Nei","Nei")))</f>
        <v/>
      </c>
      <c r="G428" s="63"/>
      <c r="H428" s="63"/>
      <c r="I428" s="63"/>
      <c r="J428" s="64" t="str">
        <f aca="false">IF(OR(A428="",B428=""),"",CONCATENATE("https://matarstund.is/serfaedi?id=",LOWER(SUBSTITUTE(B428,"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64" t="str">
        <f aca="false">IF(OR(A429="",B429=""),"",CONCATENATE("https://matarstund.is/serfaedi?id=",LOWER(SUBSTITUTE(B429," ","-"))))</f>
        <v/>
      </c>
    </row>
    <row r="430" customFormat="false" ht="15" hidden="false" customHeight="true" outlineLevel="0" collapsed="false">
      <c r="A430" s="63"/>
      <c r="B430" s="63"/>
      <c r="C430" s="63"/>
      <c r="D430" s="63"/>
      <c r="E430" s="63"/>
      <c r="F430" s="28" t="str">
        <f aca="false">IF(C430="","",IF(OR(C430="1. bekkur",C430="2. bekkur",C430="3. bekkur",C430="4. bekkur"),"Já",IF(C430="Starfsmaður","Nei","Nei")))</f>
        <v/>
      </c>
      <c r="G430" s="63"/>
      <c r="H430" s="63"/>
      <c r="I430" s="63"/>
      <c r="J430" s="64" t="str">
        <f aca="false">IF(OR(A430="",B430=""),"",CONCATENATE("https://matarstund.is/serfaedi?id=",LOWER(SUBSTITUTE(B430,"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64" t="str">
        <f aca="false">IF(OR(A431="",B431=""),"",CONCATENATE("https://matarstund.is/serfaedi?id=",LOWER(SUBSTITUTE(B431," ","-"))))</f>
        <v/>
      </c>
    </row>
    <row r="432" customFormat="false" ht="15" hidden="false" customHeight="true" outlineLevel="0" collapsed="false">
      <c r="A432" s="63"/>
      <c r="B432" s="63"/>
      <c r="C432" s="63"/>
      <c r="D432" s="63"/>
      <c r="E432" s="63"/>
      <c r="F432" s="28" t="str">
        <f aca="false">IF(C432="","",IF(OR(C432="1. bekkur",C432="2. bekkur",C432="3. bekkur",C432="4. bekkur"),"Já",IF(C432="Starfsmaður","Nei","Nei")))</f>
        <v/>
      </c>
      <c r="G432" s="63"/>
      <c r="H432" s="63"/>
      <c r="I432" s="63"/>
      <c r="J432" s="64" t="str">
        <f aca="false">IF(OR(A432="",B432=""),"",CONCATENATE("https://matarstund.is/serfaedi?id=",LOWER(SUBSTITUTE(B432,"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64" t="str">
        <f aca="false">IF(OR(A433="",B433=""),"",CONCATENATE("https://matarstund.is/serfaedi?id=",LOWER(SUBSTITUTE(B433," ","-"))))</f>
        <v/>
      </c>
    </row>
    <row r="434" customFormat="false" ht="15" hidden="false" customHeight="true" outlineLevel="0" collapsed="false">
      <c r="A434" s="63"/>
      <c r="B434" s="63"/>
      <c r="C434" s="63"/>
      <c r="D434" s="63"/>
      <c r="E434" s="63"/>
      <c r="F434" s="28" t="str">
        <f aca="false">IF(C434="","",IF(OR(C434="1. bekkur",C434="2. bekkur",C434="3. bekkur",C434="4. bekkur"),"Já",IF(C434="Starfsmaður","Nei","Nei")))</f>
        <v/>
      </c>
      <c r="G434" s="63"/>
      <c r="H434" s="63"/>
      <c r="I434" s="63"/>
      <c r="J434" s="64" t="str">
        <f aca="false">IF(OR(A434="",B434=""),"",CONCATENATE("https://matarstund.is/serfaedi?id=",LOWER(SUBSTITUTE(B434,"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64" t="str">
        <f aca="false">IF(OR(A435="",B435=""),"",CONCATENATE("https://matarstund.is/serfaedi?id=",LOWER(SUBSTITUTE(B435," ","-"))))</f>
        <v/>
      </c>
    </row>
    <row r="436" customFormat="false" ht="15" hidden="false" customHeight="true" outlineLevel="0" collapsed="false">
      <c r="A436" s="63"/>
      <c r="B436" s="63"/>
      <c r="C436" s="63"/>
      <c r="D436" s="63"/>
      <c r="E436" s="63"/>
      <c r="F436" s="28" t="str">
        <f aca="false">IF(C436="","",IF(OR(C436="1. bekkur",C436="2. bekkur",C436="3. bekkur",C436="4. bekkur"),"Já",IF(C436="Starfsmaður","Nei","Nei")))</f>
        <v/>
      </c>
      <c r="G436" s="63"/>
      <c r="H436" s="63"/>
      <c r="I436" s="63"/>
      <c r="J436" s="64" t="str">
        <f aca="false">IF(OR(A436="",B436=""),"",CONCATENATE("https://matarstund.is/serfaedi?id=",LOWER(SUBSTITUTE(B436,"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64" t="str">
        <f aca="false">IF(OR(A437="",B437=""),"",CONCATENATE("https://matarstund.is/serfaedi?id=",LOWER(SUBSTITUTE(B437," ","-"))))</f>
        <v/>
      </c>
    </row>
    <row r="438" customFormat="false" ht="15" hidden="false" customHeight="true" outlineLevel="0" collapsed="false">
      <c r="A438" s="63"/>
      <c r="B438" s="63"/>
      <c r="C438" s="63"/>
      <c r="D438" s="63"/>
      <c r="E438" s="63"/>
      <c r="F438" s="28" t="str">
        <f aca="false">IF(C438="","",IF(OR(C438="1. bekkur",C438="2. bekkur",C438="3. bekkur",C438="4. bekkur"),"Já",IF(C438="Starfsmaður","Nei","Nei")))</f>
        <v/>
      </c>
      <c r="G438" s="63"/>
      <c r="H438" s="63"/>
      <c r="I438" s="63"/>
      <c r="J438" s="64" t="str">
        <f aca="false">IF(OR(A438="",B438=""),"",CONCATENATE("https://matarstund.is/serfaedi?id=",LOWER(SUBSTITUTE(B438,"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64" t="str">
        <f aca="false">IF(OR(A439="",B439=""),"",CONCATENATE("https://matarstund.is/serfaedi?id=",LOWER(SUBSTITUTE(B439," ","-"))))</f>
        <v/>
      </c>
    </row>
    <row r="440" customFormat="false" ht="15" hidden="false" customHeight="true" outlineLevel="0" collapsed="false">
      <c r="A440" s="63"/>
      <c r="B440" s="63"/>
      <c r="C440" s="63"/>
      <c r="D440" s="63"/>
      <c r="E440" s="63"/>
      <c r="F440" s="28" t="str">
        <f aca="false">IF(C440="","",IF(OR(C440="1. bekkur",C440="2. bekkur",C440="3. bekkur",C440="4. bekkur"),"Já",IF(C440="Starfsmaður","Nei","Nei")))</f>
        <v/>
      </c>
      <c r="G440" s="63"/>
      <c r="H440" s="63"/>
      <c r="I440" s="63"/>
      <c r="J440" s="64" t="str">
        <f aca="false">IF(OR(A440="",B440=""),"",CONCATENATE("https://matarstund.is/serfaedi?id=",LOWER(SUBSTITUTE(B440,"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64" t="str">
        <f aca="false">IF(OR(A441="",B441=""),"",CONCATENATE("https://matarstund.is/serfaedi?id=",LOWER(SUBSTITUTE(B441," ","-"))))</f>
        <v/>
      </c>
    </row>
    <row r="442" customFormat="false" ht="15" hidden="false" customHeight="true" outlineLevel="0" collapsed="false">
      <c r="A442" s="63"/>
      <c r="B442" s="63"/>
      <c r="C442" s="63"/>
      <c r="D442" s="63"/>
      <c r="E442" s="63"/>
      <c r="F442" s="28" t="str">
        <f aca="false">IF(C442="","",IF(OR(C442="1. bekkur",C442="2. bekkur",C442="3. bekkur",C442="4. bekkur"),"Já",IF(C442="Starfsmaður","Nei","Nei")))</f>
        <v/>
      </c>
      <c r="G442" s="63"/>
      <c r="H442" s="63"/>
      <c r="I442" s="63"/>
      <c r="J442" s="64" t="str">
        <f aca="false">IF(OR(A442="",B442=""),"",CONCATENATE("https://matarstund.is/serfaedi?id=",LOWER(SUBSTITUTE(B442,"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64" t="str">
        <f aca="false">IF(OR(A443="",B443=""),"",CONCATENATE("https://matarstund.is/serfaedi?id=",LOWER(SUBSTITUTE(B443," ","-"))))</f>
        <v/>
      </c>
    </row>
    <row r="444" customFormat="false" ht="15" hidden="false" customHeight="true" outlineLevel="0" collapsed="false">
      <c r="A444" s="63"/>
      <c r="B444" s="63"/>
      <c r="C444" s="63"/>
      <c r="D444" s="63"/>
      <c r="E444" s="63"/>
      <c r="F444" s="28" t="str">
        <f aca="false">IF(C444="","",IF(OR(C444="1. bekkur",C444="2. bekkur",C444="3. bekkur",C444="4. bekkur"),"Já",IF(C444="Starfsmaður","Nei","Nei")))</f>
        <v/>
      </c>
      <c r="G444" s="63"/>
      <c r="H444" s="63"/>
      <c r="I444" s="63"/>
      <c r="J444" s="64" t="str">
        <f aca="false">IF(OR(A444="",B444=""),"",CONCATENATE("https://matarstund.is/serfaedi?id=",LOWER(SUBSTITUTE(B444,"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64" t="str">
        <f aca="false">IF(OR(A445="",B445=""),"",CONCATENATE("https://matarstund.is/serfaedi?id=",LOWER(SUBSTITUTE(B445," ","-"))))</f>
        <v/>
      </c>
    </row>
    <row r="446" customFormat="false" ht="15" hidden="false" customHeight="true" outlineLevel="0" collapsed="false">
      <c r="A446" s="63"/>
      <c r="B446" s="63"/>
      <c r="C446" s="63"/>
      <c r="D446" s="63"/>
      <c r="E446" s="63"/>
      <c r="F446" s="28" t="str">
        <f aca="false">IF(C446="","",IF(OR(C446="1. bekkur",C446="2. bekkur",C446="3. bekkur",C446="4. bekkur"),"Já",IF(C446="Starfsmaður","Nei","Nei")))</f>
        <v/>
      </c>
      <c r="G446" s="63"/>
      <c r="H446" s="63"/>
      <c r="I446" s="63"/>
      <c r="J446" s="64" t="str">
        <f aca="false">IF(OR(A446="",B446=""),"",CONCATENATE("https://matarstund.is/serfaedi?id=",LOWER(SUBSTITUTE(B446,"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64" t="str">
        <f aca="false">IF(OR(A447="",B447=""),"",CONCATENATE("https://matarstund.is/serfaedi?id=",LOWER(SUBSTITUTE(B447," ","-"))))</f>
        <v/>
      </c>
    </row>
    <row r="448" customFormat="false" ht="15" hidden="false" customHeight="true" outlineLevel="0" collapsed="false">
      <c r="A448" s="63"/>
      <c r="B448" s="63"/>
      <c r="C448" s="63"/>
      <c r="D448" s="63"/>
      <c r="E448" s="63"/>
      <c r="F448" s="28" t="str">
        <f aca="false">IF(C448="","",IF(OR(C448="1. bekkur",C448="2. bekkur",C448="3. bekkur",C448="4. bekkur"),"Já",IF(C448="Starfsmaður","Nei","Nei")))</f>
        <v/>
      </c>
      <c r="G448" s="63"/>
      <c r="H448" s="63"/>
      <c r="I448" s="63"/>
      <c r="J448" s="64" t="str">
        <f aca="false">IF(OR(A448="",B448=""),"",CONCATENATE("https://matarstund.is/serfaedi?id=",LOWER(SUBSTITUTE(B448,"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64" t="str">
        <f aca="false">IF(OR(A449="",B449=""),"",CONCATENATE("https://matarstund.is/serfaedi?id=",LOWER(SUBSTITUTE(B449," ","-"))))</f>
        <v/>
      </c>
    </row>
    <row r="450" customFormat="false" ht="15" hidden="false" customHeight="true" outlineLevel="0" collapsed="false">
      <c r="A450" s="63"/>
      <c r="B450" s="63"/>
      <c r="C450" s="63"/>
      <c r="D450" s="63"/>
      <c r="E450" s="63"/>
      <c r="F450" s="28" t="str">
        <f aca="false">IF(C450="","",IF(OR(C450="1. bekkur",C450="2. bekkur",C450="3. bekkur",C450="4. bekkur"),"Já",IF(C450="Starfsmaður","Nei","Nei")))</f>
        <v/>
      </c>
      <c r="G450" s="63"/>
      <c r="H450" s="63"/>
      <c r="I450" s="63"/>
      <c r="J450" s="64" t="str">
        <f aca="false">IF(OR(A450="",B450=""),"",CONCATENATE("https://matarstund.is/serfaedi?id=",LOWER(SUBSTITUTE(B450,"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64" t="str">
        <f aca="false">IF(OR(A451="",B451=""),"",CONCATENATE("https://matarstund.is/serfaedi?id=",LOWER(SUBSTITUTE(B451," ","-"))))</f>
        <v/>
      </c>
    </row>
    <row r="452" customFormat="false" ht="15" hidden="false" customHeight="true" outlineLevel="0" collapsed="false">
      <c r="A452" s="63"/>
      <c r="B452" s="63"/>
      <c r="C452" s="63"/>
      <c r="D452" s="63"/>
      <c r="E452" s="63"/>
      <c r="F452" s="28" t="str">
        <f aca="false">IF(C452="","",IF(OR(C452="1. bekkur",C452="2. bekkur",C452="3. bekkur",C452="4. bekkur"),"Já",IF(C452="Starfsmaður","Nei","Nei")))</f>
        <v/>
      </c>
      <c r="G452" s="63"/>
      <c r="H452" s="63"/>
      <c r="I452" s="63"/>
      <c r="J452" s="64" t="str">
        <f aca="false">IF(OR(A452="",B452=""),"",CONCATENATE("https://matarstund.is/serfaedi?id=",LOWER(SUBSTITUTE(B452,"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64" t="str">
        <f aca="false">IF(OR(A453="",B453=""),"",CONCATENATE("https://matarstund.is/serfaedi?id=",LOWER(SUBSTITUTE(B453," ","-"))))</f>
        <v/>
      </c>
    </row>
    <row r="454" customFormat="false" ht="15" hidden="false" customHeight="true" outlineLevel="0" collapsed="false">
      <c r="A454" s="63"/>
      <c r="B454" s="63"/>
      <c r="C454" s="63"/>
      <c r="D454" s="63"/>
      <c r="E454" s="63"/>
      <c r="F454" s="28" t="str">
        <f aca="false">IF(C454="","",IF(OR(C454="1. bekkur",C454="2. bekkur",C454="3. bekkur",C454="4. bekkur"),"Já",IF(C454="Starfsmaður","Nei","Nei")))</f>
        <v/>
      </c>
      <c r="G454" s="63"/>
      <c r="H454" s="63"/>
      <c r="I454" s="63"/>
      <c r="J454" s="64" t="str">
        <f aca="false">IF(OR(A454="",B454=""),"",CONCATENATE("https://matarstund.is/serfaedi?id=",LOWER(SUBSTITUTE(B454,"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64" t="str">
        <f aca="false">IF(OR(A455="",B455=""),"",CONCATENATE("https://matarstund.is/serfaedi?id=",LOWER(SUBSTITUTE(B455," ","-"))))</f>
        <v/>
      </c>
    </row>
    <row r="456" customFormat="false" ht="15" hidden="false" customHeight="true" outlineLevel="0" collapsed="false">
      <c r="A456" s="63"/>
      <c r="B456" s="63"/>
      <c r="C456" s="63"/>
      <c r="D456" s="63"/>
      <c r="E456" s="63"/>
      <c r="F456" s="28" t="str">
        <f aca="false">IF(C456="","",IF(OR(C456="1. bekkur",C456="2. bekkur",C456="3. bekkur",C456="4. bekkur"),"Já",IF(C456="Starfsmaður","Nei","Nei")))</f>
        <v/>
      </c>
      <c r="G456" s="63"/>
      <c r="H456" s="63"/>
      <c r="I456" s="63"/>
      <c r="J456" s="64" t="str">
        <f aca="false">IF(OR(A456="",B456=""),"",CONCATENATE("https://matarstund.is/serfaedi?id=",LOWER(SUBSTITUTE(B456,"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64" t="str">
        <f aca="false">IF(OR(A457="",B457=""),"",CONCATENATE("https://matarstund.is/serfaedi?id=",LOWER(SUBSTITUTE(B457," ","-"))))</f>
        <v/>
      </c>
    </row>
    <row r="458" customFormat="false" ht="15" hidden="false" customHeight="true" outlineLevel="0" collapsed="false">
      <c r="A458" s="63"/>
      <c r="B458" s="63"/>
      <c r="C458" s="63"/>
      <c r="D458" s="63"/>
      <c r="E458" s="63"/>
      <c r="F458" s="28" t="str">
        <f aca="false">IF(C458="","",IF(OR(C458="1. bekkur",C458="2. bekkur",C458="3. bekkur",C458="4. bekkur"),"Já",IF(C458="Starfsmaður","Nei","Nei")))</f>
        <v/>
      </c>
      <c r="G458" s="63"/>
      <c r="H458" s="63"/>
      <c r="I458" s="63"/>
      <c r="J458" s="64" t="str">
        <f aca="false">IF(OR(A458="",B458=""),"",CONCATENATE("https://matarstund.is/serfaedi?id=",LOWER(SUBSTITUTE(B458,"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64" t="str">
        <f aca="false">IF(OR(A459="",B459=""),"",CONCATENATE("https://matarstund.is/serfaedi?id=",LOWER(SUBSTITUTE(B459," ","-"))))</f>
        <v/>
      </c>
    </row>
    <row r="460" customFormat="false" ht="15" hidden="false" customHeight="true" outlineLevel="0" collapsed="false">
      <c r="A460" s="63"/>
      <c r="B460" s="63"/>
      <c r="C460" s="63"/>
      <c r="D460" s="63"/>
      <c r="E460" s="63"/>
      <c r="F460" s="28" t="str">
        <f aca="false">IF(C460="","",IF(OR(C460="1. bekkur",C460="2. bekkur",C460="3. bekkur",C460="4. bekkur"),"Já",IF(C460="Starfsmaður","Nei","Nei")))</f>
        <v/>
      </c>
      <c r="G460" s="63"/>
      <c r="H460" s="63"/>
      <c r="I460" s="63"/>
      <c r="J460" s="64" t="str">
        <f aca="false">IF(OR(A460="",B460=""),"",CONCATENATE("https://matarstund.is/serfaedi?id=",LOWER(SUBSTITUTE(B460,"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64" t="str">
        <f aca="false">IF(OR(A461="",B461=""),"",CONCATENATE("https://matarstund.is/serfaedi?id=",LOWER(SUBSTITUTE(B461," ","-"))))</f>
        <v/>
      </c>
    </row>
    <row r="462" customFormat="false" ht="15" hidden="false" customHeight="true" outlineLevel="0" collapsed="false">
      <c r="A462" s="63"/>
      <c r="B462" s="63"/>
      <c r="C462" s="63"/>
      <c r="D462" s="63"/>
      <c r="E462" s="63"/>
      <c r="F462" s="28" t="str">
        <f aca="false">IF(C462="","",IF(OR(C462="1. bekkur",C462="2. bekkur",C462="3. bekkur",C462="4. bekkur"),"Já",IF(C462="Starfsmaður","Nei","Nei")))</f>
        <v/>
      </c>
      <c r="G462" s="63"/>
      <c r="H462" s="63"/>
      <c r="I462" s="63"/>
      <c r="J462" s="64" t="str">
        <f aca="false">IF(OR(A462="",B462=""),"",CONCATENATE("https://matarstund.is/serfaedi?id=",LOWER(SUBSTITUTE(B462,"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64" t="str">
        <f aca="false">IF(OR(A463="",B463=""),"",CONCATENATE("https://matarstund.is/serfaedi?id=",LOWER(SUBSTITUTE(B463," ","-"))))</f>
        <v/>
      </c>
    </row>
    <row r="464" customFormat="false" ht="15" hidden="false" customHeight="true" outlineLevel="0" collapsed="false">
      <c r="A464" s="63"/>
      <c r="B464" s="63"/>
      <c r="C464" s="63"/>
      <c r="D464" s="63"/>
      <c r="E464" s="63"/>
      <c r="F464" s="28" t="str">
        <f aca="false">IF(C464="","",IF(OR(C464="1. bekkur",C464="2. bekkur",C464="3. bekkur",C464="4. bekkur"),"Já",IF(C464="Starfsmaður","Nei","Nei")))</f>
        <v/>
      </c>
      <c r="G464" s="63"/>
      <c r="H464" s="63"/>
      <c r="I464" s="63"/>
      <c r="J464" s="64" t="str">
        <f aca="false">IF(OR(A464="",B464=""),"",CONCATENATE("https://matarstund.is/serfaedi?id=",LOWER(SUBSTITUTE(B464,"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64" t="str">
        <f aca="false">IF(OR(A465="",B465=""),"",CONCATENATE("https://matarstund.is/serfaedi?id=",LOWER(SUBSTITUTE(B465," ","-"))))</f>
        <v/>
      </c>
    </row>
    <row r="466" customFormat="false" ht="15" hidden="false" customHeight="true" outlineLevel="0" collapsed="false">
      <c r="A466" s="63"/>
      <c r="B466" s="63"/>
      <c r="C466" s="63"/>
      <c r="D466" s="63"/>
      <c r="E466" s="63"/>
      <c r="F466" s="28" t="str">
        <f aca="false">IF(C466="","",IF(OR(C466="1. bekkur",C466="2. bekkur",C466="3. bekkur",C466="4. bekkur"),"Já",IF(C466="Starfsmaður","Nei","Nei")))</f>
        <v/>
      </c>
      <c r="G466" s="63"/>
      <c r="H466" s="63"/>
      <c r="I466" s="63"/>
      <c r="J466" s="64" t="str">
        <f aca="false">IF(OR(A466="",B466=""),"",CONCATENATE("https://matarstund.is/serfaedi?id=",LOWER(SUBSTITUTE(B466,"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64" t="str">
        <f aca="false">IF(OR(A467="",B467=""),"",CONCATENATE("https://matarstund.is/serfaedi?id=",LOWER(SUBSTITUTE(B467," ","-"))))</f>
        <v/>
      </c>
    </row>
    <row r="468" customFormat="false" ht="15" hidden="false" customHeight="true" outlineLevel="0" collapsed="false">
      <c r="A468" s="63"/>
      <c r="B468" s="63"/>
      <c r="C468" s="63"/>
      <c r="D468" s="63"/>
      <c r="E468" s="63"/>
      <c r="F468" s="28" t="str">
        <f aca="false">IF(C468="","",IF(OR(C468="1. bekkur",C468="2. bekkur",C468="3. bekkur",C468="4. bekkur"),"Já",IF(C468="Starfsmaður","Nei","Nei")))</f>
        <v/>
      </c>
      <c r="G468" s="63"/>
      <c r="H468" s="63"/>
      <c r="I468" s="63"/>
      <c r="J468" s="64" t="str">
        <f aca="false">IF(OR(A468="",B468=""),"",CONCATENATE("https://matarstund.is/serfaedi?id=",LOWER(SUBSTITUTE(B468,"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64" t="str">
        <f aca="false">IF(OR(A469="",B469=""),"",CONCATENATE("https://matarstund.is/serfaedi?id=",LOWER(SUBSTITUTE(B469," ","-"))))</f>
        <v/>
      </c>
    </row>
    <row r="470" customFormat="false" ht="15" hidden="false" customHeight="true" outlineLevel="0" collapsed="false">
      <c r="A470" s="63"/>
      <c r="B470" s="63"/>
      <c r="C470" s="63"/>
      <c r="D470" s="63"/>
      <c r="E470" s="63"/>
      <c r="F470" s="28" t="str">
        <f aca="false">IF(C470="","",IF(OR(C470="1. bekkur",C470="2. bekkur",C470="3. bekkur",C470="4. bekkur"),"Já",IF(C470="Starfsmaður","Nei","Nei")))</f>
        <v/>
      </c>
      <c r="G470" s="63"/>
      <c r="H470" s="63"/>
      <c r="I470" s="63"/>
      <c r="J470" s="64" t="str">
        <f aca="false">IF(OR(A470="",B470=""),"",CONCATENATE("https://matarstund.is/serfaedi?id=",LOWER(SUBSTITUTE(B470,"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64" t="str">
        <f aca="false">IF(OR(A471="",B471=""),"",CONCATENATE("https://matarstund.is/serfaedi?id=",LOWER(SUBSTITUTE(B471," ","-"))))</f>
        <v/>
      </c>
    </row>
    <row r="472" customFormat="false" ht="15" hidden="false" customHeight="true" outlineLevel="0" collapsed="false">
      <c r="A472" s="63"/>
      <c r="B472" s="63"/>
      <c r="C472" s="63"/>
      <c r="D472" s="63"/>
      <c r="E472" s="63"/>
      <c r="F472" s="28" t="str">
        <f aca="false">IF(C472="","",IF(OR(C472="1. bekkur",C472="2. bekkur",C472="3. bekkur",C472="4. bekkur"),"Já",IF(C472="Starfsmaður","Nei","Nei")))</f>
        <v/>
      </c>
      <c r="G472" s="63"/>
      <c r="H472" s="63"/>
      <c r="I472" s="63"/>
      <c r="J472" s="64" t="str">
        <f aca="false">IF(OR(A472="",B472=""),"",CONCATENATE("https://matarstund.is/serfaedi?id=",LOWER(SUBSTITUTE(B472,"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64" t="str">
        <f aca="false">IF(OR(A473="",B473=""),"",CONCATENATE("https://matarstund.is/serfaedi?id=",LOWER(SUBSTITUTE(B473," ","-"))))</f>
        <v/>
      </c>
    </row>
    <row r="474" customFormat="false" ht="15" hidden="false" customHeight="true" outlineLevel="0" collapsed="false">
      <c r="A474" s="63"/>
      <c r="B474" s="63"/>
      <c r="C474" s="63"/>
      <c r="D474" s="63"/>
      <c r="E474" s="63"/>
      <c r="F474" s="28" t="str">
        <f aca="false">IF(C474="","",IF(OR(C474="1. bekkur",C474="2. bekkur",C474="3. bekkur",C474="4. bekkur"),"Já",IF(C474="Starfsmaður","Nei","Nei")))</f>
        <v/>
      </c>
      <c r="G474" s="63"/>
      <c r="H474" s="63"/>
      <c r="I474" s="63"/>
      <c r="J474" s="64" t="str">
        <f aca="false">IF(OR(A474="",B474=""),"",CONCATENATE("https://matarstund.is/serfaedi?id=",LOWER(SUBSTITUTE(B474,"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64" t="str">
        <f aca="false">IF(OR(A475="",B475=""),"",CONCATENATE("https://matarstund.is/serfaedi?id=",LOWER(SUBSTITUTE(B475," ","-"))))</f>
        <v/>
      </c>
    </row>
    <row r="476" customFormat="false" ht="15" hidden="false" customHeight="true" outlineLevel="0" collapsed="false">
      <c r="A476" s="63"/>
      <c r="B476" s="63"/>
      <c r="C476" s="63"/>
      <c r="D476" s="63"/>
      <c r="E476" s="63"/>
      <c r="F476" s="28" t="str">
        <f aca="false">IF(C476="","",IF(OR(C476="1. bekkur",C476="2. bekkur",C476="3. bekkur",C476="4. bekkur"),"Já",IF(C476="Starfsmaður","Nei","Nei")))</f>
        <v/>
      </c>
      <c r="G476" s="63"/>
      <c r="H476" s="63"/>
      <c r="I476" s="63"/>
      <c r="J476" s="64" t="str">
        <f aca="false">IF(OR(A476="",B476=""),"",CONCATENATE("https://matarstund.is/serfaedi?id=",LOWER(SUBSTITUTE(B476,"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64" t="str">
        <f aca="false">IF(OR(A477="",B477=""),"",CONCATENATE("https://matarstund.is/serfaedi?id=",LOWER(SUBSTITUTE(B477," ","-"))))</f>
        <v/>
      </c>
    </row>
    <row r="478" customFormat="false" ht="15" hidden="false" customHeight="true" outlineLevel="0" collapsed="false">
      <c r="A478" s="63"/>
      <c r="B478" s="63"/>
      <c r="C478" s="63"/>
      <c r="D478" s="63"/>
      <c r="E478" s="63"/>
      <c r="F478" s="28" t="str">
        <f aca="false">IF(C478="","",IF(OR(C478="1. bekkur",C478="2. bekkur",C478="3. bekkur",C478="4. bekkur"),"Já",IF(C478="Starfsmaður","Nei","Nei")))</f>
        <v/>
      </c>
      <c r="G478" s="63"/>
      <c r="H478" s="63"/>
      <c r="I478" s="63"/>
      <c r="J478" s="64" t="str">
        <f aca="false">IF(OR(A478="",B478=""),"",CONCATENATE("https://matarstund.is/serfaedi?id=",LOWER(SUBSTITUTE(B478,"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64" t="str">
        <f aca="false">IF(OR(A479="",B479=""),"",CONCATENATE("https://matarstund.is/serfaedi?id=",LOWER(SUBSTITUTE(B479," ","-"))))</f>
        <v/>
      </c>
    </row>
    <row r="480" customFormat="false" ht="15" hidden="false" customHeight="true" outlineLevel="0" collapsed="false">
      <c r="A480" s="63"/>
      <c r="B480" s="63"/>
      <c r="C480" s="63"/>
      <c r="D480" s="63"/>
      <c r="E480" s="63"/>
      <c r="F480" s="28" t="str">
        <f aca="false">IF(C480="","",IF(OR(C480="1. bekkur",C480="2. bekkur",C480="3. bekkur",C480="4. bekkur"),"Já",IF(C480="Starfsmaður","Nei","Nei")))</f>
        <v/>
      </c>
      <c r="G480" s="63"/>
      <c r="H480" s="63"/>
      <c r="I480" s="63"/>
      <c r="J480" s="64" t="str">
        <f aca="false">IF(OR(A480="",B480=""),"",CONCATENATE("https://matarstund.is/serfaedi?id=",LOWER(SUBSTITUTE(B480,"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64" t="str">
        <f aca="false">IF(OR(A481="",B481=""),"",CONCATENATE("https://matarstund.is/serfaedi?id=",LOWER(SUBSTITUTE(B481," ","-"))))</f>
        <v/>
      </c>
    </row>
    <row r="482" customFormat="false" ht="15" hidden="false" customHeight="true" outlineLevel="0" collapsed="false">
      <c r="A482" s="63"/>
      <c r="B482" s="63"/>
      <c r="C482" s="63"/>
      <c r="D482" s="63"/>
      <c r="E482" s="63"/>
      <c r="F482" s="28" t="str">
        <f aca="false">IF(C482="","",IF(OR(C482="1. bekkur",C482="2. bekkur",C482="3. bekkur",C482="4. bekkur"),"Já",IF(C482="Starfsmaður","Nei","Nei")))</f>
        <v/>
      </c>
      <c r="G482" s="63"/>
      <c r="H482" s="63"/>
      <c r="I482" s="63"/>
      <c r="J482" s="64" t="str">
        <f aca="false">IF(OR(A482="",B482=""),"",CONCATENATE("https://matarstund.is/serfaedi?id=",LOWER(SUBSTITUTE(B482,"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64" t="str">
        <f aca="false">IF(OR(A483="",B483=""),"",CONCATENATE("https://matarstund.is/serfaedi?id=",LOWER(SUBSTITUTE(B483," ","-"))))</f>
        <v/>
      </c>
    </row>
    <row r="484" customFormat="false" ht="15" hidden="false" customHeight="true" outlineLevel="0" collapsed="false">
      <c r="A484" s="63"/>
      <c r="B484" s="63"/>
      <c r="C484" s="63"/>
      <c r="D484" s="63"/>
      <c r="E484" s="63"/>
      <c r="F484" s="28" t="str">
        <f aca="false">IF(C484="","",IF(OR(C484="1. bekkur",C484="2. bekkur",C484="3. bekkur",C484="4. bekkur"),"Já",IF(C484="Starfsmaður","Nei","Nei")))</f>
        <v/>
      </c>
      <c r="G484" s="63"/>
      <c r="H484" s="63"/>
      <c r="I484" s="63"/>
      <c r="J484" s="64" t="str">
        <f aca="false">IF(OR(A484="",B484=""),"",CONCATENATE("https://matarstund.is/serfaedi?id=",LOWER(SUBSTITUTE(B484,"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64" t="str">
        <f aca="false">IF(OR(A485="",B485=""),"",CONCATENATE("https://matarstund.is/serfaedi?id=",LOWER(SUBSTITUTE(B485," ","-"))))</f>
        <v/>
      </c>
    </row>
    <row r="486" customFormat="false" ht="15" hidden="false" customHeight="true" outlineLevel="0" collapsed="false">
      <c r="A486" s="63"/>
      <c r="B486" s="63"/>
      <c r="C486" s="63"/>
      <c r="D486" s="63"/>
      <c r="E486" s="63"/>
      <c r="F486" s="28" t="str">
        <f aca="false">IF(C486="","",IF(OR(C486="1. bekkur",C486="2. bekkur",C486="3. bekkur",C486="4. bekkur"),"Já",IF(C486="Starfsmaður","Nei","Nei")))</f>
        <v/>
      </c>
      <c r="G486" s="63"/>
      <c r="H486" s="63"/>
      <c r="I486" s="63"/>
      <c r="J486" s="64" t="str">
        <f aca="false">IF(OR(A486="",B486=""),"",CONCATENATE("https://matarstund.is/serfaedi?id=",LOWER(SUBSTITUTE(B486,"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64" t="str">
        <f aca="false">IF(OR(A487="",B487=""),"",CONCATENATE("https://matarstund.is/serfaedi?id=",LOWER(SUBSTITUTE(B487," ","-"))))</f>
        <v/>
      </c>
    </row>
    <row r="488" customFormat="false" ht="15" hidden="false" customHeight="true" outlineLevel="0" collapsed="false">
      <c r="A488" s="63"/>
      <c r="B488" s="63"/>
      <c r="C488" s="63"/>
      <c r="D488" s="63"/>
      <c r="E488" s="63"/>
      <c r="F488" s="28" t="str">
        <f aca="false">IF(C488="","",IF(OR(C488="1. bekkur",C488="2. bekkur",C488="3. bekkur",C488="4. bekkur"),"Já",IF(C488="Starfsmaður","Nei","Nei")))</f>
        <v/>
      </c>
      <c r="G488" s="63"/>
      <c r="H488" s="63"/>
      <c r="I488" s="63"/>
      <c r="J488" s="64" t="str">
        <f aca="false">IF(OR(A488="",B488=""),"",CONCATENATE("https://matarstund.is/serfaedi?id=",LOWER(SUBSTITUTE(B488,"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64" t="str">
        <f aca="false">IF(OR(A489="",B489=""),"",CONCATENATE("https://matarstund.is/serfaedi?id=",LOWER(SUBSTITUTE(B489," ","-"))))</f>
        <v/>
      </c>
    </row>
    <row r="490" customFormat="false" ht="15" hidden="false" customHeight="true" outlineLevel="0" collapsed="false">
      <c r="A490" s="63"/>
      <c r="B490" s="63"/>
      <c r="C490" s="63"/>
      <c r="D490" s="63"/>
      <c r="E490" s="63"/>
      <c r="F490" s="28" t="str">
        <f aca="false">IF(C490="","",IF(OR(C490="1. bekkur",C490="2. bekkur",C490="3. bekkur",C490="4. bekkur"),"Já",IF(C490="Starfsmaður","Nei","Nei")))</f>
        <v/>
      </c>
      <c r="G490" s="63"/>
      <c r="H490" s="63"/>
      <c r="I490" s="63"/>
      <c r="J490" s="64" t="str">
        <f aca="false">IF(OR(A490="",B490=""),"",CONCATENATE("https://matarstund.is/serfaedi?id=",LOWER(SUBSTITUTE(B490,"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64" t="str">
        <f aca="false">IF(OR(A491="",B491=""),"",CONCATENATE("https://matarstund.is/serfaedi?id=",LOWER(SUBSTITUTE(B491," ","-"))))</f>
        <v/>
      </c>
    </row>
    <row r="492" customFormat="false" ht="15" hidden="false" customHeight="true" outlineLevel="0" collapsed="false">
      <c r="A492" s="63"/>
      <c r="B492" s="63"/>
      <c r="C492" s="63"/>
      <c r="D492" s="63"/>
      <c r="E492" s="63"/>
      <c r="F492" s="28" t="str">
        <f aca="false">IF(C492="","",IF(OR(C492="1. bekkur",C492="2. bekkur",C492="3. bekkur",C492="4. bekkur"),"Já",IF(C492="Starfsmaður","Nei","Nei")))</f>
        <v/>
      </c>
      <c r="G492" s="63"/>
      <c r="H492" s="63"/>
      <c r="I492" s="63"/>
      <c r="J492" s="64" t="str">
        <f aca="false">IF(OR(A492="",B492=""),"",CONCATENATE("https://matarstund.is/serfaedi?id=",LOWER(SUBSTITUTE(B492,"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64" t="str">
        <f aca="false">IF(OR(A493="",B493=""),"",CONCATENATE("https://matarstund.is/serfaedi?id=",LOWER(SUBSTITUTE(B493," ","-"))))</f>
        <v/>
      </c>
    </row>
    <row r="494" customFormat="false" ht="15" hidden="false" customHeight="true" outlineLevel="0" collapsed="false">
      <c r="A494" s="63"/>
      <c r="B494" s="63"/>
      <c r="C494" s="63"/>
      <c r="D494" s="63"/>
      <c r="E494" s="63"/>
      <c r="F494" s="28" t="str">
        <f aca="false">IF(C494="","",IF(OR(C494="1. bekkur",C494="2. bekkur",C494="3. bekkur",C494="4. bekkur"),"Já",IF(C494="Starfsmaður","Nei","Nei")))</f>
        <v/>
      </c>
      <c r="G494" s="63"/>
      <c r="H494" s="63"/>
      <c r="I494" s="63"/>
      <c r="J494" s="64" t="str">
        <f aca="false">IF(OR(A494="",B494=""),"",CONCATENATE("https://matarstund.is/serfaedi?id=",LOWER(SUBSTITUTE(B494,"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64" t="str">
        <f aca="false">IF(OR(A495="",B495=""),"",CONCATENATE("https://matarstund.is/serfaedi?id=",LOWER(SUBSTITUTE(B495," ","-"))))</f>
        <v/>
      </c>
    </row>
    <row r="496" customFormat="false" ht="15" hidden="false" customHeight="true" outlineLevel="0" collapsed="false">
      <c r="A496" s="63"/>
      <c r="B496" s="63"/>
      <c r="C496" s="63"/>
      <c r="D496" s="63"/>
      <c r="E496" s="63"/>
      <c r="F496" s="28" t="str">
        <f aca="false">IF(C496="","",IF(OR(C496="1. bekkur",C496="2. bekkur",C496="3. bekkur",C496="4. bekkur"),"Já",IF(C496="Starfsmaður","Nei","Nei")))</f>
        <v/>
      </c>
      <c r="G496" s="63"/>
      <c r="H496" s="63"/>
      <c r="I496" s="63"/>
      <c r="J496" s="64" t="str">
        <f aca="false">IF(OR(A496="",B496=""),"",CONCATENATE("https://matarstund.is/serfaedi?id=",LOWER(SUBSTITUTE(B496,"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64" t="str">
        <f aca="false">IF(OR(A497="",B497=""),"",CONCATENATE("https://matarstund.is/serfaedi?id=",LOWER(SUBSTITUTE(B497," ","-"))))</f>
        <v/>
      </c>
    </row>
    <row r="498" customFormat="false" ht="15" hidden="false" customHeight="true" outlineLevel="0" collapsed="false">
      <c r="A498" s="63"/>
      <c r="B498" s="63"/>
      <c r="C498" s="63"/>
      <c r="D498" s="63"/>
      <c r="E498" s="63"/>
      <c r="F498" s="28" t="str">
        <f aca="false">IF(C498="","",IF(OR(C498="1. bekkur",C498="2. bekkur",C498="3. bekkur",C498="4. bekkur"),"Já",IF(C498="Starfsmaður","Nei","Nei")))</f>
        <v/>
      </c>
      <c r="G498" s="63"/>
      <c r="H498" s="63"/>
      <c r="I498" s="63"/>
      <c r="J498" s="64" t="str">
        <f aca="false">IF(OR(A498="",B498=""),"",CONCATENATE("https://matarstund.is/serfaedi?id=",LOWER(SUBSTITUTE(B498,"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64" t="str">
        <f aca="false">IF(OR(A499="",B499=""),"",CONCATENATE("https://matarstund.is/serfaedi?id=",LOWER(SUBSTITUTE(B499," ","-"))))</f>
        <v/>
      </c>
    </row>
    <row r="500" customFormat="false" ht="15" hidden="false" customHeight="true" outlineLevel="0" collapsed="false">
      <c r="A500" s="63"/>
      <c r="B500" s="63"/>
      <c r="C500" s="63"/>
      <c r="D500" s="63"/>
      <c r="E500" s="63"/>
      <c r="F500" s="28" t="str">
        <f aca="false">IF(C500="","",IF(OR(C500="1. bekkur",C500="2. bekkur",C500="3. bekkur",C500="4. bekkur"),"Já",IF(C500="Starfsmaður","Nei","Nei")))</f>
        <v/>
      </c>
      <c r="G500" s="63"/>
      <c r="H500" s="63"/>
      <c r="I500" s="63"/>
      <c r="J500" s="64" t="str">
        <f aca="false">IF(OR(A500="",B500=""),"",CONCATENATE("https://matarstund.is/serfaedi?id=",LOWER(SUBSTITUTE(B500,"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64" t="str">
        <f aca="false">IF(OR(A501="",B501=""),"",CONCATENATE("https://matarstund.is/serfaedi?id=",LOWER(SUBSTITUTE(B501," ","-"))))</f>
        <v/>
      </c>
    </row>
    <row r="502" customFormat="false" ht="15" hidden="false" customHeight="true" outlineLevel="0" collapsed="false">
      <c r="A502" s="63"/>
      <c r="B502" s="63"/>
      <c r="C502" s="63"/>
      <c r="D502" s="63"/>
      <c r="E502" s="63"/>
      <c r="F502" s="28" t="str">
        <f aca="false">IF(C502="","",IF(OR(C502="1. bekkur",C502="2. bekkur",C502="3. bekkur",C502="4. bekkur"),"Já",IF(C502="Starfsmaður","Nei","Nei")))</f>
        <v/>
      </c>
      <c r="G502" s="63"/>
      <c r="H502" s="63"/>
      <c r="I502" s="63"/>
      <c r="J502" s="64" t="str">
        <f aca="false">IF(OR(A502="",B502=""),"",CONCATENATE("https://matarstund.is/serfaedi?id=",LOWER(SUBSTITUTE(B502,"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64" t="str">
        <f aca="false">IF(OR(A503="",B503=""),"",CONCATENATE("https://matarstund.is/serfaedi?id=",LOWER(SUBSTITUTE(B503," ","-"))))</f>
        <v/>
      </c>
    </row>
    <row r="504" customFormat="false" ht="15" hidden="false" customHeight="true" outlineLevel="0" collapsed="false">
      <c r="A504" s="63"/>
      <c r="B504" s="63"/>
      <c r="C504" s="63"/>
      <c r="D504" s="63"/>
      <c r="E504" s="63"/>
      <c r="F504" s="28" t="str">
        <f aca="false">IF(C504="","",IF(OR(C504="1. bekkur",C504="2. bekkur",C504="3. bekkur",C504="4. bekkur"),"Já",IF(C504="Starfsmaður","Nei","Nei")))</f>
        <v/>
      </c>
      <c r="G504" s="63"/>
      <c r="H504" s="63"/>
      <c r="I504" s="63"/>
      <c r="J504" s="64" t="str">
        <f aca="false">IF(OR(A504="",B504=""),"",CONCATENATE("https://matarstund.is/serfaedi?id=",LOWER(SUBSTITUTE(B504,"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64" t="str">
        <f aca="false">IF(OR(A505="",B505=""),"",CONCATENATE("https://matarstund.is/serfaedi?id=",LOWER(SUBSTITUTE(B505," ","-"))))</f>
        <v/>
      </c>
    </row>
    <row r="506" customFormat="false" ht="15" hidden="false" customHeight="true" outlineLevel="0" collapsed="false">
      <c r="A506" s="63"/>
      <c r="B506" s="63"/>
      <c r="C506" s="63"/>
      <c r="D506" s="63"/>
      <c r="E506" s="63"/>
      <c r="F506" s="28" t="str">
        <f aca="false">IF(C506="","",IF(OR(C506="1. bekkur",C506="2. bekkur",C506="3. bekkur",C506="4. bekkur"),"Já",IF(C506="Starfsmaður","Nei","Nei")))</f>
        <v/>
      </c>
      <c r="G506" s="63"/>
      <c r="H506" s="63"/>
      <c r="I506" s="63"/>
      <c r="J506" s="64" t="str">
        <f aca="false">IF(OR(A506="",B506=""),"",CONCATENATE("https://matarstund.is/serfaedi?id=",LOWER(SUBSTITUTE(B506,"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64" t="str">
        <f aca="false">IF(OR(A507="",B507=""),"",CONCATENATE("https://matarstund.is/serfaedi?id=",LOWER(SUBSTITUTE(B507," ","-"))))</f>
        <v/>
      </c>
    </row>
    <row r="508" customFormat="false" ht="15" hidden="false" customHeight="true" outlineLevel="0" collapsed="false">
      <c r="A508" s="63"/>
      <c r="B508" s="63"/>
      <c r="C508" s="63"/>
      <c r="D508" s="63"/>
      <c r="E508" s="63"/>
      <c r="F508" s="28" t="str">
        <f aca="false">IF(C508="","",IF(OR(C508="1. bekkur",C508="2. bekkur",C508="3. bekkur",C508="4. bekkur"),"Já",IF(C508="Starfsmaður","Nei","Nei")))</f>
        <v/>
      </c>
      <c r="G508" s="63"/>
      <c r="H508" s="63"/>
      <c r="I508" s="63"/>
      <c r="J508" s="64" t="str">
        <f aca="false">IF(OR(A508="",B508=""),"",CONCATENATE("https://matarstund.is/serfaedi?id=",LOWER(SUBSTITUTE(B508,"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64" t="str">
        <f aca="false">IF(OR(A509="",B509=""),"",CONCATENATE("https://matarstund.is/serfaedi?id=",LOWER(SUBSTITUTE(B509," ","-"))))</f>
        <v/>
      </c>
    </row>
    <row r="510" customFormat="false" ht="15" hidden="false" customHeight="true" outlineLevel="0" collapsed="false">
      <c r="A510" s="63"/>
      <c r="B510" s="63"/>
      <c r="C510" s="63"/>
      <c r="D510" s="63"/>
      <c r="E510" s="63"/>
      <c r="F510" s="28" t="str">
        <f aca="false">IF(C510="","",IF(OR(C510="1. bekkur",C510="2. bekkur",C510="3. bekkur",C510="4. bekkur"),"Já",IF(C510="Starfsmaður","Nei","Nei")))</f>
        <v/>
      </c>
      <c r="G510" s="63"/>
      <c r="H510" s="63"/>
      <c r="I510" s="63"/>
      <c r="J510" s="64" t="str">
        <f aca="false">IF(OR(A510="",B510=""),"",CONCATENATE("https://matarstund.is/serfaedi?id=",LOWER(SUBSTITUTE(B510,"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64" t="str">
        <f aca="false">IF(OR(A511="",B511=""),"",CONCATENATE("https://matarstund.is/serfaedi?id=",LOWER(SUBSTITUTE(B511," ","-"))))</f>
        <v/>
      </c>
    </row>
    <row r="512" customFormat="false" ht="15" hidden="false" customHeight="true" outlineLevel="0" collapsed="false">
      <c r="A512" s="63"/>
      <c r="B512" s="63"/>
      <c r="C512" s="63"/>
      <c r="D512" s="63"/>
      <c r="E512" s="63"/>
      <c r="F512" s="28" t="str">
        <f aca="false">IF(C512="","",IF(OR(C512="1. bekkur",C512="2. bekkur",C512="3. bekkur",C512="4. bekkur"),"Já",IF(C512="Starfsmaður","Nei","Nei")))</f>
        <v/>
      </c>
      <c r="G512" s="63"/>
      <c r="H512" s="63"/>
      <c r="I512" s="63"/>
      <c r="J512" s="64" t="str">
        <f aca="false">IF(OR(A512="",B512=""),"",CONCATENATE("https://matarstund.is/serfaedi?id=",LOWER(SUBSTITUTE(B512,"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64" t="str">
        <f aca="false">IF(OR(A513="",B513=""),"",CONCATENATE("https://matarstund.is/serfaedi?id=",LOWER(SUBSTITUTE(B513," ","-"))))</f>
        <v/>
      </c>
    </row>
    <row r="514" customFormat="false" ht="15" hidden="false" customHeight="true" outlineLevel="0" collapsed="false">
      <c r="A514" s="63"/>
      <c r="B514" s="63"/>
      <c r="C514" s="63"/>
      <c r="D514" s="63"/>
      <c r="E514" s="63"/>
      <c r="F514" s="28" t="str">
        <f aca="false">IF(C514="","",IF(OR(C514="1. bekkur",C514="2. bekkur",C514="3. bekkur",C514="4. bekkur"),"Já",IF(C514="Starfsmaður","Nei","Nei")))</f>
        <v/>
      </c>
      <c r="G514" s="63"/>
      <c r="H514" s="63"/>
      <c r="I514" s="63"/>
      <c r="J514" s="64" t="str">
        <f aca="false">IF(OR(A514="",B514=""),"",CONCATENATE("https://matarstund.is/serfaedi?id=",LOWER(SUBSTITUTE(B514,"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64" t="str">
        <f aca="false">IF(OR(A515="",B515=""),"",CONCATENATE("https://matarstund.is/serfaedi?id=",LOWER(SUBSTITUTE(B515," ","-"))))</f>
        <v/>
      </c>
    </row>
    <row r="516" customFormat="false" ht="15" hidden="false" customHeight="true" outlineLevel="0" collapsed="false">
      <c r="A516" s="63"/>
      <c r="B516" s="63"/>
      <c r="C516" s="63"/>
      <c r="D516" s="63"/>
      <c r="E516" s="63"/>
      <c r="F516" s="28" t="str">
        <f aca="false">IF(C516="","",IF(OR(C516="1. bekkur",C516="2. bekkur",C516="3. bekkur",C516="4. bekkur"),"Já",IF(C516="Starfsmaður","Nei","Nei")))</f>
        <v/>
      </c>
      <c r="G516" s="63"/>
      <c r="H516" s="63"/>
      <c r="I516" s="63"/>
      <c r="J516" s="64" t="str">
        <f aca="false">IF(OR(A516="",B516=""),"",CONCATENATE("https://matarstund.is/serfaedi?id=",LOWER(SUBSTITUTE(B516,"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64" t="str">
        <f aca="false">IF(OR(A517="",B517=""),"",CONCATENATE("https://matarstund.is/serfaedi?id=",LOWER(SUBSTITUTE(B517," ","-"))))</f>
        <v/>
      </c>
    </row>
    <row r="518" customFormat="false" ht="15" hidden="false" customHeight="true" outlineLevel="0" collapsed="false">
      <c r="A518" s="63"/>
      <c r="B518" s="63"/>
      <c r="C518" s="63"/>
      <c r="D518" s="63"/>
      <c r="E518" s="63"/>
      <c r="F518" s="28" t="str">
        <f aca="false">IF(C518="","",IF(OR(C518="1. bekkur",C518="2. bekkur",C518="3. bekkur",C518="4. bekkur"),"Já",IF(C518="Starfsmaður","Nei","Nei")))</f>
        <v/>
      </c>
      <c r="G518" s="63"/>
      <c r="H518" s="63"/>
      <c r="I518" s="63"/>
      <c r="J518" s="64" t="str">
        <f aca="false">IF(OR(A518="",B518=""),"",CONCATENATE("https://matarstund.is/serfaedi?id=",LOWER(SUBSTITUTE(B518,"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64" t="str">
        <f aca="false">IF(OR(A519="",B519=""),"",CONCATENATE("https://matarstund.is/serfaedi?id=",LOWER(SUBSTITUTE(B519," ","-"))))</f>
        <v/>
      </c>
    </row>
    <row r="520" customFormat="false" ht="15" hidden="false" customHeight="true" outlineLevel="0" collapsed="false">
      <c r="A520" s="63"/>
      <c r="B520" s="63"/>
      <c r="C520" s="63"/>
      <c r="D520" s="63"/>
      <c r="E520" s="63"/>
      <c r="F520" s="28" t="str">
        <f aca="false">IF(C520="","",IF(OR(C520="1. bekkur",C520="2. bekkur",C520="3. bekkur",C520="4. bekkur"),"Já",IF(C520="Starfsmaður","Nei","Nei")))</f>
        <v/>
      </c>
      <c r="G520" s="63"/>
      <c r="H520" s="63"/>
      <c r="I520" s="63"/>
      <c r="J520" s="64" t="str">
        <f aca="false">IF(OR(A520="",B520=""),"",CONCATENATE("https://matarstund.is/serfaedi?id=",LOWER(SUBSTITUTE(B520,"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64" t="str">
        <f aca="false">IF(OR(A521="",B521=""),"",CONCATENATE("https://matarstund.is/serfaedi?id=",LOWER(SUBSTITUTE(B521," ","-"))))</f>
        <v/>
      </c>
    </row>
    <row r="522" customFormat="false" ht="15" hidden="false" customHeight="true" outlineLevel="0" collapsed="false">
      <c r="A522" s="63"/>
      <c r="B522" s="63"/>
      <c r="C522" s="63"/>
      <c r="D522" s="63"/>
      <c r="E522" s="63"/>
      <c r="F522" s="28" t="str">
        <f aca="false">IF(C522="","",IF(OR(C522="1. bekkur",C522="2. bekkur",C522="3. bekkur",C522="4. bekkur"),"Já",IF(C522="Starfsmaður","Nei","Nei")))</f>
        <v/>
      </c>
      <c r="G522" s="63"/>
      <c r="H522" s="63"/>
      <c r="I522" s="63"/>
      <c r="J522" s="64" t="str">
        <f aca="false">IF(OR(A522="",B522=""),"",CONCATENATE("https://matarstund.is/serfaedi?id=",LOWER(SUBSTITUTE(B522,"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64" t="str">
        <f aca="false">IF(OR(A523="",B523=""),"",CONCATENATE("https://matarstund.is/serfaedi?id=",LOWER(SUBSTITUTE(B523," ","-"))))</f>
        <v/>
      </c>
    </row>
    <row r="524" customFormat="false" ht="15" hidden="false" customHeight="true" outlineLevel="0" collapsed="false">
      <c r="A524" s="63"/>
      <c r="B524" s="63"/>
      <c r="C524" s="63"/>
      <c r="D524" s="63"/>
      <c r="E524" s="63"/>
      <c r="F524" s="28" t="str">
        <f aca="false">IF(C524="","",IF(OR(C524="1. bekkur",C524="2. bekkur",C524="3. bekkur",C524="4. bekkur"),"Já",IF(C524="Starfsmaður","Nei","Nei")))</f>
        <v/>
      </c>
      <c r="G524" s="63"/>
      <c r="H524" s="63"/>
      <c r="I524" s="63"/>
      <c r="J524" s="64" t="str">
        <f aca="false">IF(OR(A524="",B524=""),"",CONCATENATE("https://matarstund.is/serfaedi?id=",LOWER(SUBSTITUTE(B524,"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64" t="str">
        <f aca="false">IF(OR(A525="",B525=""),"",CONCATENATE("https://matarstund.is/serfaedi?id=",LOWER(SUBSTITUTE(B525," ","-"))))</f>
        <v/>
      </c>
    </row>
    <row r="526" customFormat="false" ht="15" hidden="false" customHeight="true" outlineLevel="0" collapsed="false">
      <c r="A526" s="63"/>
      <c r="B526" s="63"/>
      <c r="C526" s="63"/>
      <c r="D526" s="63"/>
      <c r="E526" s="63"/>
      <c r="F526" s="28" t="str">
        <f aca="false">IF(C526="","",IF(OR(C526="1. bekkur",C526="2. bekkur",C526="3. bekkur",C526="4. bekkur"),"Já",IF(C526="Starfsmaður","Nei","Nei")))</f>
        <v/>
      </c>
      <c r="G526" s="63"/>
      <c r="H526" s="63"/>
      <c r="I526" s="63"/>
      <c r="J526" s="64" t="str">
        <f aca="false">IF(OR(A526="",B526=""),"",CONCATENATE("https://matarstund.is/serfaedi?id=",LOWER(SUBSTITUTE(B526,"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64" t="str">
        <f aca="false">IF(OR(A527="",B527=""),"",CONCATENATE("https://matarstund.is/serfaedi?id=",LOWER(SUBSTITUTE(B527," ","-"))))</f>
        <v/>
      </c>
    </row>
    <row r="528" customFormat="false" ht="15" hidden="false" customHeight="true" outlineLevel="0" collapsed="false">
      <c r="A528" s="63"/>
      <c r="B528" s="63"/>
      <c r="C528" s="63"/>
      <c r="D528" s="63"/>
      <c r="E528" s="63"/>
      <c r="F528" s="28" t="str">
        <f aca="false">IF(C528="","",IF(OR(C528="1. bekkur",C528="2. bekkur",C528="3. bekkur",C528="4. bekkur"),"Já",IF(C528="Starfsmaður","Nei","Nei")))</f>
        <v/>
      </c>
      <c r="G528" s="63"/>
      <c r="H528" s="63"/>
      <c r="I528" s="63"/>
      <c r="J528" s="64" t="str">
        <f aca="false">IF(OR(A528="",B528=""),"",CONCATENATE("https://matarstund.is/serfaedi?id=",LOWER(SUBSTITUTE(B528,"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64" t="str">
        <f aca="false">IF(OR(A529="",B529=""),"",CONCATENATE("https://matarstund.is/serfaedi?id=",LOWER(SUBSTITUTE(B529," ","-"))))</f>
        <v/>
      </c>
    </row>
    <row r="530" customFormat="false" ht="15" hidden="false" customHeight="true" outlineLevel="0" collapsed="false">
      <c r="A530" s="63"/>
      <c r="B530" s="63"/>
      <c r="C530" s="63"/>
      <c r="D530" s="63"/>
      <c r="E530" s="63"/>
      <c r="F530" s="28" t="str">
        <f aca="false">IF(C530="","",IF(OR(C530="1. bekkur",C530="2. bekkur",C530="3. bekkur",C530="4. bekkur"),"Já",IF(C530="Starfsmaður","Nei","Nei")))</f>
        <v/>
      </c>
      <c r="G530" s="63"/>
      <c r="H530" s="63"/>
      <c r="I530" s="63"/>
      <c r="J530" s="64" t="str">
        <f aca="false">IF(OR(A530="",B530=""),"",CONCATENATE("https://matarstund.is/serfaedi?id=",LOWER(SUBSTITUTE(B530,"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64" t="str">
        <f aca="false">IF(OR(A531="",B531=""),"",CONCATENATE("https://matarstund.is/serfaedi?id=",LOWER(SUBSTITUTE(B531," ","-"))))</f>
        <v/>
      </c>
    </row>
    <row r="532" customFormat="false" ht="15" hidden="false" customHeight="true" outlineLevel="0" collapsed="false">
      <c r="A532" s="63"/>
      <c r="B532" s="63"/>
      <c r="C532" s="63"/>
      <c r="D532" s="63"/>
      <c r="E532" s="63"/>
      <c r="F532" s="28" t="str">
        <f aca="false">IF(C532="","",IF(OR(C532="1. bekkur",C532="2. bekkur",C532="3. bekkur",C532="4. bekkur"),"Já",IF(C532="Starfsmaður","Nei","Nei")))</f>
        <v/>
      </c>
      <c r="G532" s="63"/>
      <c r="H532" s="63"/>
      <c r="I532" s="63"/>
      <c r="J532" s="64" t="str">
        <f aca="false">IF(OR(A532="",B532=""),"",CONCATENATE("https://matarstund.is/serfaedi?id=",LOWER(SUBSTITUTE(B532,"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64" t="str">
        <f aca="false">IF(OR(A533="",B533=""),"",CONCATENATE("https://matarstund.is/serfaedi?id=",LOWER(SUBSTITUTE(B533," ","-"))))</f>
        <v/>
      </c>
    </row>
    <row r="534" customFormat="false" ht="15" hidden="false" customHeight="true" outlineLevel="0" collapsed="false">
      <c r="A534" s="63"/>
      <c r="B534" s="63"/>
      <c r="C534" s="63"/>
      <c r="D534" s="63"/>
      <c r="E534" s="63"/>
      <c r="F534" s="28" t="str">
        <f aca="false">IF(C534="","",IF(OR(C534="1. bekkur",C534="2. bekkur",C534="3. bekkur",C534="4. bekkur"),"Já",IF(C534="Starfsmaður","Nei","Nei")))</f>
        <v/>
      </c>
      <c r="G534" s="63"/>
      <c r="H534" s="63"/>
      <c r="I534" s="63"/>
      <c r="J534" s="64" t="str">
        <f aca="false">IF(OR(A534="",B534=""),"",CONCATENATE("https://matarstund.is/serfaedi?id=",LOWER(SUBSTITUTE(B534,"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64" t="str">
        <f aca="false">IF(OR(A535="",B535=""),"",CONCATENATE("https://matarstund.is/serfaedi?id=",LOWER(SUBSTITUTE(B535," ","-"))))</f>
        <v/>
      </c>
    </row>
    <row r="536" customFormat="false" ht="15" hidden="false" customHeight="true" outlineLevel="0" collapsed="false">
      <c r="A536" s="63"/>
      <c r="B536" s="63"/>
      <c r="C536" s="63"/>
      <c r="D536" s="63"/>
      <c r="E536" s="63"/>
      <c r="F536" s="28" t="str">
        <f aca="false">IF(C536="","",IF(OR(C536="1. bekkur",C536="2. bekkur",C536="3. bekkur",C536="4. bekkur"),"Já",IF(C536="Starfsmaður","Nei","Nei")))</f>
        <v/>
      </c>
      <c r="G536" s="63"/>
      <c r="H536" s="63"/>
      <c r="I536" s="63"/>
      <c r="J536" s="64" t="str">
        <f aca="false">IF(OR(A536="",B536=""),"",CONCATENATE("https://matarstund.is/serfaedi?id=",LOWER(SUBSTITUTE(B536,"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64" t="str">
        <f aca="false">IF(OR(A537="",B537=""),"",CONCATENATE("https://matarstund.is/serfaedi?id=",LOWER(SUBSTITUTE(B537," ","-"))))</f>
        <v/>
      </c>
    </row>
    <row r="538" customFormat="false" ht="15" hidden="false" customHeight="true" outlineLevel="0" collapsed="false">
      <c r="A538" s="63"/>
      <c r="B538" s="63"/>
      <c r="C538" s="63"/>
      <c r="D538" s="63"/>
      <c r="E538" s="63"/>
      <c r="F538" s="28" t="str">
        <f aca="false">IF(C538="","",IF(OR(C538="1. bekkur",C538="2. bekkur",C538="3. bekkur",C538="4. bekkur"),"Já",IF(C538="Starfsmaður","Nei","Nei")))</f>
        <v/>
      </c>
      <c r="G538" s="63"/>
      <c r="H538" s="63"/>
      <c r="I538" s="63"/>
      <c r="J538" s="64" t="str">
        <f aca="false">IF(OR(A538="",B538=""),"",CONCATENATE("https://matarstund.is/serfaedi?id=",LOWER(SUBSTITUTE(B538,"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64" t="str">
        <f aca="false">IF(OR(A539="",B539=""),"",CONCATENATE("https://matarstund.is/serfaedi?id=",LOWER(SUBSTITUTE(B539," ","-"))))</f>
        <v/>
      </c>
    </row>
    <row r="540" customFormat="false" ht="15" hidden="false" customHeight="true" outlineLevel="0" collapsed="false">
      <c r="A540" s="63"/>
      <c r="B540" s="63"/>
      <c r="C540" s="63"/>
      <c r="D540" s="63"/>
      <c r="E540" s="63"/>
      <c r="F540" s="28" t="str">
        <f aca="false">IF(C540="","",IF(OR(C540="1. bekkur",C540="2. bekkur",C540="3. bekkur",C540="4. bekkur"),"Já",IF(C540="Starfsmaður","Nei","Nei")))</f>
        <v/>
      </c>
      <c r="G540" s="63"/>
      <c r="H540" s="63"/>
      <c r="I540" s="63"/>
      <c r="J540" s="64" t="str">
        <f aca="false">IF(OR(A540="",B540=""),"",CONCATENATE("https://matarstund.is/serfaedi?id=",LOWER(SUBSTITUTE(B540,"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64" t="str">
        <f aca="false">IF(OR(A541="",B541=""),"",CONCATENATE("https://matarstund.is/serfaedi?id=",LOWER(SUBSTITUTE(B541," ","-"))))</f>
        <v/>
      </c>
    </row>
    <row r="542" customFormat="false" ht="15" hidden="false" customHeight="true" outlineLevel="0" collapsed="false">
      <c r="A542" s="63"/>
      <c r="B542" s="63"/>
      <c r="C542" s="63"/>
      <c r="D542" s="63"/>
      <c r="E542" s="63"/>
      <c r="F542" s="28" t="str">
        <f aca="false">IF(C542="","",IF(OR(C542="1. bekkur",C542="2. bekkur",C542="3. bekkur",C542="4. bekkur"),"Já",IF(C542="Starfsmaður","Nei","Nei")))</f>
        <v/>
      </c>
      <c r="G542" s="63"/>
      <c r="H542" s="63"/>
      <c r="I542" s="63"/>
      <c r="J542" s="64" t="str">
        <f aca="false">IF(OR(A542="",B542=""),"",CONCATENATE("https://matarstund.is/serfaedi?id=",LOWER(SUBSTITUTE(B542,"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64" t="str">
        <f aca="false">IF(OR(A543="",B543=""),"",CONCATENATE("https://matarstund.is/serfaedi?id=",LOWER(SUBSTITUTE(B543," ","-"))))</f>
        <v/>
      </c>
    </row>
    <row r="544" customFormat="false" ht="15" hidden="false" customHeight="true" outlineLevel="0" collapsed="false">
      <c r="A544" s="63"/>
      <c r="B544" s="63"/>
      <c r="C544" s="63"/>
      <c r="D544" s="63"/>
      <c r="E544" s="63"/>
      <c r="F544" s="28" t="str">
        <f aca="false">IF(C544="","",IF(OR(C544="1. bekkur",C544="2. bekkur",C544="3. bekkur",C544="4. bekkur"),"Já",IF(C544="Starfsmaður","Nei","Nei")))</f>
        <v/>
      </c>
      <c r="G544" s="63"/>
      <c r="H544" s="63"/>
      <c r="I544" s="63"/>
      <c r="J544" s="64" t="str">
        <f aca="false">IF(OR(A544="",B544=""),"",CONCATENATE("https://matarstund.is/serfaedi?id=",LOWER(SUBSTITUTE(B544,"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64" t="str">
        <f aca="false">IF(OR(A545="",B545=""),"",CONCATENATE("https://matarstund.is/serfaedi?id=",LOWER(SUBSTITUTE(B545," ","-"))))</f>
        <v/>
      </c>
    </row>
    <row r="546" customFormat="false" ht="15" hidden="false" customHeight="true" outlineLevel="0" collapsed="false">
      <c r="A546" s="63"/>
      <c r="B546" s="63"/>
      <c r="C546" s="63"/>
      <c r="D546" s="63"/>
      <c r="E546" s="63"/>
      <c r="F546" s="28" t="str">
        <f aca="false">IF(C546="","",IF(OR(C546="1. bekkur",C546="2. bekkur",C546="3. bekkur",C546="4. bekkur"),"Já",IF(C546="Starfsmaður","Nei","Nei")))</f>
        <v/>
      </c>
      <c r="G546" s="63"/>
      <c r="H546" s="63"/>
      <c r="I546" s="63"/>
      <c r="J546" s="64" t="str">
        <f aca="false">IF(OR(A546="",B546=""),"",CONCATENATE("https://matarstund.is/serfaedi?id=",LOWER(SUBSTITUTE(B546,"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64" t="str">
        <f aca="false">IF(OR(A547="",B547=""),"",CONCATENATE("https://matarstund.is/serfaedi?id=",LOWER(SUBSTITUTE(B547," ","-"))))</f>
        <v/>
      </c>
    </row>
    <row r="548" customFormat="false" ht="15" hidden="false" customHeight="true" outlineLevel="0" collapsed="false">
      <c r="A548" s="63"/>
      <c r="B548" s="63"/>
      <c r="C548" s="63"/>
      <c r="D548" s="63"/>
      <c r="E548" s="63"/>
      <c r="F548" s="28" t="str">
        <f aca="false">IF(C548="","",IF(OR(C548="1. bekkur",C548="2. bekkur",C548="3. bekkur",C548="4. bekkur"),"Já",IF(C548="Starfsmaður","Nei","Nei")))</f>
        <v/>
      </c>
      <c r="G548" s="63"/>
      <c r="H548" s="63"/>
      <c r="I548" s="63"/>
      <c r="J548" s="64" t="str">
        <f aca="false">IF(OR(A548="",B548=""),"",CONCATENATE("https://matarstund.is/serfaedi?id=",LOWER(SUBSTITUTE(B548,"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64" t="str">
        <f aca="false">IF(OR(A549="",B549=""),"",CONCATENATE("https://matarstund.is/serfaedi?id=",LOWER(SUBSTITUTE(B549," ","-"))))</f>
        <v/>
      </c>
    </row>
    <row r="550" customFormat="false" ht="15" hidden="false" customHeight="true" outlineLevel="0" collapsed="false">
      <c r="A550" s="63"/>
      <c r="B550" s="63"/>
      <c r="C550" s="63"/>
      <c r="D550" s="63"/>
      <c r="E550" s="63"/>
      <c r="F550" s="28" t="str">
        <f aca="false">IF(C550="","",IF(OR(C550="1. bekkur",C550="2. bekkur",C550="3. bekkur",C550="4. bekkur"),"Já",IF(C550="Starfsmaður","Nei","Nei")))</f>
        <v/>
      </c>
      <c r="G550" s="63"/>
      <c r="H550" s="63"/>
      <c r="I550" s="63"/>
      <c r="J550" s="64" t="str">
        <f aca="false">IF(OR(A550="",B550=""),"",CONCATENATE("https://matarstund.is/serfaedi?id=",LOWER(SUBSTITUTE(B550,"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64" t="str">
        <f aca="false">IF(OR(A551="",B551=""),"",CONCATENATE("https://matarstund.is/serfaedi?id=",LOWER(SUBSTITUTE(B551," ","-"))))</f>
        <v/>
      </c>
    </row>
    <row r="552" customFormat="false" ht="15" hidden="false" customHeight="true" outlineLevel="0" collapsed="false">
      <c r="A552" s="63"/>
      <c r="B552" s="63"/>
      <c r="C552" s="63"/>
      <c r="D552" s="63"/>
      <c r="E552" s="63"/>
      <c r="F552" s="28" t="str">
        <f aca="false">IF(C552="","",IF(OR(C552="1. bekkur",C552="2. bekkur",C552="3. bekkur",C552="4. bekkur"),"Já",IF(C552="Starfsmaður","Nei","Nei")))</f>
        <v/>
      </c>
      <c r="G552" s="63"/>
      <c r="H552" s="63"/>
      <c r="I552" s="63"/>
      <c r="J552" s="64" t="str">
        <f aca="false">IF(OR(A552="",B552=""),"",CONCATENATE("https://matarstund.is/serfaedi?id=",LOWER(SUBSTITUTE(B552,"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64" t="str">
        <f aca="false">IF(OR(A553="",B553=""),"",CONCATENATE("https://matarstund.is/serfaedi?id=",LOWER(SUBSTITUTE(B553," ","-"))))</f>
        <v/>
      </c>
    </row>
    <row r="554" customFormat="false" ht="15" hidden="false" customHeight="true" outlineLevel="0" collapsed="false">
      <c r="A554" s="63"/>
      <c r="B554" s="63"/>
      <c r="C554" s="63"/>
      <c r="D554" s="63"/>
      <c r="E554" s="63"/>
      <c r="F554" s="28" t="str">
        <f aca="false">IF(C554="","",IF(OR(C554="1. bekkur",C554="2. bekkur",C554="3. bekkur",C554="4. bekkur"),"Já",IF(C554="Starfsmaður","Nei","Nei")))</f>
        <v/>
      </c>
      <c r="G554" s="63"/>
      <c r="H554" s="63"/>
      <c r="I554" s="63"/>
      <c r="J554" s="64" t="str">
        <f aca="false">IF(OR(A554="",B554=""),"",CONCATENATE("https://matarstund.is/serfaedi?id=",LOWER(SUBSTITUTE(B554,"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64" t="str">
        <f aca="false">IF(OR(A555="",B555=""),"",CONCATENATE("https://matarstund.is/serfaedi?id=",LOWER(SUBSTITUTE(B555," ","-"))))</f>
        <v/>
      </c>
    </row>
    <row r="556" customFormat="false" ht="15" hidden="false" customHeight="true" outlineLevel="0" collapsed="false">
      <c r="A556" s="63"/>
      <c r="B556" s="63"/>
      <c r="C556" s="63"/>
      <c r="D556" s="63"/>
      <c r="E556" s="63"/>
      <c r="F556" s="28" t="str">
        <f aca="false">IF(C556="","",IF(OR(C556="1. bekkur",C556="2. bekkur",C556="3. bekkur",C556="4. bekkur"),"Já",IF(C556="Starfsmaður","Nei","Nei")))</f>
        <v/>
      </c>
      <c r="G556" s="63"/>
      <c r="H556" s="63"/>
      <c r="I556" s="63"/>
      <c r="J556" s="64" t="str">
        <f aca="false">IF(OR(A556="",B556=""),"",CONCATENATE("https://matarstund.is/serfaedi?id=",LOWER(SUBSTITUTE(B556,"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64" t="str">
        <f aca="false">IF(OR(A557="",B557=""),"",CONCATENATE("https://matarstund.is/serfaedi?id=",LOWER(SUBSTITUTE(B557," ","-"))))</f>
        <v/>
      </c>
    </row>
    <row r="558" customFormat="false" ht="15" hidden="false" customHeight="true" outlineLevel="0" collapsed="false">
      <c r="A558" s="63"/>
      <c r="B558" s="63"/>
      <c r="C558" s="63"/>
      <c r="D558" s="63"/>
      <c r="E558" s="63"/>
      <c r="F558" s="28" t="str">
        <f aca="false">IF(C558="","",IF(OR(C558="1. bekkur",C558="2. bekkur",C558="3. bekkur",C558="4. bekkur"),"Já",IF(C558="Starfsmaður","Nei","Nei")))</f>
        <v/>
      </c>
      <c r="G558" s="63"/>
      <c r="H558" s="63"/>
      <c r="I558" s="63"/>
      <c r="J558" s="64" t="str">
        <f aca="false">IF(OR(A558="",B558=""),"",CONCATENATE("https://matarstund.is/serfaedi?id=",LOWER(SUBSTITUTE(B558,"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64" t="str">
        <f aca="false">IF(OR(A559="",B559=""),"",CONCATENATE("https://matarstund.is/serfaedi?id=",LOWER(SUBSTITUTE(B559," ","-"))))</f>
        <v/>
      </c>
    </row>
    <row r="560" customFormat="false" ht="15" hidden="false" customHeight="true" outlineLevel="0" collapsed="false">
      <c r="A560" s="63"/>
      <c r="B560" s="63"/>
      <c r="C560" s="63"/>
      <c r="D560" s="63"/>
      <c r="E560" s="63"/>
      <c r="F560" s="28" t="str">
        <f aca="false">IF(C560="","",IF(OR(C560="1. bekkur",C560="2. bekkur",C560="3. bekkur",C560="4. bekkur"),"Já",IF(C560="Starfsmaður","Nei","Nei")))</f>
        <v/>
      </c>
      <c r="G560" s="63"/>
      <c r="H560" s="63"/>
      <c r="I560" s="63"/>
      <c r="J560" s="64" t="str">
        <f aca="false">IF(OR(A560="",B560=""),"",CONCATENATE("https://matarstund.is/serfaedi?id=",LOWER(SUBSTITUTE(B560,"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64" t="str">
        <f aca="false">IF(OR(A561="",B561=""),"",CONCATENATE("https://matarstund.is/serfaedi?id=",LOWER(SUBSTITUTE(B561," ","-"))))</f>
        <v/>
      </c>
    </row>
    <row r="562" customFormat="false" ht="15" hidden="false" customHeight="true" outlineLevel="0" collapsed="false">
      <c r="A562" s="63"/>
      <c r="B562" s="63"/>
      <c r="C562" s="63"/>
      <c r="D562" s="63"/>
      <c r="E562" s="63"/>
      <c r="F562" s="28" t="str">
        <f aca="false">IF(C562="","",IF(OR(C562="1. bekkur",C562="2. bekkur",C562="3. bekkur",C562="4. bekkur"),"Já",IF(C562="Starfsmaður","Nei","Nei")))</f>
        <v/>
      </c>
      <c r="G562" s="63"/>
      <c r="H562" s="63"/>
      <c r="I562" s="63"/>
      <c r="J562" s="64" t="str">
        <f aca="false">IF(OR(A562="",B562=""),"",CONCATENATE("https://matarstund.is/serfaedi?id=",LOWER(SUBSTITUTE(B562,"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64" t="str">
        <f aca="false">IF(OR(A563="",B563=""),"",CONCATENATE("https://matarstund.is/serfaedi?id=",LOWER(SUBSTITUTE(B563," ","-"))))</f>
        <v/>
      </c>
    </row>
    <row r="564" customFormat="false" ht="15" hidden="false" customHeight="true" outlineLevel="0" collapsed="false">
      <c r="A564" s="63"/>
      <c r="B564" s="63"/>
      <c r="C564" s="63"/>
      <c r="D564" s="63"/>
      <c r="E564" s="63"/>
      <c r="F564" s="28" t="str">
        <f aca="false">IF(C564="","",IF(OR(C564="1. bekkur",C564="2. bekkur",C564="3. bekkur",C564="4. bekkur"),"Já",IF(C564="Starfsmaður","Nei","Nei")))</f>
        <v/>
      </c>
      <c r="G564" s="63"/>
      <c r="H564" s="63"/>
      <c r="I564" s="63"/>
      <c r="J564" s="64" t="str">
        <f aca="false">IF(OR(A564="",B564=""),"",CONCATENATE("https://matarstund.is/serfaedi?id=",LOWER(SUBSTITUTE(B564,"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64" t="str">
        <f aca="false">IF(OR(A565="",B565=""),"",CONCATENATE("https://matarstund.is/serfaedi?id=",LOWER(SUBSTITUTE(B565," ","-"))))</f>
        <v/>
      </c>
    </row>
    <row r="566" customFormat="false" ht="15" hidden="false" customHeight="true" outlineLevel="0" collapsed="false">
      <c r="A566" s="63"/>
      <c r="B566" s="63"/>
      <c r="C566" s="63"/>
      <c r="D566" s="63"/>
      <c r="E566" s="63"/>
      <c r="F566" s="28" t="str">
        <f aca="false">IF(C566="","",IF(OR(C566="1. bekkur",C566="2. bekkur",C566="3. bekkur",C566="4. bekkur"),"Já",IF(C566="Starfsmaður","Nei","Nei")))</f>
        <v/>
      </c>
      <c r="G566" s="63"/>
      <c r="H566" s="63"/>
      <c r="I566" s="63"/>
      <c r="J566" s="64" t="str">
        <f aca="false">IF(OR(A566="",B566=""),"",CONCATENATE("https://matarstund.is/serfaedi?id=",LOWER(SUBSTITUTE(B566,"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64" t="str">
        <f aca="false">IF(OR(A567="",B567=""),"",CONCATENATE("https://matarstund.is/serfaedi?id=",LOWER(SUBSTITUTE(B567," ","-"))))</f>
        <v/>
      </c>
    </row>
    <row r="568" customFormat="false" ht="15" hidden="false" customHeight="true" outlineLevel="0" collapsed="false">
      <c r="A568" s="63"/>
      <c r="B568" s="63"/>
      <c r="C568" s="63"/>
      <c r="D568" s="63"/>
      <c r="E568" s="63"/>
      <c r="F568" s="28" t="str">
        <f aca="false">IF(C568="","",IF(OR(C568="1. bekkur",C568="2. bekkur",C568="3. bekkur",C568="4. bekkur"),"Já",IF(C568="Starfsmaður","Nei","Nei")))</f>
        <v/>
      </c>
      <c r="G568" s="63"/>
      <c r="H568" s="63"/>
      <c r="I568" s="63"/>
      <c r="J568" s="64" t="str">
        <f aca="false">IF(OR(A568="",B568=""),"",CONCATENATE("https://matarstund.is/serfaedi?id=",LOWER(SUBSTITUTE(B568,"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64" t="str">
        <f aca="false">IF(OR(A569="",B569=""),"",CONCATENATE("https://matarstund.is/serfaedi?id=",LOWER(SUBSTITUTE(B569," ","-"))))</f>
        <v/>
      </c>
    </row>
    <row r="570" customFormat="false" ht="15" hidden="false" customHeight="true" outlineLevel="0" collapsed="false">
      <c r="A570" s="63"/>
      <c r="B570" s="63"/>
      <c r="C570" s="63"/>
      <c r="D570" s="63"/>
      <c r="E570" s="63"/>
      <c r="F570" s="28" t="str">
        <f aca="false">IF(C570="","",IF(OR(C570="1. bekkur",C570="2. bekkur",C570="3. bekkur",C570="4. bekkur"),"Já",IF(C570="Starfsmaður","Nei","Nei")))</f>
        <v/>
      </c>
      <c r="G570" s="63"/>
      <c r="H570" s="63"/>
      <c r="I570" s="63"/>
      <c r="J570" s="64" t="str">
        <f aca="false">IF(OR(A570="",B570=""),"",CONCATENATE("https://matarstund.is/serfaedi?id=",LOWER(SUBSTITUTE(B570,"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64" t="str">
        <f aca="false">IF(OR(A571="",B571=""),"",CONCATENATE("https://matarstund.is/serfaedi?id=",LOWER(SUBSTITUTE(B571," ","-"))))</f>
        <v/>
      </c>
    </row>
    <row r="572" customFormat="false" ht="15" hidden="false" customHeight="true" outlineLevel="0" collapsed="false">
      <c r="A572" s="63"/>
      <c r="B572" s="63"/>
      <c r="C572" s="63"/>
      <c r="D572" s="63"/>
      <c r="E572" s="63"/>
      <c r="F572" s="28" t="str">
        <f aca="false">IF(C572="","",IF(OR(C572="1. bekkur",C572="2. bekkur",C572="3. bekkur",C572="4. bekkur"),"Já",IF(C572="Starfsmaður","Nei","Nei")))</f>
        <v/>
      </c>
      <c r="G572" s="63"/>
      <c r="H572" s="63"/>
      <c r="I572" s="63"/>
      <c r="J572" s="64" t="str">
        <f aca="false">IF(OR(A572="",B572=""),"",CONCATENATE("https://matarstund.is/serfaedi?id=",LOWER(SUBSTITUTE(B572,"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64" t="str">
        <f aca="false">IF(OR(A573="",B573=""),"",CONCATENATE("https://matarstund.is/serfaedi?id=",LOWER(SUBSTITUTE(B573," ","-"))))</f>
        <v/>
      </c>
    </row>
    <row r="574" customFormat="false" ht="15" hidden="false" customHeight="true" outlineLevel="0" collapsed="false">
      <c r="A574" s="63"/>
      <c r="B574" s="63"/>
      <c r="C574" s="63"/>
      <c r="D574" s="63"/>
      <c r="E574" s="63"/>
      <c r="F574" s="28" t="str">
        <f aca="false">IF(C574="","",IF(OR(C574="1. bekkur",C574="2. bekkur",C574="3. bekkur",C574="4. bekkur"),"Já",IF(C574="Starfsmaður","Nei","Nei")))</f>
        <v/>
      </c>
      <c r="G574" s="63"/>
      <c r="H574" s="63"/>
      <c r="I574" s="63"/>
      <c r="J574" s="64" t="str">
        <f aca="false">IF(OR(A574="",B574=""),"",CONCATENATE("https://matarstund.is/serfaedi?id=",LOWER(SUBSTITUTE(B574,"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64" t="str">
        <f aca="false">IF(OR(A575="",B575=""),"",CONCATENATE("https://matarstund.is/serfaedi?id=",LOWER(SUBSTITUTE(B575," ","-"))))</f>
        <v/>
      </c>
    </row>
    <row r="576" customFormat="false" ht="15" hidden="false" customHeight="true" outlineLevel="0" collapsed="false">
      <c r="A576" s="63"/>
      <c r="B576" s="63"/>
      <c r="C576" s="63"/>
      <c r="D576" s="63"/>
      <c r="E576" s="63"/>
      <c r="F576" s="28" t="str">
        <f aca="false">IF(C576="","",IF(OR(C576="1. bekkur",C576="2. bekkur",C576="3. bekkur",C576="4. bekkur"),"Já",IF(C576="Starfsmaður","Nei","Nei")))</f>
        <v/>
      </c>
      <c r="G576" s="63"/>
      <c r="H576" s="63"/>
      <c r="I576" s="63"/>
      <c r="J576" s="64" t="str">
        <f aca="false">IF(OR(A576="",B576=""),"",CONCATENATE("https://matarstund.is/serfaedi?id=",LOWER(SUBSTITUTE(B576,"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64" t="str">
        <f aca="false">IF(OR(A577="",B577=""),"",CONCATENATE("https://matarstund.is/serfaedi?id=",LOWER(SUBSTITUTE(B577," ","-"))))</f>
        <v/>
      </c>
    </row>
    <row r="578" customFormat="false" ht="15" hidden="false" customHeight="true" outlineLevel="0" collapsed="false">
      <c r="A578" s="63"/>
      <c r="B578" s="63"/>
      <c r="C578" s="63"/>
      <c r="D578" s="63"/>
      <c r="E578" s="63"/>
      <c r="F578" s="28" t="str">
        <f aca="false">IF(C578="","",IF(OR(C578="1. bekkur",C578="2. bekkur",C578="3. bekkur",C578="4. bekkur"),"Já",IF(C578="Starfsmaður","Nei","Nei")))</f>
        <v/>
      </c>
      <c r="G578" s="63"/>
      <c r="H578" s="63"/>
      <c r="I578" s="63"/>
      <c r="J578" s="64" t="str">
        <f aca="false">IF(OR(A578="",B578=""),"",CONCATENATE("https://matarstund.is/serfaedi?id=",LOWER(SUBSTITUTE(B578,"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64" t="str">
        <f aca="false">IF(OR(A579="",B579=""),"",CONCATENATE("https://matarstund.is/serfaedi?id=",LOWER(SUBSTITUTE(B579," ","-"))))</f>
        <v/>
      </c>
    </row>
    <row r="580" customFormat="false" ht="15" hidden="false" customHeight="true" outlineLevel="0" collapsed="false">
      <c r="A580" s="63"/>
      <c r="B580" s="63"/>
      <c r="C580" s="63"/>
      <c r="D580" s="63"/>
      <c r="E580" s="63"/>
      <c r="F580" s="28" t="str">
        <f aca="false">IF(C580="","",IF(OR(C580="1. bekkur",C580="2. bekkur",C580="3. bekkur",C580="4. bekkur"),"Já",IF(C580="Starfsmaður","Nei","Nei")))</f>
        <v/>
      </c>
      <c r="G580" s="63"/>
      <c r="H580" s="63"/>
      <c r="I580" s="63"/>
      <c r="J580" s="64" t="str">
        <f aca="false">IF(OR(A580="",B580=""),"",CONCATENATE("https://matarstund.is/serfaedi?id=",LOWER(SUBSTITUTE(B580,"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64" t="str">
        <f aca="false">IF(OR(A581="",B581=""),"",CONCATENATE("https://matarstund.is/serfaedi?id=",LOWER(SUBSTITUTE(B581," ","-"))))</f>
        <v/>
      </c>
    </row>
    <row r="582" customFormat="false" ht="15" hidden="false" customHeight="true" outlineLevel="0" collapsed="false">
      <c r="A582" s="63"/>
      <c r="B582" s="63"/>
      <c r="C582" s="63"/>
      <c r="D582" s="63"/>
      <c r="E582" s="63"/>
      <c r="F582" s="28" t="str">
        <f aca="false">IF(C582="","",IF(OR(C582="1. bekkur",C582="2. bekkur",C582="3. bekkur",C582="4. bekkur"),"Já",IF(C582="Starfsmaður","Nei","Nei")))</f>
        <v/>
      </c>
      <c r="G582" s="63"/>
      <c r="H582" s="63"/>
      <c r="I582" s="63"/>
      <c r="J582" s="64" t="str">
        <f aca="false">IF(OR(A582="",B582=""),"",CONCATENATE("https://matarstund.is/serfaedi?id=",LOWER(SUBSTITUTE(B582,"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64" t="str">
        <f aca="false">IF(OR(A583="",B583=""),"",CONCATENATE("https://matarstund.is/serfaedi?id=",LOWER(SUBSTITUTE(B583," ","-"))))</f>
        <v/>
      </c>
    </row>
    <row r="584" customFormat="false" ht="15" hidden="false" customHeight="true" outlineLevel="0" collapsed="false">
      <c r="A584" s="63"/>
      <c r="B584" s="63"/>
      <c r="C584" s="63"/>
      <c r="D584" s="63"/>
      <c r="E584" s="63"/>
      <c r="F584" s="28" t="str">
        <f aca="false">IF(C584="","",IF(OR(C584="1. bekkur",C584="2. bekkur",C584="3. bekkur",C584="4. bekkur"),"Já",IF(C584="Starfsmaður","Nei","Nei")))</f>
        <v/>
      </c>
      <c r="G584" s="63"/>
      <c r="H584" s="63"/>
      <c r="I584" s="63"/>
      <c r="J584" s="64" t="str">
        <f aca="false">IF(OR(A584="",B584=""),"",CONCATENATE("https://matarstund.is/serfaedi?id=",LOWER(SUBSTITUTE(B584,"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64" t="str">
        <f aca="false">IF(OR(A585="",B585=""),"",CONCATENATE("https://matarstund.is/serfaedi?id=",LOWER(SUBSTITUTE(B585," ","-"))))</f>
        <v/>
      </c>
    </row>
    <row r="586" customFormat="false" ht="15" hidden="false" customHeight="true" outlineLevel="0" collapsed="false">
      <c r="A586" s="63"/>
      <c r="B586" s="63"/>
      <c r="C586" s="63"/>
      <c r="D586" s="63"/>
      <c r="E586" s="63"/>
      <c r="F586" s="28" t="str">
        <f aca="false">IF(C586="","",IF(OR(C586="1. bekkur",C586="2. bekkur",C586="3. bekkur",C586="4. bekkur"),"Já",IF(C586="Starfsmaður","Nei","Nei")))</f>
        <v/>
      </c>
      <c r="G586" s="63"/>
      <c r="H586" s="63"/>
      <c r="I586" s="63"/>
      <c r="J586" s="64" t="str">
        <f aca="false">IF(OR(A586="",B586=""),"",CONCATENATE("https://matarstund.is/serfaedi?id=",LOWER(SUBSTITUTE(B586,"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64" t="str">
        <f aca="false">IF(OR(A587="",B587=""),"",CONCATENATE("https://matarstund.is/serfaedi?id=",LOWER(SUBSTITUTE(B587," ","-"))))</f>
        <v/>
      </c>
    </row>
    <row r="588" customFormat="false" ht="15" hidden="false" customHeight="true" outlineLevel="0" collapsed="false">
      <c r="A588" s="63"/>
      <c r="B588" s="63"/>
      <c r="C588" s="63"/>
      <c r="D588" s="63"/>
      <c r="E588" s="63"/>
      <c r="F588" s="28" t="str">
        <f aca="false">IF(C588="","",IF(OR(C588="1. bekkur",C588="2. bekkur",C588="3. bekkur",C588="4. bekkur"),"Já",IF(C588="Starfsmaður","Nei","Nei")))</f>
        <v/>
      </c>
      <c r="G588" s="63"/>
      <c r="H588" s="63"/>
      <c r="I588" s="63"/>
      <c r="J588" s="64" t="str">
        <f aca="false">IF(OR(A588="",B588=""),"",CONCATENATE("https://matarstund.is/serfaedi?id=",LOWER(SUBSTITUTE(B588,"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64" t="str">
        <f aca="false">IF(OR(A589="",B589=""),"",CONCATENATE("https://matarstund.is/serfaedi?id=",LOWER(SUBSTITUTE(B589," ","-"))))</f>
        <v/>
      </c>
    </row>
    <row r="590" customFormat="false" ht="15" hidden="false" customHeight="true" outlineLevel="0" collapsed="false">
      <c r="A590" s="63"/>
      <c r="B590" s="63"/>
      <c r="C590" s="63"/>
      <c r="D590" s="63"/>
      <c r="E590" s="63"/>
      <c r="F590" s="28" t="str">
        <f aca="false">IF(C590="","",IF(OR(C590="1. bekkur",C590="2. bekkur",C590="3. bekkur",C590="4. bekkur"),"Já",IF(C590="Starfsmaður","Nei","Nei")))</f>
        <v/>
      </c>
      <c r="G590" s="63"/>
      <c r="H590" s="63"/>
      <c r="I590" s="63"/>
      <c r="J590" s="64" t="str">
        <f aca="false">IF(OR(A590="",B590=""),"",CONCATENATE("https://matarstund.is/serfaedi?id=",LOWER(SUBSTITUTE(B590,"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64" t="str">
        <f aca="false">IF(OR(A591="",B591=""),"",CONCATENATE("https://matarstund.is/serfaedi?id=",LOWER(SUBSTITUTE(B591," ","-"))))</f>
        <v/>
      </c>
    </row>
    <row r="592" customFormat="false" ht="15" hidden="false" customHeight="true" outlineLevel="0" collapsed="false">
      <c r="A592" s="63"/>
      <c r="B592" s="63"/>
      <c r="C592" s="63"/>
      <c r="D592" s="63"/>
      <c r="E592" s="63"/>
      <c r="F592" s="28" t="str">
        <f aca="false">IF(C592="","",IF(OR(C592="1. bekkur",C592="2. bekkur",C592="3. bekkur",C592="4. bekkur"),"Já",IF(C592="Starfsmaður","Nei","Nei")))</f>
        <v/>
      </c>
      <c r="G592" s="63"/>
      <c r="H592" s="63"/>
      <c r="I592" s="63"/>
      <c r="J592" s="64" t="str">
        <f aca="false">IF(OR(A592="",B592=""),"",CONCATENATE("https://matarstund.is/serfaedi?id=",LOWER(SUBSTITUTE(B592,"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64" t="str">
        <f aca="false">IF(OR(A593="",B593=""),"",CONCATENATE("https://matarstund.is/serfaedi?id=",LOWER(SUBSTITUTE(B593," ","-"))))</f>
        <v/>
      </c>
    </row>
    <row r="594" customFormat="false" ht="15" hidden="false" customHeight="true" outlineLevel="0" collapsed="false">
      <c r="A594" s="63"/>
      <c r="B594" s="63"/>
      <c r="C594" s="63"/>
      <c r="D594" s="63"/>
      <c r="E594" s="63"/>
      <c r="F594" s="28" t="str">
        <f aca="false">IF(C594="","",IF(OR(C594="1. bekkur",C594="2. bekkur",C594="3. bekkur",C594="4. bekkur"),"Já",IF(C594="Starfsmaður","Nei","Nei")))</f>
        <v/>
      </c>
      <c r="G594" s="63"/>
      <c r="H594" s="63"/>
      <c r="I594" s="63"/>
      <c r="J594" s="64" t="str">
        <f aca="false">IF(OR(A594="",B594=""),"",CONCATENATE("https://matarstund.is/serfaedi?id=",LOWER(SUBSTITUTE(B594,"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64" t="str">
        <f aca="false">IF(OR(A595="",B595=""),"",CONCATENATE("https://matarstund.is/serfaedi?id=",LOWER(SUBSTITUTE(B595," ","-"))))</f>
        <v/>
      </c>
    </row>
    <row r="596" customFormat="false" ht="15" hidden="false" customHeight="true" outlineLevel="0" collapsed="false">
      <c r="A596" s="63"/>
      <c r="B596" s="63"/>
      <c r="C596" s="63"/>
      <c r="D596" s="63"/>
      <c r="E596" s="63"/>
      <c r="F596" s="28" t="str">
        <f aca="false">IF(C596="","",IF(OR(C596="1. bekkur",C596="2. bekkur",C596="3. bekkur",C596="4. bekkur"),"Já",IF(C596="Starfsmaður","Nei","Nei")))</f>
        <v/>
      </c>
      <c r="G596" s="63"/>
      <c r="H596" s="63"/>
      <c r="I596" s="63"/>
      <c r="J596" s="64" t="str">
        <f aca="false">IF(OR(A596="",B596=""),"",CONCATENATE("https://matarstund.is/serfaedi?id=",LOWER(SUBSTITUTE(B596,"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64" t="str">
        <f aca="false">IF(OR(A597="",B597=""),"",CONCATENATE("https://matarstund.is/serfaedi?id=",LOWER(SUBSTITUTE(B597," ","-"))))</f>
        <v/>
      </c>
    </row>
    <row r="598" customFormat="false" ht="15" hidden="false" customHeight="true" outlineLevel="0" collapsed="false">
      <c r="A598" s="63"/>
      <c r="B598" s="63"/>
      <c r="C598" s="63"/>
      <c r="D598" s="63"/>
      <c r="E598" s="63"/>
      <c r="F598" s="28" t="str">
        <f aca="false">IF(C598="","",IF(OR(C598="1. bekkur",C598="2. bekkur",C598="3. bekkur",C598="4. bekkur"),"Já",IF(C598="Starfsmaður","Nei","Nei")))</f>
        <v/>
      </c>
      <c r="G598" s="63"/>
      <c r="H598" s="63"/>
      <c r="I598" s="63"/>
      <c r="J598" s="64" t="str">
        <f aca="false">IF(OR(A598="",B598=""),"",CONCATENATE("https://matarstund.is/serfaedi?id=",LOWER(SUBSTITUTE(B598,"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64" t="str">
        <f aca="false">IF(OR(A599="",B599=""),"",CONCATENATE("https://matarstund.is/serfaedi?id=",LOWER(SUBSTITUTE(B599," ","-"))))</f>
        <v/>
      </c>
    </row>
    <row r="600" customFormat="false" ht="15" hidden="false" customHeight="true" outlineLevel="0" collapsed="false">
      <c r="A600" s="63"/>
      <c r="B600" s="63"/>
      <c r="C600" s="63"/>
      <c r="D600" s="63"/>
      <c r="E600" s="63"/>
      <c r="F600" s="28" t="str">
        <f aca="false">IF(C600="","",IF(OR(C600="1. bekkur",C600="2. bekkur",C600="3. bekkur",C600="4. bekkur"),"Já",IF(C600="Starfsmaður","Nei","Nei")))</f>
        <v/>
      </c>
      <c r="G600" s="63"/>
      <c r="H600" s="63"/>
      <c r="I600" s="63"/>
      <c r="J600" s="64" t="str">
        <f aca="false">IF(OR(A600="",B600=""),"",CONCATENATE("https://matarstund.is/serfaedi?id=",LOWER(SUBSTITUTE(B600,"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64" t="str">
        <f aca="false">IF(OR(A601="",B601=""),"",CONCATENATE("https://matarstund.is/serfaedi?id=",LOWER(SUBSTITUTE(B601," ","-"))))</f>
        <v/>
      </c>
    </row>
    <row r="602" customFormat="false" ht="15" hidden="false" customHeight="true" outlineLevel="0" collapsed="false">
      <c r="A602" s="63"/>
      <c r="B602" s="63"/>
      <c r="C602" s="63"/>
      <c r="D602" s="63"/>
      <c r="E602" s="63"/>
      <c r="F602" s="28" t="str">
        <f aca="false">IF(C602="","",IF(OR(C602="1. bekkur",C602="2. bekkur",C602="3. bekkur",C602="4. bekkur"),"Já",IF(C602="Starfsmaður","Nei","Nei")))</f>
        <v/>
      </c>
      <c r="G602" s="63"/>
      <c r="H602" s="63"/>
      <c r="I602" s="63"/>
      <c r="J602" s="64" t="str">
        <f aca="false">IF(OR(A602="",B602=""),"",CONCATENATE("https://matarstund.is/serfaedi?id=",LOWER(SUBSTITUTE(B602,"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64" t="str">
        <f aca="false">IF(OR(A603="",B603=""),"",CONCATENATE("https://matarstund.is/serfaedi?id=",LOWER(SUBSTITUTE(B603," ","-"))))</f>
        <v/>
      </c>
    </row>
    <row r="604" customFormat="false" ht="15" hidden="false" customHeight="true" outlineLevel="0" collapsed="false">
      <c r="A604" s="63"/>
      <c r="B604" s="63"/>
      <c r="C604" s="63"/>
      <c r="D604" s="63"/>
      <c r="E604" s="63"/>
      <c r="F604" s="28" t="str">
        <f aca="false">IF(C604="","",IF(OR(C604="1. bekkur",C604="2. bekkur",C604="3. bekkur",C604="4. bekkur"),"Já",IF(C604="Starfsmaður","Nei","Nei")))</f>
        <v/>
      </c>
      <c r="G604" s="63"/>
      <c r="H604" s="63"/>
      <c r="I604" s="63"/>
      <c r="J604" s="64" t="str">
        <f aca="false">IF(OR(A604="",B604=""),"",CONCATENATE("https://matarstund.is/serfaedi?id=",LOWER(SUBSTITUTE(B604,"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64" t="str">
        <f aca="false">IF(OR(A605="",B605=""),"",CONCATENATE("https://matarstund.is/serfaedi?id=",LOWER(SUBSTITUTE(B605," ","-"))))</f>
        <v/>
      </c>
    </row>
    <row r="606" customFormat="false" ht="15" hidden="false" customHeight="true" outlineLevel="0" collapsed="false">
      <c r="A606" s="63"/>
      <c r="B606" s="63"/>
      <c r="C606" s="63"/>
      <c r="D606" s="63"/>
      <c r="E606" s="63"/>
      <c r="F606" s="28" t="str">
        <f aca="false">IF(C606="","",IF(OR(C606="1. bekkur",C606="2. bekkur",C606="3. bekkur",C606="4. bekkur"),"Já",IF(C606="Starfsmaður","Nei","Nei")))</f>
        <v/>
      </c>
      <c r="G606" s="63"/>
      <c r="H606" s="63"/>
      <c r="I606" s="63"/>
      <c r="J606" s="64" t="str">
        <f aca="false">IF(OR(A606="",B606=""),"",CONCATENATE("https://matarstund.is/serfaedi?id=",LOWER(SUBSTITUTE(B606,"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64" t="str">
        <f aca="false">IF(OR(A607="",B607=""),"",CONCATENATE("https://matarstund.is/serfaedi?id=",LOWER(SUBSTITUTE(B607," ","-"))))</f>
        <v/>
      </c>
    </row>
    <row r="608" customFormat="false" ht="15" hidden="false" customHeight="true" outlineLevel="0" collapsed="false">
      <c r="A608" s="63"/>
      <c r="B608" s="63"/>
      <c r="C608" s="63"/>
      <c r="D608" s="63"/>
      <c r="E608" s="63"/>
      <c r="F608" s="28" t="str">
        <f aca="false">IF(C608="","",IF(OR(C608="1. bekkur",C608="2. bekkur",C608="3. bekkur",C608="4. bekkur"),"Já",IF(C608="Starfsmaður","Nei","Nei")))</f>
        <v/>
      </c>
      <c r="G608" s="63"/>
      <c r="H608" s="63"/>
      <c r="I608" s="63"/>
      <c r="J608" s="64" t="str">
        <f aca="false">IF(OR(A608="",B608=""),"",CONCATENATE("https://matarstund.is/serfaedi?id=",LOWER(SUBSTITUTE(B608,"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64" t="str">
        <f aca="false">IF(OR(A609="",B609=""),"",CONCATENATE("https://matarstund.is/serfaedi?id=",LOWER(SUBSTITUTE(B609," ","-"))))</f>
        <v/>
      </c>
    </row>
    <row r="610" customFormat="false" ht="15" hidden="false" customHeight="true" outlineLevel="0" collapsed="false">
      <c r="A610" s="63"/>
      <c r="B610" s="63"/>
      <c r="C610" s="63"/>
      <c r="D610" s="63"/>
      <c r="E610" s="63"/>
      <c r="F610" s="28" t="str">
        <f aca="false">IF(C610="","",IF(OR(C610="1. bekkur",C610="2. bekkur",C610="3. bekkur",C610="4. bekkur"),"Já",IF(C610="Starfsmaður","Nei","Nei")))</f>
        <v/>
      </c>
      <c r="G610" s="63"/>
      <c r="H610" s="63"/>
      <c r="I610" s="63"/>
      <c r="J610" s="64" t="str">
        <f aca="false">IF(OR(A610="",B610=""),"",CONCATENATE("https://matarstund.is/serfaedi?id=",LOWER(SUBSTITUTE(B610,"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64" t="str">
        <f aca="false">IF(OR(A611="",B611=""),"",CONCATENATE("https://matarstund.is/serfaedi?id=",LOWER(SUBSTITUTE(B611," ","-"))))</f>
        <v/>
      </c>
    </row>
    <row r="612" customFormat="false" ht="15" hidden="false" customHeight="true" outlineLevel="0" collapsed="false">
      <c r="A612" s="63"/>
      <c r="B612" s="63"/>
      <c r="C612" s="63"/>
      <c r="D612" s="63"/>
      <c r="E612" s="63"/>
      <c r="F612" s="28" t="str">
        <f aca="false">IF(C612="","",IF(OR(C612="1. bekkur",C612="2. bekkur",C612="3. bekkur",C612="4. bekkur"),"Já",IF(C612="Starfsmaður","Nei","Nei")))</f>
        <v/>
      </c>
      <c r="G612" s="63"/>
      <c r="H612" s="63"/>
      <c r="I612" s="63"/>
      <c r="J612" s="64" t="str">
        <f aca="false">IF(OR(A612="",B612=""),"",CONCATENATE("https://matarstund.is/serfaedi?id=",LOWER(SUBSTITUTE(B612,"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64" t="str">
        <f aca="false">IF(OR(A613="",B613=""),"",CONCATENATE("https://matarstund.is/serfaedi?id=",LOWER(SUBSTITUTE(B613," ","-"))))</f>
        <v/>
      </c>
    </row>
    <row r="614" customFormat="false" ht="15" hidden="false" customHeight="true" outlineLevel="0" collapsed="false">
      <c r="A614" s="63"/>
      <c r="B614" s="63"/>
      <c r="C614" s="63"/>
      <c r="D614" s="63"/>
      <c r="E614" s="63"/>
      <c r="F614" s="28" t="str">
        <f aca="false">IF(C614="","",IF(OR(C614="1. bekkur",C614="2. bekkur",C614="3. bekkur",C614="4. bekkur"),"Já",IF(C614="Starfsmaður","Nei","Nei")))</f>
        <v/>
      </c>
      <c r="G614" s="63"/>
      <c r="H614" s="63"/>
      <c r="I614" s="63"/>
      <c r="J614" s="64" t="str">
        <f aca="false">IF(OR(A614="",B614=""),"",CONCATENATE("https://matarstund.is/serfaedi?id=",LOWER(SUBSTITUTE(B614,"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64" t="str">
        <f aca="false">IF(OR(A615="",B615=""),"",CONCATENATE("https://matarstund.is/serfaedi?id=",LOWER(SUBSTITUTE(B615," ","-"))))</f>
        <v/>
      </c>
    </row>
    <row r="616" customFormat="false" ht="15" hidden="false" customHeight="true" outlineLevel="0" collapsed="false">
      <c r="A616" s="63"/>
      <c r="B616" s="63"/>
      <c r="C616" s="63"/>
      <c r="D616" s="63"/>
      <c r="E616" s="63"/>
      <c r="F616" s="28" t="str">
        <f aca="false">IF(C616="","",IF(OR(C616="1. bekkur",C616="2. bekkur",C616="3. bekkur",C616="4. bekkur"),"Já",IF(C616="Starfsmaður","Nei","Nei")))</f>
        <v/>
      </c>
      <c r="G616" s="63"/>
      <c r="H616" s="63"/>
      <c r="I616" s="63"/>
      <c r="J616" s="64" t="str">
        <f aca="false">IF(OR(A616="",B616=""),"",CONCATENATE("https://matarstund.is/serfaedi?id=",LOWER(SUBSTITUTE(B616,"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64" t="str">
        <f aca="false">IF(OR(A617="",B617=""),"",CONCATENATE("https://matarstund.is/serfaedi?id=",LOWER(SUBSTITUTE(B617," ","-"))))</f>
        <v/>
      </c>
    </row>
    <row r="618" customFormat="false" ht="15" hidden="false" customHeight="true" outlineLevel="0" collapsed="false">
      <c r="A618" s="63"/>
      <c r="B618" s="63"/>
      <c r="C618" s="63"/>
      <c r="D618" s="63"/>
      <c r="E618" s="63"/>
      <c r="F618" s="28" t="str">
        <f aca="false">IF(C618="","",IF(OR(C618="1. bekkur",C618="2. bekkur",C618="3. bekkur",C618="4. bekkur"),"Já",IF(C618="Starfsmaður","Nei","Nei")))</f>
        <v/>
      </c>
      <c r="G618" s="63"/>
      <c r="H618" s="63"/>
      <c r="I618" s="63"/>
      <c r="J618" s="64" t="str">
        <f aca="false">IF(OR(A618="",B618=""),"",CONCATENATE("https://matarstund.is/serfaedi?id=",LOWER(SUBSTITUTE(B618,"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64" t="str">
        <f aca="false">IF(OR(A619="",B619=""),"",CONCATENATE("https://matarstund.is/serfaedi?id=",LOWER(SUBSTITUTE(B619," ","-"))))</f>
        <v/>
      </c>
    </row>
    <row r="620" customFormat="false" ht="15" hidden="false" customHeight="true" outlineLevel="0" collapsed="false">
      <c r="A620" s="63"/>
      <c r="B620" s="63"/>
      <c r="C620" s="63"/>
      <c r="D620" s="63"/>
      <c r="E620" s="63"/>
      <c r="F620" s="28" t="str">
        <f aca="false">IF(C620="","",IF(OR(C620="1. bekkur",C620="2. bekkur",C620="3. bekkur",C620="4. bekkur"),"Já",IF(C620="Starfsmaður","Nei","Nei")))</f>
        <v/>
      </c>
      <c r="G620" s="63"/>
      <c r="H620" s="63"/>
      <c r="I620" s="63"/>
      <c r="J620" s="64" t="str">
        <f aca="false">IF(OR(A620="",B620=""),"",CONCATENATE("https://matarstund.is/serfaedi?id=",LOWER(SUBSTITUTE(B620,"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64" t="str">
        <f aca="false">IF(OR(A621="",B621=""),"",CONCATENATE("https://matarstund.is/serfaedi?id=",LOWER(SUBSTITUTE(B621," ","-"))))</f>
        <v/>
      </c>
    </row>
    <row r="622" customFormat="false" ht="15" hidden="false" customHeight="true" outlineLevel="0" collapsed="false">
      <c r="A622" s="63"/>
      <c r="B622" s="63"/>
      <c r="C622" s="63"/>
      <c r="D622" s="63"/>
      <c r="E622" s="63"/>
      <c r="F622" s="28" t="str">
        <f aca="false">IF(C622="","",IF(OR(C622="1. bekkur",C622="2. bekkur",C622="3. bekkur",C622="4. bekkur"),"Já",IF(C622="Starfsmaður","Nei","Nei")))</f>
        <v/>
      </c>
      <c r="G622" s="63"/>
      <c r="H622" s="63"/>
      <c r="I622" s="63"/>
      <c r="J622" s="64" t="str">
        <f aca="false">IF(OR(A622="",B622=""),"",CONCATENATE("https://matarstund.is/serfaedi?id=",LOWER(SUBSTITUTE(B622,"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64" t="str">
        <f aca="false">IF(OR(A623="",B623=""),"",CONCATENATE("https://matarstund.is/serfaedi?id=",LOWER(SUBSTITUTE(B623," ","-"))))</f>
        <v/>
      </c>
    </row>
    <row r="624" customFormat="false" ht="15" hidden="false" customHeight="true" outlineLevel="0" collapsed="false">
      <c r="A624" s="63"/>
      <c r="B624" s="63"/>
      <c r="C624" s="63"/>
      <c r="D624" s="63"/>
      <c r="E624" s="63"/>
      <c r="F624" s="28" t="str">
        <f aca="false">IF(C624="","",IF(OR(C624="1. bekkur",C624="2. bekkur",C624="3. bekkur",C624="4. bekkur"),"Já",IF(C624="Starfsmaður","Nei","Nei")))</f>
        <v/>
      </c>
      <c r="G624" s="63"/>
      <c r="H624" s="63"/>
      <c r="I624" s="63"/>
      <c r="J624" s="64" t="str">
        <f aca="false">IF(OR(A624="",B624=""),"",CONCATENATE("https://matarstund.is/serfaedi?id=",LOWER(SUBSTITUTE(B624,"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64" t="str">
        <f aca="false">IF(OR(A625="",B625=""),"",CONCATENATE("https://matarstund.is/serfaedi?id=",LOWER(SUBSTITUTE(B625," ","-"))))</f>
        <v/>
      </c>
    </row>
    <row r="626" customFormat="false" ht="15" hidden="false" customHeight="true" outlineLevel="0" collapsed="false">
      <c r="A626" s="63"/>
      <c r="B626" s="63"/>
      <c r="C626" s="63"/>
      <c r="D626" s="63"/>
      <c r="E626" s="63"/>
      <c r="F626" s="28" t="str">
        <f aca="false">IF(C626="","",IF(OR(C626="1. bekkur",C626="2. bekkur",C626="3. bekkur",C626="4. bekkur"),"Já",IF(C626="Starfsmaður","Nei","Nei")))</f>
        <v/>
      </c>
      <c r="G626" s="63"/>
      <c r="H626" s="63"/>
      <c r="I626" s="63"/>
      <c r="J626" s="64" t="str">
        <f aca="false">IF(OR(A626="",B626=""),"",CONCATENATE("https://matarstund.is/serfaedi?id=",LOWER(SUBSTITUTE(B626,"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64" t="str">
        <f aca="false">IF(OR(A627="",B627=""),"",CONCATENATE("https://matarstund.is/serfaedi?id=",LOWER(SUBSTITUTE(B627," ","-"))))</f>
        <v/>
      </c>
    </row>
    <row r="628" customFormat="false" ht="15" hidden="false" customHeight="true" outlineLevel="0" collapsed="false">
      <c r="A628" s="63"/>
      <c r="B628" s="63"/>
      <c r="C628" s="63"/>
      <c r="D628" s="63"/>
      <c r="E628" s="63"/>
      <c r="F628" s="28" t="str">
        <f aca="false">IF(C628="","",IF(OR(C628="1. bekkur",C628="2. bekkur",C628="3. bekkur",C628="4. bekkur"),"Já",IF(C628="Starfsmaður","Nei","Nei")))</f>
        <v/>
      </c>
      <c r="G628" s="63"/>
      <c r="H628" s="63"/>
      <c r="I628" s="63"/>
      <c r="J628" s="64" t="str">
        <f aca="false">IF(OR(A628="",B628=""),"",CONCATENATE("https://matarstund.is/serfaedi?id=",LOWER(SUBSTITUTE(B628,"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64" t="str">
        <f aca="false">IF(OR(A629="",B629=""),"",CONCATENATE("https://matarstund.is/serfaedi?id=",LOWER(SUBSTITUTE(B629," ","-"))))</f>
        <v/>
      </c>
    </row>
    <row r="630" customFormat="false" ht="15" hidden="false" customHeight="true" outlineLevel="0" collapsed="false">
      <c r="A630" s="63"/>
      <c r="B630" s="63"/>
      <c r="C630" s="63"/>
      <c r="D630" s="63"/>
      <c r="E630" s="63"/>
      <c r="F630" s="28" t="str">
        <f aca="false">IF(C630="","",IF(OR(C630="1. bekkur",C630="2. bekkur",C630="3. bekkur",C630="4. bekkur"),"Já",IF(C630="Starfsmaður","Nei","Nei")))</f>
        <v/>
      </c>
      <c r="G630" s="63"/>
      <c r="H630" s="63"/>
      <c r="I630" s="63"/>
      <c r="J630" s="64" t="str">
        <f aca="false">IF(OR(A630="",B630=""),"",CONCATENATE("https://matarstund.is/serfaedi?id=",LOWER(SUBSTITUTE(B630,"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64" t="str">
        <f aca="false">IF(OR(A631="",B631=""),"",CONCATENATE("https://matarstund.is/serfaedi?id=",LOWER(SUBSTITUTE(B631," ","-"))))</f>
        <v/>
      </c>
    </row>
    <row r="632" customFormat="false" ht="15" hidden="false" customHeight="true" outlineLevel="0" collapsed="false">
      <c r="A632" s="63"/>
      <c r="B632" s="63"/>
      <c r="C632" s="63"/>
      <c r="D632" s="63"/>
      <c r="E632" s="63"/>
      <c r="F632" s="28" t="str">
        <f aca="false">IF(C632="","",IF(OR(C632="1. bekkur",C632="2. bekkur",C632="3. bekkur",C632="4. bekkur"),"Já",IF(C632="Starfsmaður","Nei","Nei")))</f>
        <v/>
      </c>
      <c r="G632" s="63"/>
      <c r="H632" s="63"/>
      <c r="I632" s="63"/>
      <c r="J632" s="64" t="str">
        <f aca="false">IF(OR(A632="",B632=""),"",CONCATENATE("https://matarstund.is/serfaedi?id=",LOWER(SUBSTITUTE(B632,"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64" t="str">
        <f aca="false">IF(OR(A633="",B633=""),"",CONCATENATE("https://matarstund.is/serfaedi?id=",LOWER(SUBSTITUTE(B633," ","-"))))</f>
        <v/>
      </c>
    </row>
    <row r="634" customFormat="false" ht="15" hidden="false" customHeight="true" outlineLevel="0" collapsed="false">
      <c r="A634" s="63"/>
      <c r="B634" s="63"/>
      <c r="C634" s="63"/>
      <c r="D634" s="63"/>
      <c r="E634" s="63"/>
      <c r="F634" s="28" t="str">
        <f aca="false">IF(C634="","",IF(OR(C634="1. bekkur",C634="2. bekkur",C634="3. bekkur",C634="4. bekkur"),"Já",IF(C634="Starfsmaður","Nei","Nei")))</f>
        <v/>
      </c>
      <c r="G634" s="63"/>
      <c r="H634" s="63"/>
      <c r="I634" s="63"/>
      <c r="J634" s="64" t="str">
        <f aca="false">IF(OR(A634="",B634=""),"",CONCATENATE("https://matarstund.is/serfaedi?id=",LOWER(SUBSTITUTE(B634,"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64" t="str">
        <f aca="false">IF(OR(A635="",B635=""),"",CONCATENATE("https://matarstund.is/serfaedi?id=",LOWER(SUBSTITUTE(B635," ","-"))))</f>
        <v/>
      </c>
    </row>
    <row r="636" customFormat="false" ht="15" hidden="false" customHeight="true" outlineLevel="0" collapsed="false">
      <c r="A636" s="63"/>
      <c r="B636" s="63"/>
      <c r="C636" s="63"/>
      <c r="D636" s="63"/>
      <c r="E636" s="63"/>
      <c r="F636" s="28" t="str">
        <f aca="false">IF(C636="","",IF(OR(C636="1. bekkur",C636="2. bekkur",C636="3. bekkur",C636="4. bekkur"),"Já",IF(C636="Starfsmaður","Nei","Nei")))</f>
        <v/>
      </c>
      <c r="G636" s="63"/>
      <c r="H636" s="63"/>
      <c r="I636" s="63"/>
      <c r="J636" s="64" t="str">
        <f aca="false">IF(OR(A636="",B636=""),"",CONCATENATE("https://matarstund.is/serfaedi?id=",LOWER(SUBSTITUTE(B636,"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64" t="str">
        <f aca="false">IF(OR(A637="",B637=""),"",CONCATENATE("https://matarstund.is/serfaedi?id=",LOWER(SUBSTITUTE(B637," ","-"))))</f>
        <v/>
      </c>
    </row>
    <row r="638" customFormat="false" ht="15" hidden="false" customHeight="true" outlineLevel="0" collapsed="false">
      <c r="A638" s="63"/>
      <c r="B638" s="63"/>
      <c r="C638" s="63"/>
      <c r="D638" s="63"/>
      <c r="E638" s="63"/>
      <c r="F638" s="28" t="str">
        <f aca="false">IF(C638="","",IF(OR(C638="1. bekkur",C638="2. bekkur",C638="3. bekkur",C638="4. bekkur"),"Já",IF(C638="Starfsmaður","Nei","Nei")))</f>
        <v/>
      </c>
      <c r="G638" s="63"/>
      <c r="H638" s="63"/>
      <c r="I638" s="63"/>
      <c r="J638" s="64" t="str">
        <f aca="false">IF(OR(A638="",B638=""),"",CONCATENATE("https://matarstund.is/serfaedi?id=",LOWER(SUBSTITUTE(B638,"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64" t="str">
        <f aca="false">IF(OR(A639="",B639=""),"",CONCATENATE("https://matarstund.is/serfaedi?id=",LOWER(SUBSTITUTE(B639," ","-"))))</f>
        <v/>
      </c>
    </row>
    <row r="640" customFormat="false" ht="15" hidden="false" customHeight="true" outlineLevel="0" collapsed="false">
      <c r="A640" s="63"/>
      <c r="B640" s="63"/>
      <c r="C640" s="63"/>
      <c r="D640" s="63"/>
      <c r="E640" s="63"/>
      <c r="F640" s="28" t="str">
        <f aca="false">IF(C640="","",IF(OR(C640="1. bekkur",C640="2. bekkur",C640="3. bekkur",C640="4. bekkur"),"Já",IF(C640="Starfsmaður","Nei","Nei")))</f>
        <v/>
      </c>
      <c r="G640" s="63"/>
      <c r="H640" s="63"/>
      <c r="I640" s="63"/>
      <c r="J640" s="64" t="str">
        <f aca="false">IF(OR(A640="",B640=""),"",CONCATENATE("https://matarstund.is/serfaedi?id=",LOWER(SUBSTITUTE(B640,"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64" t="str">
        <f aca="false">IF(OR(A641="",B641=""),"",CONCATENATE("https://matarstund.is/serfaedi?id=",LOWER(SUBSTITUTE(B641," ","-"))))</f>
        <v/>
      </c>
    </row>
    <row r="642" customFormat="false" ht="15" hidden="false" customHeight="true" outlineLevel="0" collapsed="false">
      <c r="A642" s="63"/>
      <c r="B642" s="63"/>
      <c r="C642" s="63"/>
      <c r="D642" s="63"/>
      <c r="E642" s="63"/>
      <c r="F642" s="28" t="str">
        <f aca="false">IF(C642="","",IF(OR(C642="1. bekkur",C642="2. bekkur",C642="3. bekkur",C642="4. bekkur"),"Já",IF(C642="Starfsmaður","Nei","Nei")))</f>
        <v/>
      </c>
      <c r="G642" s="63"/>
      <c r="H642" s="63"/>
      <c r="I642" s="63"/>
      <c r="J642" s="64" t="str">
        <f aca="false">IF(OR(A642="",B642=""),"",CONCATENATE("https://matarstund.is/serfaedi?id=",LOWER(SUBSTITUTE(B642,"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64" t="str">
        <f aca="false">IF(OR(A643="",B643=""),"",CONCATENATE("https://matarstund.is/serfaedi?id=",LOWER(SUBSTITUTE(B643," ","-"))))</f>
        <v/>
      </c>
    </row>
    <row r="644" customFormat="false" ht="15" hidden="false" customHeight="true" outlineLevel="0" collapsed="false">
      <c r="A644" s="63"/>
      <c r="B644" s="63"/>
      <c r="C644" s="63"/>
      <c r="D644" s="63"/>
      <c r="E644" s="63"/>
      <c r="F644" s="28" t="str">
        <f aca="false">IF(C644="","",IF(OR(C644="1. bekkur",C644="2. bekkur",C644="3. bekkur",C644="4. bekkur"),"Já",IF(C644="Starfsmaður","Nei","Nei")))</f>
        <v/>
      </c>
      <c r="G644" s="63"/>
      <c r="H644" s="63"/>
      <c r="I644" s="63"/>
      <c r="J644" s="64" t="str">
        <f aca="false">IF(OR(A644="",B644=""),"",CONCATENATE("https://matarstund.is/serfaedi?id=",LOWER(SUBSTITUTE(B644,"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64" t="str">
        <f aca="false">IF(OR(A645="",B645=""),"",CONCATENATE("https://matarstund.is/serfaedi?id=",LOWER(SUBSTITUTE(B645," ","-"))))</f>
        <v/>
      </c>
    </row>
    <row r="646" customFormat="false" ht="15" hidden="false" customHeight="true" outlineLevel="0" collapsed="false">
      <c r="A646" s="63"/>
      <c r="B646" s="63"/>
      <c r="C646" s="63"/>
      <c r="D646" s="63"/>
      <c r="E646" s="63"/>
      <c r="F646" s="28" t="str">
        <f aca="false">IF(C646="","",IF(OR(C646="1. bekkur",C646="2. bekkur",C646="3. bekkur",C646="4. bekkur"),"Já",IF(C646="Starfsmaður","Nei","Nei")))</f>
        <v/>
      </c>
      <c r="G646" s="63"/>
      <c r="H646" s="63"/>
      <c r="I646" s="63"/>
      <c r="J646" s="64" t="str">
        <f aca="false">IF(OR(A646="",B646=""),"",CONCATENATE("https://matarstund.is/serfaedi?id=",LOWER(SUBSTITUTE(B646,"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64" t="str">
        <f aca="false">IF(OR(A647="",B647=""),"",CONCATENATE("https://matarstund.is/serfaedi?id=",LOWER(SUBSTITUTE(B647," ","-"))))</f>
        <v/>
      </c>
    </row>
    <row r="648" customFormat="false" ht="15" hidden="false" customHeight="true" outlineLevel="0" collapsed="false">
      <c r="A648" s="63"/>
      <c r="B648" s="63"/>
      <c r="C648" s="63"/>
      <c r="D648" s="63"/>
      <c r="E648" s="63"/>
      <c r="F648" s="28" t="str">
        <f aca="false">IF(C648="","",IF(OR(C648="1. bekkur",C648="2. bekkur",C648="3. bekkur",C648="4. bekkur"),"Já",IF(C648="Starfsmaður","Nei","Nei")))</f>
        <v/>
      </c>
      <c r="G648" s="63"/>
      <c r="H648" s="63"/>
      <c r="I648" s="63"/>
      <c r="J648" s="64" t="str">
        <f aca="false">IF(OR(A648="",B648=""),"",CONCATENATE("https://matarstund.is/serfaedi?id=",LOWER(SUBSTITUTE(B648,"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64" t="str">
        <f aca="false">IF(OR(A649="",B649=""),"",CONCATENATE("https://matarstund.is/serfaedi?id=",LOWER(SUBSTITUTE(B649," ","-"))))</f>
        <v/>
      </c>
    </row>
    <row r="650" customFormat="false" ht="15" hidden="false" customHeight="true" outlineLevel="0" collapsed="false">
      <c r="A650" s="63"/>
      <c r="B650" s="63"/>
      <c r="C650" s="63"/>
      <c r="D650" s="63"/>
      <c r="E650" s="63"/>
      <c r="F650" s="28" t="str">
        <f aca="false">IF(C650="","",IF(OR(C650="1. bekkur",C650="2. bekkur",C650="3. bekkur",C650="4. bekkur"),"Já",IF(C650="Starfsmaður","Nei","Nei")))</f>
        <v/>
      </c>
      <c r="G650" s="63"/>
      <c r="H650" s="63"/>
      <c r="I650" s="63"/>
      <c r="J650" s="64" t="str">
        <f aca="false">IF(OR(A650="",B650=""),"",CONCATENATE("https://matarstund.is/serfaedi?id=",LOWER(SUBSTITUTE(B650,"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64" t="str">
        <f aca="false">IF(OR(A651="",B651=""),"",CONCATENATE("https://matarstund.is/serfaedi?id=",LOWER(SUBSTITUTE(B651," ","-"))))</f>
        <v/>
      </c>
    </row>
    <row r="652" customFormat="false" ht="15" hidden="false" customHeight="true" outlineLevel="0" collapsed="false">
      <c r="A652" s="63"/>
      <c r="B652" s="63"/>
      <c r="C652" s="63"/>
      <c r="D652" s="63"/>
      <c r="E652" s="63"/>
      <c r="F652" s="28" t="str">
        <f aca="false">IF(C652="","",IF(OR(C652="1. bekkur",C652="2. bekkur",C652="3. bekkur",C652="4. bekkur"),"Já",IF(C652="Starfsmaður","Nei","Nei")))</f>
        <v/>
      </c>
      <c r="G652" s="63"/>
      <c r="H652" s="63"/>
      <c r="I652" s="63"/>
      <c r="J652" s="64" t="str">
        <f aca="false">IF(OR(A652="",B652=""),"",CONCATENATE("https://matarstund.is/serfaedi?id=",LOWER(SUBSTITUTE(B652,"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64" t="str">
        <f aca="false">IF(OR(A653="",B653=""),"",CONCATENATE("https://matarstund.is/serfaedi?id=",LOWER(SUBSTITUTE(B653," ","-"))))</f>
        <v/>
      </c>
    </row>
    <row r="654" customFormat="false" ht="15" hidden="false" customHeight="true" outlineLevel="0" collapsed="false">
      <c r="A654" s="63"/>
      <c r="B654" s="63"/>
      <c r="C654" s="63"/>
      <c r="D654" s="63"/>
      <c r="E654" s="63"/>
      <c r="F654" s="28" t="str">
        <f aca="false">IF(C654="","",IF(OR(C654="1. bekkur",C654="2. bekkur",C654="3. bekkur",C654="4. bekkur"),"Já",IF(C654="Starfsmaður","Nei","Nei")))</f>
        <v/>
      </c>
      <c r="G654" s="63"/>
      <c r="H654" s="63"/>
      <c r="I654" s="63"/>
      <c r="J654" s="64" t="str">
        <f aca="false">IF(OR(A654="",B654=""),"",CONCATENATE("https://matarstund.is/serfaedi?id=",LOWER(SUBSTITUTE(B654,"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64" t="str">
        <f aca="false">IF(OR(A655="",B655=""),"",CONCATENATE("https://matarstund.is/serfaedi?id=",LOWER(SUBSTITUTE(B655," ","-"))))</f>
        <v/>
      </c>
    </row>
    <row r="656" customFormat="false" ht="15" hidden="false" customHeight="true" outlineLevel="0" collapsed="false">
      <c r="A656" s="63"/>
      <c r="B656" s="63"/>
      <c r="C656" s="63"/>
      <c r="D656" s="63"/>
      <c r="E656" s="63"/>
      <c r="F656" s="28" t="str">
        <f aca="false">IF(C656="","",IF(OR(C656="1. bekkur",C656="2. bekkur",C656="3. bekkur",C656="4. bekkur"),"Já",IF(C656="Starfsmaður","Nei","Nei")))</f>
        <v/>
      </c>
      <c r="G656" s="63"/>
      <c r="H656" s="63"/>
      <c r="I656" s="63"/>
      <c r="J656" s="64" t="str">
        <f aca="false">IF(OR(A656="",B656=""),"",CONCATENATE("https://matarstund.is/serfaedi?id=",LOWER(SUBSTITUTE(B656,"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64" t="str">
        <f aca="false">IF(OR(A657="",B657=""),"",CONCATENATE("https://matarstund.is/serfaedi?id=",LOWER(SUBSTITUTE(B657," ","-"))))</f>
        <v/>
      </c>
    </row>
    <row r="658" customFormat="false" ht="15" hidden="false" customHeight="true" outlineLevel="0" collapsed="false">
      <c r="A658" s="63"/>
      <c r="B658" s="63"/>
      <c r="C658" s="63"/>
      <c r="D658" s="63"/>
      <c r="E658" s="63"/>
      <c r="F658" s="28" t="str">
        <f aca="false">IF(C658="","",IF(OR(C658="1. bekkur",C658="2. bekkur",C658="3. bekkur",C658="4. bekkur"),"Já",IF(C658="Starfsmaður","Nei","Nei")))</f>
        <v/>
      </c>
      <c r="G658" s="63"/>
      <c r="H658" s="63"/>
      <c r="I658" s="63"/>
      <c r="J658" s="64" t="str">
        <f aca="false">IF(OR(A658="",B658=""),"",CONCATENATE("https://matarstund.is/serfaedi?id=",LOWER(SUBSTITUTE(B658,"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64" t="str">
        <f aca="false">IF(OR(A659="",B659=""),"",CONCATENATE("https://matarstund.is/serfaedi?id=",LOWER(SUBSTITUTE(B659," ","-"))))</f>
        <v/>
      </c>
    </row>
    <row r="660" customFormat="false" ht="15" hidden="false" customHeight="true" outlineLevel="0" collapsed="false">
      <c r="A660" s="63"/>
      <c r="B660" s="63"/>
      <c r="C660" s="63"/>
      <c r="D660" s="63"/>
      <c r="E660" s="63"/>
      <c r="F660" s="28" t="str">
        <f aca="false">IF(C660="","",IF(OR(C660="1. bekkur",C660="2. bekkur",C660="3. bekkur",C660="4. bekkur"),"Já",IF(C660="Starfsmaður","Nei","Nei")))</f>
        <v/>
      </c>
      <c r="G660" s="63"/>
      <c r="H660" s="63"/>
      <c r="I660" s="63"/>
      <c r="J660" s="64" t="str">
        <f aca="false">IF(OR(A660="",B660=""),"",CONCATENATE("https://matarstund.is/serfaedi?id=",LOWER(SUBSTITUTE(B660,"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64" t="str">
        <f aca="false">IF(OR(A661="",B661=""),"",CONCATENATE("https://matarstund.is/serfaedi?id=",LOWER(SUBSTITUTE(B661," ","-"))))</f>
        <v/>
      </c>
    </row>
    <row r="662" customFormat="false" ht="15" hidden="false" customHeight="true" outlineLevel="0" collapsed="false">
      <c r="A662" s="63"/>
      <c r="B662" s="63"/>
      <c r="C662" s="63"/>
      <c r="D662" s="63"/>
      <c r="E662" s="63"/>
      <c r="F662" s="28" t="str">
        <f aca="false">IF(C662="","",IF(OR(C662="1. bekkur",C662="2. bekkur",C662="3. bekkur",C662="4. bekkur"),"Já",IF(C662="Starfsmaður","Nei","Nei")))</f>
        <v/>
      </c>
      <c r="G662" s="63"/>
      <c r="H662" s="63"/>
      <c r="I662" s="63"/>
      <c r="J662" s="64" t="str">
        <f aca="false">IF(OR(A662="",B662=""),"",CONCATENATE("https://matarstund.is/serfaedi?id=",LOWER(SUBSTITUTE(B662,"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64" t="str">
        <f aca="false">IF(OR(A663="",B663=""),"",CONCATENATE("https://matarstund.is/serfaedi?id=",LOWER(SUBSTITUTE(B663," ","-"))))</f>
        <v/>
      </c>
    </row>
    <row r="664" customFormat="false" ht="15" hidden="false" customHeight="true" outlineLevel="0" collapsed="false">
      <c r="A664" s="63"/>
      <c r="B664" s="63"/>
      <c r="C664" s="63"/>
      <c r="D664" s="63"/>
      <c r="E664" s="63"/>
      <c r="F664" s="28" t="str">
        <f aca="false">IF(C664="","",IF(OR(C664="1. bekkur",C664="2. bekkur",C664="3. bekkur",C664="4. bekkur"),"Já",IF(C664="Starfsmaður","Nei","Nei")))</f>
        <v/>
      </c>
      <c r="G664" s="63"/>
      <c r="H664" s="63"/>
      <c r="I664" s="63"/>
      <c r="J664" s="64" t="str">
        <f aca="false">IF(OR(A664="",B664=""),"",CONCATENATE("https://matarstund.is/serfaedi?id=",LOWER(SUBSTITUTE(B664,"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64" t="str">
        <f aca="false">IF(OR(A665="",B665=""),"",CONCATENATE("https://matarstund.is/serfaedi?id=",LOWER(SUBSTITUTE(B665," ","-"))))</f>
        <v/>
      </c>
    </row>
    <row r="666" customFormat="false" ht="15" hidden="false" customHeight="true" outlineLevel="0" collapsed="false">
      <c r="A666" s="63"/>
      <c r="B666" s="63"/>
      <c r="C666" s="63"/>
      <c r="D666" s="63"/>
      <c r="E666" s="63"/>
      <c r="F666" s="28" t="str">
        <f aca="false">IF(C666="","",IF(OR(C666="1. bekkur",C666="2. bekkur",C666="3. bekkur",C666="4. bekkur"),"Já",IF(C666="Starfsmaður","Nei","Nei")))</f>
        <v/>
      </c>
      <c r="G666" s="63"/>
      <c r="H666" s="63"/>
      <c r="I666" s="63"/>
      <c r="J666" s="64" t="str">
        <f aca="false">IF(OR(A666="",B666=""),"",CONCATENATE("https://matarstund.is/serfaedi?id=",LOWER(SUBSTITUTE(B666,"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64" t="str">
        <f aca="false">IF(OR(A667="",B667=""),"",CONCATENATE("https://matarstund.is/serfaedi?id=",LOWER(SUBSTITUTE(B667," ","-"))))</f>
        <v/>
      </c>
    </row>
    <row r="668" customFormat="false" ht="15" hidden="false" customHeight="true" outlineLevel="0" collapsed="false">
      <c r="A668" s="63"/>
      <c r="B668" s="63"/>
      <c r="C668" s="63"/>
      <c r="D668" s="63"/>
      <c r="E668" s="63"/>
      <c r="F668" s="28" t="str">
        <f aca="false">IF(C668="","",IF(OR(C668="1. bekkur",C668="2. bekkur",C668="3. bekkur",C668="4. bekkur"),"Já",IF(C668="Starfsmaður","Nei","Nei")))</f>
        <v/>
      </c>
      <c r="G668" s="63"/>
      <c r="H668" s="63"/>
      <c r="I668" s="63"/>
      <c r="J668" s="64" t="str">
        <f aca="false">IF(OR(A668="",B668=""),"",CONCATENATE("https://matarstund.is/serfaedi?id=",LOWER(SUBSTITUTE(B668,"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64" t="str">
        <f aca="false">IF(OR(A669="",B669=""),"",CONCATENATE("https://matarstund.is/serfaedi?id=",LOWER(SUBSTITUTE(B669," ","-"))))</f>
        <v/>
      </c>
    </row>
    <row r="670" customFormat="false" ht="15" hidden="false" customHeight="true" outlineLevel="0" collapsed="false">
      <c r="A670" s="63"/>
      <c r="B670" s="63"/>
      <c r="C670" s="63"/>
      <c r="D670" s="63"/>
      <c r="E670" s="63"/>
      <c r="F670" s="28" t="str">
        <f aca="false">IF(C670="","",IF(OR(C670="1. bekkur",C670="2. bekkur",C670="3. bekkur",C670="4. bekkur"),"Já",IF(C670="Starfsmaður","Nei","Nei")))</f>
        <v/>
      </c>
      <c r="G670" s="63"/>
      <c r="H670" s="63"/>
      <c r="I670" s="63"/>
      <c r="J670" s="64" t="str">
        <f aca="false">IF(OR(A670="",B670=""),"",CONCATENATE("https://matarstund.is/serfaedi?id=",LOWER(SUBSTITUTE(B670,"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64" t="str">
        <f aca="false">IF(OR(A671="",B671=""),"",CONCATENATE("https://matarstund.is/serfaedi?id=",LOWER(SUBSTITUTE(B671," ","-"))))</f>
        <v/>
      </c>
    </row>
    <row r="672" customFormat="false" ht="15" hidden="false" customHeight="true" outlineLevel="0" collapsed="false">
      <c r="A672" s="63"/>
      <c r="B672" s="63"/>
      <c r="C672" s="63"/>
      <c r="D672" s="63"/>
      <c r="E672" s="63"/>
      <c r="F672" s="28" t="str">
        <f aca="false">IF(C672="","",IF(OR(C672="1. bekkur",C672="2. bekkur",C672="3. bekkur",C672="4. bekkur"),"Já",IF(C672="Starfsmaður","Nei","Nei")))</f>
        <v/>
      </c>
      <c r="G672" s="63"/>
      <c r="H672" s="63"/>
      <c r="I672" s="63"/>
      <c r="J672" s="64" t="str">
        <f aca="false">IF(OR(A672="",B672=""),"",CONCATENATE("https://matarstund.is/serfaedi?id=",LOWER(SUBSTITUTE(B672,"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64" t="str">
        <f aca="false">IF(OR(A673="",B673=""),"",CONCATENATE("https://matarstund.is/serfaedi?id=",LOWER(SUBSTITUTE(B673," ","-"))))</f>
        <v/>
      </c>
    </row>
    <row r="674" customFormat="false" ht="15" hidden="false" customHeight="true" outlineLevel="0" collapsed="false">
      <c r="A674" s="63"/>
      <c r="B674" s="63"/>
      <c r="C674" s="63"/>
      <c r="D674" s="63"/>
      <c r="E674" s="63"/>
      <c r="F674" s="28" t="str">
        <f aca="false">IF(C674="","",IF(OR(C674="1. bekkur",C674="2. bekkur",C674="3. bekkur",C674="4. bekkur"),"Já",IF(C674="Starfsmaður","Nei","Nei")))</f>
        <v/>
      </c>
      <c r="G674" s="63"/>
      <c r="H674" s="63"/>
      <c r="I674" s="63"/>
      <c r="J674" s="64" t="str">
        <f aca="false">IF(OR(A674="",B674=""),"",CONCATENATE("https://matarstund.is/serfaedi?id=",LOWER(SUBSTITUTE(B674,"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64" t="str">
        <f aca="false">IF(OR(A675="",B675=""),"",CONCATENATE("https://matarstund.is/serfaedi?id=",LOWER(SUBSTITUTE(B675," ","-"))))</f>
        <v/>
      </c>
    </row>
    <row r="676" customFormat="false" ht="15" hidden="false" customHeight="true" outlineLevel="0" collapsed="false">
      <c r="A676" s="63"/>
      <c r="B676" s="63"/>
      <c r="C676" s="63"/>
      <c r="D676" s="63"/>
      <c r="E676" s="63"/>
      <c r="F676" s="28" t="str">
        <f aca="false">IF(C676="","",IF(OR(C676="1. bekkur",C676="2. bekkur",C676="3. bekkur",C676="4. bekkur"),"Já",IF(C676="Starfsmaður","Nei","Nei")))</f>
        <v/>
      </c>
      <c r="G676" s="63"/>
      <c r="H676" s="63"/>
      <c r="I676" s="63"/>
      <c r="J676" s="64" t="str">
        <f aca="false">IF(OR(A676="",B676=""),"",CONCATENATE("https://matarstund.is/serfaedi?id=",LOWER(SUBSTITUTE(B676,"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64" t="str">
        <f aca="false">IF(OR(A677="",B677=""),"",CONCATENATE("https://matarstund.is/serfaedi?id=",LOWER(SUBSTITUTE(B677," ","-"))))</f>
        <v/>
      </c>
    </row>
    <row r="678" customFormat="false" ht="15" hidden="false" customHeight="true" outlineLevel="0" collapsed="false">
      <c r="A678" s="63"/>
      <c r="B678" s="63"/>
      <c r="C678" s="63"/>
      <c r="D678" s="63"/>
      <c r="E678" s="63"/>
      <c r="F678" s="28" t="str">
        <f aca="false">IF(C678="","",IF(OR(C678="1. bekkur",C678="2. bekkur",C678="3. bekkur",C678="4. bekkur"),"Já",IF(C678="Starfsmaður","Nei","Nei")))</f>
        <v/>
      </c>
      <c r="G678" s="63"/>
      <c r="H678" s="63"/>
      <c r="I678" s="63"/>
      <c r="J678" s="64" t="str">
        <f aca="false">IF(OR(A678="",B678=""),"",CONCATENATE("https://matarstund.is/serfaedi?id=",LOWER(SUBSTITUTE(B678,"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64" t="str">
        <f aca="false">IF(OR(A679="",B679=""),"",CONCATENATE("https://matarstund.is/serfaedi?id=",LOWER(SUBSTITUTE(B679," ","-"))))</f>
        <v/>
      </c>
    </row>
    <row r="680" customFormat="false" ht="15" hidden="false" customHeight="true" outlineLevel="0" collapsed="false">
      <c r="A680" s="63"/>
      <c r="B680" s="63"/>
      <c r="C680" s="63"/>
      <c r="D680" s="63"/>
      <c r="E680" s="63"/>
      <c r="F680" s="28" t="str">
        <f aca="false">IF(C680="","",IF(OR(C680="1. bekkur",C680="2. bekkur",C680="3. bekkur",C680="4. bekkur"),"Já",IF(C680="Starfsmaður","Nei","Nei")))</f>
        <v/>
      </c>
      <c r="G680" s="63"/>
      <c r="H680" s="63"/>
      <c r="I680" s="63"/>
      <c r="J680" s="64" t="str">
        <f aca="false">IF(OR(A680="",B680=""),"",CONCATENATE("https://matarstund.is/serfaedi?id=",LOWER(SUBSTITUTE(B680,"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64" t="str">
        <f aca="false">IF(OR(A681="",B681=""),"",CONCATENATE("https://matarstund.is/serfaedi?id=",LOWER(SUBSTITUTE(B681," ","-"))))</f>
        <v/>
      </c>
    </row>
    <row r="682" customFormat="false" ht="15" hidden="false" customHeight="true" outlineLevel="0" collapsed="false">
      <c r="A682" s="63"/>
      <c r="B682" s="63"/>
      <c r="C682" s="63"/>
      <c r="D682" s="63"/>
      <c r="E682" s="63"/>
      <c r="F682" s="28" t="str">
        <f aca="false">IF(C682="","",IF(OR(C682="1. bekkur",C682="2. bekkur",C682="3. bekkur",C682="4. bekkur"),"Já",IF(C682="Starfsmaður","Nei","Nei")))</f>
        <v/>
      </c>
      <c r="G682" s="63"/>
      <c r="H682" s="63"/>
      <c r="I682" s="63"/>
      <c r="J682" s="64" t="str">
        <f aca="false">IF(OR(A682="",B682=""),"",CONCATENATE("https://matarstund.is/serfaedi?id=",LOWER(SUBSTITUTE(B682,"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64" t="str">
        <f aca="false">IF(OR(A683="",B683=""),"",CONCATENATE("https://matarstund.is/serfaedi?id=",LOWER(SUBSTITUTE(B683," ","-"))))</f>
        <v/>
      </c>
    </row>
    <row r="684" customFormat="false" ht="15" hidden="false" customHeight="true" outlineLevel="0" collapsed="false">
      <c r="A684" s="63"/>
      <c r="B684" s="63"/>
      <c r="C684" s="63"/>
      <c r="D684" s="63"/>
      <c r="E684" s="63"/>
      <c r="F684" s="28" t="str">
        <f aca="false">IF(C684="","",IF(OR(C684="1. bekkur",C684="2. bekkur",C684="3. bekkur",C684="4. bekkur"),"Já",IF(C684="Starfsmaður","Nei","Nei")))</f>
        <v/>
      </c>
      <c r="G684" s="63"/>
      <c r="H684" s="63"/>
      <c r="I684" s="63"/>
      <c r="J684" s="64" t="str">
        <f aca="false">IF(OR(A684="",B684=""),"",CONCATENATE("https://matarstund.is/serfaedi?id=",LOWER(SUBSTITUTE(B684,"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64" t="str">
        <f aca="false">IF(OR(A685="",B685=""),"",CONCATENATE("https://matarstund.is/serfaedi?id=",LOWER(SUBSTITUTE(B685," ","-"))))</f>
        <v/>
      </c>
    </row>
    <row r="686" customFormat="false" ht="15" hidden="false" customHeight="true" outlineLevel="0" collapsed="false">
      <c r="A686" s="63"/>
      <c r="B686" s="63"/>
      <c r="C686" s="63"/>
      <c r="D686" s="63"/>
      <c r="E686" s="63"/>
      <c r="F686" s="28" t="str">
        <f aca="false">IF(C686="","",IF(OR(C686="1. bekkur",C686="2. bekkur",C686="3. bekkur",C686="4. bekkur"),"Já",IF(C686="Starfsmaður","Nei","Nei")))</f>
        <v/>
      </c>
      <c r="G686" s="63"/>
      <c r="H686" s="63"/>
      <c r="I686" s="63"/>
      <c r="J686" s="64" t="str">
        <f aca="false">IF(OR(A686="",B686=""),"",CONCATENATE("https://matarstund.is/serfaedi?id=",LOWER(SUBSTITUTE(B686,"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64" t="str">
        <f aca="false">IF(OR(A687="",B687=""),"",CONCATENATE("https://matarstund.is/serfaedi?id=",LOWER(SUBSTITUTE(B687," ","-"))))</f>
        <v/>
      </c>
    </row>
    <row r="688" customFormat="false" ht="15" hidden="false" customHeight="true" outlineLevel="0" collapsed="false">
      <c r="A688" s="63"/>
      <c r="B688" s="63"/>
      <c r="C688" s="63"/>
      <c r="D688" s="63"/>
      <c r="E688" s="63"/>
      <c r="F688" s="28" t="str">
        <f aca="false">IF(C688="","",IF(OR(C688="1. bekkur",C688="2. bekkur",C688="3. bekkur",C688="4. bekkur"),"Já",IF(C688="Starfsmaður","Nei","Nei")))</f>
        <v/>
      </c>
      <c r="G688" s="63"/>
      <c r="H688" s="63"/>
      <c r="I688" s="63"/>
      <c r="J688" s="64" t="str">
        <f aca="false">IF(OR(A688="",B688=""),"",CONCATENATE("https://matarstund.is/serfaedi?id=",LOWER(SUBSTITUTE(B688,"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64" t="str">
        <f aca="false">IF(OR(A689="",B689=""),"",CONCATENATE("https://matarstund.is/serfaedi?id=",LOWER(SUBSTITUTE(B689," ","-"))))</f>
        <v/>
      </c>
    </row>
    <row r="690" customFormat="false" ht="15" hidden="false" customHeight="true" outlineLevel="0" collapsed="false">
      <c r="A690" s="63"/>
      <c r="B690" s="63"/>
      <c r="C690" s="63"/>
      <c r="D690" s="63"/>
      <c r="E690" s="63"/>
      <c r="F690" s="28" t="str">
        <f aca="false">IF(C690="","",IF(OR(C690="1. bekkur",C690="2. bekkur",C690="3. bekkur",C690="4. bekkur"),"Já",IF(C690="Starfsmaður","Nei","Nei")))</f>
        <v/>
      </c>
      <c r="G690" s="63"/>
      <c r="H690" s="63"/>
      <c r="I690" s="63"/>
      <c r="J690" s="64" t="str">
        <f aca="false">IF(OR(A690="",B690=""),"",CONCATENATE("https://matarstund.is/serfaedi?id=",LOWER(SUBSTITUTE(B690,"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64" t="str">
        <f aca="false">IF(OR(A691="",B691=""),"",CONCATENATE("https://matarstund.is/serfaedi?id=",LOWER(SUBSTITUTE(B691," ","-"))))</f>
        <v/>
      </c>
    </row>
    <row r="692" customFormat="false" ht="15" hidden="false" customHeight="true" outlineLevel="0" collapsed="false">
      <c r="A692" s="63"/>
      <c r="B692" s="63"/>
      <c r="C692" s="63"/>
      <c r="D692" s="63"/>
      <c r="E692" s="63"/>
      <c r="F692" s="28" t="str">
        <f aca="false">IF(C692="","",IF(OR(C692="1. bekkur",C692="2. bekkur",C692="3. bekkur",C692="4. bekkur"),"Já",IF(C692="Starfsmaður","Nei","Nei")))</f>
        <v/>
      </c>
      <c r="G692" s="63"/>
      <c r="H692" s="63"/>
      <c r="I692" s="63"/>
      <c r="J692" s="64" t="str">
        <f aca="false">IF(OR(A692="",B692=""),"",CONCATENATE("https://matarstund.is/serfaedi?id=",LOWER(SUBSTITUTE(B692,"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64" t="str">
        <f aca="false">IF(OR(A693="",B693=""),"",CONCATENATE("https://matarstund.is/serfaedi?id=",LOWER(SUBSTITUTE(B693," ","-"))))</f>
        <v/>
      </c>
    </row>
    <row r="694" customFormat="false" ht="15" hidden="false" customHeight="true" outlineLevel="0" collapsed="false">
      <c r="A694" s="63"/>
      <c r="B694" s="63"/>
      <c r="C694" s="63"/>
      <c r="D694" s="63"/>
      <c r="E694" s="63"/>
      <c r="F694" s="28" t="str">
        <f aca="false">IF(C694="","",IF(OR(C694="1. bekkur",C694="2. bekkur",C694="3. bekkur",C694="4. bekkur"),"Já",IF(C694="Starfsmaður","Nei","Nei")))</f>
        <v/>
      </c>
      <c r="G694" s="63"/>
      <c r="H694" s="63"/>
      <c r="I694" s="63"/>
      <c r="J694" s="64" t="str">
        <f aca="false">IF(OR(A694="",B694=""),"",CONCATENATE("https://matarstund.is/serfaedi?id=",LOWER(SUBSTITUTE(B694,"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64" t="str">
        <f aca="false">IF(OR(A695="",B695=""),"",CONCATENATE("https://matarstund.is/serfaedi?id=",LOWER(SUBSTITUTE(B695," ","-"))))</f>
        <v/>
      </c>
    </row>
    <row r="696" customFormat="false" ht="15" hidden="false" customHeight="true" outlineLevel="0" collapsed="false">
      <c r="A696" s="63"/>
      <c r="B696" s="63"/>
      <c r="C696" s="63"/>
      <c r="D696" s="63"/>
      <c r="E696" s="63"/>
      <c r="F696" s="28" t="str">
        <f aca="false">IF(C696="","",IF(OR(C696="1. bekkur",C696="2. bekkur",C696="3. bekkur",C696="4. bekkur"),"Já",IF(C696="Starfsmaður","Nei","Nei")))</f>
        <v/>
      </c>
      <c r="G696" s="63"/>
      <c r="H696" s="63"/>
      <c r="I696" s="63"/>
      <c r="J696" s="64" t="str">
        <f aca="false">IF(OR(A696="",B696=""),"",CONCATENATE("https://matarstund.is/serfaedi?id=",LOWER(SUBSTITUTE(B696,"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64" t="str">
        <f aca="false">IF(OR(A697="",B697=""),"",CONCATENATE("https://matarstund.is/serfaedi?id=",LOWER(SUBSTITUTE(B697," ","-"))))</f>
        <v/>
      </c>
    </row>
    <row r="698" customFormat="false" ht="15" hidden="false" customHeight="true" outlineLevel="0" collapsed="false">
      <c r="A698" s="63"/>
      <c r="B698" s="63"/>
      <c r="C698" s="63"/>
      <c r="D698" s="63"/>
      <c r="E698" s="63"/>
      <c r="F698" s="28" t="str">
        <f aca="false">IF(C698="","",IF(OR(C698="1. bekkur",C698="2. bekkur",C698="3. bekkur",C698="4. bekkur"),"Já",IF(C698="Starfsmaður","Nei","Nei")))</f>
        <v/>
      </c>
      <c r="G698" s="63"/>
      <c r="H698" s="63"/>
      <c r="I698" s="63"/>
      <c r="J698" s="64" t="str">
        <f aca="false">IF(OR(A698="",B698=""),"",CONCATENATE("https://matarstund.is/serfaedi?id=",LOWER(SUBSTITUTE(B698,"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64" t="str">
        <f aca="false">IF(OR(A699="",B699=""),"",CONCATENATE("https://matarstund.is/serfaedi?id=",LOWER(SUBSTITUTE(B699," ","-"))))</f>
        <v/>
      </c>
    </row>
    <row r="700" customFormat="false" ht="15" hidden="false" customHeight="true" outlineLevel="0" collapsed="false">
      <c r="A700" s="63"/>
      <c r="B700" s="63"/>
      <c r="C700" s="63"/>
      <c r="D700" s="63"/>
      <c r="E700" s="63"/>
      <c r="F700" s="28" t="str">
        <f aca="false">IF(C700="","",IF(OR(C700="1. bekkur",C700="2. bekkur",C700="3. bekkur",C700="4. bekkur"),"Já",IF(C700="Starfsmaður","Nei","Nei")))</f>
        <v/>
      </c>
      <c r="G700" s="63"/>
      <c r="H700" s="63"/>
      <c r="I700" s="63"/>
      <c r="J700" s="64" t="str">
        <f aca="false">IF(OR(A700="",B700=""),"",CONCATENATE("https://matarstund.is/serfaedi?id=",LOWER(SUBSTITUTE(B700,"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64" t="str">
        <f aca="false">IF(OR(A701="",B701=""),"",CONCATENATE("https://matarstund.is/serfaedi?id=",LOWER(SUBSTITUTE(B701," ","-"))))</f>
        <v/>
      </c>
    </row>
    <row r="702" customFormat="false" ht="15" hidden="false" customHeight="true" outlineLevel="0" collapsed="false">
      <c r="A702" s="63"/>
      <c r="B702" s="63"/>
      <c r="C702" s="63"/>
      <c r="D702" s="63"/>
      <c r="E702" s="63"/>
      <c r="F702" s="28" t="str">
        <f aca="false">IF(C702="","",IF(OR(C702="1. bekkur",C702="2. bekkur",C702="3. bekkur",C702="4. bekkur"),"Já",IF(C702="Starfsmaður","Nei","Nei")))</f>
        <v/>
      </c>
      <c r="G702" s="63"/>
      <c r="H702" s="63"/>
      <c r="I702" s="63"/>
      <c r="J702" s="64" t="str">
        <f aca="false">IF(OR(A702="",B702=""),"",CONCATENATE("https://matarstund.is/serfaedi?id=",LOWER(SUBSTITUTE(B702,"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64" t="str">
        <f aca="false">IF(OR(A703="",B703=""),"",CONCATENATE("https://matarstund.is/serfaedi?id=",LOWER(SUBSTITUTE(B703," ","-"))))</f>
        <v/>
      </c>
    </row>
    <row r="704" customFormat="false" ht="15" hidden="false" customHeight="true" outlineLevel="0" collapsed="false">
      <c r="A704" s="63"/>
      <c r="B704" s="63"/>
      <c r="C704" s="63"/>
      <c r="D704" s="63"/>
      <c r="E704" s="63"/>
      <c r="F704" s="28" t="str">
        <f aca="false">IF(C704="","",IF(OR(C704="1. bekkur",C704="2. bekkur",C704="3. bekkur",C704="4. bekkur"),"Já",IF(C704="Starfsmaður","Nei","Nei")))</f>
        <v/>
      </c>
      <c r="G704" s="63"/>
      <c r="H704" s="63"/>
      <c r="I704" s="63"/>
      <c r="J704" s="64" t="str">
        <f aca="false">IF(OR(A704="",B704=""),"",CONCATENATE("https://matarstund.is/serfaedi?id=",LOWER(SUBSTITUTE(B704,"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64" t="str">
        <f aca="false">IF(OR(A705="",B705=""),"",CONCATENATE("https://matarstund.is/serfaedi?id=",LOWER(SUBSTITUTE(B705," ","-"))))</f>
        <v/>
      </c>
    </row>
    <row r="706" customFormat="false" ht="15" hidden="false" customHeight="true" outlineLevel="0" collapsed="false">
      <c r="A706" s="63"/>
      <c r="B706" s="63"/>
      <c r="C706" s="63"/>
      <c r="D706" s="63"/>
      <c r="E706" s="63"/>
      <c r="F706" s="28" t="str">
        <f aca="false">IF(C706="","",IF(OR(C706="1. bekkur",C706="2. bekkur",C706="3. bekkur",C706="4. bekkur"),"Já",IF(C706="Starfsmaður","Nei","Nei")))</f>
        <v/>
      </c>
      <c r="G706" s="63"/>
      <c r="H706" s="63"/>
      <c r="I706" s="63"/>
      <c r="J706" s="64" t="str">
        <f aca="false">IF(OR(A706="",B706=""),"",CONCATENATE("https://matarstund.is/serfaedi?id=",LOWER(SUBSTITUTE(B706,"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64" t="str">
        <f aca="false">IF(OR(A707="",B707=""),"",CONCATENATE("https://matarstund.is/serfaedi?id=",LOWER(SUBSTITUTE(B707," ","-"))))</f>
        <v/>
      </c>
    </row>
    <row r="708" customFormat="false" ht="15" hidden="false" customHeight="true" outlineLevel="0" collapsed="false">
      <c r="A708" s="63"/>
      <c r="B708" s="63"/>
      <c r="C708" s="63"/>
      <c r="D708" s="63"/>
      <c r="E708" s="63"/>
      <c r="F708" s="28" t="str">
        <f aca="false">IF(C708="","",IF(OR(C708="1. bekkur",C708="2. bekkur",C708="3. bekkur",C708="4. bekkur"),"Já",IF(C708="Starfsmaður","Nei","Nei")))</f>
        <v/>
      </c>
      <c r="G708" s="63"/>
      <c r="H708" s="63"/>
      <c r="I708" s="63"/>
      <c r="J708" s="64" t="str">
        <f aca="false">IF(OR(A708="",B708=""),"",CONCATENATE("https://matarstund.is/serfaedi?id=",LOWER(SUBSTITUTE(B708,"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64" t="str">
        <f aca="false">IF(OR(A709="",B709=""),"",CONCATENATE("https://matarstund.is/serfaedi?id=",LOWER(SUBSTITUTE(B709," ","-"))))</f>
        <v/>
      </c>
    </row>
    <row r="710" customFormat="false" ht="15" hidden="false" customHeight="true" outlineLevel="0" collapsed="false">
      <c r="A710" s="63"/>
      <c r="B710" s="63"/>
      <c r="C710" s="63"/>
      <c r="D710" s="63"/>
      <c r="E710" s="63"/>
      <c r="F710" s="28" t="str">
        <f aca="false">IF(C710="","",IF(OR(C710="1. bekkur",C710="2. bekkur",C710="3. bekkur",C710="4. bekkur"),"Já",IF(C710="Starfsmaður","Nei","Nei")))</f>
        <v/>
      </c>
      <c r="G710" s="63"/>
      <c r="H710" s="63"/>
      <c r="I710" s="63"/>
      <c r="J710" s="64" t="str">
        <f aca="false">IF(OR(A710="",B710=""),"",CONCATENATE("https://matarstund.is/serfaedi?id=",LOWER(SUBSTITUTE(B710,"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64" t="str">
        <f aca="false">IF(OR(A711="",B711=""),"",CONCATENATE("https://matarstund.is/serfaedi?id=",LOWER(SUBSTITUTE(B711," ","-"))))</f>
        <v/>
      </c>
    </row>
    <row r="712" customFormat="false" ht="15" hidden="false" customHeight="true" outlineLevel="0" collapsed="false">
      <c r="A712" s="63"/>
      <c r="B712" s="63"/>
      <c r="C712" s="63"/>
      <c r="D712" s="63"/>
      <c r="E712" s="63"/>
      <c r="F712" s="28" t="str">
        <f aca="false">IF(C712="","",IF(OR(C712="1. bekkur",C712="2. bekkur",C712="3. bekkur",C712="4. bekkur"),"Já",IF(C712="Starfsmaður","Nei","Nei")))</f>
        <v/>
      </c>
      <c r="G712" s="63"/>
      <c r="H712" s="63"/>
      <c r="I712" s="63"/>
      <c r="J712" s="64" t="str">
        <f aca="false">IF(OR(A712="",B712=""),"",CONCATENATE("https://matarstund.is/serfaedi?id=",LOWER(SUBSTITUTE(B712,"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64" t="str">
        <f aca="false">IF(OR(A713="",B713=""),"",CONCATENATE("https://matarstund.is/serfaedi?id=",LOWER(SUBSTITUTE(B713," ","-"))))</f>
        <v/>
      </c>
    </row>
    <row r="714" customFormat="false" ht="15" hidden="false" customHeight="true" outlineLevel="0" collapsed="false">
      <c r="A714" s="63"/>
      <c r="B714" s="63"/>
      <c r="C714" s="63"/>
      <c r="D714" s="63"/>
      <c r="E714" s="63"/>
      <c r="F714" s="28" t="str">
        <f aca="false">IF(C714="","",IF(OR(C714="1. bekkur",C714="2. bekkur",C714="3. bekkur",C714="4. bekkur"),"Já",IF(C714="Starfsmaður","Nei","Nei")))</f>
        <v/>
      </c>
      <c r="G714" s="63"/>
      <c r="H714" s="63"/>
      <c r="I714" s="63"/>
      <c r="J714" s="64" t="str">
        <f aca="false">IF(OR(A714="",B714=""),"",CONCATENATE("https://matarstund.is/serfaedi?id=",LOWER(SUBSTITUTE(B714,"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64" t="str">
        <f aca="false">IF(OR(A715="",B715=""),"",CONCATENATE("https://matarstund.is/serfaedi?id=",LOWER(SUBSTITUTE(B715," ","-"))))</f>
        <v/>
      </c>
    </row>
    <row r="716" customFormat="false" ht="15" hidden="false" customHeight="true" outlineLevel="0" collapsed="false">
      <c r="A716" s="63"/>
      <c r="B716" s="63"/>
      <c r="C716" s="63"/>
      <c r="D716" s="63"/>
      <c r="E716" s="63"/>
      <c r="F716" s="28" t="str">
        <f aca="false">IF(C716="","",IF(OR(C716="1. bekkur",C716="2. bekkur",C716="3. bekkur",C716="4. bekkur"),"Já",IF(C716="Starfsmaður","Nei","Nei")))</f>
        <v/>
      </c>
      <c r="G716" s="63"/>
      <c r="H716" s="63"/>
      <c r="I716" s="63"/>
      <c r="J716" s="64" t="str">
        <f aca="false">IF(OR(A716="",B716=""),"",CONCATENATE("https://matarstund.is/serfaedi?id=",LOWER(SUBSTITUTE(B716,"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64" t="str">
        <f aca="false">IF(OR(A717="",B717=""),"",CONCATENATE("https://matarstund.is/serfaedi?id=",LOWER(SUBSTITUTE(B717," ","-"))))</f>
        <v/>
      </c>
    </row>
    <row r="718" customFormat="false" ht="15" hidden="false" customHeight="true" outlineLevel="0" collapsed="false">
      <c r="A718" s="63"/>
      <c r="B718" s="63"/>
      <c r="C718" s="63"/>
      <c r="D718" s="63"/>
      <c r="E718" s="63"/>
      <c r="F718" s="28" t="str">
        <f aca="false">IF(C718="","",IF(OR(C718="1. bekkur",C718="2. bekkur",C718="3. bekkur",C718="4. bekkur"),"Já",IF(C718="Starfsmaður","Nei","Nei")))</f>
        <v/>
      </c>
      <c r="G718" s="63"/>
      <c r="H718" s="63"/>
      <c r="I718" s="63"/>
      <c r="J718" s="64" t="str">
        <f aca="false">IF(OR(A718="",B718=""),"",CONCATENATE("https://matarstund.is/serfaedi?id=",LOWER(SUBSTITUTE(B718,"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64" t="str">
        <f aca="false">IF(OR(A719="",B719=""),"",CONCATENATE("https://matarstund.is/serfaedi?id=",LOWER(SUBSTITUTE(B719," ","-"))))</f>
        <v/>
      </c>
    </row>
    <row r="720" customFormat="false" ht="15" hidden="false" customHeight="true" outlineLevel="0" collapsed="false">
      <c r="A720" s="63"/>
      <c r="B720" s="63"/>
      <c r="C720" s="63"/>
      <c r="D720" s="63"/>
      <c r="E720" s="63"/>
      <c r="F720" s="28" t="str">
        <f aca="false">IF(C720="","",IF(OR(C720="1. bekkur",C720="2. bekkur",C720="3. bekkur",C720="4. bekkur"),"Já",IF(C720="Starfsmaður","Nei","Nei")))</f>
        <v/>
      </c>
      <c r="G720" s="63"/>
      <c r="H720" s="63"/>
      <c r="I720" s="63"/>
      <c r="J720" s="64" t="str">
        <f aca="false">IF(OR(A720="",B720=""),"",CONCATENATE("https://matarstund.is/serfaedi?id=",LOWER(SUBSTITUTE(B720,"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64" t="str">
        <f aca="false">IF(OR(A721="",B721=""),"",CONCATENATE("https://matarstund.is/serfaedi?id=",LOWER(SUBSTITUTE(B721," ","-"))))</f>
        <v/>
      </c>
    </row>
    <row r="722" customFormat="false" ht="15" hidden="false" customHeight="true" outlineLevel="0" collapsed="false">
      <c r="A722" s="63"/>
      <c r="B722" s="63"/>
      <c r="C722" s="63"/>
      <c r="D722" s="63"/>
      <c r="E722" s="63"/>
      <c r="F722" s="28" t="str">
        <f aca="false">IF(C722="","",IF(OR(C722="1. bekkur",C722="2. bekkur",C722="3. bekkur",C722="4. bekkur"),"Já",IF(C722="Starfsmaður","Nei","Nei")))</f>
        <v/>
      </c>
      <c r="G722" s="63"/>
      <c r="H722" s="63"/>
      <c r="I722" s="63"/>
      <c r="J722" s="64" t="str">
        <f aca="false">IF(OR(A722="",B722=""),"",CONCATENATE("https://matarstund.is/serfaedi?id=",LOWER(SUBSTITUTE(B722,"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64" t="str">
        <f aca="false">IF(OR(A723="",B723=""),"",CONCATENATE("https://matarstund.is/serfaedi?id=",LOWER(SUBSTITUTE(B723," ","-"))))</f>
        <v/>
      </c>
    </row>
    <row r="724" customFormat="false" ht="15" hidden="false" customHeight="true" outlineLevel="0" collapsed="false">
      <c r="A724" s="63"/>
      <c r="B724" s="63"/>
      <c r="C724" s="63"/>
      <c r="D724" s="63"/>
      <c r="E724" s="63"/>
      <c r="F724" s="28" t="str">
        <f aca="false">IF(C724="","",IF(OR(C724="1. bekkur",C724="2. bekkur",C724="3. bekkur",C724="4. bekkur"),"Já",IF(C724="Starfsmaður","Nei","Nei")))</f>
        <v/>
      </c>
      <c r="G724" s="63"/>
      <c r="H724" s="63"/>
      <c r="I724" s="63"/>
      <c r="J724" s="64" t="str">
        <f aca="false">IF(OR(A724="",B724=""),"",CONCATENATE("https://matarstund.is/serfaedi?id=",LOWER(SUBSTITUTE(B724,"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64" t="str">
        <f aca="false">IF(OR(A725="",B725=""),"",CONCATENATE("https://matarstund.is/serfaedi?id=",LOWER(SUBSTITUTE(B725," ","-"))))</f>
        <v/>
      </c>
    </row>
    <row r="726" customFormat="false" ht="15" hidden="false" customHeight="true" outlineLevel="0" collapsed="false">
      <c r="A726" s="63"/>
      <c r="B726" s="63"/>
      <c r="C726" s="63"/>
      <c r="D726" s="63"/>
      <c r="E726" s="63"/>
      <c r="F726" s="28" t="str">
        <f aca="false">IF(C726="","",IF(OR(C726="1. bekkur",C726="2. bekkur",C726="3. bekkur",C726="4. bekkur"),"Já",IF(C726="Starfsmaður","Nei","Nei")))</f>
        <v/>
      </c>
      <c r="G726" s="63"/>
      <c r="H726" s="63"/>
      <c r="I726" s="63"/>
      <c r="J726" s="64" t="str">
        <f aca="false">IF(OR(A726="",B726=""),"",CONCATENATE("https://matarstund.is/serfaedi?id=",LOWER(SUBSTITUTE(B726,"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64" t="str">
        <f aca="false">IF(OR(A727="",B727=""),"",CONCATENATE("https://matarstund.is/serfaedi?id=",LOWER(SUBSTITUTE(B727," ","-"))))</f>
        <v/>
      </c>
    </row>
    <row r="728" customFormat="false" ht="15" hidden="false" customHeight="true" outlineLevel="0" collapsed="false">
      <c r="A728" s="63"/>
      <c r="B728" s="63"/>
      <c r="C728" s="63"/>
      <c r="D728" s="63"/>
      <c r="E728" s="63"/>
      <c r="F728" s="28" t="str">
        <f aca="false">IF(C728="","",IF(OR(C728="1. bekkur",C728="2. bekkur",C728="3. bekkur",C728="4. bekkur"),"Já",IF(C728="Starfsmaður","Nei","Nei")))</f>
        <v/>
      </c>
      <c r="G728" s="63"/>
      <c r="H728" s="63"/>
      <c r="I728" s="63"/>
      <c r="J728" s="64" t="str">
        <f aca="false">IF(OR(A728="",B728=""),"",CONCATENATE("https://matarstund.is/serfaedi?id=",LOWER(SUBSTITUTE(B728,"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64" t="str">
        <f aca="false">IF(OR(A729="",B729=""),"",CONCATENATE("https://matarstund.is/serfaedi?id=",LOWER(SUBSTITUTE(B729," ","-"))))</f>
        <v/>
      </c>
    </row>
    <row r="730" customFormat="false" ht="15" hidden="false" customHeight="true" outlineLevel="0" collapsed="false">
      <c r="A730" s="63"/>
      <c r="B730" s="63"/>
      <c r="C730" s="63"/>
      <c r="D730" s="63"/>
      <c r="E730" s="63"/>
      <c r="F730" s="28" t="str">
        <f aca="false">IF(C730="","",IF(OR(C730="1. bekkur",C730="2. bekkur",C730="3. bekkur",C730="4. bekkur"),"Já",IF(C730="Starfsmaður","Nei","Nei")))</f>
        <v/>
      </c>
      <c r="G730" s="63"/>
      <c r="H730" s="63"/>
      <c r="I730" s="63"/>
      <c r="J730" s="64" t="str">
        <f aca="false">IF(OR(A730="",B730=""),"",CONCATENATE("https://matarstund.is/serfaedi?id=",LOWER(SUBSTITUTE(B730,"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64" t="str">
        <f aca="false">IF(OR(A731="",B731=""),"",CONCATENATE("https://matarstund.is/serfaedi?id=",LOWER(SUBSTITUTE(B731," ","-"))))</f>
        <v/>
      </c>
    </row>
    <row r="732" customFormat="false" ht="15" hidden="false" customHeight="true" outlineLevel="0" collapsed="false">
      <c r="A732" s="63"/>
      <c r="B732" s="63"/>
      <c r="C732" s="63"/>
      <c r="D732" s="63"/>
      <c r="E732" s="63"/>
      <c r="F732" s="28" t="str">
        <f aca="false">IF(C732="","",IF(OR(C732="1. bekkur",C732="2. bekkur",C732="3. bekkur",C732="4. bekkur"),"Já",IF(C732="Starfsmaður","Nei","Nei")))</f>
        <v/>
      </c>
      <c r="G732" s="63"/>
      <c r="H732" s="63"/>
      <c r="I732" s="63"/>
      <c r="J732" s="64" t="str">
        <f aca="false">IF(OR(A732="",B732=""),"",CONCATENATE("https://matarstund.is/serfaedi?id=",LOWER(SUBSTITUTE(B732,"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64" t="str">
        <f aca="false">IF(OR(A733="",B733=""),"",CONCATENATE("https://matarstund.is/serfaedi?id=",LOWER(SUBSTITUTE(B733," ","-"))))</f>
        <v/>
      </c>
    </row>
    <row r="734" customFormat="false" ht="15" hidden="false" customHeight="true" outlineLevel="0" collapsed="false">
      <c r="A734" s="63"/>
      <c r="B734" s="63"/>
      <c r="C734" s="63"/>
      <c r="D734" s="63"/>
      <c r="E734" s="63"/>
      <c r="F734" s="28" t="str">
        <f aca="false">IF(C734="","",IF(OR(C734="1. bekkur",C734="2. bekkur",C734="3. bekkur",C734="4. bekkur"),"Já",IF(C734="Starfsmaður","Nei","Nei")))</f>
        <v/>
      </c>
      <c r="G734" s="63"/>
      <c r="H734" s="63"/>
      <c r="I734" s="63"/>
      <c r="J734" s="64" t="str">
        <f aca="false">IF(OR(A734="",B734=""),"",CONCATENATE("https://matarstund.is/serfaedi?id=",LOWER(SUBSTITUTE(B734,"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64" t="str">
        <f aca="false">IF(OR(A735="",B735=""),"",CONCATENATE("https://matarstund.is/serfaedi?id=",LOWER(SUBSTITUTE(B735," ","-"))))</f>
        <v/>
      </c>
    </row>
    <row r="736" customFormat="false" ht="15" hidden="false" customHeight="true" outlineLevel="0" collapsed="false">
      <c r="A736" s="63"/>
      <c r="B736" s="63"/>
      <c r="C736" s="63"/>
      <c r="D736" s="63"/>
      <c r="E736" s="63"/>
      <c r="F736" s="28" t="str">
        <f aca="false">IF(C736="","",IF(OR(C736="1. bekkur",C736="2. bekkur",C736="3. bekkur",C736="4. bekkur"),"Já",IF(C736="Starfsmaður","Nei","Nei")))</f>
        <v/>
      </c>
      <c r="G736" s="63"/>
      <c r="H736" s="63"/>
      <c r="I736" s="63"/>
      <c r="J736" s="64" t="str">
        <f aca="false">IF(OR(A736="",B736=""),"",CONCATENATE("https://matarstund.is/serfaedi?id=",LOWER(SUBSTITUTE(B736,"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64" t="str">
        <f aca="false">IF(OR(A737="",B737=""),"",CONCATENATE("https://matarstund.is/serfaedi?id=",LOWER(SUBSTITUTE(B737," ","-"))))</f>
        <v/>
      </c>
    </row>
    <row r="738" customFormat="false" ht="15" hidden="false" customHeight="true" outlineLevel="0" collapsed="false">
      <c r="A738" s="63"/>
      <c r="B738" s="63"/>
      <c r="C738" s="63"/>
      <c r="D738" s="63"/>
      <c r="E738" s="63"/>
      <c r="F738" s="28" t="str">
        <f aca="false">IF(C738="","",IF(OR(C738="1. bekkur",C738="2. bekkur",C738="3. bekkur",C738="4. bekkur"),"Já",IF(C738="Starfsmaður","Nei","Nei")))</f>
        <v/>
      </c>
      <c r="G738" s="63"/>
      <c r="H738" s="63"/>
      <c r="I738" s="63"/>
      <c r="J738" s="64" t="str">
        <f aca="false">IF(OR(A738="",B738=""),"",CONCATENATE("https://matarstund.is/serfaedi?id=",LOWER(SUBSTITUTE(B738,"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64" t="str">
        <f aca="false">IF(OR(A739="",B739=""),"",CONCATENATE("https://matarstund.is/serfaedi?id=",LOWER(SUBSTITUTE(B739," ","-"))))</f>
        <v/>
      </c>
    </row>
    <row r="740" customFormat="false" ht="15" hidden="false" customHeight="true" outlineLevel="0" collapsed="false">
      <c r="A740" s="63"/>
      <c r="B740" s="63"/>
      <c r="C740" s="63"/>
      <c r="D740" s="63"/>
      <c r="E740" s="63"/>
      <c r="F740" s="28" t="str">
        <f aca="false">IF(C740="","",IF(OR(C740="1. bekkur",C740="2. bekkur",C740="3. bekkur",C740="4. bekkur"),"Já",IF(C740="Starfsmaður","Nei","Nei")))</f>
        <v/>
      </c>
      <c r="G740" s="63"/>
      <c r="H740" s="63"/>
      <c r="I740" s="63"/>
      <c r="J740" s="64" t="str">
        <f aca="false">IF(OR(A740="",B740=""),"",CONCATENATE("https://matarstund.is/serfaedi?id=",LOWER(SUBSTITUTE(B740,"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64" t="str">
        <f aca="false">IF(OR(A741="",B741=""),"",CONCATENATE("https://matarstund.is/serfaedi?id=",LOWER(SUBSTITUTE(B741," ","-"))))</f>
        <v/>
      </c>
    </row>
    <row r="742" customFormat="false" ht="15" hidden="false" customHeight="true" outlineLevel="0" collapsed="false">
      <c r="A742" s="63"/>
      <c r="B742" s="63"/>
      <c r="C742" s="63"/>
      <c r="D742" s="63"/>
      <c r="E742" s="63"/>
      <c r="F742" s="28" t="str">
        <f aca="false">IF(C742="","",IF(OR(C742="1. bekkur",C742="2. bekkur",C742="3. bekkur",C742="4. bekkur"),"Já",IF(C742="Starfsmaður","Nei","Nei")))</f>
        <v/>
      </c>
      <c r="G742" s="63"/>
      <c r="H742" s="63"/>
      <c r="I742" s="63"/>
      <c r="J742" s="64" t="str">
        <f aca="false">IF(OR(A742="",B742=""),"",CONCATENATE("https://matarstund.is/serfaedi?id=",LOWER(SUBSTITUTE(B742,"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64" t="str">
        <f aca="false">IF(OR(A743="",B743=""),"",CONCATENATE("https://matarstund.is/serfaedi?id=",LOWER(SUBSTITUTE(B743," ","-"))))</f>
        <v/>
      </c>
    </row>
    <row r="744" customFormat="false" ht="15" hidden="false" customHeight="true" outlineLevel="0" collapsed="false">
      <c r="A744" s="63"/>
      <c r="B744" s="63"/>
      <c r="C744" s="63"/>
      <c r="D744" s="63"/>
      <c r="E744" s="63"/>
      <c r="F744" s="28" t="str">
        <f aca="false">IF(C744="","",IF(OR(C744="1. bekkur",C744="2. bekkur",C744="3. bekkur",C744="4. bekkur"),"Já",IF(C744="Starfsmaður","Nei","Nei")))</f>
        <v/>
      </c>
      <c r="G744" s="63"/>
      <c r="H744" s="63"/>
      <c r="I744" s="63"/>
      <c r="J744" s="64" t="str">
        <f aca="false">IF(OR(A744="",B744=""),"",CONCATENATE("https://matarstund.is/serfaedi?id=",LOWER(SUBSTITUTE(B744,"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64" t="str">
        <f aca="false">IF(OR(A745="",B745=""),"",CONCATENATE("https://matarstund.is/serfaedi?id=",LOWER(SUBSTITUTE(B745," ","-"))))</f>
        <v/>
      </c>
    </row>
    <row r="746" customFormat="false" ht="15" hidden="false" customHeight="true" outlineLevel="0" collapsed="false">
      <c r="A746" s="63"/>
      <c r="B746" s="63"/>
      <c r="C746" s="63"/>
      <c r="D746" s="63"/>
      <c r="E746" s="63"/>
      <c r="F746" s="28" t="str">
        <f aca="false">IF(C746="","",IF(OR(C746="1. bekkur",C746="2. bekkur",C746="3. bekkur",C746="4. bekkur"),"Já",IF(C746="Starfsmaður","Nei","Nei")))</f>
        <v/>
      </c>
      <c r="G746" s="63"/>
      <c r="H746" s="63"/>
      <c r="I746" s="63"/>
      <c r="J746" s="64" t="str">
        <f aca="false">IF(OR(A746="",B746=""),"",CONCATENATE("https://matarstund.is/serfaedi?id=",LOWER(SUBSTITUTE(B746,"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64" t="str">
        <f aca="false">IF(OR(A747="",B747=""),"",CONCATENATE("https://matarstund.is/serfaedi?id=",LOWER(SUBSTITUTE(B747," ","-"))))</f>
        <v/>
      </c>
    </row>
    <row r="748" customFormat="false" ht="15" hidden="false" customHeight="true" outlineLevel="0" collapsed="false">
      <c r="A748" s="63"/>
      <c r="B748" s="63"/>
      <c r="C748" s="63"/>
      <c r="D748" s="63"/>
      <c r="E748" s="63"/>
      <c r="F748" s="28" t="str">
        <f aca="false">IF(C748="","",IF(OR(C748="1. bekkur",C748="2. bekkur",C748="3. bekkur",C748="4. bekkur"),"Já",IF(C748="Starfsmaður","Nei","Nei")))</f>
        <v/>
      </c>
      <c r="G748" s="63"/>
      <c r="H748" s="63"/>
      <c r="I748" s="63"/>
      <c r="J748" s="64" t="str">
        <f aca="false">IF(OR(A748="",B748=""),"",CONCATENATE("https://matarstund.is/serfaedi?id=",LOWER(SUBSTITUTE(B748,"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64" t="str">
        <f aca="false">IF(OR(A749="",B749=""),"",CONCATENATE("https://matarstund.is/serfaedi?id=",LOWER(SUBSTITUTE(B749," ","-"))))</f>
        <v/>
      </c>
    </row>
    <row r="750" customFormat="false" ht="15" hidden="false" customHeight="true" outlineLevel="0" collapsed="false">
      <c r="A750" s="63"/>
      <c r="B750" s="63"/>
      <c r="C750" s="63"/>
      <c r="D750" s="63"/>
      <c r="E750" s="63"/>
      <c r="F750" s="28" t="str">
        <f aca="false">IF(C750="","",IF(OR(C750="1. bekkur",C750="2. bekkur",C750="3. bekkur",C750="4. bekkur"),"Já",IF(C750="Starfsmaður","Nei","Nei")))</f>
        <v/>
      </c>
      <c r="G750" s="63"/>
      <c r="H750" s="63"/>
      <c r="I750" s="63"/>
      <c r="J750" s="64" t="str">
        <f aca="false">IF(OR(A750="",B750=""),"",CONCATENATE("https://matarstund.is/serfaedi?id=",LOWER(SUBSTITUTE(B750,"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64" t="str">
        <f aca="false">IF(OR(A751="",B751=""),"",CONCATENATE("https://matarstund.is/serfaedi?id=",LOWER(SUBSTITUTE(B751," ","-"))))</f>
        <v/>
      </c>
    </row>
    <row r="752" customFormat="false" ht="15" hidden="false" customHeight="true" outlineLevel="0" collapsed="false">
      <c r="A752" s="63"/>
      <c r="B752" s="63"/>
      <c r="C752" s="63"/>
      <c r="D752" s="63"/>
      <c r="E752" s="63"/>
      <c r="F752" s="28" t="str">
        <f aca="false">IF(C752="","",IF(OR(C752="1. bekkur",C752="2. bekkur",C752="3. bekkur",C752="4. bekkur"),"Já",IF(C752="Starfsmaður","Nei","Nei")))</f>
        <v/>
      </c>
      <c r="G752" s="63"/>
      <c r="H752" s="63"/>
      <c r="I752" s="63"/>
      <c r="J752" s="64" t="str">
        <f aca="false">IF(OR(A752="",B752=""),"",CONCATENATE("https://matarstund.is/serfaedi?id=",LOWER(SUBSTITUTE(B752,"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64" t="str">
        <f aca="false">IF(OR(A753="",B753=""),"",CONCATENATE("https://matarstund.is/serfaedi?id=",LOWER(SUBSTITUTE(B753," ","-"))))</f>
        <v/>
      </c>
    </row>
    <row r="754" customFormat="false" ht="15" hidden="false" customHeight="true" outlineLevel="0" collapsed="false">
      <c r="A754" s="63"/>
      <c r="B754" s="63"/>
      <c r="C754" s="63"/>
      <c r="D754" s="63"/>
      <c r="E754" s="63"/>
      <c r="F754" s="28" t="str">
        <f aca="false">IF(C754="","",IF(OR(C754="1. bekkur",C754="2. bekkur",C754="3. bekkur",C754="4. bekkur"),"Já",IF(C754="Starfsmaður","Nei","Nei")))</f>
        <v/>
      </c>
      <c r="G754" s="63"/>
      <c r="H754" s="63"/>
      <c r="I754" s="63"/>
      <c r="J754" s="64" t="str">
        <f aca="false">IF(OR(A754="",B754=""),"",CONCATENATE("https://matarstund.is/serfaedi?id=",LOWER(SUBSTITUTE(B754,"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64" t="str">
        <f aca="false">IF(OR(A755="",B755=""),"",CONCATENATE("https://matarstund.is/serfaedi?id=",LOWER(SUBSTITUTE(B755," ","-"))))</f>
        <v/>
      </c>
    </row>
    <row r="756" customFormat="false" ht="15" hidden="false" customHeight="true" outlineLevel="0" collapsed="false">
      <c r="A756" s="63"/>
      <c r="B756" s="63"/>
      <c r="C756" s="63"/>
      <c r="D756" s="63"/>
      <c r="E756" s="63"/>
      <c r="F756" s="28" t="str">
        <f aca="false">IF(C756="","",IF(OR(C756="1. bekkur",C756="2. bekkur",C756="3. bekkur",C756="4. bekkur"),"Já",IF(C756="Starfsmaður","Nei","Nei")))</f>
        <v/>
      </c>
      <c r="G756" s="63"/>
      <c r="H756" s="63"/>
      <c r="I756" s="63"/>
      <c r="J756" s="64" t="str">
        <f aca="false">IF(OR(A756="",B756=""),"",CONCATENATE("https://matarstund.is/serfaedi?id=",LOWER(SUBSTITUTE(B756,"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64" t="str">
        <f aca="false">IF(OR(A757="",B757=""),"",CONCATENATE("https://matarstund.is/serfaedi?id=",LOWER(SUBSTITUTE(B757," ","-"))))</f>
        <v/>
      </c>
    </row>
    <row r="758" customFormat="false" ht="15" hidden="false" customHeight="true" outlineLevel="0" collapsed="false">
      <c r="A758" s="63"/>
      <c r="B758" s="63"/>
      <c r="C758" s="63"/>
      <c r="D758" s="63"/>
      <c r="E758" s="63"/>
      <c r="F758" s="28" t="str">
        <f aca="false">IF(C758="","",IF(OR(C758="1. bekkur",C758="2. bekkur",C758="3. bekkur",C758="4. bekkur"),"Já",IF(C758="Starfsmaður","Nei","Nei")))</f>
        <v/>
      </c>
      <c r="G758" s="63"/>
      <c r="H758" s="63"/>
      <c r="I758" s="63"/>
      <c r="J758" s="64" t="str">
        <f aca="false">IF(OR(A758="",B758=""),"",CONCATENATE("https://matarstund.is/serfaedi?id=",LOWER(SUBSTITUTE(B758,"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64" t="str">
        <f aca="false">IF(OR(A759="",B759=""),"",CONCATENATE("https://matarstund.is/serfaedi?id=",LOWER(SUBSTITUTE(B759," ","-"))))</f>
        <v/>
      </c>
    </row>
    <row r="760" customFormat="false" ht="15" hidden="false" customHeight="true" outlineLevel="0" collapsed="false">
      <c r="A760" s="63"/>
      <c r="B760" s="63"/>
      <c r="C760" s="63"/>
      <c r="D760" s="63"/>
      <c r="E760" s="63"/>
      <c r="F760" s="28" t="str">
        <f aca="false">IF(C760="","",IF(OR(C760="1. bekkur",C760="2. bekkur",C760="3. bekkur",C760="4. bekkur"),"Já",IF(C760="Starfsmaður","Nei","Nei")))</f>
        <v/>
      </c>
      <c r="G760" s="63"/>
      <c r="H760" s="63"/>
      <c r="I760" s="63"/>
      <c r="J760" s="64" t="str">
        <f aca="false">IF(OR(A760="",B760=""),"",CONCATENATE("https://matarstund.is/serfaedi?id=",LOWER(SUBSTITUTE(B760,"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64" t="str">
        <f aca="false">IF(OR(A761="",B761=""),"",CONCATENATE("https://matarstund.is/serfaedi?id=",LOWER(SUBSTITUTE(B761," ","-"))))</f>
        <v/>
      </c>
    </row>
    <row r="762" customFormat="false" ht="15" hidden="false" customHeight="true" outlineLevel="0" collapsed="false">
      <c r="A762" s="63"/>
      <c r="B762" s="63"/>
      <c r="C762" s="63"/>
      <c r="D762" s="63"/>
      <c r="E762" s="63"/>
      <c r="F762" s="28" t="str">
        <f aca="false">IF(C762="","",IF(OR(C762="1. bekkur",C762="2. bekkur",C762="3. bekkur",C762="4. bekkur"),"Já",IF(C762="Starfsmaður","Nei","Nei")))</f>
        <v/>
      </c>
      <c r="G762" s="63"/>
      <c r="H762" s="63"/>
      <c r="I762" s="63"/>
      <c r="J762" s="64" t="str">
        <f aca="false">IF(OR(A762="",B762=""),"",CONCATENATE("https://matarstund.is/serfaedi?id=",LOWER(SUBSTITUTE(B762,"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64" t="str">
        <f aca="false">IF(OR(A763="",B763=""),"",CONCATENATE("https://matarstund.is/serfaedi?id=",LOWER(SUBSTITUTE(B763," ","-"))))</f>
        <v/>
      </c>
    </row>
    <row r="764" customFormat="false" ht="15" hidden="false" customHeight="true" outlineLevel="0" collapsed="false">
      <c r="A764" s="63"/>
      <c r="B764" s="63"/>
      <c r="C764" s="63"/>
      <c r="D764" s="63"/>
      <c r="E764" s="63"/>
      <c r="F764" s="28" t="str">
        <f aca="false">IF(C764="","",IF(OR(C764="1. bekkur",C764="2. bekkur",C764="3. bekkur",C764="4. bekkur"),"Já",IF(C764="Starfsmaður","Nei","Nei")))</f>
        <v/>
      </c>
      <c r="G764" s="63"/>
      <c r="H764" s="63"/>
      <c r="I764" s="63"/>
      <c r="J764" s="64" t="str">
        <f aca="false">IF(OR(A764="",B764=""),"",CONCATENATE("https://matarstund.is/serfaedi?id=",LOWER(SUBSTITUTE(B764,"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64" t="str">
        <f aca="false">IF(OR(A765="",B765=""),"",CONCATENATE("https://matarstund.is/serfaedi?id=",LOWER(SUBSTITUTE(B765," ","-"))))</f>
        <v/>
      </c>
    </row>
    <row r="766" customFormat="false" ht="15" hidden="false" customHeight="true" outlineLevel="0" collapsed="false">
      <c r="A766" s="63"/>
      <c r="B766" s="63"/>
      <c r="C766" s="63"/>
      <c r="D766" s="63"/>
      <c r="E766" s="63"/>
      <c r="F766" s="28" t="str">
        <f aca="false">IF(C766="","",IF(OR(C766="1. bekkur",C766="2. bekkur",C766="3. bekkur",C766="4. bekkur"),"Já",IF(C766="Starfsmaður","Nei","Nei")))</f>
        <v/>
      </c>
      <c r="G766" s="63"/>
      <c r="H766" s="63"/>
      <c r="I766" s="63"/>
      <c r="J766" s="64" t="str">
        <f aca="false">IF(OR(A766="",B766=""),"",CONCATENATE("https://matarstund.is/serfaedi?id=",LOWER(SUBSTITUTE(B766,"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64" t="str">
        <f aca="false">IF(OR(A767="",B767=""),"",CONCATENATE("https://matarstund.is/serfaedi?id=",LOWER(SUBSTITUTE(B767," ","-"))))</f>
        <v/>
      </c>
    </row>
    <row r="768" customFormat="false" ht="15" hidden="false" customHeight="true" outlineLevel="0" collapsed="false">
      <c r="A768" s="63"/>
      <c r="B768" s="63"/>
      <c r="C768" s="63"/>
      <c r="D768" s="63"/>
      <c r="E768" s="63"/>
      <c r="F768" s="28" t="str">
        <f aca="false">IF(C768="","",IF(OR(C768="1. bekkur",C768="2. bekkur",C768="3. bekkur",C768="4. bekkur"),"Já",IF(C768="Starfsmaður","Nei","Nei")))</f>
        <v/>
      </c>
      <c r="G768" s="63"/>
      <c r="H768" s="63"/>
      <c r="I768" s="63"/>
      <c r="J768" s="64" t="str">
        <f aca="false">IF(OR(A768="",B768=""),"",CONCATENATE("https://matarstund.is/serfaedi?id=",LOWER(SUBSTITUTE(B768,"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64" t="str">
        <f aca="false">IF(OR(A769="",B769=""),"",CONCATENATE("https://matarstund.is/serfaedi?id=",LOWER(SUBSTITUTE(B769," ","-"))))</f>
        <v/>
      </c>
    </row>
    <row r="770" customFormat="false" ht="15" hidden="false" customHeight="true" outlineLevel="0" collapsed="false">
      <c r="A770" s="63"/>
      <c r="B770" s="63"/>
      <c r="C770" s="63"/>
      <c r="D770" s="63"/>
      <c r="E770" s="63"/>
      <c r="F770" s="28" t="str">
        <f aca="false">IF(C770="","",IF(OR(C770="1. bekkur",C770="2. bekkur",C770="3. bekkur",C770="4. bekkur"),"Já",IF(C770="Starfsmaður","Nei","Nei")))</f>
        <v/>
      </c>
      <c r="G770" s="63"/>
      <c r="H770" s="63"/>
      <c r="I770" s="63"/>
      <c r="J770" s="64" t="str">
        <f aca="false">IF(OR(A770="",B770=""),"",CONCATENATE("https://matarstund.is/serfaedi?id=",LOWER(SUBSTITUTE(B770,"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64" t="str">
        <f aca="false">IF(OR(A771="",B771=""),"",CONCATENATE("https://matarstund.is/serfaedi?id=",LOWER(SUBSTITUTE(B771," ","-"))))</f>
        <v/>
      </c>
    </row>
    <row r="772" customFormat="false" ht="15" hidden="false" customHeight="true" outlineLevel="0" collapsed="false">
      <c r="A772" s="63"/>
      <c r="B772" s="63"/>
      <c r="C772" s="63"/>
      <c r="D772" s="63"/>
      <c r="E772" s="63"/>
      <c r="F772" s="28" t="str">
        <f aca="false">IF(C772="","",IF(OR(C772="1. bekkur",C772="2. bekkur",C772="3. bekkur",C772="4. bekkur"),"Já",IF(C772="Starfsmaður","Nei","Nei")))</f>
        <v/>
      </c>
      <c r="G772" s="63"/>
      <c r="H772" s="63"/>
      <c r="I772" s="63"/>
      <c r="J772" s="64" t="str">
        <f aca="false">IF(OR(A772="",B772=""),"",CONCATENATE("https://matarstund.is/serfaedi?id=",LOWER(SUBSTITUTE(B772,"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64" t="str">
        <f aca="false">IF(OR(A773="",B773=""),"",CONCATENATE("https://matarstund.is/serfaedi?id=",LOWER(SUBSTITUTE(B773," ","-"))))</f>
        <v/>
      </c>
    </row>
    <row r="774" customFormat="false" ht="15" hidden="false" customHeight="true" outlineLevel="0" collapsed="false">
      <c r="A774" s="63"/>
      <c r="B774" s="63"/>
      <c r="C774" s="63"/>
      <c r="D774" s="63"/>
      <c r="E774" s="63"/>
      <c r="F774" s="28" t="str">
        <f aca="false">IF(C774="","",IF(OR(C774="1. bekkur",C774="2. bekkur",C774="3. bekkur",C774="4. bekkur"),"Já",IF(C774="Starfsmaður","Nei","Nei")))</f>
        <v/>
      </c>
      <c r="G774" s="63"/>
      <c r="H774" s="63"/>
      <c r="I774" s="63"/>
      <c r="J774" s="64" t="str">
        <f aca="false">IF(OR(A774="",B774=""),"",CONCATENATE("https://matarstund.is/serfaedi?id=",LOWER(SUBSTITUTE(B774,"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64" t="str">
        <f aca="false">IF(OR(A775="",B775=""),"",CONCATENATE("https://matarstund.is/serfaedi?id=",LOWER(SUBSTITUTE(B775," ","-"))))</f>
        <v/>
      </c>
    </row>
    <row r="776" customFormat="false" ht="15" hidden="false" customHeight="true" outlineLevel="0" collapsed="false">
      <c r="A776" s="63"/>
      <c r="B776" s="63"/>
      <c r="C776" s="63"/>
      <c r="D776" s="63"/>
      <c r="E776" s="63"/>
      <c r="F776" s="28" t="str">
        <f aca="false">IF(C776="","",IF(OR(C776="1. bekkur",C776="2. bekkur",C776="3. bekkur",C776="4. bekkur"),"Já",IF(C776="Starfsmaður","Nei","Nei")))</f>
        <v/>
      </c>
      <c r="G776" s="63"/>
      <c r="H776" s="63"/>
      <c r="I776" s="63"/>
      <c r="J776" s="64" t="str">
        <f aca="false">IF(OR(A776="",B776=""),"",CONCATENATE("https://matarstund.is/serfaedi?id=",LOWER(SUBSTITUTE(B776,"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64" t="str">
        <f aca="false">IF(OR(A777="",B777=""),"",CONCATENATE("https://matarstund.is/serfaedi?id=",LOWER(SUBSTITUTE(B777," ","-"))))</f>
        <v/>
      </c>
    </row>
    <row r="778" customFormat="false" ht="15" hidden="false" customHeight="true" outlineLevel="0" collapsed="false">
      <c r="A778" s="63"/>
      <c r="B778" s="63"/>
      <c r="C778" s="63"/>
      <c r="D778" s="63"/>
      <c r="E778" s="63"/>
      <c r="F778" s="28" t="str">
        <f aca="false">IF(C778="","",IF(OR(C778="1. bekkur",C778="2. bekkur",C778="3. bekkur",C778="4. bekkur"),"Já",IF(C778="Starfsmaður","Nei","Nei")))</f>
        <v/>
      </c>
      <c r="G778" s="63"/>
      <c r="H778" s="63"/>
      <c r="I778" s="63"/>
      <c r="J778" s="64" t="str">
        <f aca="false">IF(OR(A778="",B778=""),"",CONCATENATE("https://matarstund.is/serfaedi?id=",LOWER(SUBSTITUTE(B778,"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64" t="str">
        <f aca="false">IF(OR(A779="",B779=""),"",CONCATENATE("https://matarstund.is/serfaedi?id=",LOWER(SUBSTITUTE(B779," ","-"))))</f>
        <v/>
      </c>
    </row>
    <row r="780" customFormat="false" ht="15" hidden="false" customHeight="true" outlineLevel="0" collapsed="false">
      <c r="A780" s="63"/>
      <c r="B780" s="63"/>
      <c r="C780" s="63"/>
      <c r="D780" s="63"/>
      <c r="E780" s="63"/>
      <c r="F780" s="28" t="str">
        <f aca="false">IF(C780="","",IF(OR(C780="1. bekkur",C780="2. bekkur",C780="3. bekkur",C780="4. bekkur"),"Já",IF(C780="Starfsmaður","Nei","Nei")))</f>
        <v/>
      </c>
      <c r="G780" s="63"/>
      <c r="H780" s="63"/>
      <c r="I780" s="63"/>
      <c r="J780" s="64" t="str">
        <f aca="false">IF(OR(A780="",B780=""),"",CONCATENATE("https://matarstund.is/serfaedi?id=",LOWER(SUBSTITUTE(B780,"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64" t="str">
        <f aca="false">IF(OR(A781="",B781=""),"",CONCATENATE("https://matarstund.is/serfaedi?id=",LOWER(SUBSTITUTE(B781," ","-"))))</f>
        <v/>
      </c>
    </row>
    <row r="782" customFormat="false" ht="15" hidden="false" customHeight="true" outlineLevel="0" collapsed="false">
      <c r="A782" s="63"/>
      <c r="B782" s="63"/>
      <c r="C782" s="63"/>
      <c r="D782" s="63"/>
      <c r="E782" s="63"/>
      <c r="F782" s="28" t="str">
        <f aca="false">IF(C782="","",IF(OR(C782="1. bekkur",C782="2. bekkur",C782="3. bekkur",C782="4. bekkur"),"Já",IF(C782="Starfsmaður","Nei","Nei")))</f>
        <v/>
      </c>
      <c r="G782" s="63"/>
      <c r="H782" s="63"/>
      <c r="I782" s="63"/>
      <c r="J782" s="64" t="str">
        <f aca="false">IF(OR(A782="",B782=""),"",CONCATENATE("https://matarstund.is/serfaedi?id=",LOWER(SUBSTITUTE(B782,"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64" t="str">
        <f aca="false">IF(OR(A783="",B783=""),"",CONCATENATE("https://matarstund.is/serfaedi?id=",LOWER(SUBSTITUTE(B783," ","-"))))</f>
        <v/>
      </c>
    </row>
    <row r="784" customFormat="false" ht="15" hidden="false" customHeight="true" outlineLevel="0" collapsed="false">
      <c r="A784" s="63"/>
      <c r="B784" s="63"/>
      <c r="C784" s="63"/>
      <c r="D784" s="63"/>
      <c r="E784" s="63"/>
      <c r="F784" s="28" t="str">
        <f aca="false">IF(C784="","",IF(OR(C784="1. bekkur",C784="2. bekkur",C784="3. bekkur",C784="4. bekkur"),"Já",IF(C784="Starfsmaður","Nei","Nei")))</f>
        <v/>
      </c>
      <c r="G784" s="63"/>
      <c r="H784" s="63"/>
      <c r="I784" s="63"/>
      <c r="J784" s="64" t="str">
        <f aca="false">IF(OR(A784="",B784=""),"",CONCATENATE("https://matarstund.is/serfaedi?id=",LOWER(SUBSTITUTE(B784,"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64" t="str">
        <f aca="false">IF(OR(A785="",B785=""),"",CONCATENATE("https://matarstund.is/serfaedi?id=",LOWER(SUBSTITUTE(B785," ","-"))))</f>
        <v/>
      </c>
    </row>
    <row r="786" customFormat="false" ht="15" hidden="false" customHeight="true" outlineLevel="0" collapsed="false">
      <c r="A786" s="63"/>
      <c r="B786" s="63"/>
      <c r="C786" s="63"/>
      <c r="D786" s="63"/>
      <c r="E786" s="63"/>
      <c r="F786" s="28" t="str">
        <f aca="false">IF(C786="","",IF(OR(C786="1. bekkur",C786="2. bekkur",C786="3. bekkur",C786="4. bekkur"),"Já",IF(C786="Starfsmaður","Nei","Nei")))</f>
        <v/>
      </c>
      <c r="G786" s="63"/>
      <c r="H786" s="63"/>
      <c r="I786" s="63"/>
      <c r="J786" s="64" t="str">
        <f aca="false">IF(OR(A786="",B786=""),"",CONCATENATE("https://matarstund.is/serfaedi?id=",LOWER(SUBSTITUTE(B786,"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64" t="str">
        <f aca="false">IF(OR(A787="",B787=""),"",CONCATENATE("https://matarstund.is/serfaedi?id=",LOWER(SUBSTITUTE(B787," ","-"))))</f>
        <v/>
      </c>
    </row>
    <row r="788" customFormat="false" ht="15" hidden="false" customHeight="true" outlineLevel="0" collapsed="false">
      <c r="A788" s="63"/>
      <c r="B788" s="63"/>
      <c r="C788" s="63"/>
      <c r="D788" s="63"/>
      <c r="E788" s="63"/>
      <c r="F788" s="28" t="str">
        <f aca="false">IF(C788="","",IF(OR(C788="1. bekkur",C788="2. bekkur",C788="3. bekkur",C788="4. bekkur"),"Já",IF(C788="Starfsmaður","Nei","Nei")))</f>
        <v/>
      </c>
      <c r="G788" s="63"/>
      <c r="H788" s="63"/>
      <c r="I788" s="63"/>
      <c r="J788" s="64" t="str">
        <f aca="false">IF(OR(A788="",B788=""),"",CONCATENATE("https://matarstund.is/serfaedi?id=",LOWER(SUBSTITUTE(B788,"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64" t="str">
        <f aca="false">IF(OR(A789="",B789=""),"",CONCATENATE("https://matarstund.is/serfaedi?id=",LOWER(SUBSTITUTE(B789," ","-"))))</f>
        <v/>
      </c>
    </row>
    <row r="790" customFormat="false" ht="15" hidden="false" customHeight="true" outlineLevel="0" collapsed="false">
      <c r="A790" s="63"/>
      <c r="B790" s="63"/>
      <c r="C790" s="63"/>
      <c r="D790" s="63"/>
      <c r="E790" s="63"/>
      <c r="F790" s="28" t="str">
        <f aca="false">IF(C790="","",IF(OR(C790="1. bekkur",C790="2. bekkur",C790="3. bekkur",C790="4. bekkur"),"Já",IF(C790="Starfsmaður","Nei","Nei")))</f>
        <v/>
      </c>
      <c r="G790" s="63"/>
      <c r="H790" s="63"/>
      <c r="I790" s="63"/>
      <c r="J790" s="64" t="str">
        <f aca="false">IF(OR(A790="",B790=""),"",CONCATENATE("https://matarstund.is/serfaedi?id=",LOWER(SUBSTITUTE(B790,"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64" t="str">
        <f aca="false">IF(OR(A791="",B791=""),"",CONCATENATE("https://matarstund.is/serfaedi?id=",LOWER(SUBSTITUTE(B791," ","-"))))</f>
        <v/>
      </c>
    </row>
    <row r="792" customFormat="false" ht="15" hidden="false" customHeight="true" outlineLevel="0" collapsed="false">
      <c r="A792" s="63"/>
      <c r="B792" s="63"/>
      <c r="C792" s="63"/>
      <c r="D792" s="63"/>
      <c r="E792" s="63"/>
      <c r="F792" s="28" t="str">
        <f aca="false">IF(C792="","",IF(OR(C792="1. bekkur",C792="2. bekkur",C792="3. bekkur",C792="4. bekkur"),"Já",IF(C792="Starfsmaður","Nei","Nei")))</f>
        <v/>
      </c>
      <c r="G792" s="63"/>
      <c r="H792" s="63"/>
      <c r="I792" s="63"/>
      <c r="J792" s="64" t="str">
        <f aca="false">IF(OR(A792="",B792=""),"",CONCATENATE("https://matarstund.is/serfaedi?id=",LOWER(SUBSTITUTE(B792,"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64" t="str">
        <f aca="false">IF(OR(A793="",B793=""),"",CONCATENATE("https://matarstund.is/serfaedi?id=",LOWER(SUBSTITUTE(B793," ","-"))))</f>
        <v/>
      </c>
    </row>
    <row r="794" customFormat="false" ht="15" hidden="false" customHeight="true" outlineLevel="0" collapsed="false">
      <c r="A794" s="63"/>
      <c r="B794" s="63"/>
      <c r="C794" s="63"/>
      <c r="D794" s="63"/>
      <c r="E794" s="63"/>
      <c r="F794" s="28" t="str">
        <f aca="false">IF(C794="","",IF(OR(C794="1. bekkur",C794="2. bekkur",C794="3. bekkur",C794="4. bekkur"),"Já",IF(C794="Starfsmaður","Nei","Nei")))</f>
        <v/>
      </c>
      <c r="G794" s="63"/>
      <c r="H794" s="63"/>
      <c r="I794" s="63"/>
      <c r="J794" s="64" t="str">
        <f aca="false">IF(OR(A794="",B794=""),"",CONCATENATE("https://matarstund.is/serfaedi?id=",LOWER(SUBSTITUTE(B794,"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64" t="str">
        <f aca="false">IF(OR(A795="",B795=""),"",CONCATENATE("https://matarstund.is/serfaedi?id=",LOWER(SUBSTITUTE(B795," ","-"))))</f>
        <v/>
      </c>
    </row>
    <row r="796" customFormat="false" ht="15" hidden="false" customHeight="true" outlineLevel="0" collapsed="false">
      <c r="A796" s="63"/>
      <c r="B796" s="63"/>
      <c r="C796" s="63"/>
      <c r="D796" s="63"/>
      <c r="E796" s="63"/>
      <c r="F796" s="28" t="str">
        <f aca="false">IF(C796="","",IF(OR(C796="1. bekkur",C796="2. bekkur",C796="3. bekkur",C796="4. bekkur"),"Já",IF(C796="Starfsmaður","Nei","Nei")))</f>
        <v/>
      </c>
      <c r="G796" s="63"/>
      <c r="H796" s="63"/>
      <c r="I796" s="63"/>
      <c r="J796" s="64" t="str">
        <f aca="false">IF(OR(A796="",B796=""),"",CONCATENATE("https://matarstund.is/serfaedi?id=",LOWER(SUBSTITUTE(B796,"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64" t="str">
        <f aca="false">IF(OR(A797="",B797=""),"",CONCATENATE("https://matarstund.is/serfaedi?id=",LOWER(SUBSTITUTE(B797," ","-"))))</f>
        <v/>
      </c>
    </row>
    <row r="798" customFormat="false" ht="15" hidden="false" customHeight="true" outlineLevel="0" collapsed="false">
      <c r="A798" s="63"/>
      <c r="B798" s="63"/>
      <c r="C798" s="63"/>
      <c r="D798" s="63"/>
      <c r="E798" s="63"/>
      <c r="F798" s="28" t="str">
        <f aca="false">IF(C798="","",IF(OR(C798="1. bekkur",C798="2. bekkur",C798="3. bekkur",C798="4. bekkur"),"Já",IF(C798="Starfsmaður","Nei","Nei")))</f>
        <v/>
      </c>
      <c r="G798" s="63"/>
      <c r="H798" s="63"/>
      <c r="I798" s="63"/>
      <c r="J798" s="64" t="str">
        <f aca="false">IF(OR(A798="",B798=""),"",CONCATENATE("https://matarstund.is/serfaedi?id=",LOWER(SUBSTITUTE(B798,"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64" t="str">
        <f aca="false">IF(OR(A799="",B799=""),"",CONCATENATE("https://matarstund.is/serfaedi?id=",LOWER(SUBSTITUTE(B799," ","-"))))</f>
        <v/>
      </c>
    </row>
    <row r="800" customFormat="false" ht="15" hidden="false" customHeight="true" outlineLevel="0" collapsed="false">
      <c r="A800" s="63"/>
      <c r="B800" s="63"/>
      <c r="C800" s="63"/>
      <c r="D800" s="63"/>
      <c r="E800" s="63"/>
      <c r="F800" s="28" t="str">
        <f aca="false">IF(C800="","",IF(OR(C800="1. bekkur",C800="2. bekkur",C800="3. bekkur",C800="4. bekkur"),"Já",IF(C800="Starfsmaður","Nei","Nei")))</f>
        <v/>
      </c>
      <c r="G800" s="63"/>
      <c r="H800" s="63"/>
      <c r="I800" s="63"/>
      <c r="J800" s="64" t="str">
        <f aca="false">IF(OR(A800="",B800=""),"",CONCATENATE("https://matarstund.is/serfaedi?id=",LOWER(SUBSTITUTE(B800,"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64" t="str">
        <f aca="false">IF(OR(A801="",B801=""),"",CONCATENATE("https://matarstund.is/serfaedi?id=",LOWER(SUBSTITUTE(B801," ","-"))))</f>
        <v/>
      </c>
    </row>
    <row r="802" customFormat="false" ht="15" hidden="false" customHeight="true" outlineLevel="0" collapsed="false">
      <c r="A802" s="63"/>
      <c r="B802" s="63"/>
      <c r="C802" s="63"/>
      <c r="D802" s="63"/>
      <c r="E802" s="63"/>
      <c r="F802" s="28" t="str">
        <f aca="false">IF(C802="","",IF(OR(C802="1. bekkur",C802="2. bekkur",C802="3. bekkur",C802="4. bekkur"),"Já",IF(C802="Starfsmaður","Nei","Nei")))</f>
        <v/>
      </c>
      <c r="G802" s="63"/>
      <c r="H802" s="63"/>
      <c r="I802" s="63"/>
      <c r="J802" s="64" t="str">
        <f aca="false">IF(OR(A802="",B802=""),"",CONCATENATE("https://matarstund.is/serfaedi?id=",LOWER(SUBSTITUTE(B802,"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64" t="str">
        <f aca="false">IF(OR(A803="",B803=""),"",CONCATENATE("https://matarstund.is/serfaedi?id=",LOWER(SUBSTITUTE(B803," ","-"))))</f>
        <v/>
      </c>
    </row>
    <row r="804" customFormat="false" ht="15" hidden="false" customHeight="true" outlineLevel="0" collapsed="false">
      <c r="A804" s="63"/>
      <c r="B804" s="63"/>
      <c r="C804" s="63"/>
      <c r="D804" s="63"/>
      <c r="E804" s="63"/>
      <c r="F804" s="28" t="str">
        <f aca="false">IF(C804="","",IF(OR(C804="1. bekkur",C804="2. bekkur",C804="3. bekkur",C804="4. bekkur"),"Já",IF(C804="Starfsmaður","Nei","Nei")))</f>
        <v/>
      </c>
      <c r="G804" s="63"/>
      <c r="H804" s="63"/>
      <c r="I804" s="63"/>
      <c r="J804" s="64" t="str">
        <f aca="false">IF(OR(A804="",B804=""),"",CONCATENATE("https://matarstund.is/serfaedi?id=",LOWER(SUBSTITUTE(B804,"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64" t="str">
        <f aca="false">IF(OR(A805="",B805=""),"",CONCATENATE("https://matarstund.is/serfaedi?id=",LOWER(SUBSTITUTE(B805," ","-"))))</f>
        <v/>
      </c>
    </row>
    <row r="806" customFormat="false" ht="15" hidden="false" customHeight="true" outlineLevel="0" collapsed="false">
      <c r="A806" s="63"/>
      <c r="B806" s="63"/>
      <c r="C806" s="63"/>
      <c r="D806" s="63"/>
      <c r="E806" s="63"/>
      <c r="F806" s="28" t="str">
        <f aca="false">IF(C806="","",IF(OR(C806="1. bekkur",C806="2. bekkur",C806="3. bekkur",C806="4. bekkur"),"Já",IF(C806="Starfsmaður","Nei","Nei")))</f>
        <v/>
      </c>
      <c r="G806" s="63"/>
      <c r="H806" s="63"/>
      <c r="I806" s="63"/>
      <c r="J806" s="64" t="str">
        <f aca="false">IF(OR(A806="",B806=""),"",CONCATENATE("https://matarstund.is/serfaedi?id=",LOWER(SUBSTITUTE(B806,"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64" t="str">
        <f aca="false">IF(OR(A807="",B807=""),"",CONCATENATE("https://matarstund.is/serfaedi?id=",LOWER(SUBSTITUTE(B807," ","-"))))</f>
        <v/>
      </c>
    </row>
    <row r="808" customFormat="false" ht="15" hidden="false" customHeight="true" outlineLevel="0" collapsed="false">
      <c r="A808" s="63"/>
      <c r="B808" s="63"/>
      <c r="C808" s="63"/>
      <c r="D808" s="63"/>
      <c r="E808" s="63"/>
      <c r="F808" s="28" t="str">
        <f aca="false">IF(C808="","",IF(OR(C808="1. bekkur",C808="2. bekkur",C808="3. bekkur",C808="4. bekkur"),"Já",IF(C808="Starfsmaður","Nei","Nei")))</f>
        <v/>
      </c>
      <c r="G808" s="63"/>
      <c r="H808" s="63"/>
      <c r="I808" s="63"/>
      <c r="J808" s="64" t="str">
        <f aca="false">IF(OR(A808="",B808=""),"",CONCATENATE("https://matarstund.is/serfaedi?id=",LOWER(SUBSTITUTE(B808,"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64" t="str">
        <f aca="false">IF(OR(A809="",B809=""),"",CONCATENATE("https://matarstund.is/serfaedi?id=",LOWER(SUBSTITUTE(B809," ","-"))))</f>
        <v/>
      </c>
    </row>
    <row r="810" customFormat="false" ht="15" hidden="false" customHeight="true" outlineLevel="0" collapsed="false">
      <c r="A810" s="63"/>
      <c r="B810" s="63"/>
      <c r="C810" s="63"/>
      <c r="D810" s="63"/>
      <c r="E810" s="63"/>
      <c r="F810" s="28" t="str">
        <f aca="false">IF(C810="","",IF(OR(C810="1. bekkur",C810="2. bekkur",C810="3. bekkur",C810="4. bekkur"),"Já",IF(C810="Starfsmaður","Nei","Nei")))</f>
        <v/>
      </c>
      <c r="G810" s="63"/>
      <c r="H810" s="63"/>
      <c r="I810" s="63"/>
      <c r="J810" s="64" t="str">
        <f aca="false">IF(OR(A810="",B810=""),"",CONCATENATE("https://matarstund.is/serfaedi?id=",LOWER(SUBSTITUTE(B810,"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64" t="str">
        <f aca="false">IF(OR(A811="",B811=""),"",CONCATENATE("https://matarstund.is/serfaedi?id=",LOWER(SUBSTITUTE(B811," ","-"))))</f>
        <v/>
      </c>
    </row>
    <row r="812" customFormat="false" ht="15" hidden="false" customHeight="true" outlineLevel="0" collapsed="false">
      <c r="A812" s="63"/>
      <c r="B812" s="63"/>
      <c r="C812" s="63"/>
      <c r="D812" s="63"/>
      <c r="E812" s="63"/>
      <c r="F812" s="28" t="str">
        <f aca="false">IF(C812="","",IF(OR(C812="1. bekkur",C812="2. bekkur",C812="3. bekkur",C812="4. bekkur"),"Já",IF(C812="Starfsmaður","Nei","Nei")))</f>
        <v/>
      </c>
      <c r="G812" s="63"/>
      <c r="H812" s="63"/>
      <c r="I812" s="63"/>
      <c r="J812" s="64" t="str">
        <f aca="false">IF(OR(A812="",B812=""),"",CONCATENATE("https://matarstund.is/serfaedi?id=",LOWER(SUBSTITUTE(B812,"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64" t="str">
        <f aca="false">IF(OR(A813="",B813=""),"",CONCATENATE("https://matarstund.is/serfaedi?id=",LOWER(SUBSTITUTE(B813," ","-"))))</f>
        <v/>
      </c>
    </row>
    <row r="814" customFormat="false" ht="15" hidden="false" customHeight="true" outlineLevel="0" collapsed="false">
      <c r="A814" s="63"/>
      <c r="B814" s="63"/>
      <c r="C814" s="63"/>
      <c r="D814" s="63"/>
      <c r="E814" s="63"/>
      <c r="F814" s="28" t="str">
        <f aca="false">IF(C814="","",IF(OR(C814="1. bekkur",C814="2. bekkur",C814="3. bekkur",C814="4. bekkur"),"Já",IF(C814="Starfsmaður","Nei","Nei")))</f>
        <v/>
      </c>
      <c r="G814" s="63"/>
      <c r="H814" s="63"/>
      <c r="I814" s="63"/>
      <c r="J814" s="64" t="str">
        <f aca="false">IF(OR(A814="",B814=""),"",CONCATENATE("https://matarstund.is/serfaedi?id=",LOWER(SUBSTITUTE(B814,"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64" t="str">
        <f aca="false">IF(OR(A815="",B815=""),"",CONCATENATE("https://matarstund.is/serfaedi?id=",LOWER(SUBSTITUTE(B815," ","-"))))</f>
        <v/>
      </c>
    </row>
    <row r="816" customFormat="false" ht="15" hidden="false" customHeight="true" outlineLevel="0" collapsed="false">
      <c r="A816" s="63"/>
      <c r="B816" s="63"/>
      <c r="C816" s="63"/>
      <c r="D816" s="63"/>
      <c r="E816" s="63"/>
      <c r="F816" s="28" t="str">
        <f aca="false">IF(C816="","",IF(OR(C816="1. bekkur",C816="2. bekkur",C816="3. bekkur",C816="4. bekkur"),"Já",IF(C816="Starfsmaður","Nei","Nei")))</f>
        <v/>
      </c>
      <c r="G816" s="63"/>
      <c r="H816" s="63"/>
      <c r="I816" s="63"/>
      <c r="J816" s="64" t="str">
        <f aca="false">IF(OR(A816="",B816=""),"",CONCATENATE("https://matarstund.is/serfaedi?id=",LOWER(SUBSTITUTE(B816,"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64" t="str">
        <f aca="false">IF(OR(A817="",B817=""),"",CONCATENATE("https://matarstund.is/serfaedi?id=",LOWER(SUBSTITUTE(B817," ","-"))))</f>
        <v/>
      </c>
    </row>
    <row r="818" customFormat="false" ht="15" hidden="false" customHeight="true" outlineLevel="0" collapsed="false">
      <c r="A818" s="63"/>
      <c r="B818" s="63"/>
      <c r="C818" s="63"/>
      <c r="D818" s="63"/>
      <c r="E818" s="63"/>
      <c r="F818" s="28" t="str">
        <f aca="false">IF(C818="","",IF(OR(C818="1. bekkur",C818="2. bekkur",C818="3. bekkur",C818="4. bekkur"),"Já",IF(C818="Starfsmaður","Nei","Nei")))</f>
        <v/>
      </c>
      <c r="G818" s="63"/>
      <c r="H818" s="63"/>
      <c r="I818" s="63"/>
      <c r="J818" s="64" t="str">
        <f aca="false">IF(OR(A818="",B818=""),"",CONCATENATE("https://matarstund.is/serfaedi?id=",LOWER(SUBSTITUTE(B818,"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64" t="str">
        <f aca="false">IF(OR(A819="",B819=""),"",CONCATENATE("https://matarstund.is/serfaedi?id=",LOWER(SUBSTITUTE(B819," ","-"))))</f>
        <v/>
      </c>
    </row>
    <row r="820" customFormat="false" ht="15" hidden="false" customHeight="true" outlineLevel="0" collapsed="false">
      <c r="A820" s="63"/>
      <c r="B820" s="63"/>
      <c r="C820" s="63"/>
      <c r="D820" s="63"/>
      <c r="E820" s="63"/>
      <c r="F820" s="28" t="str">
        <f aca="false">IF(C820="","",IF(OR(C820="1. bekkur",C820="2. bekkur",C820="3. bekkur",C820="4. bekkur"),"Já",IF(C820="Starfsmaður","Nei","Nei")))</f>
        <v/>
      </c>
      <c r="G820" s="63"/>
      <c r="H820" s="63"/>
      <c r="I820" s="63"/>
      <c r="J820" s="64" t="str">
        <f aca="false">IF(OR(A820="",B820=""),"",CONCATENATE("https://matarstund.is/serfaedi?id=",LOWER(SUBSTITUTE(B820,"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64" t="str">
        <f aca="false">IF(OR(A821="",B821=""),"",CONCATENATE("https://matarstund.is/serfaedi?id=",LOWER(SUBSTITUTE(B821," ","-"))))</f>
        <v/>
      </c>
    </row>
    <row r="822" customFormat="false" ht="15" hidden="false" customHeight="true" outlineLevel="0" collapsed="false">
      <c r="A822" s="63"/>
      <c r="B822" s="63"/>
      <c r="C822" s="63"/>
      <c r="D822" s="63"/>
      <c r="E822" s="63"/>
      <c r="F822" s="28" t="str">
        <f aca="false">IF(C822="","",IF(OR(C822="1. bekkur",C822="2. bekkur",C822="3. bekkur",C822="4. bekkur"),"Já",IF(C822="Starfsmaður","Nei","Nei")))</f>
        <v/>
      </c>
      <c r="G822" s="63"/>
      <c r="H822" s="63"/>
      <c r="I822" s="63"/>
      <c r="J822" s="64" t="str">
        <f aca="false">IF(OR(A822="",B822=""),"",CONCATENATE("https://matarstund.is/serfaedi?id=",LOWER(SUBSTITUTE(B822,"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64" t="str">
        <f aca="false">IF(OR(A823="",B823=""),"",CONCATENATE("https://matarstund.is/serfaedi?id=",LOWER(SUBSTITUTE(B823," ","-"))))</f>
        <v/>
      </c>
    </row>
    <row r="824" customFormat="false" ht="15" hidden="false" customHeight="true" outlineLevel="0" collapsed="false">
      <c r="A824" s="63"/>
      <c r="B824" s="63"/>
      <c r="C824" s="63"/>
      <c r="D824" s="63"/>
      <c r="E824" s="63"/>
      <c r="F824" s="28" t="str">
        <f aca="false">IF(C824="","",IF(OR(C824="1. bekkur",C824="2. bekkur",C824="3. bekkur",C824="4. bekkur"),"Já",IF(C824="Starfsmaður","Nei","Nei")))</f>
        <v/>
      </c>
      <c r="G824" s="63"/>
      <c r="H824" s="63"/>
      <c r="I824" s="63"/>
      <c r="J824" s="64" t="str">
        <f aca="false">IF(OR(A824="",B824=""),"",CONCATENATE("https://matarstund.is/serfaedi?id=",LOWER(SUBSTITUTE(B824,"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64" t="str">
        <f aca="false">IF(OR(A825="",B825=""),"",CONCATENATE("https://matarstund.is/serfaedi?id=",LOWER(SUBSTITUTE(B825," ","-"))))</f>
        <v/>
      </c>
    </row>
    <row r="826" customFormat="false" ht="15" hidden="false" customHeight="true" outlineLevel="0" collapsed="false">
      <c r="A826" s="63"/>
      <c r="B826" s="63"/>
      <c r="C826" s="63"/>
      <c r="D826" s="63"/>
      <c r="E826" s="63"/>
      <c r="F826" s="28" t="str">
        <f aca="false">IF(C826="","",IF(OR(C826="1. bekkur",C826="2. bekkur",C826="3. bekkur",C826="4. bekkur"),"Já",IF(C826="Starfsmaður","Nei","Nei")))</f>
        <v/>
      </c>
      <c r="G826" s="63"/>
      <c r="H826" s="63"/>
      <c r="I826" s="63"/>
      <c r="J826" s="64" t="str">
        <f aca="false">IF(OR(A826="",B826=""),"",CONCATENATE("https://matarstund.is/serfaedi?id=",LOWER(SUBSTITUTE(B826,"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64" t="str">
        <f aca="false">IF(OR(A827="",B827=""),"",CONCATENATE("https://matarstund.is/serfaedi?id=",LOWER(SUBSTITUTE(B827," ","-"))))</f>
        <v/>
      </c>
    </row>
    <row r="828" customFormat="false" ht="15" hidden="false" customHeight="true" outlineLevel="0" collapsed="false">
      <c r="A828" s="63"/>
      <c r="B828" s="63"/>
      <c r="C828" s="63"/>
      <c r="D828" s="63"/>
      <c r="E828" s="63"/>
      <c r="F828" s="28" t="str">
        <f aca="false">IF(C828="","",IF(OR(C828="1. bekkur",C828="2. bekkur",C828="3. bekkur",C828="4. bekkur"),"Já",IF(C828="Starfsmaður","Nei","Nei")))</f>
        <v/>
      </c>
      <c r="G828" s="63"/>
      <c r="H828" s="63"/>
      <c r="I828" s="63"/>
      <c r="J828" s="64" t="str">
        <f aca="false">IF(OR(A828="",B828=""),"",CONCATENATE("https://matarstund.is/serfaedi?id=",LOWER(SUBSTITUTE(B828,"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64" t="str">
        <f aca="false">IF(OR(A829="",B829=""),"",CONCATENATE("https://matarstund.is/serfaedi?id=",LOWER(SUBSTITUTE(B829," ","-"))))</f>
        <v/>
      </c>
    </row>
    <row r="830" customFormat="false" ht="15" hidden="false" customHeight="true" outlineLevel="0" collapsed="false">
      <c r="A830" s="63"/>
      <c r="B830" s="63"/>
      <c r="C830" s="63"/>
      <c r="D830" s="63"/>
      <c r="E830" s="63"/>
      <c r="F830" s="28" t="str">
        <f aca="false">IF(C830="","",IF(OR(C830="1. bekkur",C830="2. bekkur",C830="3. bekkur",C830="4. bekkur"),"Já",IF(C830="Starfsmaður","Nei","Nei")))</f>
        <v/>
      </c>
      <c r="G830" s="63"/>
      <c r="H830" s="63"/>
      <c r="I830" s="63"/>
      <c r="J830" s="64" t="str">
        <f aca="false">IF(OR(A830="",B830=""),"",CONCATENATE("https://matarstund.is/serfaedi?id=",LOWER(SUBSTITUTE(B830,"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64" t="str">
        <f aca="false">IF(OR(A831="",B831=""),"",CONCATENATE("https://matarstund.is/serfaedi?id=",LOWER(SUBSTITUTE(B831," ","-"))))</f>
        <v/>
      </c>
    </row>
    <row r="832" customFormat="false" ht="15" hidden="false" customHeight="true" outlineLevel="0" collapsed="false">
      <c r="A832" s="63"/>
      <c r="B832" s="63"/>
      <c r="C832" s="63"/>
      <c r="D832" s="63"/>
      <c r="E832" s="63"/>
      <c r="F832" s="28" t="str">
        <f aca="false">IF(C832="","",IF(OR(C832="1. bekkur",C832="2. bekkur",C832="3. bekkur",C832="4. bekkur"),"Já",IF(C832="Starfsmaður","Nei","Nei")))</f>
        <v/>
      </c>
      <c r="G832" s="63"/>
      <c r="H832" s="63"/>
      <c r="I832" s="63"/>
      <c r="J832" s="64" t="str">
        <f aca="false">IF(OR(A832="",B832=""),"",CONCATENATE("https://matarstund.is/serfaedi?id=",LOWER(SUBSTITUTE(B832,"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64" t="str">
        <f aca="false">IF(OR(A833="",B833=""),"",CONCATENATE("https://matarstund.is/serfaedi?id=",LOWER(SUBSTITUTE(B833," ","-"))))</f>
        <v/>
      </c>
    </row>
    <row r="834" customFormat="false" ht="15" hidden="false" customHeight="true" outlineLevel="0" collapsed="false">
      <c r="A834" s="63"/>
      <c r="B834" s="63"/>
      <c r="C834" s="63"/>
      <c r="D834" s="63"/>
      <c r="E834" s="63"/>
      <c r="F834" s="28" t="str">
        <f aca="false">IF(C834="","",IF(OR(C834="1. bekkur",C834="2. bekkur",C834="3. bekkur",C834="4. bekkur"),"Já",IF(C834="Starfsmaður","Nei","Nei")))</f>
        <v/>
      </c>
      <c r="G834" s="63"/>
      <c r="H834" s="63"/>
      <c r="I834" s="63"/>
      <c r="J834" s="64" t="str">
        <f aca="false">IF(OR(A834="",B834=""),"",CONCATENATE("https://matarstund.is/serfaedi?id=",LOWER(SUBSTITUTE(B834,"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64" t="str">
        <f aca="false">IF(OR(A835="",B835=""),"",CONCATENATE("https://matarstund.is/serfaedi?id=",LOWER(SUBSTITUTE(B835," ","-"))))</f>
        <v/>
      </c>
    </row>
    <row r="836" customFormat="false" ht="15" hidden="false" customHeight="true" outlineLevel="0" collapsed="false">
      <c r="A836" s="63"/>
      <c r="B836" s="63"/>
      <c r="C836" s="63"/>
      <c r="D836" s="63"/>
      <c r="E836" s="63"/>
      <c r="F836" s="28" t="str">
        <f aca="false">IF(C836="","",IF(OR(C836="1. bekkur",C836="2. bekkur",C836="3. bekkur",C836="4. bekkur"),"Já",IF(C836="Starfsmaður","Nei","Nei")))</f>
        <v/>
      </c>
      <c r="G836" s="63"/>
      <c r="H836" s="63"/>
      <c r="I836" s="63"/>
      <c r="J836" s="64" t="str">
        <f aca="false">IF(OR(A836="",B836=""),"",CONCATENATE("https://matarstund.is/serfaedi?id=",LOWER(SUBSTITUTE(B836,"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64" t="str">
        <f aca="false">IF(OR(A837="",B837=""),"",CONCATENATE("https://matarstund.is/serfaedi?id=",LOWER(SUBSTITUTE(B837," ","-"))))</f>
        <v/>
      </c>
    </row>
    <row r="838" customFormat="false" ht="15" hidden="false" customHeight="true" outlineLevel="0" collapsed="false">
      <c r="A838" s="63"/>
      <c r="B838" s="63"/>
      <c r="C838" s="63"/>
      <c r="D838" s="63"/>
      <c r="E838" s="63"/>
      <c r="F838" s="28" t="str">
        <f aca="false">IF(C838="","",IF(OR(C838="1. bekkur",C838="2. bekkur",C838="3. bekkur",C838="4. bekkur"),"Já",IF(C838="Starfsmaður","Nei","Nei")))</f>
        <v/>
      </c>
      <c r="G838" s="63"/>
      <c r="H838" s="63"/>
      <c r="I838" s="63"/>
      <c r="J838" s="64" t="str">
        <f aca="false">IF(OR(A838="",B838=""),"",CONCATENATE("https://matarstund.is/serfaedi?id=",LOWER(SUBSTITUTE(B838,"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64" t="str">
        <f aca="false">IF(OR(A839="",B839=""),"",CONCATENATE("https://matarstund.is/serfaedi?id=",LOWER(SUBSTITUTE(B839," ","-"))))</f>
        <v/>
      </c>
    </row>
    <row r="840" customFormat="false" ht="15" hidden="false" customHeight="true" outlineLevel="0" collapsed="false">
      <c r="A840" s="63"/>
      <c r="B840" s="63"/>
      <c r="C840" s="63"/>
      <c r="D840" s="63"/>
      <c r="E840" s="63"/>
      <c r="F840" s="28" t="str">
        <f aca="false">IF(C840="","",IF(OR(C840="1. bekkur",C840="2. bekkur",C840="3. bekkur",C840="4. bekkur"),"Já",IF(C840="Starfsmaður","Nei","Nei")))</f>
        <v/>
      </c>
      <c r="G840" s="63"/>
      <c r="H840" s="63"/>
      <c r="I840" s="63"/>
      <c r="J840" s="64" t="str">
        <f aca="false">IF(OR(A840="",B840=""),"",CONCATENATE("https://matarstund.is/serfaedi?id=",LOWER(SUBSTITUTE(B840,"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64" t="str">
        <f aca="false">IF(OR(A841="",B841=""),"",CONCATENATE("https://matarstund.is/serfaedi?id=",LOWER(SUBSTITUTE(B841," ","-"))))</f>
        <v/>
      </c>
    </row>
    <row r="842" customFormat="false" ht="15" hidden="false" customHeight="true" outlineLevel="0" collapsed="false">
      <c r="A842" s="63"/>
      <c r="B842" s="63"/>
      <c r="C842" s="63"/>
      <c r="D842" s="63"/>
      <c r="E842" s="63"/>
      <c r="F842" s="28" t="str">
        <f aca="false">IF(C842="","",IF(OR(C842="1. bekkur",C842="2. bekkur",C842="3. bekkur",C842="4. bekkur"),"Já",IF(C842="Starfsmaður","Nei","Nei")))</f>
        <v/>
      </c>
      <c r="G842" s="63"/>
      <c r="H842" s="63"/>
      <c r="I842" s="63"/>
      <c r="J842" s="64" t="str">
        <f aca="false">IF(OR(A842="",B842=""),"",CONCATENATE("https://matarstund.is/serfaedi?id=",LOWER(SUBSTITUTE(B842,"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64" t="str">
        <f aca="false">IF(OR(A843="",B843=""),"",CONCATENATE("https://matarstund.is/serfaedi?id=",LOWER(SUBSTITUTE(B843," ","-"))))</f>
        <v/>
      </c>
    </row>
    <row r="844" customFormat="false" ht="15" hidden="false" customHeight="true" outlineLevel="0" collapsed="false">
      <c r="A844" s="63"/>
      <c r="B844" s="63"/>
      <c r="C844" s="63"/>
      <c r="D844" s="63"/>
      <c r="E844" s="63"/>
      <c r="F844" s="28" t="str">
        <f aca="false">IF(C844="","",IF(OR(C844="1. bekkur",C844="2. bekkur",C844="3. bekkur",C844="4. bekkur"),"Já",IF(C844="Starfsmaður","Nei","Nei")))</f>
        <v/>
      </c>
      <c r="G844" s="63"/>
      <c r="H844" s="63"/>
      <c r="I844" s="63"/>
      <c r="J844" s="64" t="str">
        <f aca="false">IF(OR(A844="",B844=""),"",CONCATENATE("https://matarstund.is/serfaedi?id=",LOWER(SUBSTITUTE(B844,"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64" t="str">
        <f aca="false">IF(OR(A845="",B845=""),"",CONCATENATE("https://matarstund.is/serfaedi?id=",LOWER(SUBSTITUTE(B845," ","-"))))</f>
        <v/>
      </c>
    </row>
    <row r="846" customFormat="false" ht="15" hidden="false" customHeight="true" outlineLevel="0" collapsed="false">
      <c r="A846" s="63"/>
      <c r="B846" s="63"/>
      <c r="C846" s="63"/>
      <c r="D846" s="63"/>
      <c r="E846" s="63"/>
      <c r="F846" s="28" t="str">
        <f aca="false">IF(C846="","",IF(OR(C846="1. bekkur",C846="2. bekkur",C846="3. bekkur",C846="4. bekkur"),"Já",IF(C846="Starfsmaður","Nei","Nei")))</f>
        <v/>
      </c>
      <c r="G846" s="63"/>
      <c r="H846" s="63"/>
      <c r="I846" s="63"/>
      <c r="J846" s="64" t="str">
        <f aca="false">IF(OR(A846="",B846=""),"",CONCATENATE("https://matarstund.is/serfaedi?id=",LOWER(SUBSTITUTE(B846,"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64" t="str">
        <f aca="false">IF(OR(A847="",B847=""),"",CONCATENATE("https://matarstund.is/serfaedi?id=",LOWER(SUBSTITUTE(B847," ","-"))))</f>
        <v/>
      </c>
    </row>
    <row r="848" customFormat="false" ht="15" hidden="false" customHeight="true" outlineLevel="0" collapsed="false">
      <c r="A848" s="63"/>
      <c r="B848" s="63"/>
      <c r="C848" s="63"/>
      <c r="D848" s="63"/>
      <c r="E848" s="63"/>
      <c r="F848" s="28" t="str">
        <f aca="false">IF(C848="","",IF(OR(C848="1. bekkur",C848="2. bekkur",C848="3. bekkur",C848="4. bekkur"),"Já",IF(C848="Starfsmaður","Nei","Nei")))</f>
        <v/>
      </c>
      <c r="G848" s="63"/>
      <c r="H848" s="63"/>
      <c r="I848" s="63"/>
      <c r="J848" s="64" t="str">
        <f aca="false">IF(OR(A848="",B848=""),"",CONCATENATE("https://matarstund.is/serfaedi?id=",LOWER(SUBSTITUTE(B848,"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64" t="str">
        <f aca="false">IF(OR(A849="",B849=""),"",CONCATENATE("https://matarstund.is/serfaedi?id=",LOWER(SUBSTITUTE(B849," ","-"))))</f>
        <v/>
      </c>
    </row>
    <row r="850" customFormat="false" ht="15" hidden="false" customHeight="true" outlineLevel="0" collapsed="false">
      <c r="A850" s="63"/>
      <c r="B850" s="63"/>
      <c r="C850" s="63"/>
      <c r="D850" s="63"/>
      <c r="E850" s="63"/>
      <c r="F850" s="28" t="str">
        <f aca="false">IF(C850="","",IF(OR(C850="1. bekkur",C850="2. bekkur",C850="3. bekkur",C850="4. bekkur"),"Já",IF(C850="Starfsmaður","Nei","Nei")))</f>
        <v/>
      </c>
      <c r="G850" s="63"/>
      <c r="H850" s="63"/>
      <c r="I850" s="63"/>
      <c r="J850" s="64" t="str">
        <f aca="false">IF(OR(A850="",B850=""),"",CONCATENATE("https://matarstund.is/serfaedi?id=",LOWER(SUBSTITUTE(B850,"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64" t="str">
        <f aca="false">IF(OR(A851="",B851=""),"",CONCATENATE("https://matarstund.is/serfaedi?id=",LOWER(SUBSTITUTE(B851," ","-"))))</f>
        <v/>
      </c>
    </row>
    <row r="852" customFormat="false" ht="15" hidden="false" customHeight="true" outlineLevel="0" collapsed="false">
      <c r="A852" s="63"/>
      <c r="B852" s="63"/>
      <c r="C852" s="63"/>
      <c r="D852" s="63"/>
      <c r="E852" s="63"/>
      <c r="F852" s="28" t="str">
        <f aca="false">IF(C852="","",IF(OR(C852="1. bekkur",C852="2. bekkur",C852="3. bekkur",C852="4. bekkur"),"Já",IF(C852="Starfsmaður","Nei","Nei")))</f>
        <v/>
      </c>
      <c r="G852" s="63"/>
      <c r="H852" s="63"/>
      <c r="I852" s="63"/>
      <c r="J852" s="64" t="str">
        <f aca="false">IF(OR(A852="",B852=""),"",CONCATENATE("https://matarstund.is/serfaedi?id=",LOWER(SUBSTITUTE(B852,"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64" t="str">
        <f aca="false">IF(OR(A853="",B853=""),"",CONCATENATE("https://matarstund.is/serfaedi?id=",LOWER(SUBSTITUTE(B853," ","-"))))</f>
        <v/>
      </c>
    </row>
    <row r="854" customFormat="false" ht="15" hidden="false" customHeight="true" outlineLevel="0" collapsed="false">
      <c r="A854" s="63"/>
      <c r="B854" s="63"/>
      <c r="C854" s="63"/>
      <c r="D854" s="63"/>
      <c r="E854" s="63"/>
      <c r="F854" s="28" t="str">
        <f aca="false">IF(C854="","",IF(OR(C854="1. bekkur",C854="2. bekkur",C854="3. bekkur",C854="4. bekkur"),"Já",IF(C854="Starfsmaður","Nei","Nei")))</f>
        <v/>
      </c>
      <c r="G854" s="63"/>
      <c r="H854" s="63"/>
      <c r="I854" s="63"/>
      <c r="J854" s="64" t="str">
        <f aca="false">IF(OR(A854="",B854=""),"",CONCATENATE("https://matarstund.is/serfaedi?id=",LOWER(SUBSTITUTE(B854,"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64" t="str">
        <f aca="false">IF(OR(A855="",B855=""),"",CONCATENATE("https://matarstund.is/serfaedi?id=",LOWER(SUBSTITUTE(B855," ","-"))))</f>
        <v/>
      </c>
    </row>
    <row r="856" customFormat="false" ht="15" hidden="false" customHeight="true" outlineLevel="0" collapsed="false">
      <c r="A856" s="63"/>
      <c r="B856" s="63"/>
      <c r="C856" s="63"/>
      <c r="D856" s="63"/>
      <c r="E856" s="63"/>
      <c r="F856" s="28" t="str">
        <f aca="false">IF(C856="","",IF(OR(C856="1. bekkur",C856="2. bekkur",C856="3. bekkur",C856="4. bekkur"),"Já",IF(C856="Starfsmaður","Nei","Nei")))</f>
        <v/>
      </c>
      <c r="G856" s="63"/>
      <c r="H856" s="63"/>
      <c r="I856" s="63"/>
      <c r="J856" s="64" t="str">
        <f aca="false">IF(OR(A856="",B856=""),"",CONCATENATE("https://matarstund.is/serfaedi?id=",LOWER(SUBSTITUTE(B856,"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64" t="str">
        <f aca="false">IF(OR(A857="",B857=""),"",CONCATENATE("https://matarstund.is/serfaedi?id=",LOWER(SUBSTITUTE(B857," ","-"))))</f>
        <v/>
      </c>
    </row>
    <row r="858" customFormat="false" ht="15" hidden="false" customHeight="true" outlineLevel="0" collapsed="false">
      <c r="A858" s="63"/>
      <c r="B858" s="63"/>
      <c r="C858" s="63"/>
      <c r="D858" s="63"/>
      <c r="E858" s="63"/>
      <c r="F858" s="28" t="str">
        <f aca="false">IF(C858="","",IF(OR(C858="1. bekkur",C858="2. bekkur",C858="3. bekkur",C858="4. bekkur"),"Já",IF(C858="Starfsmaður","Nei","Nei")))</f>
        <v/>
      </c>
      <c r="G858" s="63"/>
      <c r="H858" s="63"/>
      <c r="I858" s="63"/>
      <c r="J858" s="64" t="str">
        <f aca="false">IF(OR(A858="",B858=""),"",CONCATENATE("https://matarstund.is/serfaedi?id=",LOWER(SUBSTITUTE(B858,"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64" t="str">
        <f aca="false">IF(OR(A859="",B859=""),"",CONCATENATE("https://matarstund.is/serfaedi?id=",LOWER(SUBSTITUTE(B859," ","-"))))</f>
        <v/>
      </c>
    </row>
    <row r="860" customFormat="false" ht="15" hidden="false" customHeight="true" outlineLevel="0" collapsed="false">
      <c r="A860" s="63"/>
      <c r="B860" s="63"/>
      <c r="C860" s="63"/>
      <c r="D860" s="63"/>
      <c r="E860" s="63"/>
      <c r="F860" s="28" t="str">
        <f aca="false">IF(C860="","",IF(OR(C860="1. bekkur",C860="2. bekkur",C860="3. bekkur",C860="4. bekkur"),"Já",IF(C860="Starfsmaður","Nei","Nei")))</f>
        <v/>
      </c>
      <c r="G860" s="63"/>
      <c r="H860" s="63"/>
      <c r="I860" s="63"/>
      <c r="J860" s="64" t="str">
        <f aca="false">IF(OR(A860="",B860=""),"",CONCATENATE("https://matarstund.is/serfaedi?id=",LOWER(SUBSTITUTE(B860,"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64" t="str">
        <f aca="false">IF(OR(A861="",B861=""),"",CONCATENATE("https://matarstund.is/serfaedi?id=",LOWER(SUBSTITUTE(B861," ","-"))))</f>
        <v/>
      </c>
    </row>
    <row r="862" customFormat="false" ht="15" hidden="false" customHeight="true" outlineLevel="0" collapsed="false">
      <c r="A862" s="63"/>
      <c r="B862" s="63"/>
      <c r="C862" s="63"/>
      <c r="D862" s="63"/>
      <c r="E862" s="63"/>
      <c r="F862" s="28" t="str">
        <f aca="false">IF(C862="","",IF(OR(C862="1. bekkur",C862="2. bekkur",C862="3. bekkur",C862="4. bekkur"),"Já",IF(C862="Starfsmaður","Nei","Nei")))</f>
        <v/>
      </c>
      <c r="G862" s="63"/>
      <c r="H862" s="63"/>
      <c r="I862" s="63"/>
      <c r="J862" s="64" t="str">
        <f aca="false">IF(OR(A862="",B862=""),"",CONCATENATE("https://matarstund.is/serfaedi?id=",LOWER(SUBSTITUTE(B862,"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64" t="str">
        <f aca="false">IF(OR(A863="",B863=""),"",CONCATENATE("https://matarstund.is/serfaedi?id=",LOWER(SUBSTITUTE(B863," ","-"))))</f>
        <v/>
      </c>
    </row>
    <row r="864" customFormat="false" ht="15" hidden="false" customHeight="true" outlineLevel="0" collapsed="false">
      <c r="A864" s="63"/>
      <c r="B864" s="63"/>
      <c r="C864" s="63"/>
      <c r="D864" s="63"/>
      <c r="E864" s="63"/>
      <c r="F864" s="28" t="str">
        <f aca="false">IF(C864="","",IF(OR(C864="1. bekkur",C864="2. bekkur",C864="3. bekkur",C864="4. bekkur"),"Já",IF(C864="Starfsmaður","Nei","Nei")))</f>
        <v/>
      </c>
      <c r="G864" s="63"/>
      <c r="H864" s="63"/>
      <c r="I864" s="63"/>
      <c r="J864" s="64" t="str">
        <f aca="false">IF(OR(A864="",B864=""),"",CONCATENATE("https://matarstund.is/serfaedi?id=",LOWER(SUBSTITUTE(B864,"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64" t="str">
        <f aca="false">IF(OR(A865="",B865=""),"",CONCATENATE("https://matarstund.is/serfaedi?id=",LOWER(SUBSTITUTE(B865," ","-"))))</f>
        <v/>
      </c>
    </row>
    <row r="866" customFormat="false" ht="15" hidden="false" customHeight="true" outlineLevel="0" collapsed="false">
      <c r="A866" s="63"/>
      <c r="B866" s="63"/>
      <c r="C866" s="63"/>
      <c r="D866" s="63"/>
      <c r="E866" s="63"/>
      <c r="F866" s="28" t="str">
        <f aca="false">IF(C866="","",IF(OR(C866="1. bekkur",C866="2. bekkur",C866="3. bekkur",C866="4. bekkur"),"Já",IF(C866="Starfsmaður","Nei","Nei")))</f>
        <v/>
      </c>
      <c r="G866" s="63"/>
      <c r="H866" s="63"/>
      <c r="I866" s="63"/>
      <c r="J866" s="64" t="str">
        <f aca="false">IF(OR(A866="",B866=""),"",CONCATENATE("https://matarstund.is/serfaedi?id=",LOWER(SUBSTITUTE(B866,"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64" t="str">
        <f aca="false">IF(OR(A867="",B867=""),"",CONCATENATE("https://matarstund.is/serfaedi?id=",LOWER(SUBSTITUTE(B867," ","-"))))</f>
        <v/>
      </c>
    </row>
    <row r="868" customFormat="false" ht="15" hidden="false" customHeight="true" outlineLevel="0" collapsed="false">
      <c r="A868" s="63"/>
      <c r="B868" s="63"/>
      <c r="C868" s="63"/>
      <c r="D868" s="63"/>
      <c r="E868" s="63"/>
      <c r="F868" s="28" t="str">
        <f aca="false">IF(C868="","",IF(OR(C868="1. bekkur",C868="2. bekkur",C868="3. bekkur",C868="4. bekkur"),"Já",IF(C868="Starfsmaður","Nei","Nei")))</f>
        <v/>
      </c>
      <c r="G868" s="63"/>
      <c r="H868" s="63"/>
      <c r="I868" s="63"/>
      <c r="J868" s="64" t="str">
        <f aca="false">IF(OR(A868="",B868=""),"",CONCATENATE("https://matarstund.is/serfaedi?id=",LOWER(SUBSTITUTE(B868,"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64" t="str">
        <f aca="false">IF(OR(A869="",B869=""),"",CONCATENATE("https://matarstund.is/serfaedi?id=",LOWER(SUBSTITUTE(B869," ","-"))))</f>
        <v/>
      </c>
    </row>
    <row r="870" customFormat="false" ht="15" hidden="false" customHeight="true" outlineLevel="0" collapsed="false">
      <c r="A870" s="63"/>
      <c r="B870" s="63"/>
      <c r="C870" s="63"/>
      <c r="D870" s="63"/>
      <c r="E870" s="63"/>
      <c r="F870" s="28" t="str">
        <f aca="false">IF(C870="","",IF(OR(C870="1. bekkur",C870="2. bekkur",C870="3. bekkur",C870="4. bekkur"),"Já",IF(C870="Starfsmaður","Nei","Nei")))</f>
        <v/>
      </c>
      <c r="G870" s="63"/>
      <c r="H870" s="63"/>
      <c r="I870" s="63"/>
      <c r="J870" s="64" t="str">
        <f aca="false">IF(OR(A870="",B870=""),"",CONCATENATE("https://matarstund.is/serfaedi?id=",LOWER(SUBSTITUTE(B870,"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64" t="str">
        <f aca="false">IF(OR(A871="",B871=""),"",CONCATENATE("https://matarstund.is/serfaedi?id=",LOWER(SUBSTITUTE(B871," ","-"))))</f>
        <v/>
      </c>
    </row>
    <row r="872" customFormat="false" ht="15" hidden="false" customHeight="true" outlineLevel="0" collapsed="false">
      <c r="A872" s="63"/>
      <c r="B872" s="63"/>
      <c r="C872" s="63"/>
      <c r="D872" s="63"/>
      <c r="E872" s="63"/>
      <c r="F872" s="28" t="str">
        <f aca="false">IF(C872="","",IF(OR(C872="1. bekkur",C872="2. bekkur",C872="3. bekkur",C872="4. bekkur"),"Já",IF(C872="Starfsmaður","Nei","Nei")))</f>
        <v/>
      </c>
      <c r="G872" s="63"/>
      <c r="H872" s="63"/>
      <c r="I872" s="63"/>
      <c r="J872" s="64" t="str">
        <f aca="false">IF(OR(A872="",B872=""),"",CONCATENATE("https://matarstund.is/serfaedi?id=",LOWER(SUBSTITUTE(B872,"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64" t="str">
        <f aca="false">IF(OR(A873="",B873=""),"",CONCATENATE("https://matarstund.is/serfaedi?id=",LOWER(SUBSTITUTE(B873," ","-"))))</f>
        <v/>
      </c>
    </row>
    <row r="874" customFormat="false" ht="15" hidden="false" customHeight="true" outlineLevel="0" collapsed="false">
      <c r="A874" s="63"/>
      <c r="B874" s="63"/>
      <c r="C874" s="63"/>
      <c r="D874" s="63"/>
      <c r="E874" s="63"/>
      <c r="F874" s="28" t="str">
        <f aca="false">IF(C874="","",IF(OR(C874="1. bekkur",C874="2. bekkur",C874="3. bekkur",C874="4. bekkur"),"Já",IF(C874="Starfsmaður","Nei","Nei")))</f>
        <v/>
      </c>
      <c r="G874" s="63"/>
      <c r="H874" s="63"/>
      <c r="I874" s="63"/>
      <c r="J874" s="64" t="str">
        <f aca="false">IF(OR(A874="",B874=""),"",CONCATENATE("https://matarstund.is/serfaedi?id=",LOWER(SUBSTITUTE(B874,"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64" t="str">
        <f aca="false">IF(OR(A875="",B875=""),"",CONCATENATE("https://matarstund.is/serfaedi?id=",LOWER(SUBSTITUTE(B875," ","-"))))</f>
        <v/>
      </c>
    </row>
    <row r="876" customFormat="false" ht="15" hidden="false" customHeight="true" outlineLevel="0" collapsed="false">
      <c r="A876" s="63"/>
      <c r="B876" s="63"/>
      <c r="C876" s="63"/>
      <c r="D876" s="63"/>
      <c r="E876" s="63"/>
      <c r="F876" s="28" t="str">
        <f aca="false">IF(C876="","",IF(OR(C876="1. bekkur",C876="2. bekkur",C876="3. bekkur",C876="4. bekkur"),"Já",IF(C876="Starfsmaður","Nei","Nei")))</f>
        <v/>
      </c>
      <c r="G876" s="63"/>
      <c r="H876" s="63"/>
      <c r="I876" s="63"/>
      <c r="J876" s="64" t="str">
        <f aca="false">IF(OR(A876="",B876=""),"",CONCATENATE("https://matarstund.is/serfaedi?id=",LOWER(SUBSTITUTE(B876,"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64" t="str">
        <f aca="false">IF(OR(A877="",B877=""),"",CONCATENATE("https://matarstund.is/serfaedi?id=",LOWER(SUBSTITUTE(B877," ","-"))))</f>
        <v/>
      </c>
    </row>
    <row r="878" customFormat="false" ht="15" hidden="false" customHeight="true" outlineLevel="0" collapsed="false">
      <c r="A878" s="63"/>
      <c r="B878" s="63"/>
      <c r="C878" s="63"/>
      <c r="D878" s="63"/>
      <c r="E878" s="63"/>
      <c r="F878" s="28" t="str">
        <f aca="false">IF(C878="","",IF(OR(C878="1. bekkur",C878="2. bekkur",C878="3. bekkur",C878="4. bekkur"),"Já",IF(C878="Starfsmaður","Nei","Nei")))</f>
        <v/>
      </c>
      <c r="G878" s="63"/>
      <c r="H878" s="63"/>
      <c r="I878" s="63"/>
      <c r="J878" s="64" t="str">
        <f aca="false">IF(OR(A878="",B878=""),"",CONCATENATE("https://matarstund.is/serfaedi?id=",LOWER(SUBSTITUTE(B878,"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64" t="str">
        <f aca="false">IF(OR(A879="",B879=""),"",CONCATENATE("https://matarstund.is/serfaedi?id=",LOWER(SUBSTITUTE(B879," ","-"))))</f>
        <v/>
      </c>
    </row>
    <row r="880" customFormat="false" ht="15" hidden="false" customHeight="true" outlineLevel="0" collapsed="false">
      <c r="A880" s="63"/>
      <c r="B880" s="63"/>
      <c r="C880" s="63"/>
      <c r="D880" s="63"/>
      <c r="E880" s="63"/>
      <c r="F880" s="28" t="str">
        <f aca="false">IF(C880="","",IF(OR(C880="1. bekkur",C880="2. bekkur",C880="3. bekkur",C880="4. bekkur"),"Já",IF(C880="Starfsmaður","Nei","Nei")))</f>
        <v/>
      </c>
      <c r="G880" s="63"/>
      <c r="H880" s="63"/>
      <c r="I880" s="63"/>
      <c r="J880" s="64" t="str">
        <f aca="false">IF(OR(A880="",B880=""),"",CONCATENATE("https://matarstund.is/serfaedi?id=",LOWER(SUBSTITUTE(B880,"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64" t="str">
        <f aca="false">IF(OR(A881="",B881=""),"",CONCATENATE("https://matarstund.is/serfaedi?id=",LOWER(SUBSTITUTE(B881," ","-"))))</f>
        <v/>
      </c>
    </row>
    <row r="882" customFormat="false" ht="15" hidden="false" customHeight="true" outlineLevel="0" collapsed="false">
      <c r="A882" s="63"/>
      <c r="B882" s="63"/>
      <c r="C882" s="63"/>
      <c r="D882" s="63"/>
      <c r="E882" s="63"/>
      <c r="F882" s="28" t="str">
        <f aca="false">IF(C882="","",IF(OR(C882="1. bekkur",C882="2. bekkur",C882="3. bekkur",C882="4. bekkur"),"Já",IF(C882="Starfsmaður","Nei","Nei")))</f>
        <v/>
      </c>
      <c r="G882" s="63"/>
      <c r="H882" s="63"/>
      <c r="I882" s="63"/>
      <c r="J882" s="64" t="str">
        <f aca="false">IF(OR(A882="",B882=""),"",CONCATENATE("https://matarstund.is/serfaedi?id=",LOWER(SUBSTITUTE(B882,"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64" t="str">
        <f aca="false">IF(OR(A883="",B883=""),"",CONCATENATE("https://matarstund.is/serfaedi?id=",LOWER(SUBSTITUTE(B883," ","-"))))</f>
        <v/>
      </c>
    </row>
    <row r="884" customFormat="false" ht="15" hidden="false" customHeight="true" outlineLevel="0" collapsed="false">
      <c r="A884" s="63"/>
      <c r="B884" s="63"/>
      <c r="C884" s="63"/>
      <c r="D884" s="63"/>
      <c r="E884" s="63"/>
      <c r="F884" s="28" t="str">
        <f aca="false">IF(C884="","",IF(OR(C884="1. bekkur",C884="2. bekkur",C884="3. bekkur",C884="4. bekkur"),"Já",IF(C884="Starfsmaður","Nei","Nei")))</f>
        <v/>
      </c>
      <c r="G884" s="63"/>
      <c r="H884" s="63"/>
      <c r="I884" s="63"/>
      <c r="J884" s="64" t="str">
        <f aca="false">IF(OR(A884="",B884=""),"",CONCATENATE("https://matarstund.is/serfaedi?id=",LOWER(SUBSTITUTE(B884,"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64" t="str">
        <f aca="false">IF(OR(A885="",B885=""),"",CONCATENATE("https://matarstund.is/serfaedi?id=",LOWER(SUBSTITUTE(B885," ","-"))))</f>
        <v/>
      </c>
    </row>
    <row r="886" customFormat="false" ht="15" hidden="false" customHeight="true" outlineLevel="0" collapsed="false">
      <c r="A886" s="63"/>
      <c r="B886" s="63"/>
      <c r="C886" s="63"/>
      <c r="D886" s="63"/>
      <c r="E886" s="63"/>
      <c r="F886" s="28" t="str">
        <f aca="false">IF(C886="","",IF(OR(C886="1. bekkur",C886="2. bekkur",C886="3. bekkur",C886="4. bekkur"),"Já",IF(C886="Starfsmaður","Nei","Nei")))</f>
        <v/>
      </c>
      <c r="G886" s="63"/>
      <c r="H886" s="63"/>
      <c r="I886" s="63"/>
      <c r="J886" s="64" t="str">
        <f aca="false">IF(OR(A886="",B886=""),"",CONCATENATE("https://matarstund.is/serfaedi?id=",LOWER(SUBSTITUTE(B886,"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64" t="str">
        <f aca="false">IF(OR(A887="",B887=""),"",CONCATENATE("https://matarstund.is/serfaedi?id=",LOWER(SUBSTITUTE(B887," ","-"))))</f>
        <v/>
      </c>
    </row>
    <row r="888" customFormat="false" ht="15" hidden="false" customHeight="true" outlineLevel="0" collapsed="false">
      <c r="A888" s="63"/>
      <c r="B888" s="63"/>
      <c r="C888" s="63"/>
      <c r="D888" s="63"/>
      <c r="E888" s="63"/>
      <c r="F888" s="28" t="str">
        <f aca="false">IF(C888="","",IF(OR(C888="1. bekkur",C888="2. bekkur",C888="3. bekkur",C888="4. bekkur"),"Já",IF(C888="Starfsmaður","Nei","Nei")))</f>
        <v/>
      </c>
      <c r="G888" s="63"/>
      <c r="H888" s="63"/>
      <c r="I888" s="63"/>
      <c r="J888" s="64" t="str">
        <f aca="false">IF(OR(A888="",B888=""),"",CONCATENATE("https://matarstund.is/serfaedi?id=",LOWER(SUBSTITUTE(B888,"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64" t="str">
        <f aca="false">IF(OR(A889="",B889=""),"",CONCATENATE("https://matarstund.is/serfaedi?id=",LOWER(SUBSTITUTE(B889," ","-"))))</f>
        <v/>
      </c>
    </row>
    <row r="890" customFormat="false" ht="15" hidden="false" customHeight="true" outlineLevel="0" collapsed="false">
      <c r="A890" s="63"/>
      <c r="B890" s="63"/>
      <c r="C890" s="63"/>
      <c r="D890" s="63"/>
      <c r="E890" s="63"/>
      <c r="F890" s="28" t="str">
        <f aca="false">IF(C890="","",IF(OR(C890="1. bekkur",C890="2. bekkur",C890="3. bekkur",C890="4. bekkur"),"Já",IF(C890="Starfsmaður","Nei","Nei")))</f>
        <v/>
      </c>
      <c r="G890" s="63"/>
      <c r="H890" s="63"/>
      <c r="I890" s="63"/>
      <c r="J890" s="64" t="str">
        <f aca="false">IF(OR(A890="",B890=""),"",CONCATENATE("https://matarstund.is/serfaedi?id=",LOWER(SUBSTITUTE(B890,"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64" t="str">
        <f aca="false">IF(OR(A891="",B891=""),"",CONCATENATE("https://matarstund.is/serfaedi?id=",LOWER(SUBSTITUTE(B891," ","-"))))</f>
        <v/>
      </c>
    </row>
    <row r="892" customFormat="false" ht="15" hidden="false" customHeight="true" outlineLevel="0" collapsed="false">
      <c r="A892" s="63"/>
      <c r="B892" s="63"/>
      <c r="C892" s="63"/>
      <c r="D892" s="63"/>
      <c r="E892" s="63"/>
      <c r="F892" s="28" t="str">
        <f aca="false">IF(C892="","",IF(OR(C892="1. bekkur",C892="2. bekkur",C892="3. bekkur",C892="4. bekkur"),"Já",IF(C892="Starfsmaður","Nei","Nei")))</f>
        <v/>
      </c>
      <c r="G892" s="63"/>
      <c r="H892" s="63"/>
      <c r="I892" s="63"/>
      <c r="J892" s="64" t="str">
        <f aca="false">IF(OR(A892="",B892=""),"",CONCATENATE("https://matarstund.is/serfaedi?id=",LOWER(SUBSTITUTE(B892,"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64" t="str">
        <f aca="false">IF(OR(A893="",B893=""),"",CONCATENATE("https://matarstund.is/serfaedi?id=",LOWER(SUBSTITUTE(B893," ","-"))))</f>
        <v/>
      </c>
    </row>
    <row r="894" customFormat="false" ht="15" hidden="false" customHeight="true" outlineLevel="0" collapsed="false">
      <c r="A894" s="63"/>
      <c r="B894" s="63"/>
      <c r="C894" s="63"/>
      <c r="D894" s="63"/>
      <c r="E894" s="63"/>
      <c r="F894" s="28" t="str">
        <f aca="false">IF(C894="","",IF(OR(C894="1. bekkur",C894="2. bekkur",C894="3. bekkur",C894="4. bekkur"),"Já",IF(C894="Starfsmaður","Nei","Nei")))</f>
        <v/>
      </c>
      <c r="G894" s="63"/>
      <c r="H894" s="63"/>
      <c r="I894" s="63"/>
      <c r="J894" s="64" t="str">
        <f aca="false">IF(OR(A894="",B894=""),"",CONCATENATE("https://matarstund.is/serfaedi?id=",LOWER(SUBSTITUTE(B894,"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64" t="str">
        <f aca="false">IF(OR(A895="",B895=""),"",CONCATENATE("https://matarstund.is/serfaedi?id=",LOWER(SUBSTITUTE(B895," ","-"))))</f>
        <v/>
      </c>
    </row>
    <row r="896" customFormat="false" ht="15" hidden="false" customHeight="true" outlineLevel="0" collapsed="false">
      <c r="A896" s="63"/>
      <c r="B896" s="63"/>
      <c r="C896" s="63"/>
      <c r="D896" s="63"/>
      <c r="E896" s="63"/>
      <c r="F896" s="28" t="str">
        <f aca="false">IF(C896="","",IF(OR(C896="1. bekkur",C896="2. bekkur",C896="3. bekkur",C896="4. bekkur"),"Já",IF(C896="Starfsmaður","Nei","Nei")))</f>
        <v/>
      </c>
      <c r="G896" s="63"/>
      <c r="H896" s="63"/>
      <c r="I896" s="63"/>
      <c r="J896" s="64" t="str">
        <f aca="false">IF(OR(A896="",B896=""),"",CONCATENATE("https://matarstund.is/serfaedi?id=",LOWER(SUBSTITUTE(B896,"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64" t="str">
        <f aca="false">IF(OR(A897="",B897=""),"",CONCATENATE("https://matarstund.is/serfaedi?id=",LOWER(SUBSTITUTE(B897," ","-"))))</f>
        <v/>
      </c>
    </row>
    <row r="898" customFormat="false" ht="15" hidden="false" customHeight="true" outlineLevel="0" collapsed="false">
      <c r="A898" s="63"/>
      <c r="B898" s="63"/>
      <c r="C898" s="63"/>
      <c r="D898" s="63"/>
      <c r="E898" s="63"/>
      <c r="F898" s="28" t="str">
        <f aca="false">IF(C898="","",IF(OR(C898="1. bekkur",C898="2. bekkur",C898="3. bekkur",C898="4. bekkur"),"Já",IF(C898="Starfsmaður","Nei","Nei")))</f>
        <v/>
      </c>
      <c r="G898" s="63"/>
      <c r="H898" s="63"/>
      <c r="I898" s="63"/>
      <c r="J898" s="64" t="str">
        <f aca="false">IF(OR(A898="",B898=""),"",CONCATENATE("https://matarstund.is/serfaedi?id=",LOWER(SUBSTITUTE(B898,"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64" t="str">
        <f aca="false">IF(OR(A899="",B899=""),"",CONCATENATE("https://matarstund.is/serfaedi?id=",LOWER(SUBSTITUTE(B899," ","-"))))</f>
        <v/>
      </c>
    </row>
    <row r="900" customFormat="false" ht="15" hidden="false" customHeight="true" outlineLevel="0" collapsed="false">
      <c r="A900" s="63"/>
      <c r="B900" s="63"/>
      <c r="C900" s="63"/>
      <c r="D900" s="63"/>
      <c r="E900" s="63"/>
      <c r="F900" s="28" t="str">
        <f aca="false">IF(C900="","",IF(OR(C900="1. bekkur",C900="2. bekkur",C900="3. bekkur",C900="4. bekkur"),"Já",IF(C900="Starfsmaður","Nei","Nei")))</f>
        <v/>
      </c>
      <c r="G900" s="63"/>
      <c r="H900" s="63"/>
      <c r="I900" s="63"/>
      <c r="J900" s="64" t="str">
        <f aca="false">IF(OR(A900="",B900=""),"",CONCATENATE("https://matarstund.is/serfaedi?id=",LOWER(SUBSTITUTE(B900,"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64" t="str">
        <f aca="false">IF(OR(A901="",B901=""),"",CONCATENATE("https://matarstund.is/serfaedi?id=",LOWER(SUBSTITUTE(B901," ","-"))))</f>
        <v/>
      </c>
    </row>
    <row r="902" customFormat="false" ht="15" hidden="false" customHeight="true" outlineLevel="0" collapsed="false">
      <c r="A902" s="63"/>
      <c r="B902" s="63"/>
      <c r="C902" s="63"/>
      <c r="D902" s="63"/>
      <c r="E902" s="63"/>
      <c r="F902" s="28" t="str">
        <f aca="false">IF(C902="","",IF(OR(C902="1. bekkur",C902="2. bekkur",C902="3. bekkur",C902="4. bekkur"),"Já",IF(C902="Starfsmaður","Nei","Nei")))</f>
        <v/>
      </c>
      <c r="G902" s="63"/>
      <c r="H902" s="63"/>
      <c r="I902" s="63"/>
      <c r="J902" s="64" t="str">
        <f aca="false">IF(OR(A902="",B902=""),"",CONCATENATE("https://matarstund.is/serfaedi?id=",LOWER(SUBSTITUTE(B902,"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64" t="str">
        <f aca="false">IF(OR(A903="",B903=""),"",CONCATENATE("https://matarstund.is/serfaedi?id=",LOWER(SUBSTITUTE(B903," ","-"))))</f>
        <v/>
      </c>
    </row>
    <row r="904" customFormat="false" ht="15" hidden="false" customHeight="true" outlineLevel="0" collapsed="false">
      <c r="A904" s="63"/>
      <c r="B904" s="63"/>
      <c r="C904" s="63"/>
      <c r="D904" s="63"/>
      <c r="E904" s="63"/>
      <c r="F904" s="28" t="str">
        <f aca="false">IF(C904="","",IF(OR(C904="1. bekkur",C904="2. bekkur",C904="3. bekkur",C904="4. bekkur"),"Já",IF(C904="Starfsmaður","Nei","Nei")))</f>
        <v/>
      </c>
      <c r="G904" s="63"/>
      <c r="H904" s="63"/>
      <c r="I904" s="63"/>
      <c r="J904" s="64" t="str">
        <f aca="false">IF(OR(A904="",B904=""),"",CONCATENATE("https://matarstund.is/serfaedi?id=",LOWER(SUBSTITUTE(B904,"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64" t="str">
        <f aca="false">IF(OR(A905="",B905=""),"",CONCATENATE("https://matarstund.is/serfaedi?id=",LOWER(SUBSTITUTE(B905," ","-"))))</f>
        <v/>
      </c>
    </row>
    <row r="906" customFormat="false" ht="15" hidden="false" customHeight="true" outlineLevel="0" collapsed="false">
      <c r="A906" s="63"/>
      <c r="B906" s="63"/>
      <c r="C906" s="63"/>
      <c r="D906" s="63"/>
      <c r="E906" s="63"/>
      <c r="F906" s="28" t="str">
        <f aca="false">IF(C906="","",IF(OR(C906="1. bekkur",C906="2. bekkur",C906="3. bekkur",C906="4. bekkur"),"Já",IF(C906="Starfsmaður","Nei","Nei")))</f>
        <v/>
      </c>
      <c r="G906" s="63"/>
      <c r="H906" s="63"/>
      <c r="I906" s="63"/>
      <c r="J906" s="64" t="str">
        <f aca="false">IF(OR(A906="",B906=""),"",CONCATENATE("https://matarstund.is/serfaedi?id=",LOWER(SUBSTITUTE(B906,"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64" t="str">
        <f aca="false">IF(OR(A907="",B907=""),"",CONCATENATE("https://matarstund.is/serfaedi?id=",LOWER(SUBSTITUTE(B907," ","-"))))</f>
        <v/>
      </c>
    </row>
    <row r="908" customFormat="false" ht="15" hidden="false" customHeight="true" outlineLevel="0" collapsed="false">
      <c r="A908" s="63"/>
      <c r="B908" s="63"/>
      <c r="C908" s="63"/>
      <c r="D908" s="63"/>
      <c r="E908" s="63"/>
      <c r="F908" s="28" t="str">
        <f aca="false">IF(C908="","",IF(OR(C908="1. bekkur",C908="2. bekkur",C908="3. bekkur",C908="4. bekkur"),"Já",IF(C908="Starfsmaður","Nei","Nei")))</f>
        <v/>
      </c>
      <c r="G908" s="63"/>
      <c r="H908" s="63"/>
      <c r="I908" s="63"/>
      <c r="J908" s="64" t="str">
        <f aca="false">IF(OR(A908="",B908=""),"",CONCATENATE("https://matarstund.is/serfaedi?id=",LOWER(SUBSTITUTE(B908,"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64" t="str">
        <f aca="false">IF(OR(A909="",B909=""),"",CONCATENATE("https://matarstund.is/serfaedi?id=",LOWER(SUBSTITUTE(B909," ","-"))))</f>
        <v/>
      </c>
    </row>
    <row r="910" customFormat="false" ht="15" hidden="false" customHeight="true" outlineLevel="0" collapsed="false">
      <c r="A910" s="63"/>
      <c r="B910" s="63"/>
      <c r="C910" s="63"/>
      <c r="D910" s="63"/>
      <c r="E910" s="63"/>
      <c r="F910" s="28" t="str">
        <f aca="false">IF(C910="","",IF(OR(C910="1. bekkur",C910="2. bekkur",C910="3. bekkur",C910="4. bekkur"),"Já",IF(C910="Starfsmaður","Nei","Nei")))</f>
        <v/>
      </c>
      <c r="G910" s="63"/>
      <c r="H910" s="63"/>
      <c r="I910" s="63"/>
      <c r="J910" s="64" t="str">
        <f aca="false">IF(OR(A910="",B910=""),"",CONCATENATE("https://matarstund.is/serfaedi?id=",LOWER(SUBSTITUTE(B910,"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64" t="str">
        <f aca="false">IF(OR(A911="",B911=""),"",CONCATENATE("https://matarstund.is/serfaedi?id=",LOWER(SUBSTITUTE(B911," ","-"))))</f>
        <v/>
      </c>
    </row>
    <row r="912" customFormat="false" ht="15" hidden="false" customHeight="true" outlineLevel="0" collapsed="false">
      <c r="A912" s="63"/>
      <c r="B912" s="63"/>
      <c r="C912" s="63"/>
      <c r="D912" s="63"/>
      <c r="E912" s="63"/>
      <c r="F912" s="28" t="str">
        <f aca="false">IF(C912="","",IF(OR(C912="1. bekkur",C912="2. bekkur",C912="3. bekkur",C912="4. bekkur"),"Já",IF(C912="Starfsmaður","Nei","Nei")))</f>
        <v/>
      </c>
      <c r="G912" s="63"/>
      <c r="H912" s="63"/>
      <c r="I912" s="63"/>
      <c r="J912" s="64" t="str">
        <f aca="false">IF(OR(A912="",B912=""),"",CONCATENATE("https://matarstund.is/serfaedi?id=",LOWER(SUBSTITUTE(B912,"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64" t="str">
        <f aca="false">IF(OR(A913="",B913=""),"",CONCATENATE("https://matarstund.is/serfaedi?id=",LOWER(SUBSTITUTE(B913," ","-"))))</f>
        <v/>
      </c>
    </row>
    <row r="914" customFormat="false" ht="15" hidden="false" customHeight="true" outlineLevel="0" collapsed="false">
      <c r="A914" s="63"/>
      <c r="B914" s="63"/>
      <c r="C914" s="63"/>
      <c r="D914" s="63"/>
      <c r="E914" s="63"/>
      <c r="F914" s="28" t="str">
        <f aca="false">IF(C914="","",IF(OR(C914="1. bekkur",C914="2. bekkur",C914="3. bekkur",C914="4. bekkur"),"Já",IF(C914="Starfsmaður","Nei","Nei")))</f>
        <v/>
      </c>
      <c r="G914" s="63"/>
      <c r="H914" s="63"/>
      <c r="I914" s="63"/>
      <c r="J914" s="64" t="str">
        <f aca="false">IF(OR(A914="",B914=""),"",CONCATENATE("https://matarstund.is/serfaedi?id=",LOWER(SUBSTITUTE(B914,"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64" t="str">
        <f aca="false">IF(OR(A915="",B915=""),"",CONCATENATE("https://matarstund.is/serfaedi?id=",LOWER(SUBSTITUTE(B915," ","-"))))</f>
        <v/>
      </c>
    </row>
    <row r="916" customFormat="false" ht="15" hidden="false" customHeight="true" outlineLevel="0" collapsed="false">
      <c r="A916" s="63"/>
      <c r="B916" s="63"/>
      <c r="C916" s="63"/>
      <c r="D916" s="63"/>
      <c r="E916" s="63"/>
      <c r="F916" s="28" t="str">
        <f aca="false">IF(C916="","",IF(OR(C916="1. bekkur",C916="2. bekkur",C916="3. bekkur",C916="4. bekkur"),"Já",IF(C916="Starfsmaður","Nei","Nei")))</f>
        <v/>
      </c>
      <c r="G916" s="63"/>
      <c r="H916" s="63"/>
      <c r="I916" s="63"/>
      <c r="J916" s="64" t="str">
        <f aca="false">IF(OR(A916="",B916=""),"",CONCATENATE("https://matarstund.is/serfaedi?id=",LOWER(SUBSTITUTE(B916,"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64" t="str">
        <f aca="false">IF(OR(A917="",B917=""),"",CONCATENATE("https://matarstund.is/serfaedi?id=",LOWER(SUBSTITUTE(B917," ","-"))))</f>
        <v/>
      </c>
    </row>
    <row r="918" customFormat="false" ht="15" hidden="false" customHeight="true" outlineLevel="0" collapsed="false">
      <c r="A918" s="63"/>
      <c r="B918" s="63"/>
      <c r="C918" s="63"/>
      <c r="D918" s="63"/>
      <c r="E918" s="63"/>
      <c r="F918" s="28" t="str">
        <f aca="false">IF(C918="","",IF(OR(C918="1. bekkur",C918="2. bekkur",C918="3. bekkur",C918="4. bekkur"),"Já",IF(C918="Starfsmaður","Nei","Nei")))</f>
        <v/>
      </c>
      <c r="G918" s="63"/>
      <c r="H918" s="63"/>
      <c r="I918" s="63"/>
      <c r="J918" s="64" t="str">
        <f aca="false">IF(OR(A918="",B918=""),"",CONCATENATE("https://matarstund.is/serfaedi?id=",LOWER(SUBSTITUTE(B918,"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64" t="str">
        <f aca="false">IF(OR(A919="",B919=""),"",CONCATENATE("https://matarstund.is/serfaedi?id=",LOWER(SUBSTITUTE(B919," ","-"))))</f>
        <v/>
      </c>
    </row>
    <row r="920" customFormat="false" ht="15" hidden="false" customHeight="true" outlineLevel="0" collapsed="false">
      <c r="A920" s="63"/>
      <c r="B920" s="63"/>
      <c r="C920" s="63"/>
      <c r="D920" s="63"/>
      <c r="E920" s="63"/>
      <c r="F920" s="28" t="str">
        <f aca="false">IF(C920="","",IF(OR(C920="1. bekkur",C920="2. bekkur",C920="3. bekkur",C920="4. bekkur"),"Já",IF(C920="Starfsmaður","Nei","Nei")))</f>
        <v/>
      </c>
      <c r="G920" s="63"/>
      <c r="H920" s="63"/>
      <c r="I920" s="63"/>
      <c r="J920" s="64" t="str">
        <f aca="false">IF(OR(A920="",B920=""),"",CONCATENATE("https://matarstund.is/serfaedi?id=",LOWER(SUBSTITUTE(B920,"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64" t="str">
        <f aca="false">IF(OR(A921="",B921=""),"",CONCATENATE("https://matarstund.is/serfaedi?id=",LOWER(SUBSTITUTE(B921," ","-"))))</f>
        <v/>
      </c>
    </row>
    <row r="922" customFormat="false" ht="15" hidden="false" customHeight="true" outlineLevel="0" collapsed="false">
      <c r="A922" s="63"/>
      <c r="B922" s="63"/>
      <c r="C922" s="63"/>
      <c r="D922" s="63"/>
      <c r="E922" s="63"/>
      <c r="F922" s="28" t="str">
        <f aca="false">IF(C922="","",IF(OR(C922="1. bekkur",C922="2. bekkur",C922="3. bekkur",C922="4. bekkur"),"Já",IF(C922="Starfsmaður","Nei","Nei")))</f>
        <v/>
      </c>
      <c r="G922" s="63"/>
      <c r="H922" s="63"/>
      <c r="I922" s="63"/>
      <c r="J922" s="64" t="str">
        <f aca="false">IF(OR(A922="",B922=""),"",CONCATENATE("https://matarstund.is/serfaedi?id=",LOWER(SUBSTITUTE(B922,"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64" t="str">
        <f aca="false">IF(OR(A923="",B923=""),"",CONCATENATE("https://matarstund.is/serfaedi?id=",LOWER(SUBSTITUTE(B923," ","-"))))</f>
        <v/>
      </c>
    </row>
    <row r="924" customFormat="false" ht="15" hidden="false" customHeight="true" outlineLevel="0" collapsed="false">
      <c r="A924" s="63"/>
      <c r="B924" s="63"/>
      <c r="C924" s="63"/>
      <c r="D924" s="63"/>
      <c r="E924" s="63"/>
      <c r="F924" s="28" t="str">
        <f aca="false">IF(C924="","",IF(OR(C924="1. bekkur",C924="2. bekkur",C924="3. bekkur",C924="4. bekkur"),"Já",IF(C924="Starfsmaður","Nei","Nei")))</f>
        <v/>
      </c>
      <c r="G924" s="63"/>
      <c r="H924" s="63"/>
      <c r="I924" s="63"/>
      <c r="J924" s="64" t="str">
        <f aca="false">IF(OR(A924="",B924=""),"",CONCATENATE("https://matarstund.is/serfaedi?id=",LOWER(SUBSTITUTE(B924,"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64" t="str">
        <f aca="false">IF(OR(A925="",B925=""),"",CONCATENATE("https://matarstund.is/serfaedi?id=",LOWER(SUBSTITUTE(B925," ","-"))))</f>
        <v/>
      </c>
    </row>
    <row r="926" customFormat="false" ht="15" hidden="false" customHeight="true" outlineLevel="0" collapsed="false">
      <c r="A926" s="63"/>
      <c r="B926" s="63"/>
      <c r="C926" s="63"/>
      <c r="D926" s="63"/>
      <c r="E926" s="63"/>
      <c r="F926" s="28" t="str">
        <f aca="false">IF(C926="","",IF(OR(C926="1. bekkur",C926="2. bekkur",C926="3. bekkur",C926="4. bekkur"),"Já",IF(C926="Starfsmaður","Nei","Nei")))</f>
        <v/>
      </c>
      <c r="G926" s="63"/>
      <c r="H926" s="63"/>
      <c r="I926" s="63"/>
      <c r="J926" s="64" t="str">
        <f aca="false">IF(OR(A926="",B926=""),"",CONCATENATE("https://matarstund.is/serfaedi?id=",LOWER(SUBSTITUTE(B926,"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64" t="str">
        <f aca="false">IF(OR(A927="",B927=""),"",CONCATENATE("https://matarstund.is/serfaedi?id=",LOWER(SUBSTITUTE(B927," ","-"))))</f>
        <v/>
      </c>
    </row>
    <row r="928" customFormat="false" ht="15" hidden="false" customHeight="true" outlineLevel="0" collapsed="false">
      <c r="A928" s="63"/>
      <c r="B928" s="63"/>
      <c r="C928" s="63"/>
      <c r="D928" s="63"/>
      <c r="E928" s="63"/>
      <c r="F928" s="28" t="str">
        <f aca="false">IF(C928="","",IF(OR(C928="1. bekkur",C928="2. bekkur",C928="3. bekkur",C928="4. bekkur"),"Já",IF(C928="Starfsmaður","Nei","Nei")))</f>
        <v/>
      </c>
      <c r="G928" s="63"/>
      <c r="H928" s="63"/>
      <c r="I928" s="63"/>
      <c r="J928" s="64" t="str">
        <f aca="false">IF(OR(A928="",B928=""),"",CONCATENATE("https://matarstund.is/serfaedi?id=",LOWER(SUBSTITUTE(B928,"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64" t="str">
        <f aca="false">IF(OR(A929="",B929=""),"",CONCATENATE("https://matarstund.is/serfaedi?id=",LOWER(SUBSTITUTE(B929," ","-"))))</f>
        <v/>
      </c>
    </row>
    <row r="930" customFormat="false" ht="15" hidden="false" customHeight="true" outlineLevel="0" collapsed="false">
      <c r="A930" s="63"/>
      <c r="B930" s="63"/>
      <c r="C930" s="63"/>
      <c r="D930" s="63"/>
      <c r="E930" s="63"/>
      <c r="F930" s="28" t="str">
        <f aca="false">IF(C930="","",IF(OR(C930="1. bekkur",C930="2. bekkur",C930="3. bekkur",C930="4. bekkur"),"Já",IF(C930="Starfsmaður","Nei","Nei")))</f>
        <v/>
      </c>
      <c r="G930" s="63"/>
      <c r="H930" s="63"/>
      <c r="I930" s="63"/>
      <c r="J930" s="64" t="str">
        <f aca="false">IF(OR(A930="",B930=""),"",CONCATENATE("https://matarstund.is/serfaedi?id=",LOWER(SUBSTITUTE(B930,"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64" t="str">
        <f aca="false">IF(OR(A931="",B931=""),"",CONCATENATE("https://matarstund.is/serfaedi?id=",LOWER(SUBSTITUTE(B931," ","-"))))</f>
        <v/>
      </c>
    </row>
    <row r="932" customFormat="false" ht="15" hidden="false" customHeight="true" outlineLevel="0" collapsed="false">
      <c r="A932" s="63"/>
      <c r="B932" s="63"/>
      <c r="C932" s="63"/>
      <c r="D932" s="63"/>
      <c r="E932" s="63"/>
      <c r="F932" s="28" t="str">
        <f aca="false">IF(C932="","",IF(OR(C932="1. bekkur",C932="2. bekkur",C932="3. bekkur",C932="4. bekkur"),"Já",IF(C932="Starfsmaður","Nei","Nei")))</f>
        <v/>
      </c>
      <c r="G932" s="63"/>
      <c r="H932" s="63"/>
      <c r="I932" s="63"/>
      <c r="J932" s="64" t="str">
        <f aca="false">IF(OR(A932="",B932=""),"",CONCATENATE("https://matarstund.is/serfaedi?id=",LOWER(SUBSTITUTE(B932,"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64" t="str">
        <f aca="false">IF(OR(A933="",B933=""),"",CONCATENATE("https://matarstund.is/serfaedi?id=",LOWER(SUBSTITUTE(B933," ","-"))))</f>
        <v/>
      </c>
    </row>
    <row r="934" customFormat="false" ht="15" hidden="false" customHeight="true" outlineLevel="0" collapsed="false">
      <c r="A934" s="63"/>
      <c r="B934" s="63"/>
      <c r="C934" s="63"/>
      <c r="D934" s="63"/>
      <c r="E934" s="63"/>
      <c r="F934" s="28" t="str">
        <f aca="false">IF(C934="","",IF(OR(C934="1. bekkur",C934="2. bekkur",C934="3. bekkur",C934="4. bekkur"),"Já",IF(C934="Starfsmaður","Nei","Nei")))</f>
        <v/>
      </c>
      <c r="G934" s="63"/>
      <c r="H934" s="63"/>
      <c r="I934" s="63"/>
      <c r="J934" s="64" t="str">
        <f aca="false">IF(OR(A934="",B934=""),"",CONCATENATE("https://matarstund.is/serfaedi?id=",LOWER(SUBSTITUTE(B934,"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64" t="str">
        <f aca="false">IF(OR(A935="",B935=""),"",CONCATENATE("https://matarstund.is/serfaedi?id=",LOWER(SUBSTITUTE(B935," ","-"))))</f>
        <v/>
      </c>
    </row>
    <row r="936" customFormat="false" ht="15" hidden="false" customHeight="true" outlineLevel="0" collapsed="false">
      <c r="A936" s="63"/>
      <c r="B936" s="63"/>
      <c r="C936" s="63"/>
      <c r="D936" s="63"/>
      <c r="E936" s="63"/>
      <c r="F936" s="28" t="str">
        <f aca="false">IF(C936="","",IF(OR(C936="1. bekkur",C936="2. bekkur",C936="3. bekkur",C936="4. bekkur"),"Já",IF(C936="Starfsmaður","Nei","Nei")))</f>
        <v/>
      </c>
      <c r="G936" s="63"/>
      <c r="H936" s="63"/>
      <c r="I936" s="63"/>
      <c r="J936" s="64" t="str">
        <f aca="false">IF(OR(A936="",B936=""),"",CONCATENATE("https://matarstund.is/serfaedi?id=",LOWER(SUBSTITUTE(B936,"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64" t="str">
        <f aca="false">IF(OR(A937="",B937=""),"",CONCATENATE("https://matarstund.is/serfaedi?id=",LOWER(SUBSTITUTE(B937," ","-"))))</f>
        <v/>
      </c>
    </row>
    <row r="938" customFormat="false" ht="15" hidden="false" customHeight="true" outlineLevel="0" collapsed="false">
      <c r="A938" s="63"/>
      <c r="B938" s="63"/>
      <c r="C938" s="63"/>
      <c r="D938" s="63"/>
      <c r="E938" s="63"/>
      <c r="F938" s="28" t="str">
        <f aca="false">IF(C938="","",IF(OR(C938="1. bekkur",C938="2. bekkur",C938="3. bekkur",C938="4. bekkur"),"Já",IF(C938="Starfsmaður","Nei","Nei")))</f>
        <v/>
      </c>
      <c r="G938" s="63"/>
      <c r="H938" s="63"/>
      <c r="I938" s="63"/>
      <c r="J938" s="64" t="str">
        <f aca="false">IF(OR(A938="",B938=""),"",CONCATENATE("https://matarstund.is/serfaedi?id=",LOWER(SUBSTITUTE(B938,"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64" t="str">
        <f aca="false">IF(OR(A939="",B939=""),"",CONCATENATE("https://matarstund.is/serfaedi?id=",LOWER(SUBSTITUTE(B939," ","-"))))</f>
        <v/>
      </c>
    </row>
    <row r="940" customFormat="false" ht="15" hidden="false" customHeight="true" outlineLevel="0" collapsed="false">
      <c r="A940" s="63"/>
      <c r="B940" s="63"/>
      <c r="C940" s="63"/>
      <c r="D940" s="63"/>
      <c r="E940" s="63"/>
      <c r="F940" s="28" t="str">
        <f aca="false">IF(C940="","",IF(OR(C940="1. bekkur",C940="2. bekkur",C940="3. bekkur",C940="4. bekkur"),"Já",IF(C940="Starfsmaður","Nei","Nei")))</f>
        <v/>
      </c>
      <c r="G940" s="63"/>
      <c r="H940" s="63"/>
      <c r="I940" s="63"/>
      <c r="J940" s="64" t="str">
        <f aca="false">IF(OR(A940="",B940=""),"",CONCATENATE("https://matarstund.is/serfaedi?id=",LOWER(SUBSTITUTE(B940,"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64" t="str">
        <f aca="false">IF(OR(A941="",B941=""),"",CONCATENATE("https://matarstund.is/serfaedi?id=",LOWER(SUBSTITUTE(B941," ","-"))))</f>
        <v/>
      </c>
    </row>
    <row r="942" customFormat="false" ht="15" hidden="false" customHeight="true" outlineLevel="0" collapsed="false">
      <c r="A942" s="63"/>
      <c r="B942" s="63"/>
      <c r="C942" s="63"/>
      <c r="D942" s="63"/>
      <c r="E942" s="63"/>
      <c r="F942" s="28" t="str">
        <f aca="false">IF(C942="","",IF(OR(C942="1. bekkur",C942="2. bekkur",C942="3. bekkur",C942="4. bekkur"),"Já",IF(C942="Starfsmaður","Nei","Nei")))</f>
        <v/>
      </c>
      <c r="G942" s="63"/>
      <c r="H942" s="63"/>
      <c r="I942" s="63"/>
      <c r="J942" s="64" t="str">
        <f aca="false">IF(OR(A942="",B942=""),"",CONCATENATE("https://matarstund.is/serfaedi?id=",LOWER(SUBSTITUTE(B942,"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64" t="str">
        <f aca="false">IF(OR(A943="",B943=""),"",CONCATENATE("https://matarstund.is/serfaedi?id=",LOWER(SUBSTITUTE(B943," ","-"))))</f>
        <v/>
      </c>
    </row>
    <row r="944" customFormat="false" ht="15" hidden="false" customHeight="true" outlineLevel="0" collapsed="false">
      <c r="A944" s="63"/>
      <c r="B944" s="63"/>
      <c r="C944" s="63"/>
      <c r="D944" s="63"/>
      <c r="E944" s="63"/>
      <c r="F944" s="28" t="str">
        <f aca="false">IF(C944="","",IF(OR(C944="1. bekkur",C944="2. bekkur",C944="3. bekkur",C944="4. bekkur"),"Já",IF(C944="Starfsmaður","Nei","Nei")))</f>
        <v/>
      </c>
      <c r="G944" s="63"/>
      <c r="H944" s="63"/>
      <c r="I944" s="63"/>
      <c r="J944" s="64" t="str">
        <f aca="false">IF(OR(A944="",B944=""),"",CONCATENATE("https://matarstund.is/serfaedi?id=",LOWER(SUBSTITUTE(B944,"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64" t="str">
        <f aca="false">IF(OR(A945="",B945=""),"",CONCATENATE("https://matarstund.is/serfaedi?id=",LOWER(SUBSTITUTE(B945," ","-"))))</f>
        <v/>
      </c>
    </row>
    <row r="946" customFormat="false" ht="15" hidden="false" customHeight="true" outlineLevel="0" collapsed="false">
      <c r="A946" s="63"/>
      <c r="B946" s="63"/>
      <c r="C946" s="63"/>
      <c r="D946" s="63"/>
      <c r="E946" s="63"/>
      <c r="F946" s="28" t="str">
        <f aca="false">IF(C946="","",IF(OR(C946="1. bekkur",C946="2. bekkur",C946="3. bekkur",C946="4. bekkur"),"Já",IF(C946="Starfsmaður","Nei","Nei")))</f>
        <v/>
      </c>
      <c r="G946" s="63"/>
      <c r="H946" s="63"/>
      <c r="I946" s="63"/>
      <c r="J946" s="64" t="str">
        <f aca="false">IF(OR(A946="",B946=""),"",CONCATENATE("https://matarstund.is/serfaedi?id=",LOWER(SUBSTITUTE(B946,"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64" t="str">
        <f aca="false">IF(OR(A947="",B947=""),"",CONCATENATE("https://matarstund.is/serfaedi?id=",LOWER(SUBSTITUTE(B947," ","-"))))</f>
        <v/>
      </c>
    </row>
    <row r="948" customFormat="false" ht="15" hidden="false" customHeight="true" outlineLevel="0" collapsed="false">
      <c r="A948" s="63"/>
      <c r="B948" s="63"/>
      <c r="C948" s="63"/>
      <c r="D948" s="63"/>
      <c r="E948" s="63"/>
      <c r="F948" s="28" t="str">
        <f aca="false">IF(C948="","",IF(OR(C948="1. bekkur",C948="2. bekkur",C948="3. bekkur",C948="4. bekkur"),"Já",IF(C948="Starfsmaður","Nei","Nei")))</f>
        <v/>
      </c>
      <c r="G948" s="63"/>
      <c r="H948" s="63"/>
      <c r="I948" s="63"/>
      <c r="J948" s="64" t="str">
        <f aca="false">IF(OR(A948="",B948=""),"",CONCATENATE("https://matarstund.is/serfaedi?id=",LOWER(SUBSTITUTE(B948,"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64" t="str">
        <f aca="false">IF(OR(A949="",B949=""),"",CONCATENATE("https://matarstund.is/serfaedi?id=",LOWER(SUBSTITUTE(B949," ","-"))))</f>
        <v/>
      </c>
    </row>
    <row r="950" customFormat="false" ht="15" hidden="false" customHeight="true" outlineLevel="0" collapsed="false">
      <c r="A950" s="63"/>
      <c r="B950" s="63"/>
      <c r="C950" s="63"/>
      <c r="D950" s="63"/>
      <c r="E950" s="63"/>
      <c r="F950" s="28" t="str">
        <f aca="false">IF(C950="","",IF(OR(C950="1. bekkur",C950="2. bekkur",C950="3. bekkur",C950="4. bekkur"),"Já",IF(C950="Starfsmaður","Nei","Nei")))</f>
        <v/>
      </c>
      <c r="G950" s="63"/>
      <c r="H950" s="63"/>
      <c r="I950" s="63"/>
      <c r="J950" s="64" t="str">
        <f aca="false">IF(OR(A950="",B950=""),"",CONCATENATE("https://matarstund.is/serfaedi?id=",LOWER(SUBSTITUTE(B950,"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64" t="str">
        <f aca="false">IF(OR(A951="",B951=""),"",CONCATENATE("https://matarstund.is/serfaedi?id=",LOWER(SUBSTITUTE(B951," ","-"))))</f>
        <v/>
      </c>
    </row>
    <row r="952" customFormat="false" ht="15" hidden="false" customHeight="true" outlineLevel="0" collapsed="false">
      <c r="A952" s="63"/>
      <c r="B952" s="63"/>
      <c r="C952" s="63"/>
      <c r="D952" s="63"/>
      <c r="E952" s="63"/>
      <c r="F952" s="28" t="str">
        <f aca="false">IF(C952="","",IF(OR(C952="1. bekkur",C952="2. bekkur",C952="3. bekkur",C952="4. bekkur"),"Já",IF(C952="Starfsmaður","Nei","Nei")))</f>
        <v/>
      </c>
      <c r="G952" s="63"/>
      <c r="H952" s="63"/>
      <c r="I952" s="63"/>
      <c r="J952" s="64" t="str">
        <f aca="false">IF(OR(A952="",B952=""),"",CONCATENATE("https://matarstund.is/serfaedi?id=",LOWER(SUBSTITUTE(B952,"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64" t="str">
        <f aca="false">IF(OR(A953="",B953=""),"",CONCATENATE("https://matarstund.is/serfaedi?id=",LOWER(SUBSTITUTE(B953," ","-"))))</f>
        <v/>
      </c>
    </row>
    <row r="954" customFormat="false" ht="15" hidden="false" customHeight="true" outlineLevel="0" collapsed="false">
      <c r="A954" s="63"/>
      <c r="B954" s="63"/>
      <c r="C954" s="63"/>
      <c r="D954" s="63"/>
      <c r="E954" s="63"/>
      <c r="F954" s="28" t="str">
        <f aca="false">IF(C954="","",IF(OR(C954="1. bekkur",C954="2. bekkur",C954="3. bekkur",C954="4. bekkur"),"Já",IF(C954="Starfsmaður","Nei","Nei")))</f>
        <v/>
      </c>
      <c r="G954" s="63"/>
      <c r="H954" s="63"/>
      <c r="I954" s="63"/>
      <c r="J954" s="64" t="str">
        <f aca="false">IF(OR(A954="",B954=""),"",CONCATENATE("https://matarstund.is/serfaedi?id=",LOWER(SUBSTITUTE(B954,"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64" t="str">
        <f aca="false">IF(OR(A955="",B955=""),"",CONCATENATE("https://matarstund.is/serfaedi?id=",LOWER(SUBSTITUTE(B955," ","-"))))</f>
        <v/>
      </c>
    </row>
    <row r="956" customFormat="false" ht="15" hidden="false" customHeight="true" outlineLevel="0" collapsed="false">
      <c r="A956" s="63"/>
      <c r="B956" s="63"/>
      <c r="C956" s="63"/>
      <c r="D956" s="63"/>
      <c r="E956" s="63"/>
      <c r="F956" s="28" t="str">
        <f aca="false">IF(C956="","",IF(OR(C956="1. bekkur",C956="2. bekkur",C956="3. bekkur",C956="4. bekkur"),"Já",IF(C956="Starfsmaður","Nei","Nei")))</f>
        <v/>
      </c>
      <c r="G956" s="63"/>
      <c r="H956" s="63"/>
      <c r="I956" s="63"/>
      <c r="J956" s="64" t="str">
        <f aca="false">IF(OR(A956="",B956=""),"",CONCATENATE("https://matarstund.is/serfaedi?id=",LOWER(SUBSTITUTE(B956,"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64" t="str">
        <f aca="false">IF(OR(A957="",B957=""),"",CONCATENATE("https://matarstund.is/serfaedi?id=",LOWER(SUBSTITUTE(B957," ","-"))))</f>
        <v/>
      </c>
    </row>
    <row r="958" customFormat="false" ht="15" hidden="false" customHeight="true" outlineLevel="0" collapsed="false">
      <c r="A958" s="63"/>
      <c r="B958" s="63"/>
      <c r="C958" s="63"/>
      <c r="D958" s="63"/>
      <c r="E958" s="63"/>
      <c r="F958" s="28" t="str">
        <f aca="false">IF(C958="","",IF(OR(C958="1. bekkur",C958="2. bekkur",C958="3. bekkur",C958="4. bekkur"),"Já",IF(C958="Starfsmaður","Nei","Nei")))</f>
        <v/>
      </c>
      <c r="G958" s="63"/>
      <c r="H958" s="63"/>
      <c r="I958" s="63"/>
      <c r="J958" s="64" t="str">
        <f aca="false">IF(OR(A958="",B958=""),"",CONCATENATE("https://matarstund.is/serfaedi?id=",LOWER(SUBSTITUTE(B958,"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64" t="str">
        <f aca="false">IF(OR(A959="",B959=""),"",CONCATENATE("https://matarstund.is/serfaedi?id=",LOWER(SUBSTITUTE(B959," ","-"))))</f>
        <v/>
      </c>
    </row>
    <row r="960" customFormat="false" ht="15" hidden="false" customHeight="true" outlineLevel="0" collapsed="false">
      <c r="A960" s="63"/>
      <c r="B960" s="63"/>
      <c r="C960" s="63"/>
      <c r="D960" s="63"/>
      <c r="E960" s="63"/>
      <c r="F960" s="28" t="str">
        <f aca="false">IF(C960="","",IF(OR(C960="1. bekkur",C960="2. bekkur",C960="3. bekkur",C960="4. bekkur"),"Já",IF(C960="Starfsmaður","Nei","Nei")))</f>
        <v/>
      </c>
      <c r="G960" s="63"/>
      <c r="H960" s="63"/>
      <c r="I960" s="63"/>
      <c r="J960" s="64" t="str">
        <f aca="false">IF(OR(A960="",B960=""),"",CONCATENATE("https://matarstund.is/serfaedi?id=",LOWER(SUBSTITUTE(B960,"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64" t="str">
        <f aca="false">IF(OR(A961="",B961=""),"",CONCATENATE("https://matarstund.is/serfaedi?id=",LOWER(SUBSTITUTE(B961," ","-"))))</f>
        <v/>
      </c>
    </row>
    <row r="962" customFormat="false" ht="15" hidden="false" customHeight="true" outlineLevel="0" collapsed="false">
      <c r="A962" s="63"/>
      <c r="B962" s="63"/>
      <c r="C962" s="63"/>
      <c r="D962" s="63"/>
      <c r="E962" s="63"/>
      <c r="F962" s="28" t="str">
        <f aca="false">IF(C962="","",IF(OR(C962="1. bekkur",C962="2. bekkur",C962="3. bekkur",C962="4. bekkur"),"Já",IF(C962="Starfsmaður","Nei","Nei")))</f>
        <v/>
      </c>
      <c r="G962" s="63"/>
      <c r="H962" s="63"/>
      <c r="I962" s="63"/>
      <c r="J962" s="64" t="str">
        <f aca="false">IF(OR(A962="",B962=""),"",CONCATENATE("https://matarstund.is/serfaedi?id=",LOWER(SUBSTITUTE(B962,"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64" t="str">
        <f aca="false">IF(OR(A963="",B963=""),"",CONCATENATE("https://matarstund.is/serfaedi?id=",LOWER(SUBSTITUTE(B963," ","-"))))</f>
        <v/>
      </c>
    </row>
    <row r="964" customFormat="false" ht="15" hidden="false" customHeight="true" outlineLevel="0" collapsed="false">
      <c r="A964" s="63"/>
      <c r="B964" s="63"/>
      <c r="C964" s="63"/>
      <c r="D964" s="63"/>
      <c r="E964" s="63"/>
      <c r="F964" s="28" t="str">
        <f aca="false">IF(C964="","",IF(OR(C964="1. bekkur",C964="2. bekkur",C964="3. bekkur",C964="4. bekkur"),"Já",IF(C964="Starfsmaður","Nei","Nei")))</f>
        <v/>
      </c>
      <c r="G964" s="63"/>
      <c r="H964" s="63"/>
      <c r="I964" s="63"/>
      <c r="J964" s="64" t="str">
        <f aca="false">IF(OR(A964="",B964=""),"",CONCATENATE("https://matarstund.is/serfaedi?id=",LOWER(SUBSTITUTE(B964,"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64" t="str">
        <f aca="false">IF(OR(A965="",B965=""),"",CONCATENATE("https://matarstund.is/serfaedi?id=",LOWER(SUBSTITUTE(B965," ","-"))))</f>
        <v/>
      </c>
    </row>
    <row r="966" customFormat="false" ht="15" hidden="false" customHeight="true" outlineLevel="0" collapsed="false">
      <c r="A966" s="63"/>
      <c r="B966" s="63"/>
      <c r="C966" s="63"/>
      <c r="D966" s="63"/>
      <c r="E966" s="63"/>
      <c r="F966" s="28" t="str">
        <f aca="false">IF(C966="","",IF(OR(C966="1. bekkur",C966="2. bekkur",C966="3. bekkur",C966="4. bekkur"),"Já",IF(C966="Starfsmaður","Nei","Nei")))</f>
        <v/>
      </c>
      <c r="G966" s="63"/>
      <c r="H966" s="63"/>
      <c r="I966" s="63"/>
      <c r="J966" s="64" t="str">
        <f aca="false">IF(OR(A966="",B966=""),"",CONCATENATE("https://matarstund.is/serfaedi?id=",LOWER(SUBSTITUTE(B966,"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64" t="str">
        <f aca="false">IF(OR(A967="",B967=""),"",CONCATENATE("https://matarstund.is/serfaedi?id=",LOWER(SUBSTITUTE(B967," ","-"))))</f>
        <v/>
      </c>
    </row>
    <row r="968" customFormat="false" ht="15" hidden="false" customHeight="true" outlineLevel="0" collapsed="false">
      <c r="A968" s="63"/>
      <c r="B968" s="63"/>
      <c r="C968" s="63"/>
      <c r="D968" s="63"/>
      <c r="E968" s="63"/>
      <c r="F968" s="28" t="str">
        <f aca="false">IF(C968="","",IF(OR(C968="1. bekkur",C968="2. bekkur",C968="3. bekkur",C968="4. bekkur"),"Já",IF(C968="Starfsmaður","Nei","Nei")))</f>
        <v/>
      </c>
      <c r="G968" s="63"/>
      <c r="H968" s="63"/>
      <c r="I968" s="63"/>
      <c r="J968" s="64" t="str">
        <f aca="false">IF(OR(A968="",B968=""),"",CONCATENATE("https://matarstund.is/serfaedi?id=",LOWER(SUBSTITUTE(B968,"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64" t="str">
        <f aca="false">IF(OR(A969="",B969=""),"",CONCATENATE("https://matarstund.is/serfaedi?id=",LOWER(SUBSTITUTE(B969," ","-"))))</f>
        <v/>
      </c>
    </row>
    <row r="970" customFormat="false" ht="15" hidden="false" customHeight="true" outlineLevel="0" collapsed="false">
      <c r="A970" s="63"/>
      <c r="B970" s="63"/>
      <c r="C970" s="63"/>
      <c r="D970" s="63"/>
      <c r="E970" s="63"/>
      <c r="F970" s="28" t="str">
        <f aca="false">IF(C970="","",IF(OR(C970="1. bekkur",C970="2. bekkur",C970="3. bekkur",C970="4. bekkur"),"Já",IF(C970="Starfsmaður","Nei","Nei")))</f>
        <v/>
      </c>
      <c r="G970" s="63"/>
      <c r="H970" s="63"/>
      <c r="I970" s="63"/>
      <c r="J970" s="64" t="str">
        <f aca="false">IF(OR(A970="",B970=""),"",CONCATENATE("https://matarstund.is/serfaedi?id=",LOWER(SUBSTITUTE(B970,"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64" t="str">
        <f aca="false">IF(OR(A971="",B971=""),"",CONCATENATE("https://matarstund.is/serfaedi?id=",LOWER(SUBSTITUTE(B971," ","-"))))</f>
        <v/>
      </c>
    </row>
    <row r="972" customFormat="false" ht="15" hidden="false" customHeight="true" outlineLevel="0" collapsed="false">
      <c r="A972" s="63"/>
      <c r="B972" s="63"/>
      <c r="C972" s="63"/>
      <c r="D972" s="63"/>
      <c r="E972" s="63"/>
      <c r="F972" s="28" t="str">
        <f aca="false">IF(C972="","",IF(OR(C972="1. bekkur",C972="2. bekkur",C972="3. bekkur",C972="4. bekkur"),"Já",IF(C972="Starfsmaður","Nei","Nei")))</f>
        <v/>
      </c>
      <c r="G972" s="63"/>
      <c r="H972" s="63"/>
      <c r="I972" s="63"/>
      <c r="J972" s="64" t="str">
        <f aca="false">IF(OR(A972="",B972=""),"",CONCATENATE("https://matarstund.is/serfaedi?id=",LOWER(SUBSTITUTE(B972,"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64" t="str">
        <f aca="false">IF(OR(A973="",B973=""),"",CONCATENATE("https://matarstund.is/serfaedi?id=",LOWER(SUBSTITUTE(B973," ","-"))))</f>
        <v/>
      </c>
    </row>
    <row r="974" customFormat="false" ht="15" hidden="false" customHeight="true" outlineLevel="0" collapsed="false">
      <c r="A974" s="63"/>
      <c r="B974" s="63"/>
      <c r="C974" s="63"/>
      <c r="D974" s="63"/>
      <c r="E974" s="63"/>
      <c r="F974" s="28" t="str">
        <f aca="false">IF(C974="","",IF(OR(C974="1. bekkur",C974="2. bekkur",C974="3. bekkur",C974="4. bekkur"),"Já",IF(C974="Starfsmaður","Nei","Nei")))</f>
        <v/>
      </c>
      <c r="G974" s="63"/>
      <c r="H974" s="63"/>
      <c r="I974" s="63"/>
      <c r="J974" s="64" t="str">
        <f aca="false">IF(OR(A974="",B974=""),"",CONCATENATE("https://matarstund.is/serfaedi?id=",LOWER(SUBSTITUTE(B974,"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64" t="str">
        <f aca="false">IF(OR(A975="",B975=""),"",CONCATENATE("https://matarstund.is/serfaedi?id=",LOWER(SUBSTITUTE(B975," ","-"))))</f>
        <v/>
      </c>
    </row>
    <row r="976" customFormat="false" ht="15" hidden="false" customHeight="true" outlineLevel="0" collapsed="false">
      <c r="A976" s="63"/>
      <c r="B976" s="63"/>
      <c r="C976" s="63"/>
      <c r="D976" s="63"/>
      <c r="E976" s="63"/>
      <c r="F976" s="28" t="str">
        <f aca="false">IF(C976="","",IF(OR(C976="1. bekkur",C976="2. bekkur",C976="3. bekkur",C976="4. bekkur"),"Já",IF(C976="Starfsmaður","Nei","Nei")))</f>
        <v/>
      </c>
      <c r="G976" s="63"/>
      <c r="H976" s="63"/>
      <c r="I976" s="63"/>
      <c r="J976" s="64" t="str">
        <f aca="false">IF(OR(A976="",B976=""),"",CONCATENATE("https://matarstund.is/serfaedi?id=",LOWER(SUBSTITUTE(B976,"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64" t="str">
        <f aca="false">IF(OR(A977="",B977=""),"",CONCATENATE("https://matarstund.is/serfaedi?id=",LOWER(SUBSTITUTE(B977," ","-"))))</f>
        <v/>
      </c>
    </row>
    <row r="978" customFormat="false" ht="15" hidden="false" customHeight="true" outlineLevel="0" collapsed="false">
      <c r="A978" s="63"/>
      <c r="B978" s="63"/>
      <c r="C978" s="63"/>
      <c r="D978" s="63"/>
      <c r="E978" s="63"/>
      <c r="F978" s="28" t="str">
        <f aca="false">IF(C978="","",IF(OR(C978="1. bekkur",C978="2. bekkur",C978="3. bekkur",C978="4. bekkur"),"Já",IF(C978="Starfsmaður","Nei","Nei")))</f>
        <v/>
      </c>
      <c r="G978" s="63"/>
      <c r="H978" s="63"/>
      <c r="I978" s="63"/>
      <c r="J978" s="64" t="str">
        <f aca="false">IF(OR(A978="",B978=""),"",CONCATENATE("https://matarstund.is/serfaedi?id=",LOWER(SUBSTITUTE(B978,"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64" t="str">
        <f aca="false">IF(OR(A979="",B979=""),"",CONCATENATE("https://matarstund.is/serfaedi?id=",LOWER(SUBSTITUTE(B979," ","-"))))</f>
        <v/>
      </c>
    </row>
    <row r="980" customFormat="false" ht="15" hidden="false" customHeight="true" outlineLevel="0" collapsed="false">
      <c r="A980" s="63"/>
      <c r="B980" s="63"/>
      <c r="C980" s="63"/>
      <c r="D980" s="63"/>
      <c r="E980" s="63"/>
      <c r="F980" s="28" t="str">
        <f aca="false">IF(C980="","",IF(OR(C980="1. bekkur",C980="2. bekkur",C980="3. bekkur",C980="4. bekkur"),"Já",IF(C980="Starfsmaður","Nei","Nei")))</f>
        <v/>
      </c>
      <c r="G980" s="63"/>
      <c r="H980" s="63"/>
      <c r="I980" s="63"/>
      <c r="J980" s="64" t="str">
        <f aca="false">IF(OR(A980="",B980=""),"",CONCATENATE("https://matarstund.is/serfaedi?id=",LOWER(SUBSTITUTE(B980,"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64" t="str">
        <f aca="false">IF(OR(A981="",B981=""),"",CONCATENATE("https://matarstund.is/serfaedi?id=",LOWER(SUBSTITUTE(B981," ","-"))))</f>
        <v/>
      </c>
    </row>
    <row r="982" customFormat="false" ht="15" hidden="false" customHeight="true" outlineLevel="0" collapsed="false">
      <c r="A982" s="63"/>
      <c r="B982" s="63"/>
      <c r="C982" s="63"/>
      <c r="D982" s="63"/>
      <c r="E982" s="63"/>
      <c r="F982" s="28" t="str">
        <f aca="false">IF(C982="","",IF(OR(C982="1. bekkur",C982="2. bekkur",C982="3. bekkur",C982="4. bekkur"),"Já",IF(C982="Starfsmaður","Nei","Nei")))</f>
        <v/>
      </c>
      <c r="G982" s="63"/>
      <c r="H982" s="63"/>
      <c r="I982" s="63"/>
      <c r="J982" s="64" t="str">
        <f aca="false">IF(OR(A982="",B982=""),"",CONCATENATE("https://matarstund.is/serfaedi?id=",LOWER(SUBSTITUTE(B982,"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64" t="str">
        <f aca="false">IF(OR(A983="",B983=""),"",CONCATENATE("https://matarstund.is/serfaedi?id=",LOWER(SUBSTITUTE(B983," ","-"))))</f>
        <v/>
      </c>
    </row>
    <row r="984" customFormat="false" ht="15" hidden="false" customHeight="true" outlineLevel="0" collapsed="false">
      <c r="A984" s="63"/>
      <c r="B984" s="63"/>
      <c r="C984" s="63"/>
      <c r="D984" s="63"/>
      <c r="E984" s="63"/>
      <c r="F984" s="28" t="str">
        <f aca="false">IF(C984="","",IF(OR(C984="1. bekkur",C984="2. bekkur",C984="3. bekkur",C984="4. bekkur"),"Já",IF(C984="Starfsmaður","Nei","Nei")))</f>
        <v/>
      </c>
      <c r="G984" s="63"/>
      <c r="H984" s="63"/>
      <c r="I984" s="63"/>
      <c r="J984" s="64" t="str">
        <f aca="false">IF(OR(A984="",B984=""),"",CONCATENATE("https://matarstund.is/serfaedi?id=",LOWER(SUBSTITUTE(B984,"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64" t="str">
        <f aca="false">IF(OR(A985="",B985=""),"",CONCATENATE("https://matarstund.is/serfaedi?id=",LOWER(SUBSTITUTE(B985," ","-"))))</f>
        <v/>
      </c>
    </row>
    <row r="986" customFormat="false" ht="15" hidden="false" customHeight="true" outlineLevel="0" collapsed="false">
      <c r="A986" s="63"/>
      <c r="B986" s="63"/>
      <c r="C986" s="63"/>
      <c r="D986" s="63"/>
      <c r="E986" s="63"/>
      <c r="F986" s="28" t="str">
        <f aca="false">IF(C986="","",IF(OR(C986="1. bekkur",C986="2. bekkur",C986="3. bekkur",C986="4. bekkur"),"Já",IF(C986="Starfsmaður","Nei","Nei")))</f>
        <v/>
      </c>
      <c r="G986" s="63"/>
      <c r="H986" s="63"/>
      <c r="I986" s="63"/>
      <c r="J986" s="64" t="str">
        <f aca="false">IF(OR(A986="",B986=""),"",CONCATENATE("https://matarstund.is/serfaedi?id=",LOWER(SUBSTITUTE(B986,"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64" t="str">
        <f aca="false">IF(OR(A987="",B987=""),"",CONCATENATE("https://matarstund.is/serfaedi?id=",LOWER(SUBSTITUTE(B987," ","-"))))</f>
        <v/>
      </c>
    </row>
    <row r="988" customFormat="false" ht="15" hidden="false" customHeight="true" outlineLevel="0" collapsed="false">
      <c r="A988" s="63"/>
      <c r="B988" s="63"/>
      <c r="C988" s="63"/>
      <c r="D988" s="63"/>
      <c r="E988" s="63"/>
      <c r="F988" s="28" t="str">
        <f aca="false">IF(C988="","",IF(OR(C988="1. bekkur",C988="2. bekkur",C988="3. bekkur",C988="4. bekkur"),"Já",IF(C988="Starfsmaður","Nei","Nei")))</f>
        <v/>
      </c>
      <c r="G988" s="63"/>
      <c r="H988" s="63"/>
      <c r="I988" s="63"/>
      <c r="J988" s="64" t="str">
        <f aca="false">IF(OR(A988="",B988=""),"",CONCATENATE("https://matarstund.is/serfaedi?id=",LOWER(SUBSTITUTE(B988,"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64" t="str">
        <f aca="false">IF(OR(A989="",B989=""),"",CONCATENATE("https://matarstund.is/serfaedi?id=",LOWER(SUBSTITUTE(B989," ","-"))))</f>
        <v/>
      </c>
    </row>
    <row r="990" customFormat="false" ht="15" hidden="false" customHeight="true" outlineLevel="0" collapsed="false">
      <c r="A990" s="63"/>
      <c r="B990" s="63"/>
      <c r="C990" s="63"/>
      <c r="D990" s="63"/>
      <c r="E990" s="63"/>
      <c r="F990" s="28" t="str">
        <f aca="false">IF(C990="","",IF(OR(C990="1. bekkur",C990="2. bekkur",C990="3. bekkur",C990="4. bekkur"),"Já",IF(C990="Starfsmaður","Nei","Nei")))</f>
        <v/>
      </c>
      <c r="G990" s="63"/>
      <c r="H990" s="63"/>
      <c r="I990" s="63"/>
      <c r="J990" s="64" t="str">
        <f aca="false">IF(OR(A990="",B990=""),"",CONCATENATE("https://matarstund.is/serfaedi?id=",LOWER(SUBSTITUTE(B990,"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64" t="str">
        <f aca="false">IF(OR(A991="",B991=""),"",CONCATENATE("https://matarstund.is/serfaedi?id=",LOWER(SUBSTITUTE(B991," ","-"))))</f>
        <v/>
      </c>
    </row>
    <row r="992" customFormat="false" ht="15" hidden="false" customHeight="true" outlineLevel="0" collapsed="false">
      <c r="A992" s="63"/>
      <c r="B992" s="63"/>
      <c r="C992" s="63"/>
      <c r="D992" s="63"/>
      <c r="E992" s="63"/>
      <c r="F992" s="28" t="str">
        <f aca="false">IF(C992="","",IF(OR(C992="1. bekkur",C992="2. bekkur",C992="3. bekkur",C992="4. bekkur"),"Já",IF(C992="Starfsmaður","Nei","Nei")))</f>
        <v/>
      </c>
      <c r="G992" s="63"/>
      <c r="H992" s="63"/>
      <c r="I992" s="63"/>
      <c r="J992" s="64" t="str">
        <f aca="false">IF(OR(A992="",B992=""),"",CONCATENATE("https://matarstund.is/serfaedi?id=",LOWER(SUBSTITUTE(B992,"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64" t="str">
        <f aca="false">IF(OR(A993="",B993=""),"",CONCATENATE("https://matarstund.is/serfaedi?id=",LOWER(SUBSTITUTE(B993," ","-"))))</f>
        <v/>
      </c>
    </row>
    <row r="994" customFormat="false" ht="15" hidden="false" customHeight="true" outlineLevel="0" collapsed="false">
      <c r="A994" s="63"/>
      <c r="B994" s="63"/>
      <c r="C994" s="63"/>
      <c r="D994" s="63"/>
      <c r="E994" s="63"/>
      <c r="F994" s="28" t="str">
        <f aca="false">IF(C994="","",IF(OR(C994="1. bekkur",C994="2. bekkur",C994="3. bekkur",C994="4. bekkur"),"Já",IF(C994="Starfsmaður","Nei","Nei")))</f>
        <v/>
      </c>
      <c r="G994" s="63"/>
      <c r="H994" s="63"/>
      <c r="I994" s="63"/>
      <c r="J994" s="64" t="str">
        <f aca="false">IF(OR(A994="",B994=""),"",CONCATENATE("https://matarstund.is/serfaedi?id=",LOWER(SUBSTITUTE(B994,"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64" t="str">
        <f aca="false">IF(OR(A995="",B995=""),"",CONCATENATE("https://matarstund.is/serfaedi?id=",LOWER(SUBSTITUTE(B995," ","-"))))</f>
        <v/>
      </c>
    </row>
    <row r="996" customFormat="false" ht="15" hidden="false" customHeight="true" outlineLevel="0" collapsed="false">
      <c r="A996" s="63"/>
      <c r="B996" s="63"/>
      <c r="C996" s="63"/>
      <c r="D996" s="63"/>
      <c r="E996" s="63"/>
      <c r="F996" s="28" t="str">
        <f aca="false">IF(C996="","",IF(OR(C996="1. bekkur",C996="2. bekkur",C996="3. bekkur",C996="4. bekkur"),"Já",IF(C996="Starfsmaður","Nei","Nei")))</f>
        <v/>
      </c>
      <c r="G996" s="63"/>
      <c r="H996" s="63"/>
      <c r="I996" s="63"/>
      <c r="J996" s="64" t="str">
        <f aca="false">IF(OR(A996="",B996=""),"",CONCATENATE("https://matarstund.is/serfaedi?id=",LOWER(SUBSTITUTE(B996,"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64" t="str">
        <f aca="false">IF(OR(A997="",B997=""),"",CONCATENATE("https://matarstund.is/serfaedi?id=",LOWER(SUBSTITUTE(B997," ","-"))))</f>
        <v/>
      </c>
    </row>
    <row r="998" customFormat="false" ht="15" hidden="false" customHeight="true" outlineLevel="0" collapsed="false">
      <c r="A998" s="63"/>
      <c r="B998" s="63"/>
      <c r="C998" s="63"/>
      <c r="D998" s="63"/>
      <c r="E998" s="63"/>
      <c r="F998" s="28" t="str">
        <f aca="false">IF(C998="","",IF(OR(C998="1. bekkur",C998="2. bekkur",C998="3. bekkur",C998="4. bekkur"),"Já",IF(C998="Starfsmaður","Nei","Nei")))</f>
        <v/>
      </c>
      <c r="G998" s="63"/>
      <c r="H998" s="63"/>
      <c r="I998" s="63"/>
      <c r="J998" s="64" t="str">
        <f aca="false">IF(OR(A998="",B998=""),"",CONCATENATE("https://matarstund.is/serfaedi?id=",LOWER(SUBSTITUTE(B998,"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64" t="str">
        <f aca="false">IF(OR(A999="",B999=""),"",CONCATENATE("https://matarstund.is/serfaedi?id=",LOWER(SUBSTITUTE(B999," ","-"))))</f>
        <v/>
      </c>
    </row>
    <row r="1000" customFormat="false" ht="15" hidden="false" customHeight="true" outlineLevel="0" collapsed="false">
      <c r="A1000" s="63"/>
      <c r="B1000" s="63"/>
      <c r="C1000" s="63"/>
      <c r="D1000" s="63"/>
      <c r="E1000" s="63"/>
      <c r="F1000" s="28" t="str">
        <f aca="false">IF(C1000="","",IF(OR(C1000="1. bekkur",C1000="2. bekkur",C1000="3. bekkur",C1000="4. bekkur"),"Já",IF(C1000="Starfsmaður","Nei","Nei")))</f>
        <v/>
      </c>
      <c r="G1000" s="63"/>
      <c r="H1000" s="63"/>
      <c r="I1000" s="63"/>
      <c r="J1000" s="64" t="str">
        <f aca="false">IF(OR(A1000="",B1000=""),"",CONCATENATE("https://matarstund.is/serfaedi?id=",LOWER(SUBSTITUTE(B1000,"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64" t="str">
        <f aca="false">IF(OR(A1001="",B1001=""),"",CONCATENATE("https://matarstund.is/serfaedi?id=",LOWER(SUBSTITUTE(B1001," ","-"))))</f>
        <v/>
      </c>
    </row>
    <row r="1002" customFormat="false" ht="15" hidden="false" customHeight="true" outlineLevel="0" collapsed="false">
      <c r="A1002" s="63"/>
      <c r="B1002" s="63"/>
      <c r="C1002" s="63"/>
      <c r="D1002" s="63"/>
      <c r="E1002" s="63"/>
      <c r="F1002" s="28" t="str">
        <f aca="false">IF(C1002="","",IF(OR(C1002="1. bekkur",C1002="2. bekkur",C1002="3. bekkur",C1002="4. bekkur"),"Já",IF(C1002="Starfsmaður","Nei","Nei")))</f>
        <v/>
      </c>
      <c r="G1002" s="63"/>
      <c r="H1002" s="63"/>
      <c r="I1002" s="63"/>
      <c r="J1002" s="64" t="str">
        <f aca="false">IF(OR(A1002="",B1002=""),"",CONCATENATE("https://matarstund.is/serfaedi?id=",LOWER(SUBSTITUTE(B1002,"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64" t="str">
        <f aca="false">IF(OR(A1003="",B1003=""),"",CONCATENATE("https://matarstund.is/serfaedi?id=",LOWER(SUBSTITUTE(B1003," ","-"))))</f>
        <v/>
      </c>
    </row>
    <row r="1004" customFormat="false" ht="15" hidden="false" customHeight="true" outlineLevel="0" collapsed="false">
      <c r="A1004" s="63"/>
      <c r="B1004" s="63"/>
      <c r="C1004" s="63"/>
      <c r="D1004" s="63"/>
      <c r="E1004" s="63"/>
      <c r="F1004" s="28" t="str">
        <f aca="false">IF(C1004="","",IF(OR(C1004="1. bekkur",C1004="2. bekkur",C1004="3. bekkur",C1004="4. bekkur"),"Já",IF(C1004="Starfsmaður","Nei","Nei")))</f>
        <v/>
      </c>
      <c r="G1004" s="63"/>
      <c r="H1004" s="63"/>
      <c r="I1004" s="63"/>
      <c r="J1004" s="64" t="str">
        <f aca="false">IF(OR(A1004="",B1004=""),"",CONCATENATE("https://matarstund.is/serfaedi?id=",LOWER(SUBSTITUTE(B1004,"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64" t="str">
        <f aca="false">IF(OR(A1005="",B1005=""),"",CONCATENATE("https://matarstund.is/serfaedi?id=",LOWER(SUBSTITUTE(B1005," ","-"))))</f>
        <v/>
      </c>
    </row>
    <row r="1006" customFormat="false" ht="15" hidden="false" customHeight="true" outlineLevel="0" collapsed="false">
      <c r="A1006" s="63"/>
      <c r="B1006" s="63"/>
      <c r="C1006" s="63"/>
      <c r="D1006" s="63"/>
      <c r="E1006" s="63"/>
      <c r="F1006" s="28" t="str">
        <f aca="false">IF(C1006="","",IF(OR(C1006="1. bekkur",C1006="2. bekkur",C1006="3. bekkur",C1006="4. bekkur"),"Já",IF(C1006="Starfsmaður","Nei","Nei")))</f>
        <v/>
      </c>
      <c r="G1006" s="63"/>
      <c r="H1006" s="63"/>
      <c r="I1006" s="63"/>
      <c r="J1006" s="64" t="str">
        <f aca="false">IF(OR(A1006="",B1006=""),"",CONCATENATE("https://matarstund.is/serfaedi?id=",LOWER(SUBSTITUTE(B1006,"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64" t="str">
        <f aca="false">IF(OR(A1007="",B1007=""),"",CONCATENATE("https://matarstund.is/serfaedi?id=",LOWER(SUBSTITUTE(B1007," ","-"))))</f>
        <v/>
      </c>
    </row>
    <row r="1008" customFormat="false" ht="15" hidden="false" customHeight="true" outlineLevel="0" collapsed="false">
      <c r="A1008" s="63"/>
      <c r="B1008" s="63"/>
      <c r="C1008" s="63"/>
      <c r="D1008" s="63"/>
      <c r="E1008" s="63"/>
      <c r="F1008" s="28" t="str">
        <f aca="false">IF(C1008="","",IF(OR(C1008="1. bekkur",C1008="2. bekkur",C1008="3. bekkur",C1008="4. bekkur"),"Já",IF(C1008="Starfsmaður","Nei","Nei")))</f>
        <v/>
      </c>
      <c r="G1008" s="63"/>
      <c r="H1008" s="63"/>
      <c r="I1008" s="63"/>
      <c r="J1008" s="64" t="str">
        <f aca="false">IF(OR(A1008="",B1008=""),"",CONCATENATE("https://matarstund.is/serfaedi?id=",LOWER(SUBSTITUTE(B1008,"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64" t="str">
        <f aca="false">IF(OR(A1009="",B1009=""),"",CONCATENATE("https://matarstund.is/serfaedi?id=",LOWER(SUBSTITUTE(B1009," ","-"))))</f>
        <v/>
      </c>
    </row>
    <row r="1010" customFormat="false" ht="15" hidden="false" customHeight="true" outlineLevel="0" collapsed="false">
      <c r="A1010" s="63"/>
      <c r="B1010" s="63"/>
      <c r="C1010" s="63"/>
      <c r="D1010" s="63"/>
      <c r="E1010" s="63"/>
      <c r="F1010" s="28" t="str">
        <f aca="false">IF(C1010="","",IF(OR(C1010="1. bekkur",C1010="2. bekkur",C1010="3. bekkur",C1010="4. bekkur"),"Já",IF(C1010="Starfsmaður","Nei","Nei")))</f>
        <v/>
      </c>
      <c r="G1010" s="63"/>
      <c r="H1010" s="63"/>
      <c r="I1010" s="63"/>
      <c r="J1010" s="64" t="str">
        <f aca="false">IF(OR(A1010="",B1010=""),"",CONCATENATE("https://matarstund.is/serfaedi?id=",LOWER(SUBSTITUTE(B1010,"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64" t="str">
        <f aca="false">IF(OR(A1011="",B1011=""),"",CONCATENATE("https://matarstund.is/serfaedi?id=",LOWER(SUBSTITUTE(B1011," ","-"))))</f>
        <v/>
      </c>
    </row>
    <row r="1012" customFormat="false" ht="15" hidden="false" customHeight="true" outlineLevel="0" collapsed="false">
      <c r="A1012" s="63"/>
      <c r="B1012" s="63"/>
      <c r="C1012" s="63"/>
      <c r="D1012" s="63"/>
      <c r="E1012" s="63"/>
      <c r="F1012" s="28" t="str">
        <f aca="false">IF(C1012="","",IF(OR(C1012="1. bekkur",C1012="2. bekkur",C1012="3. bekkur",C1012="4. bekkur"),"Já",IF(C1012="Starfsmaður","Nei","Nei")))</f>
        <v/>
      </c>
      <c r="G1012" s="63"/>
      <c r="H1012" s="63"/>
      <c r="I1012" s="63"/>
      <c r="J1012" s="64" t="str">
        <f aca="false">IF(OR(A1012="",B1012=""),"",CONCATENATE("https://matarstund.is/serfaedi?id=",LOWER(SUBSTITUTE(B1012,"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64" t="str">
        <f aca="false">IF(OR(A1013="",B1013=""),"",CONCATENATE("https://matarstund.is/serfaedi?id=",LOWER(SUBSTITUTE(B1013," ","-"))))</f>
        <v/>
      </c>
    </row>
    <row r="1014" customFormat="false" ht="15" hidden="false" customHeight="true" outlineLevel="0" collapsed="false">
      <c r="A1014" s="63"/>
      <c r="B1014" s="63"/>
      <c r="C1014" s="63"/>
      <c r="D1014" s="63"/>
      <c r="E1014" s="63"/>
      <c r="F1014" s="28" t="str">
        <f aca="false">IF(C1014="","",IF(OR(C1014="1. bekkur",C1014="2. bekkur",C1014="3. bekkur",C1014="4. bekkur"),"Já",IF(C1014="Starfsmaður","Nei","Nei")))</f>
        <v/>
      </c>
      <c r="G1014" s="63"/>
      <c r="H1014" s="63"/>
      <c r="I1014" s="63"/>
      <c r="J1014" s="64" t="str">
        <f aca="false">IF(OR(A1014="",B1014=""),"",CONCATENATE("https://matarstund.is/serfaedi?id=",LOWER(SUBSTITUTE(B1014,"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64" t="str">
        <f aca="false">IF(OR(A1015="",B1015=""),"",CONCATENATE("https://matarstund.is/serfaedi?id=",LOWER(SUBSTITUTE(B1015," ","-"))))</f>
        <v/>
      </c>
    </row>
    <row r="1016" customFormat="false" ht="15" hidden="false" customHeight="true" outlineLevel="0" collapsed="false">
      <c r="A1016" s="63"/>
      <c r="B1016" s="63"/>
      <c r="C1016" s="63"/>
      <c r="D1016" s="63"/>
      <c r="E1016" s="63"/>
      <c r="F1016" s="28" t="str">
        <f aca="false">IF(C1016="","",IF(OR(C1016="1. bekkur",C1016="2. bekkur",C1016="3. bekkur",C1016="4. bekkur"),"Já",IF(C1016="Starfsmaður","Nei","Nei")))</f>
        <v/>
      </c>
      <c r="G1016" s="63"/>
      <c r="H1016" s="63"/>
      <c r="I1016" s="63"/>
      <c r="J1016" s="64" t="str">
        <f aca="false">IF(OR(A1016="",B1016=""),"",CONCATENATE("https://matarstund.is/serfaedi?id=",LOWER(SUBSTITUTE(B1016,"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64" t="str">
        <f aca="false">IF(OR(A1017="",B1017=""),"",CONCATENATE("https://matarstund.is/serfaedi?id=",LOWER(SUBSTITUTE(B1017," ","-"))))</f>
        <v/>
      </c>
    </row>
    <row r="1018" customFormat="false" ht="15" hidden="false" customHeight="true" outlineLevel="0" collapsed="false">
      <c r="A1018" s="63"/>
      <c r="B1018" s="63"/>
      <c r="C1018" s="63"/>
      <c r="D1018" s="63"/>
      <c r="E1018" s="63"/>
      <c r="F1018" s="28" t="str">
        <f aca="false">IF(C1018="","",IF(OR(C1018="1. bekkur",C1018="2. bekkur",C1018="3. bekkur",C1018="4. bekkur"),"Já",IF(C1018="Starfsmaður","Nei","Nei")))</f>
        <v/>
      </c>
      <c r="G1018" s="63"/>
      <c r="H1018" s="63"/>
      <c r="I1018" s="63"/>
      <c r="J1018" s="64" t="str">
        <f aca="false">IF(OR(A1018="",B1018=""),"",CONCATENATE("https://matarstund.is/serfaedi?id=",LOWER(SUBSTITUTE(B1018,"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64" t="str">
        <f aca="false">IF(OR(A1019="",B1019=""),"",CONCATENATE("https://matarstund.is/serfaedi?id=",LOWER(SUBSTITUTE(B1019," ","-"))))</f>
        <v/>
      </c>
    </row>
    <row r="1020" customFormat="false" ht="15" hidden="false" customHeight="true" outlineLevel="0" collapsed="false">
      <c r="A1020" s="63"/>
      <c r="B1020" s="63"/>
      <c r="C1020" s="63"/>
      <c r="D1020" s="63"/>
      <c r="E1020" s="63"/>
      <c r="F1020" s="28" t="str">
        <f aca="false">IF(C1020="","",IF(OR(C1020="1. bekkur",C1020="2. bekkur",C1020="3. bekkur",C1020="4. bekkur"),"Já",IF(C1020="Starfsmaður","Nei","Nei")))</f>
        <v/>
      </c>
      <c r="G1020" s="63"/>
      <c r="H1020" s="63"/>
      <c r="I1020" s="63"/>
      <c r="J1020" s="64" t="str">
        <f aca="false">IF(OR(A1020="",B1020=""),"",CONCATENATE("https://matarstund.is/serfaedi?id=",LOWER(SUBSTITUTE(B1020,"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64" t="str">
        <f aca="false">IF(OR(A1021="",B1021=""),"",CONCATENATE("https://matarstund.is/serfaedi?id=",LOWER(SUBSTITUTE(B1021," ","-"))))</f>
        <v/>
      </c>
    </row>
    <row r="1022" customFormat="false" ht="15" hidden="false" customHeight="true" outlineLevel="0" collapsed="false">
      <c r="A1022" s="63"/>
      <c r="B1022" s="63"/>
      <c r="C1022" s="63"/>
      <c r="D1022" s="63"/>
      <c r="E1022" s="63"/>
      <c r="F1022" s="28" t="str">
        <f aca="false">IF(C1022="","",IF(OR(C1022="1. bekkur",C1022="2. bekkur",C1022="3. bekkur",C1022="4. bekkur"),"Já",IF(C1022="Starfsmaður","Nei","Nei")))</f>
        <v/>
      </c>
      <c r="G1022" s="63"/>
      <c r="H1022" s="63"/>
      <c r="I1022" s="63"/>
      <c r="J1022" s="64" t="str">
        <f aca="false">IF(OR(A1022="",B1022=""),"",CONCATENATE("https://matarstund.is/serfaedi?id=",LOWER(SUBSTITUTE(B1022,"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64" t="str">
        <f aca="false">IF(OR(A1023="",B1023=""),"",CONCATENATE("https://matarstund.is/serfaedi?id=",LOWER(SUBSTITUTE(B1023," ","-"))))</f>
        <v/>
      </c>
    </row>
    <row r="1024" customFormat="false" ht="15" hidden="false" customHeight="true" outlineLevel="0" collapsed="false">
      <c r="A1024" s="63"/>
      <c r="B1024" s="63"/>
      <c r="C1024" s="63"/>
      <c r="D1024" s="63"/>
      <c r="E1024" s="63"/>
      <c r="F1024" s="28" t="str">
        <f aca="false">IF(C1024="","",IF(OR(C1024="1. bekkur",C1024="2. bekkur",C1024="3. bekkur",C1024="4. bekkur"),"Já",IF(C1024="Starfsmaður","Nei","Nei")))</f>
        <v/>
      </c>
      <c r="G1024" s="63"/>
      <c r="H1024" s="63"/>
      <c r="I1024" s="63"/>
      <c r="J1024" s="64" t="str">
        <f aca="false">IF(OR(A1024="",B1024=""),"",CONCATENATE("https://matarstund.is/serfaedi?id=",LOWER(SUBSTITUTE(B1024,"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64" t="str">
        <f aca="false">IF(OR(A1025="",B1025=""),"",CONCATENATE("https://matarstund.is/serfaedi?id=",LOWER(SUBSTITUTE(B1025," ","-"))))</f>
        <v/>
      </c>
    </row>
    <row r="1026" customFormat="false" ht="15" hidden="false" customHeight="true" outlineLevel="0" collapsed="false">
      <c r="A1026" s="63"/>
      <c r="B1026" s="63"/>
      <c r="C1026" s="63"/>
      <c r="D1026" s="63"/>
      <c r="E1026" s="63"/>
      <c r="F1026" s="28" t="str">
        <f aca="false">IF(C1026="","",IF(OR(C1026="1. bekkur",C1026="2. bekkur",C1026="3. bekkur",C1026="4. bekkur"),"Já",IF(C1026="Starfsmaður","Nei","Nei")))</f>
        <v/>
      </c>
      <c r="G1026" s="63"/>
      <c r="H1026" s="63"/>
      <c r="I1026" s="63"/>
      <c r="J1026" s="64" t="str">
        <f aca="false">IF(OR(A1026="",B1026=""),"",CONCATENATE("https://matarstund.is/serfaedi?id=",LOWER(SUBSTITUTE(B1026,"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64" t="str">
        <f aca="false">IF(OR(A1027="",B1027=""),"",CONCATENATE("https://matarstund.is/serfaedi?id=",LOWER(SUBSTITUTE(B1027," ","-"))))</f>
        <v/>
      </c>
    </row>
    <row r="1028" customFormat="false" ht="15" hidden="false" customHeight="true" outlineLevel="0" collapsed="false">
      <c r="A1028" s="63"/>
      <c r="B1028" s="63"/>
      <c r="C1028" s="63"/>
      <c r="D1028" s="63"/>
      <c r="E1028" s="63"/>
      <c r="F1028" s="28" t="str">
        <f aca="false">IF(C1028="","",IF(OR(C1028="1. bekkur",C1028="2. bekkur",C1028="3. bekkur",C1028="4. bekkur"),"Já",IF(C1028="Starfsmaður","Nei","Nei")))</f>
        <v/>
      </c>
      <c r="G1028" s="63"/>
      <c r="H1028" s="63"/>
      <c r="I1028" s="63"/>
      <c r="J1028" s="64" t="str">
        <f aca="false">IF(OR(A1028="",B1028=""),"",CONCATENATE("https://matarstund.is/serfaedi?id=",LOWER(SUBSTITUTE(B1028,"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64" t="str">
        <f aca="false">IF(OR(A1029="",B1029=""),"",CONCATENATE("https://matarstund.is/serfaedi?id=",LOWER(SUBSTITUTE(B1029," ","-"))))</f>
        <v/>
      </c>
    </row>
    <row r="1030" customFormat="false" ht="15" hidden="false" customHeight="true" outlineLevel="0" collapsed="false">
      <c r="A1030" s="63"/>
      <c r="B1030" s="63"/>
      <c r="C1030" s="63"/>
      <c r="D1030" s="63"/>
      <c r="E1030" s="63"/>
      <c r="F1030" s="28" t="str">
        <f aca="false">IF(C1030="","",IF(OR(C1030="1. bekkur",C1030="2. bekkur",C1030="3. bekkur",C1030="4. bekkur"),"Já",IF(C1030="Starfsmaður","Nei","Nei")))</f>
        <v/>
      </c>
      <c r="G1030" s="63"/>
      <c r="H1030" s="63"/>
      <c r="I1030" s="63"/>
      <c r="J1030" s="64" t="str">
        <f aca="false">IF(OR(A1030="",B1030=""),"",CONCATENATE("https://matarstund.is/serfaedi?id=",LOWER(SUBSTITUTE(B1030,"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64" t="str">
        <f aca="false">IF(OR(A1031="",B1031=""),"",CONCATENATE("https://matarstund.is/serfaedi?id=",LOWER(SUBSTITUTE(B1031," ","-"))))</f>
        <v/>
      </c>
    </row>
    <row r="1032" customFormat="false" ht="15" hidden="false" customHeight="true" outlineLevel="0" collapsed="false">
      <c r="A1032" s="63"/>
      <c r="B1032" s="63"/>
      <c r="C1032" s="63"/>
      <c r="D1032" s="63"/>
      <c r="E1032" s="63"/>
      <c r="F1032" s="28" t="str">
        <f aca="false">IF(C1032="","",IF(OR(C1032="1. bekkur",C1032="2. bekkur",C1032="3. bekkur",C1032="4. bekkur"),"Já",IF(C1032="Starfsmaður","Nei","Nei")))</f>
        <v/>
      </c>
      <c r="G1032" s="63"/>
      <c r="H1032" s="63"/>
      <c r="I1032" s="63"/>
      <c r="J1032" s="64" t="str">
        <f aca="false">IF(OR(A1032="",B1032=""),"",CONCATENATE("https://matarstund.is/serfaedi?id=",LOWER(SUBSTITUTE(B1032,"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64" t="str">
        <f aca="false">IF(OR(A1033="",B1033=""),"",CONCATENATE("https://matarstund.is/serfaedi?id=",LOWER(SUBSTITUTE(B1033," ","-"))))</f>
        <v/>
      </c>
    </row>
    <row r="1034" customFormat="false" ht="15" hidden="false" customHeight="true" outlineLevel="0" collapsed="false">
      <c r="A1034" s="63"/>
      <c r="B1034" s="63"/>
      <c r="C1034" s="63"/>
      <c r="D1034" s="63"/>
      <c r="E1034" s="63"/>
      <c r="F1034" s="28" t="str">
        <f aca="false">IF(C1034="","",IF(OR(C1034="1. bekkur",C1034="2. bekkur",C1034="3. bekkur",C1034="4. bekkur"),"Já",IF(C1034="Starfsmaður","Nei","Nei")))</f>
        <v/>
      </c>
      <c r="G1034" s="63"/>
      <c r="H1034" s="63"/>
      <c r="I1034" s="63"/>
      <c r="J1034" s="64" t="str">
        <f aca="false">IF(OR(A1034="",B1034=""),"",CONCATENATE("https://matarstund.is/serfaedi?id=",LOWER(SUBSTITUTE(B1034,"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64" t="str">
        <f aca="false">IF(OR(A1035="",B1035=""),"",CONCATENATE("https://matarstund.is/serfaedi?id=",LOWER(SUBSTITUTE(B1035," ","-"))))</f>
        <v/>
      </c>
    </row>
    <row r="1036" customFormat="false" ht="15" hidden="false" customHeight="true" outlineLevel="0" collapsed="false">
      <c r="A1036" s="63"/>
      <c r="B1036" s="63"/>
      <c r="C1036" s="63"/>
      <c r="D1036" s="63"/>
      <c r="E1036" s="63"/>
      <c r="F1036" s="28" t="str">
        <f aca="false">IF(C1036="","",IF(OR(C1036="1. bekkur",C1036="2. bekkur",C1036="3. bekkur",C1036="4. bekkur"),"Já",IF(C1036="Starfsmaður","Nei","Nei")))</f>
        <v/>
      </c>
      <c r="G1036" s="63"/>
      <c r="H1036" s="63"/>
      <c r="I1036" s="63"/>
      <c r="J1036" s="64" t="str">
        <f aca="false">IF(OR(A1036="",B1036=""),"",CONCATENATE("https://matarstund.is/serfaedi?id=",LOWER(SUBSTITUTE(B1036,"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64" t="str">
        <f aca="false">IF(OR(A1037="",B1037=""),"",CONCATENATE("https://matarstund.is/serfaedi?id=",LOWER(SUBSTITUTE(B1037," ","-"))))</f>
        <v/>
      </c>
    </row>
    <row r="1038" customFormat="false" ht="15" hidden="false" customHeight="true" outlineLevel="0" collapsed="false">
      <c r="A1038" s="63"/>
      <c r="B1038" s="63"/>
      <c r="C1038" s="63"/>
      <c r="D1038" s="63"/>
      <c r="E1038" s="63"/>
      <c r="F1038" s="28" t="str">
        <f aca="false">IF(C1038="","",IF(OR(C1038="1. bekkur",C1038="2. bekkur",C1038="3. bekkur",C1038="4. bekkur"),"Já",IF(C1038="Starfsmaður","Nei","Nei")))</f>
        <v/>
      </c>
      <c r="G1038" s="63"/>
      <c r="H1038" s="63"/>
      <c r="I1038" s="63"/>
      <c r="J1038" s="64" t="str">
        <f aca="false">IF(OR(A1038="",B1038=""),"",CONCATENATE("https://matarstund.is/serfaedi?id=",LOWER(SUBSTITUTE(B1038,"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64" t="str">
        <f aca="false">IF(OR(A1039="",B1039=""),"",CONCATENATE("https://matarstund.is/serfaedi?id=",LOWER(SUBSTITUTE(B1039," ","-"))))</f>
        <v/>
      </c>
    </row>
    <row r="1040" customFormat="false" ht="15" hidden="false" customHeight="true" outlineLevel="0" collapsed="false">
      <c r="A1040" s="63"/>
      <c r="B1040" s="63"/>
      <c r="C1040" s="63"/>
      <c r="D1040" s="63"/>
      <c r="E1040" s="63"/>
      <c r="F1040" s="28" t="str">
        <f aca="false">IF(C1040="","",IF(OR(C1040="1. bekkur",C1040="2. bekkur",C1040="3. bekkur",C1040="4. bekkur"),"Já",IF(C1040="Starfsmaður","Nei","Nei")))</f>
        <v/>
      </c>
      <c r="G1040" s="63"/>
      <c r="H1040" s="63"/>
      <c r="I1040" s="63"/>
      <c r="J1040" s="64" t="str">
        <f aca="false">IF(OR(A1040="",B1040=""),"",CONCATENATE("https://matarstund.is/serfaedi?id=",LOWER(SUBSTITUTE(B1040,"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64" t="str">
        <f aca="false">IF(OR(A1041="",B1041=""),"",CONCATENATE("https://matarstund.is/serfaedi?id=",LOWER(SUBSTITUTE(B1041," ","-"))))</f>
        <v/>
      </c>
    </row>
    <row r="1042" customFormat="false" ht="15" hidden="false" customHeight="true" outlineLevel="0" collapsed="false">
      <c r="A1042" s="63"/>
      <c r="B1042" s="63"/>
      <c r="C1042" s="63"/>
      <c r="D1042" s="63"/>
      <c r="E1042" s="63"/>
      <c r="F1042" s="28" t="str">
        <f aca="false">IF(C1042="","",IF(OR(C1042="1. bekkur",C1042="2. bekkur",C1042="3. bekkur",C1042="4. bekkur"),"Já",IF(C1042="Starfsmaður","Nei","Nei")))</f>
        <v/>
      </c>
      <c r="G1042" s="63"/>
      <c r="H1042" s="63"/>
      <c r="I1042" s="63"/>
      <c r="J1042" s="64" t="str">
        <f aca="false">IF(OR(A1042="",B1042=""),"",CONCATENATE("https://matarstund.is/serfaedi?id=",LOWER(SUBSTITUTE(B1042,"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64" t="str">
        <f aca="false">IF(OR(A1043="",B1043=""),"",CONCATENATE("https://matarstund.is/serfaedi?id=",LOWER(SUBSTITUTE(B1043," ","-"))))</f>
        <v/>
      </c>
    </row>
    <row r="1044" customFormat="false" ht="15" hidden="false" customHeight="true" outlineLevel="0" collapsed="false">
      <c r="A1044" s="63"/>
      <c r="B1044" s="63"/>
      <c r="C1044" s="63"/>
      <c r="D1044" s="63"/>
      <c r="E1044" s="63"/>
      <c r="F1044" s="28" t="str">
        <f aca="false">IF(C1044="","",IF(OR(C1044="1. bekkur",C1044="2. bekkur",C1044="3. bekkur",C1044="4. bekkur"),"Já",IF(C1044="Starfsmaður","Nei","Nei")))</f>
        <v/>
      </c>
      <c r="G1044" s="63"/>
      <c r="H1044" s="63"/>
      <c r="I1044" s="63"/>
      <c r="J1044" s="64" t="str">
        <f aca="false">IF(OR(A1044="",B1044=""),"",CONCATENATE("https://matarstund.is/serfaedi?id=",LOWER(SUBSTITUTE(B1044,"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64" t="str">
        <f aca="false">IF(OR(A1045="",B1045=""),"",CONCATENATE("https://matarstund.is/serfaedi?id=",LOWER(SUBSTITUTE(B1045," ","-"))))</f>
        <v/>
      </c>
    </row>
    <row r="1046" customFormat="false" ht="15" hidden="false" customHeight="true" outlineLevel="0" collapsed="false">
      <c r="A1046" s="63"/>
      <c r="B1046" s="63"/>
      <c r="C1046" s="63"/>
      <c r="D1046" s="63"/>
      <c r="E1046" s="63"/>
      <c r="F1046" s="28" t="str">
        <f aca="false">IF(C1046="","",IF(OR(C1046="1. bekkur",C1046="2. bekkur",C1046="3. bekkur",C1046="4. bekkur"),"Já",IF(C1046="Starfsmaður","Nei","Nei")))</f>
        <v/>
      </c>
      <c r="G1046" s="63"/>
      <c r="H1046" s="63"/>
      <c r="I1046" s="63"/>
      <c r="J1046" s="64" t="str">
        <f aca="false">IF(OR(A1046="",B1046=""),"",CONCATENATE("https://matarstund.is/serfaedi?id=",LOWER(SUBSTITUTE(B1046,"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64" t="str">
        <f aca="false">IF(OR(A1047="",B1047=""),"",CONCATENATE("https://matarstund.is/serfaedi?id=",LOWER(SUBSTITUTE(B1047," ","-"))))</f>
        <v/>
      </c>
    </row>
    <row r="1048" customFormat="false" ht="15" hidden="false" customHeight="true" outlineLevel="0" collapsed="false">
      <c r="A1048" s="63"/>
      <c r="B1048" s="63"/>
      <c r="C1048" s="63"/>
      <c r="D1048" s="63"/>
      <c r="E1048" s="63"/>
      <c r="F1048" s="28" t="str">
        <f aca="false">IF(C1048="","",IF(OR(C1048="1. bekkur",C1048="2. bekkur",C1048="3. bekkur",C1048="4. bekkur"),"Já",IF(C1048="Starfsmaður","Nei","Nei")))</f>
        <v/>
      </c>
      <c r="G1048" s="63"/>
      <c r="H1048" s="63"/>
      <c r="I1048" s="63"/>
      <c r="J1048" s="64" t="str">
        <f aca="false">IF(OR(A1048="",B1048=""),"",CONCATENATE("https://matarstund.is/serfaedi?id=",LOWER(SUBSTITUTE(B1048,"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64" t="str">
        <f aca="false">IF(OR(A1049="",B1049=""),"",CONCATENATE("https://matarstund.is/serfaedi?id=",LOWER(SUBSTITUTE(B1049," ","-"))))</f>
        <v/>
      </c>
    </row>
    <row r="1050" customFormat="false" ht="15" hidden="false" customHeight="true" outlineLevel="0" collapsed="false">
      <c r="A1050" s="63"/>
      <c r="B1050" s="63"/>
      <c r="C1050" s="63"/>
      <c r="D1050" s="63"/>
      <c r="E1050" s="63"/>
      <c r="F1050" s="28" t="str">
        <f aca="false">IF(C1050="","",IF(OR(C1050="1. bekkur",C1050="2. bekkur",C1050="3. bekkur",C1050="4. bekkur"),"Já",IF(C1050="Starfsmaður","Nei","Nei")))</f>
        <v/>
      </c>
      <c r="G1050" s="63"/>
      <c r="H1050" s="63"/>
      <c r="I1050" s="63"/>
      <c r="J1050" s="64" t="str">
        <f aca="false">IF(OR(A1050="",B1050=""),"",CONCATENATE("https://matarstund.is/serfaedi?id=",LOWER(SUBSTITUTE(B1050,"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64" t="str">
        <f aca="false">IF(OR(A1051="",B1051=""),"",CONCATENATE("https://matarstund.is/serfaedi?id=",LOWER(SUBSTITUTE(B1051," ","-"))))</f>
        <v/>
      </c>
    </row>
    <row r="1052" customFormat="false" ht="15" hidden="false" customHeight="true" outlineLevel="0" collapsed="false">
      <c r="A1052" s="63"/>
      <c r="B1052" s="63"/>
      <c r="C1052" s="63"/>
      <c r="D1052" s="63"/>
      <c r="E1052" s="63"/>
      <c r="F1052" s="28" t="str">
        <f aca="false">IF(C1052="","",IF(OR(C1052="1. bekkur",C1052="2. bekkur",C1052="3. bekkur",C1052="4. bekkur"),"Já",IF(C1052="Starfsmaður","Nei","Nei")))</f>
        <v/>
      </c>
      <c r="G1052" s="63"/>
      <c r="H1052" s="63"/>
      <c r="I1052" s="63"/>
      <c r="J1052" s="64" t="str">
        <f aca="false">IF(OR(A1052="",B1052=""),"",CONCATENATE("https://matarstund.is/serfaedi?id=",LOWER(SUBSTITUTE(B1052,"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64" t="str">
        <f aca="false">IF(OR(A1053="",B1053=""),"",CONCATENATE("https://matarstund.is/serfaedi?id=",LOWER(SUBSTITUTE(B1053," ","-"))))</f>
        <v/>
      </c>
    </row>
    <row r="1054" customFormat="false" ht="15" hidden="false" customHeight="true" outlineLevel="0" collapsed="false">
      <c r="A1054" s="63"/>
      <c r="B1054" s="63"/>
      <c r="C1054" s="63"/>
      <c r="D1054" s="63"/>
      <c r="E1054" s="63"/>
      <c r="F1054" s="28" t="str">
        <f aca="false">IF(C1054="","",IF(OR(C1054="1. bekkur",C1054="2. bekkur",C1054="3. bekkur",C1054="4. bekkur"),"Já",IF(C1054="Starfsmaður","Nei","Nei")))</f>
        <v/>
      </c>
      <c r="G1054" s="63"/>
      <c r="H1054" s="63"/>
      <c r="I1054" s="63"/>
      <c r="J1054" s="64" t="str">
        <f aca="false">IF(OR(A1054="",B1054=""),"",CONCATENATE("https://matarstund.is/serfaedi?id=",LOWER(SUBSTITUTE(B1054,"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64" t="str">
        <f aca="false">IF(OR(A1055="",B1055=""),"",CONCATENATE("https://matarstund.is/serfaedi?id=",LOWER(SUBSTITUTE(B1055," ","-"))))</f>
        <v/>
      </c>
    </row>
    <row r="1056" customFormat="false" ht="15" hidden="false" customHeight="true" outlineLevel="0" collapsed="false">
      <c r="A1056" s="63"/>
      <c r="B1056" s="63"/>
      <c r="C1056" s="63"/>
      <c r="D1056" s="63"/>
      <c r="E1056" s="63"/>
      <c r="F1056" s="28" t="str">
        <f aca="false">IF(C1056="","",IF(OR(C1056="1. bekkur",C1056="2. bekkur",C1056="3. bekkur",C1056="4. bekkur"),"Já",IF(C1056="Starfsmaður","Nei","Nei")))</f>
        <v/>
      </c>
      <c r="G1056" s="63"/>
      <c r="H1056" s="63"/>
      <c r="I1056" s="63"/>
      <c r="J1056" s="64" t="str">
        <f aca="false">IF(OR(A1056="",B1056=""),"",CONCATENATE("https://matarstund.is/serfaedi?id=",LOWER(SUBSTITUTE(B1056,"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64" t="str">
        <f aca="false">IF(OR(A1057="",B1057=""),"",CONCATENATE("https://matarstund.is/serfaedi?id=",LOWER(SUBSTITUTE(B1057," ","-"))))</f>
        <v/>
      </c>
    </row>
    <row r="1058" customFormat="false" ht="15" hidden="false" customHeight="true" outlineLevel="0" collapsed="false">
      <c r="A1058" s="63"/>
      <c r="B1058" s="63"/>
      <c r="C1058" s="63"/>
      <c r="D1058" s="63"/>
      <c r="E1058" s="63"/>
      <c r="F1058" s="28" t="str">
        <f aca="false">IF(C1058="","",IF(OR(C1058="1. bekkur",C1058="2. bekkur",C1058="3. bekkur",C1058="4. bekkur"),"Já",IF(C1058="Starfsmaður","Nei","Nei")))</f>
        <v/>
      </c>
      <c r="G1058" s="63"/>
      <c r="H1058" s="63"/>
      <c r="I1058" s="63"/>
      <c r="J1058" s="64" t="str">
        <f aca="false">IF(OR(A1058="",B1058=""),"",CONCATENATE("https://matarstund.is/serfaedi?id=",LOWER(SUBSTITUTE(B1058,"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64" t="str">
        <f aca="false">IF(OR(A1059="",B1059=""),"",CONCATENATE("https://matarstund.is/serfaedi?id=",LOWER(SUBSTITUTE(B1059," ","-"))))</f>
        <v/>
      </c>
    </row>
    <row r="1060" customFormat="false" ht="15" hidden="false" customHeight="true" outlineLevel="0" collapsed="false">
      <c r="A1060" s="63"/>
      <c r="B1060" s="63"/>
      <c r="C1060" s="63"/>
      <c r="D1060" s="63"/>
      <c r="E1060" s="63"/>
      <c r="F1060" s="28" t="str">
        <f aca="false">IF(C1060="","",IF(OR(C1060="1. bekkur",C1060="2. bekkur",C1060="3. bekkur",C1060="4. bekkur"),"Já",IF(C1060="Starfsmaður","Nei","Nei")))</f>
        <v/>
      </c>
      <c r="G1060" s="63"/>
      <c r="H1060" s="63"/>
      <c r="I1060" s="63"/>
      <c r="J1060" s="64" t="str">
        <f aca="false">IF(OR(A1060="",B1060=""),"",CONCATENATE("https://matarstund.is/serfaedi?id=",LOWER(SUBSTITUTE(B1060,"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64" t="str">
        <f aca="false">IF(OR(A1061="",B1061=""),"",CONCATENATE("https://matarstund.is/serfaedi?id=",LOWER(SUBSTITUTE(B1061," ","-"))))</f>
        <v/>
      </c>
    </row>
    <row r="1062" customFormat="false" ht="15" hidden="false" customHeight="true" outlineLevel="0" collapsed="false">
      <c r="A1062" s="63"/>
      <c r="B1062" s="63"/>
      <c r="C1062" s="63"/>
      <c r="D1062" s="63"/>
      <c r="E1062" s="63"/>
      <c r="F1062" s="28" t="str">
        <f aca="false">IF(C1062="","",IF(OR(C1062="1. bekkur",C1062="2. bekkur",C1062="3. bekkur",C1062="4. bekkur"),"Já",IF(C1062="Starfsmaður","Nei","Nei")))</f>
        <v/>
      </c>
      <c r="G1062" s="63"/>
      <c r="H1062" s="63"/>
      <c r="I1062" s="63"/>
      <c r="J1062" s="64" t="str">
        <f aca="false">IF(OR(A1062="",B1062=""),"",CONCATENATE("https://matarstund.is/serfaedi?id=",LOWER(SUBSTITUTE(B1062,"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64" t="str">
        <f aca="false">IF(OR(A1063="",B1063=""),"",CONCATENATE("https://matarstund.is/serfaedi?id=",LOWER(SUBSTITUTE(B1063," ","-"))))</f>
        <v/>
      </c>
    </row>
    <row r="1064" customFormat="false" ht="15" hidden="false" customHeight="true" outlineLevel="0" collapsed="false">
      <c r="A1064" s="63"/>
      <c r="B1064" s="63"/>
      <c r="C1064" s="63"/>
      <c r="D1064" s="63"/>
      <c r="E1064" s="63"/>
      <c r="F1064" s="28" t="str">
        <f aca="false">IF(C1064="","",IF(OR(C1064="1. bekkur",C1064="2. bekkur",C1064="3. bekkur",C1064="4. bekkur"),"Já",IF(C1064="Starfsmaður","Nei","Nei")))</f>
        <v/>
      </c>
      <c r="G1064" s="63"/>
      <c r="H1064" s="63"/>
      <c r="I1064" s="63"/>
      <c r="J1064" s="64" t="str">
        <f aca="false">IF(OR(A1064="",B1064=""),"",CONCATENATE("https://matarstund.is/serfaedi?id=",LOWER(SUBSTITUTE(B1064,"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64" t="str">
        <f aca="false">IF(OR(A1065="",B1065=""),"",CONCATENATE("https://matarstund.is/serfaedi?id=",LOWER(SUBSTITUTE(B1065," ","-"))))</f>
        <v/>
      </c>
    </row>
    <row r="1066" customFormat="false" ht="15" hidden="false" customHeight="true" outlineLevel="0" collapsed="false">
      <c r="A1066" s="63"/>
      <c r="B1066" s="63"/>
      <c r="C1066" s="63"/>
      <c r="D1066" s="63"/>
      <c r="E1066" s="63"/>
      <c r="F1066" s="28" t="str">
        <f aca="false">IF(C1066="","",IF(OR(C1066="1. bekkur",C1066="2. bekkur",C1066="3. bekkur",C1066="4. bekkur"),"Já",IF(C1066="Starfsmaður","Nei","Nei")))</f>
        <v/>
      </c>
      <c r="G1066" s="63"/>
      <c r="H1066" s="63"/>
      <c r="I1066" s="63"/>
      <c r="J1066" s="64" t="str">
        <f aca="false">IF(OR(A1066="",B1066=""),"",CONCATENATE("https://matarstund.is/serfaedi?id=",LOWER(SUBSTITUTE(B1066,"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64" t="str">
        <f aca="false">IF(OR(A1067="",B1067=""),"",CONCATENATE("https://matarstund.is/serfaedi?id=",LOWER(SUBSTITUTE(B1067," ","-"))))</f>
        <v/>
      </c>
    </row>
    <row r="1068" customFormat="false" ht="15" hidden="false" customHeight="true" outlineLevel="0" collapsed="false">
      <c r="A1068" s="63"/>
      <c r="B1068" s="63"/>
      <c r="C1068" s="63"/>
      <c r="D1068" s="63"/>
      <c r="E1068" s="63"/>
      <c r="F1068" s="28" t="str">
        <f aca="false">IF(C1068="","",IF(OR(C1068="1. bekkur",C1068="2. bekkur",C1068="3. bekkur",C1068="4. bekkur"),"Já",IF(C1068="Starfsmaður","Nei","Nei")))</f>
        <v/>
      </c>
      <c r="G1068" s="63"/>
      <c r="H1068" s="63"/>
      <c r="I1068" s="63"/>
      <c r="J1068" s="64" t="str">
        <f aca="false">IF(OR(A1068="",B1068=""),"",CONCATENATE("https://matarstund.is/serfaedi?id=",LOWER(SUBSTITUTE(B1068,"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64" t="str">
        <f aca="false">IF(OR(A1069="",B1069=""),"",CONCATENATE("https://matarstund.is/serfaedi?id=",LOWER(SUBSTITUTE(B1069," ","-"))))</f>
        <v/>
      </c>
    </row>
    <row r="1070" customFormat="false" ht="15" hidden="false" customHeight="true" outlineLevel="0" collapsed="false">
      <c r="A1070" s="63"/>
      <c r="B1070" s="63"/>
      <c r="C1070" s="63"/>
      <c r="D1070" s="63"/>
      <c r="E1070" s="63"/>
      <c r="F1070" s="28" t="str">
        <f aca="false">IF(C1070="","",IF(OR(C1070="1. bekkur",C1070="2. bekkur",C1070="3. bekkur",C1070="4. bekkur"),"Já",IF(C1070="Starfsmaður","Nei","Nei")))</f>
        <v/>
      </c>
      <c r="G1070" s="63"/>
      <c r="H1070" s="63"/>
      <c r="I1070" s="63"/>
      <c r="J1070" s="64" t="str">
        <f aca="false">IF(OR(A1070="",B1070=""),"",CONCATENATE("https://matarstund.is/serfaedi?id=",LOWER(SUBSTITUTE(B1070,"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64" t="str">
        <f aca="false">IF(OR(A1071="",B1071=""),"",CONCATENATE("https://matarstund.is/serfaedi?id=",LOWER(SUBSTITUTE(B1071," ","-"))))</f>
        <v/>
      </c>
    </row>
    <row r="1072" customFormat="false" ht="15" hidden="false" customHeight="true" outlineLevel="0" collapsed="false">
      <c r="A1072" s="63"/>
      <c r="B1072" s="63"/>
      <c r="C1072" s="63"/>
      <c r="D1072" s="63"/>
      <c r="E1072" s="63"/>
      <c r="F1072" s="28" t="str">
        <f aca="false">IF(C1072="","",IF(OR(C1072="1. bekkur",C1072="2. bekkur",C1072="3. bekkur",C1072="4. bekkur"),"Já",IF(C1072="Starfsmaður","Nei","Nei")))</f>
        <v/>
      </c>
      <c r="G1072" s="63"/>
      <c r="H1072" s="63"/>
      <c r="I1072" s="63"/>
      <c r="J1072" s="64" t="str">
        <f aca="false">IF(OR(A1072="",B1072=""),"",CONCATENATE("https://matarstund.is/serfaedi?id=",LOWER(SUBSTITUTE(B1072,"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64" t="str">
        <f aca="false">IF(OR(A1073="",B1073=""),"",CONCATENATE("https://matarstund.is/serfaedi?id=",LOWER(SUBSTITUTE(B1073," ","-"))))</f>
        <v/>
      </c>
    </row>
    <row r="1074" customFormat="false" ht="15" hidden="false" customHeight="true" outlineLevel="0" collapsed="false">
      <c r="A1074" s="63"/>
      <c r="B1074" s="63"/>
      <c r="C1074" s="63"/>
      <c r="D1074" s="63"/>
      <c r="E1074" s="63"/>
      <c r="F1074" s="28" t="str">
        <f aca="false">IF(C1074="","",IF(OR(C1074="1. bekkur",C1074="2. bekkur",C1074="3. bekkur",C1074="4. bekkur"),"Já",IF(C1074="Starfsmaður","Nei","Nei")))</f>
        <v/>
      </c>
      <c r="G1074" s="63"/>
      <c r="H1074" s="63"/>
      <c r="I1074" s="63"/>
      <c r="J1074" s="64" t="str">
        <f aca="false">IF(OR(A1074="",B1074=""),"",CONCATENATE("https://matarstund.is/serfaedi?id=",LOWER(SUBSTITUTE(B1074,"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64" t="str">
        <f aca="false">IF(OR(A1075="",B1075=""),"",CONCATENATE("https://matarstund.is/serfaedi?id=",LOWER(SUBSTITUTE(B1075," ","-"))))</f>
        <v/>
      </c>
    </row>
    <row r="1076" customFormat="false" ht="15" hidden="false" customHeight="true" outlineLevel="0" collapsed="false">
      <c r="A1076" s="63"/>
      <c r="B1076" s="63"/>
      <c r="C1076" s="63"/>
      <c r="D1076" s="63"/>
      <c r="E1076" s="63"/>
      <c r="F1076" s="28" t="str">
        <f aca="false">IF(C1076="","",IF(OR(C1076="1. bekkur",C1076="2. bekkur",C1076="3. bekkur",C1076="4. bekkur"),"Já",IF(C1076="Starfsmaður","Nei","Nei")))</f>
        <v/>
      </c>
      <c r="G1076" s="63"/>
      <c r="H1076" s="63"/>
      <c r="I1076" s="63"/>
      <c r="J1076" s="64" t="str">
        <f aca="false">IF(OR(A1076="",B1076=""),"",CONCATENATE("https://matarstund.is/serfaedi?id=",LOWER(SUBSTITUTE(B1076,"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64" t="str">
        <f aca="false">IF(OR(A1077="",B1077=""),"",CONCATENATE("https://matarstund.is/serfaedi?id=",LOWER(SUBSTITUTE(B1077," ","-"))))</f>
        <v/>
      </c>
    </row>
    <row r="1078" customFormat="false" ht="15" hidden="false" customHeight="true" outlineLevel="0" collapsed="false">
      <c r="A1078" s="63"/>
      <c r="B1078" s="63"/>
      <c r="C1078" s="63"/>
      <c r="D1078" s="63"/>
      <c r="E1078" s="63"/>
      <c r="F1078" s="28" t="str">
        <f aca="false">IF(C1078="","",IF(OR(C1078="1. bekkur",C1078="2. bekkur",C1078="3. bekkur",C1078="4. bekkur"),"Já",IF(C1078="Starfsmaður","Nei","Nei")))</f>
        <v/>
      </c>
      <c r="G1078" s="63"/>
      <c r="H1078" s="63"/>
      <c r="I1078" s="63"/>
      <c r="J1078" s="64" t="str">
        <f aca="false">IF(OR(A1078="",B1078=""),"",CONCATENATE("https://matarstund.is/serfaedi?id=",LOWER(SUBSTITUTE(B1078,"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64" t="str">
        <f aca="false">IF(OR(A1079="",B1079=""),"",CONCATENATE("https://matarstund.is/serfaedi?id=",LOWER(SUBSTITUTE(B1079," ","-"))))</f>
        <v/>
      </c>
    </row>
    <row r="1080" customFormat="false" ht="15" hidden="false" customHeight="true" outlineLevel="0" collapsed="false">
      <c r="A1080" s="63"/>
      <c r="B1080" s="63"/>
      <c r="C1080" s="63"/>
      <c r="D1080" s="63"/>
      <c r="E1080" s="63"/>
      <c r="F1080" s="28" t="str">
        <f aca="false">IF(C1080="","",IF(OR(C1080="1. bekkur",C1080="2. bekkur",C1080="3. bekkur",C1080="4. bekkur"),"Já",IF(C1080="Starfsmaður","Nei","Nei")))</f>
        <v/>
      </c>
      <c r="G1080" s="63"/>
      <c r="H1080" s="63"/>
      <c r="I1080" s="63"/>
      <c r="J1080" s="64" t="str">
        <f aca="false">IF(OR(A1080="",B1080=""),"",CONCATENATE("https://matarstund.is/serfaedi?id=",LOWER(SUBSTITUTE(B1080,"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64" t="str">
        <f aca="false">IF(OR(A1081="",B1081=""),"",CONCATENATE("https://matarstund.is/serfaedi?id=",LOWER(SUBSTITUTE(B1081," ","-"))))</f>
        <v/>
      </c>
    </row>
    <row r="1082" customFormat="false" ht="15" hidden="false" customHeight="true" outlineLevel="0" collapsed="false">
      <c r="A1082" s="63"/>
      <c r="B1082" s="63"/>
      <c r="C1082" s="63"/>
      <c r="D1082" s="63"/>
      <c r="E1082" s="63"/>
      <c r="F1082" s="28" t="str">
        <f aca="false">IF(C1082="","",IF(OR(C1082="1. bekkur",C1082="2. bekkur",C1082="3. bekkur",C1082="4. bekkur"),"Já",IF(C1082="Starfsmaður","Nei","Nei")))</f>
        <v/>
      </c>
      <c r="G1082" s="63"/>
      <c r="H1082" s="63"/>
      <c r="I1082" s="63"/>
      <c r="J1082" s="64" t="str">
        <f aca="false">IF(OR(A1082="",B1082=""),"",CONCATENATE("https://matarstund.is/serfaedi?id=",LOWER(SUBSTITUTE(B1082,"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64" t="str">
        <f aca="false">IF(OR(A1083="",B1083=""),"",CONCATENATE("https://matarstund.is/serfaedi?id=",LOWER(SUBSTITUTE(B1083," ","-"))))</f>
        <v/>
      </c>
    </row>
    <row r="1084" customFormat="false" ht="15" hidden="false" customHeight="true" outlineLevel="0" collapsed="false">
      <c r="A1084" s="63"/>
      <c r="B1084" s="63"/>
      <c r="C1084" s="63"/>
      <c r="D1084" s="63"/>
      <c r="E1084" s="63"/>
      <c r="F1084" s="28" t="str">
        <f aca="false">IF(C1084="","",IF(OR(C1084="1. bekkur",C1084="2. bekkur",C1084="3. bekkur",C1084="4. bekkur"),"Já",IF(C1084="Starfsmaður","Nei","Nei")))</f>
        <v/>
      </c>
      <c r="G1084" s="63"/>
      <c r="H1084" s="63"/>
      <c r="I1084" s="63"/>
      <c r="J1084" s="64" t="str">
        <f aca="false">IF(OR(A1084="",B1084=""),"",CONCATENATE("https://matarstund.is/serfaedi?id=",LOWER(SUBSTITUTE(B1084,"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64" t="str">
        <f aca="false">IF(OR(A1085="",B1085=""),"",CONCATENATE("https://matarstund.is/serfaedi?id=",LOWER(SUBSTITUTE(B1085," ","-"))))</f>
        <v/>
      </c>
    </row>
    <row r="1086" customFormat="false" ht="15" hidden="false" customHeight="true" outlineLevel="0" collapsed="false">
      <c r="A1086" s="63"/>
      <c r="B1086" s="63"/>
      <c r="C1086" s="63"/>
      <c r="D1086" s="63"/>
      <c r="E1086" s="63"/>
      <c r="F1086" s="28" t="str">
        <f aca="false">IF(C1086="","",IF(OR(C1086="1. bekkur",C1086="2. bekkur",C1086="3. bekkur",C1086="4. bekkur"),"Já",IF(C1086="Starfsmaður","Nei","Nei")))</f>
        <v/>
      </c>
      <c r="G1086" s="63"/>
      <c r="H1086" s="63"/>
      <c r="I1086" s="63"/>
      <c r="J1086" s="64" t="str">
        <f aca="false">IF(OR(A1086="",B1086=""),"",CONCATENATE("https://matarstund.is/serfaedi?id=",LOWER(SUBSTITUTE(B1086,"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64" t="str">
        <f aca="false">IF(OR(A1087="",B1087=""),"",CONCATENATE("https://matarstund.is/serfaedi?id=",LOWER(SUBSTITUTE(B1087," ","-"))))</f>
        <v/>
      </c>
    </row>
    <row r="1088" customFormat="false" ht="15" hidden="false" customHeight="true" outlineLevel="0" collapsed="false">
      <c r="A1088" s="63"/>
      <c r="B1088" s="63"/>
      <c r="C1088" s="63"/>
      <c r="D1088" s="63"/>
      <c r="E1088" s="63"/>
      <c r="F1088" s="28" t="str">
        <f aca="false">IF(C1088="","",IF(OR(C1088="1. bekkur",C1088="2. bekkur",C1088="3. bekkur",C1088="4. bekkur"),"Já",IF(C1088="Starfsmaður","Nei","Nei")))</f>
        <v/>
      </c>
      <c r="G1088" s="63"/>
      <c r="H1088" s="63"/>
      <c r="I1088" s="63"/>
      <c r="J1088" s="64" t="str">
        <f aca="false">IF(OR(A1088="",B1088=""),"",CONCATENATE("https://matarstund.is/serfaedi?id=",LOWER(SUBSTITUTE(B1088,"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64" t="str">
        <f aca="false">IF(OR(A1089="",B1089=""),"",CONCATENATE("https://matarstund.is/serfaedi?id=",LOWER(SUBSTITUTE(B1089," ","-"))))</f>
        <v/>
      </c>
    </row>
    <row r="1090" customFormat="false" ht="15" hidden="false" customHeight="true" outlineLevel="0" collapsed="false">
      <c r="A1090" s="63"/>
      <c r="B1090" s="63"/>
      <c r="C1090" s="63"/>
      <c r="D1090" s="63"/>
      <c r="E1090" s="63"/>
      <c r="F1090" s="28" t="str">
        <f aca="false">IF(C1090="","",IF(OR(C1090="1. bekkur",C1090="2. bekkur",C1090="3. bekkur",C1090="4. bekkur"),"Já",IF(C1090="Starfsmaður","Nei","Nei")))</f>
        <v/>
      </c>
      <c r="G1090" s="63"/>
      <c r="H1090" s="63"/>
      <c r="I1090" s="63"/>
      <c r="J1090" s="64" t="str">
        <f aca="false">IF(OR(A1090="",B1090=""),"",CONCATENATE("https://matarstund.is/serfaedi?id=",LOWER(SUBSTITUTE(B1090,"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64" t="str">
        <f aca="false">IF(OR(A1091="",B1091=""),"",CONCATENATE("https://matarstund.is/serfaedi?id=",LOWER(SUBSTITUTE(B1091," ","-"))))</f>
        <v/>
      </c>
    </row>
    <row r="1092" customFormat="false" ht="15" hidden="false" customHeight="true" outlineLevel="0" collapsed="false">
      <c r="A1092" s="63"/>
      <c r="B1092" s="63"/>
      <c r="C1092" s="63"/>
      <c r="D1092" s="63"/>
      <c r="E1092" s="63"/>
      <c r="F1092" s="28" t="str">
        <f aca="false">IF(C1092="","",IF(OR(C1092="1. bekkur",C1092="2. bekkur",C1092="3. bekkur",C1092="4. bekkur"),"Já",IF(C1092="Starfsmaður","Nei","Nei")))</f>
        <v/>
      </c>
      <c r="G1092" s="63"/>
      <c r="H1092" s="63"/>
      <c r="I1092" s="63"/>
      <c r="J1092" s="64" t="str">
        <f aca="false">IF(OR(A1092="",B1092=""),"",CONCATENATE("https://matarstund.is/serfaedi?id=",LOWER(SUBSTITUTE(B1092,"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64" t="str">
        <f aca="false">IF(OR(A1093="",B1093=""),"",CONCATENATE("https://matarstund.is/serfaedi?id=",LOWER(SUBSTITUTE(B1093," ","-"))))</f>
        <v/>
      </c>
    </row>
    <row r="1094" customFormat="false" ht="15" hidden="false" customHeight="true" outlineLevel="0" collapsed="false">
      <c r="A1094" s="63"/>
      <c r="B1094" s="63"/>
      <c r="C1094" s="63"/>
      <c r="D1094" s="63"/>
      <c r="E1094" s="63"/>
      <c r="F1094" s="28" t="str">
        <f aca="false">IF(C1094="","",IF(OR(C1094="1. bekkur",C1094="2. bekkur",C1094="3. bekkur",C1094="4. bekkur"),"Já",IF(C1094="Starfsmaður","Nei","Nei")))</f>
        <v/>
      </c>
      <c r="G1094" s="63"/>
      <c r="H1094" s="63"/>
      <c r="I1094" s="63"/>
      <c r="J1094" s="64" t="str">
        <f aca="false">IF(OR(A1094="",B1094=""),"",CONCATENATE("https://matarstund.is/serfaedi?id=",LOWER(SUBSTITUTE(B1094,"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64" t="str">
        <f aca="false">IF(OR(A1095="",B1095=""),"",CONCATENATE("https://matarstund.is/serfaedi?id=",LOWER(SUBSTITUTE(B1095," ","-"))))</f>
        <v/>
      </c>
    </row>
    <row r="1096" customFormat="false" ht="15" hidden="false" customHeight="true" outlineLevel="0" collapsed="false">
      <c r="A1096" s="63"/>
      <c r="B1096" s="63"/>
      <c r="C1096" s="63"/>
      <c r="D1096" s="63"/>
      <c r="E1096" s="63"/>
      <c r="F1096" s="28" t="str">
        <f aca="false">IF(C1096="","",IF(OR(C1096="1. bekkur",C1096="2. bekkur",C1096="3. bekkur",C1096="4. bekkur"),"Já",IF(C1096="Starfsmaður","Nei","Nei")))</f>
        <v/>
      </c>
      <c r="G1096" s="63"/>
      <c r="H1096" s="63"/>
      <c r="I1096" s="63"/>
      <c r="J1096" s="64" t="str">
        <f aca="false">IF(OR(A1096="",B1096=""),"",CONCATENATE("https://matarstund.is/serfaedi?id=",LOWER(SUBSTITUTE(B1096,"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64" t="str">
        <f aca="false">IF(OR(A1097="",B1097=""),"",CONCATENATE("https://matarstund.is/serfaedi?id=",LOWER(SUBSTITUTE(B1097," ","-"))))</f>
        <v/>
      </c>
    </row>
    <row r="1098" customFormat="false" ht="15" hidden="false" customHeight="true" outlineLevel="0" collapsed="false">
      <c r="A1098" s="63"/>
      <c r="B1098" s="63"/>
      <c r="C1098" s="63"/>
      <c r="D1098" s="63"/>
      <c r="E1098" s="63"/>
      <c r="F1098" s="28" t="str">
        <f aca="false">IF(C1098="","",IF(OR(C1098="1. bekkur",C1098="2. bekkur",C1098="3. bekkur",C1098="4. bekkur"),"Já",IF(C1098="Starfsmaður","Nei","Nei")))</f>
        <v/>
      </c>
      <c r="G1098" s="63"/>
      <c r="H1098" s="63"/>
      <c r="I1098" s="63"/>
      <c r="J1098" s="64" t="str">
        <f aca="false">IF(OR(A1098="",B1098=""),"",CONCATENATE("https://matarstund.is/serfaedi?id=",LOWER(SUBSTITUTE(B1098,"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64" t="str">
        <f aca="false">IF(OR(A1099="",B1099=""),"",CONCATENATE("https://matarstund.is/serfaedi?id=",LOWER(SUBSTITUTE(B1099," ","-"))))</f>
        <v/>
      </c>
    </row>
    <row r="1100" customFormat="false" ht="15" hidden="false" customHeight="true" outlineLevel="0" collapsed="false">
      <c r="A1100" s="63"/>
      <c r="B1100" s="63"/>
      <c r="C1100" s="63"/>
      <c r="D1100" s="63"/>
      <c r="E1100" s="63"/>
      <c r="F1100" s="28" t="str">
        <f aca="false">IF(C1100="","",IF(OR(C1100="1. bekkur",C1100="2. bekkur",C1100="3. bekkur",C1100="4. bekkur"),"Já",IF(C1100="Starfsmaður","Nei","Nei")))</f>
        <v/>
      </c>
      <c r="G1100" s="63"/>
      <c r="H1100" s="63"/>
      <c r="I1100" s="63"/>
      <c r="J1100" s="64" t="str">
        <f aca="false">IF(OR(A1100="",B1100=""),"",CONCATENATE("https://matarstund.is/serfaedi?id=",LOWER(SUBSTITUTE(B1100,"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64" t="str">
        <f aca="false">IF(OR(A1101="",B1101=""),"",CONCATENATE("https://matarstund.is/serfaedi?id=",LOWER(SUBSTITUTE(B1101," ","-"))))</f>
        <v/>
      </c>
    </row>
    <row r="1102" customFormat="false" ht="15" hidden="false" customHeight="true" outlineLevel="0" collapsed="false">
      <c r="A1102" s="63"/>
      <c r="B1102" s="63"/>
      <c r="C1102" s="63"/>
      <c r="D1102" s="63"/>
      <c r="E1102" s="63"/>
      <c r="F1102" s="28" t="str">
        <f aca="false">IF(C1102="","",IF(OR(C1102="1. bekkur",C1102="2. bekkur",C1102="3. bekkur",C1102="4. bekkur"),"Já",IF(C1102="Starfsmaður","Nei","Nei")))</f>
        <v/>
      </c>
      <c r="G1102" s="63"/>
      <c r="H1102" s="63"/>
      <c r="I1102" s="63"/>
      <c r="J1102" s="64" t="str">
        <f aca="false">IF(OR(A1102="",B1102=""),"",CONCATENATE("https://matarstund.is/serfaedi?id=",LOWER(SUBSTITUTE(B1102,"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64" t="str">
        <f aca="false">IF(OR(A1103="",B1103=""),"",CONCATENATE("https://matarstund.is/serfaedi?id=",LOWER(SUBSTITUTE(B1103," ","-"))))</f>
        <v/>
      </c>
    </row>
    <row r="1104" customFormat="false" ht="15" hidden="false" customHeight="true" outlineLevel="0" collapsed="false">
      <c r="A1104" s="63"/>
      <c r="B1104" s="63"/>
      <c r="C1104" s="63"/>
      <c r="D1104" s="63"/>
      <c r="E1104" s="63"/>
      <c r="F1104" s="28" t="str">
        <f aca="false">IF(C1104="","",IF(OR(C1104="1. bekkur",C1104="2. bekkur",C1104="3. bekkur",C1104="4. bekkur"),"Já",IF(C1104="Starfsmaður","Nei","Nei")))</f>
        <v/>
      </c>
      <c r="G1104" s="63"/>
      <c r="H1104" s="63"/>
      <c r="I1104" s="63"/>
      <c r="J1104" s="64" t="str">
        <f aca="false">IF(OR(A1104="",B1104=""),"",CONCATENATE("https://matarstund.is/serfaedi?id=",LOWER(SUBSTITUTE(B1104,"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64" t="str">
        <f aca="false">IF(OR(A1105="",B1105=""),"",CONCATENATE("https://matarstund.is/serfaedi?id=",LOWER(SUBSTITUTE(B1105," ","-"))))</f>
        <v/>
      </c>
    </row>
    <row r="1106" customFormat="false" ht="15" hidden="false" customHeight="true" outlineLevel="0" collapsed="false">
      <c r="A1106" s="63"/>
      <c r="B1106" s="63"/>
      <c r="C1106" s="63"/>
      <c r="D1106" s="63"/>
      <c r="E1106" s="63"/>
      <c r="F1106" s="28" t="str">
        <f aca="false">IF(C1106="","",IF(OR(C1106="1. bekkur",C1106="2. bekkur",C1106="3. bekkur",C1106="4. bekkur"),"Já",IF(C1106="Starfsmaður","Nei","Nei")))</f>
        <v/>
      </c>
      <c r="G1106" s="63"/>
      <c r="H1106" s="63"/>
      <c r="I1106" s="63"/>
      <c r="J1106" s="64" t="str">
        <f aca="false">IF(OR(A1106="",B1106=""),"",CONCATENATE("https://matarstund.is/serfaedi?id=",LOWER(SUBSTITUTE(B1106,"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64" t="str">
        <f aca="false">IF(OR(A1107="",B1107=""),"",CONCATENATE("https://matarstund.is/serfaedi?id=",LOWER(SUBSTITUTE(B1107," ","-"))))</f>
        <v/>
      </c>
    </row>
    <row r="1108" customFormat="false" ht="15" hidden="false" customHeight="true" outlineLevel="0" collapsed="false">
      <c r="A1108" s="63"/>
      <c r="B1108" s="63"/>
      <c r="C1108" s="63"/>
      <c r="D1108" s="63"/>
      <c r="E1108" s="63"/>
      <c r="F1108" s="28" t="str">
        <f aca="false">IF(C1108="","",IF(OR(C1108="1. bekkur",C1108="2. bekkur",C1108="3. bekkur",C1108="4. bekkur"),"Já",IF(C1108="Starfsmaður","Nei","Nei")))</f>
        <v/>
      </c>
      <c r="G1108" s="63"/>
      <c r="H1108" s="63"/>
      <c r="I1108" s="63"/>
      <c r="J1108" s="64" t="str">
        <f aca="false">IF(OR(A1108="",B1108=""),"",CONCATENATE("https://matarstund.is/serfaedi?id=",LOWER(SUBSTITUTE(B1108,"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64" t="str">
        <f aca="false">IF(OR(A1109="",B1109=""),"",CONCATENATE("https://matarstund.is/serfaedi?id=",LOWER(SUBSTITUTE(B1109," ","-"))))</f>
        <v/>
      </c>
    </row>
    <row r="1110" customFormat="false" ht="15" hidden="false" customHeight="true" outlineLevel="0" collapsed="false">
      <c r="A1110" s="63"/>
      <c r="B1110" s="63"/>
      <c r="C1110" s="63"/>
      <c r="D1110" s="63"/>
      <c r="E1110" s="63"/>
      <c r="F1110" s="28" t="str">
        <f aca="false">IF(C1110="","",IF(OR(C1110="1. bekkur",C1110="2. bekkur",C1110="3. bekkur",C1110="4. bekkur"),"Já",IF(C1110="Starfsmaður","Nei","Nei")))</f>
        <v/>
      </c>
      <c r="G1110" s="63"/>
      <c r="H1110" s="63"/>
      <c r="I1110" s="63"/>
      <c r="J1110" s="64" t="str">
        <f aca="false">IF(OR(A1110="",B1110=""),"",CONCATENATE("https://matarstund.is/serfaedi?id=",LOWER(SUBSTITUTE(B1110,"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64" t="str">
        <f aca="false">IF(OR(A1111="",B1111=""),"",CONCATENATE("https://matarstund.is/serfaedi?id=",LOWER(SUBSTITUTE(B1111," ","-"))))</f>
        <v/>
      </c>
    </row>
    <row r="1112" customFormat="false" ht="15" hidden="false" customHeight="true" outlineLevel="0" collapsed="false">
      <c r="A1112" s="63"/>
      <c r="B1112" s="63"/>
      <c r="C1112" s="63"/>
      <c r="D1112" s="63"/>
      <c r="E1112" s="63"/>
      <c r="F1112" s="28" t="str">
        <f aca="false">IF(C1112="","",IF(OR(C1112="1. bekkur",C1112="2. bekkur",C1112="3. bekkur",C1112="4. bekkur"),"Já",IF(C1112="Starfsmaður","Nei","Nei")))</f>
        <v/>
      </c>
      <c r="G1112" s="63"/>
      <c r="H1112" s="63"/>
      <c r="I1112" s="63"/>
      <c r="J1112" s="64" t="str">
        <f aca="false">IF(OR(A1112="",B1112=""),"",CONCATENATE("https://matarstund.is/serfaedi?id=",LOWER(SUBSTITUTE(B1112,"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64" t="str">
        <f aca="false">IF(OR(A1113="",B1113=""),"",CONCATENATE("https://matarstund.is/serfaedi?id=",LOWER(SUBSTITUTE(B1113," ","-"))))</f>
        <v/>
      </c>
    </row>
    <row r="1114" customFormat="false" ht="15" hidden="false" customHeight="true" outlineLevel="0" collapsed="false">
      <c r="A1114" s="63"/>
      <c r="B1114" s="63"/>
      <c r="C1114" s="63"/>
      <c r="D1114" s="63"/>
      <c r="E1114" s="63"/>
      <c r="F1114" s="28" t="str">
        <f aca="false">IF(C1114="","",IF(OR(C1114="1. bekkur",C1114="2. bekkur",C1114="3. bekkur",C1114="4. bekkur"),"Já",IF(C1114="Starfsmaður","Nei","Nei")))</f>
        <v/>
      </c>
      <c r="G1114" s="63"/>
      <c r="H1114" s="63"/>
      <c r="I1114" s="63"/>
      <c r="J1114" s="64" t="str">
        <f aca="false">IF(OR(A1114="",B1114=""),"",CONCATENATE("https://matarstund.is/serfaedi?id=",LOWER(SUBSTITUTE(B1114,"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64" t="str">
        <f aca="false">IF(OR(A1115="",B1115=""),"",CONCATENATE("https://matarstund.is/serfaedi?id=",LOWER(SUBSTITUTE(B1115," ","-"))))</f>
        <v/>
      </c>
    </row>
    <row r="1116" customFormat="false" ht="15" hidden="false" customHeight="true" outlineLevel="0" collapsed="false">
      <c r="A1116" s="63"/>
      <c r="B1116" s="63"/>
      <c r="C1116" s="63"/>
      <c r="D1116" s="63"/>
      <c r="E1116" s="63"/>
      <c r="F1116" s="28" t="str">
        <f aca="false">IF(C1116="","",IF(OR(C1116="1. bekkur",C1116="2. bekkur",C1116="3. bekkur",C1116="4. bekkur"),"Já",IF(C1116="Starfsmaður","Nei","Nei")))</f>
        <v/>
      </c>
      <c r="G1116" s="63"/>
      <c r="H1116" s="63"/>
      <c r="I1116" s="63"/>
      <c r="J1116" s="64" t="str">
        <f aca="false">IF(OR(A1116="",B1116=""),"",CONCATENATE("https://matarstund.is/serfaedi?id=",LOWER(SUBSTITUTE(B1116,"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64" t="str">
        <f aca="false">IF(OR(A1117="",B1117=""),"",CONCATENATE("https://matarstund.is/serfaedi?id=",LOWER(SUBSTITUTE(B1117," ","-"))))</f>
        <v/>
      </c>
    </row>
    <row r="1118" customFormat="false" ht="15" hidden="false" customHeight="true" outlineLevel="0" collapsed="false">
      <c r="A1118" s="63"/>
      <c r="B1118" s="63"/>
      <c r="C1118" s="63"/>
      <c r="D1118" s="63"/>
      <c r="E1118" s="63"/>
      <c r="F1118" s="28" t="str">
        <f aca="false">IF(C1118="","",IF(OR(C1118="1. bekkur",C1118="2. bekkur",C1118="3. bekkur",C1118="4. bekkur"),"Já",IF(C1118="Starfsmaður","Nei","Nei")))</f>
        <v/>
      </c>
      <c r="G1118" s="63"/>
      <c r="H1118" s="63"/>
      <c r="I1118" s="63"/>
      <c r="J1118" s="64" t="str">
        <f aca="false">IF(OR(A1118="",B1118=""),"",CONCATENATE("https://matarstund.is/serfaedi?id=",LOWER(SUBSTITUTE(B1118,"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64" t="str">
        <f aca="false">IF(OR(A1119="",B1119=""),"",CONCATENATE("https://matarstund.is/serfaedi?id=",LOWER(SUBSTITUTE(B1119," ","-"))))</f>
        <v/>
      </c>
    </row>
    <row r="1120" customFormat="false" ht="15" hidden="false" customHeight="true" outlineLevel="0" collapsed="false">
      <c r="A1120" s="63"/>
      <c r="B1120" s="63"/>
      <c r="C1120" s="63"/>
      <c r="D1120" s="63"/>
      <c r="E1120" s="63"/>
      <c r="F1120" s="28" t="str">
        <f aca="false">IF(C1120="","",IF(OR(C1120="1. bekkur",C1120="2. bekkur",C1120="3. bekkur",C1120="4. bekkur"),"Já",IF(C1120="Starfsmaður","Nei","Nei")))</f>
        <v/>
      </c>
      <c r="G1120" s="63"/>
      <c r="H1120" s="63"/>
      <c r="I1120" s="63"/>
      <c r="J1120" s="64" t="str">
        <f aca="false">IF(OR(A1120="",B1120=""),"",CONCATENATE("https://matarstund.is/serfaedi?id=",LOWER(SUBSTITUTE(B1120,"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64" t="str">
        <f aca="false">IF(OR(A1121="",B1121=""),"",CONCATENATE("https://matarstund.is/serfaedi?id=",LOWER(SUBSTITUTE(B1121," ","-"))))</f>
        <v/>
      </c>
    </row>
    <row r="1122" customFormat="false" ht="15" hidden="false" customHeight="true" outlineLevel="0" collapsed="false">
      <c r="A1122" s="63"/>
      <c r="B1122" s="63"/>
      <c r="C1122" s="63"/>
      <c r="D1122" s="63"/>
      <c r="E1122" s="63"/>
      <c r="F1122" s="28" t="str">
        <f aca="false">IF(C1122="","",IF(OR(C1122="1. bekkur",C1122="2. bekkur",C1122="3. bekkur",C1122="4. bekkur"),"Já",IF(C1122="Starfsmaður","Nei","Nei")))</f>
        <v/>
      </c>
      <c r="G1122" s="63"/>
      <c r="H1122" s="63"/>
      <c r="I1122" s="63"/>
      <c r="J1122" s="64" t="str">
        <f aca="false">IF(OR(A1122="",B1122=""),"",CONCATENATE("https://matarstund.is/serfaedi?id=",LOWER(SUBSTITUTE(B1122,"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64" t="str">
        <f aca="false">IF(OR(A1123="",B1123=""),"",CONCATENATE("https://matarstund.is/serfaedi?id=",LOWER(SUBSTITUTE(B1123," ","-"))))</f>
        <v/>
      </c>
    </row>
    <row r="1124" customFormat="false" ht="15" hidden="false" customHeight="true" outlineLevel="0" collapsed="false">
      <c r="A1124" s="63"/>
      <c r="B1124" s="63"/>
      <c r="C1124" s="63"/>
      <c r="D1124" s="63"/>
      <c r="E1124" s="63"/>
      <c r="F1124" s="28" t="str">
        <f aca="false">IF(C1124="","",IF(OR(C1124="1. bekkur",C1124="2. bekkur",C1124="3. bekkur",C1124="4. bekkur"),"Já",IF(C1124="Starfsmaður","Nei","Nei")))</f>
        <v/>
      </c>
      <c r="G1124" s="63"/>
      <c r="H1124" s="63"/>
      <c r="I1124" s="63"/>
      <c r="J1124" s="64" t="str">
        <f aca="false">IF(OR(A1124="",B1124=""),"",CONCATENATE("https://matarstund.is/serfaedi?id=",LOWER(SUBSTITUTE(B1124,"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64" t="str">
        <f aca="false">IF(OR(A1125="",B1125=""),"",CONCATENATE("https://matarstund.is/serfaedi?id=",LOWER(SUBSTITUTE(B1125," ","-"))))</f>
        <v/>
      </c>
    </row>
    <row r="1126" customFormat="false" ht="15" hidden="false" customHeight="true" outlineLevel="0" collapsed="false">
      <c r="A1126" s="63"/>
      <c r="B1126" s="63"/>
      <c r="C1126" s="63"/>
      <c r="D1126" s="63"/>
      <c r="E1126" s="63"/>
      <c r="F1126" s="28" t="str">
        <f aca="false">IF(C1126="","",IF(OR(C1126="1. bekkur",C1126="2. bekkur",C1126="3. bekkur",C1126="4. bekkur"),"Já",IF(C1126="Starfsmaður","Nei","Nei")))</f>
        <v/>
      </c>
      <c r="G1126" s="63"/>
      <c r="H1126" s="63"/>
      <c r="I1126" s="63"/>
      <c r="J1126" s="64" t="str">
        <f aca="false">IF(OR(A1126="",B1126=""),"",CONCATENATE("https://matarstund.is/serfaedi?id=",LOWER(SUBSTITUTE(B1126,"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64" t="str">
        <f aca="false">IF(OR(A1127="",B1127=""),"",CONCATENATE("https://matarstund.is/serfaedi?id=",LOWER(SUBSTITUTE(B1127," ","-"))))</f>
        <v/>
      </c>
    </row>
    <row r="1128" customFormat="false" ht="15" hidden="false" customHeight="true" outlineLevel="0" collapsed="false">
      <c r="A1128" s="63"/>
      <c r="B1128" s="63"/>
      <c r="C1128" s="63"/>
      <c r="D1128" s="63"/>
      <c r="E1128" s="63"/>
      <c r="F1128" s="28" t="str">
        <f aca="false">IF(C1128="","",IF(OR(C1128="1. bekkur",C1128="2. bekkur",C1128="3. bekkur",C1128="4. bekkur"),"Já",IF(C1128="Starfsmaður","Nei","Nei")))</f>
        <v/>
      </c>
      <c r="G1128" s="63"/>
      <c r="H1128" s="63"/>
      <c r="I1128" s="63"/>
      <c r="J1128" s="64" t="str">
        <f aca="false">IF(OR(A1128="",B1128=""),"",CONCATENATE("https://matarstund.is/serfaedi?id=",LOWER(SUBSTITUTE(B1128,"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64" t="str">
        <f aca="false">IF(OR(A1129="",B1129=""),"",CONCATENATE("https://matarstund.is/serfaedi?id=",LOWER(SUBSTITUTE(B1129," ","-"))))</f>
        <v/>
      </c>
    </row>
    <row r="1130" customFormat="false" ht="15" hidden="false" customHeight="true" outlineLevel="0" collapsed="false">
      <c r="A1130" s="63"/>
      <c r="B1130" s="63"/>
      <c r="C1130" s="63"/>
      <c r="D1130" s="63"/>
      <c r="E1130" s="63"/>
      <c r="F1130" s="28" t="str">
        <f aca="false">IF(C1130="","",IF(OR(C1130="1. bekkur",C1130="2. bekkur",C1130="3. bekkur",C1130="4. bekkur"),"Já",IF(C1130="Starfsmaður","Nei","Nei")))</f>
        <v/>
      </c>
      <c r="G1130" s="63"/>
      <c r="H1130" s="63"/>
      <c r="I1130" s="63"/>
      <c r="J1130" s="64" t="str">
        <f aca="false">IF(OR(A1130="",B1130=""),"",CONCATENATE("https://matarstund.is/serfaedi?id=",LOWER(SUBSTITUTE(B1130,"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64" t="str">
        <f aca="false">IF(OR(A1131="",B1131=""),"",CONCATENATE("https://matarstund.is/serfaedi?id=",LOWER(SUBSTITUTE(B1131," ","-"))))</f>
        <v/>
      </c>
    </row>
    <row r="1132" customFormat="false" ht="15" hidden="false" customHeight="true" outlineLevel="0" collapsed="false">
      <c r="A1132" s="63"/>
      <c r="B1132" s="63"/>
      <c r="C1132" s="63"/>
      <c r="D1132" s="63"/>
      <c r="E1132" s="63"/>
      <c r="F1132" s="28" t="str">
        <f aca="false">IF(C1132="","",IF(OR(C1132="1. bekkur",C1132="2. bekkur",C1132="3. bekkur",C1132="4. bekkur"),"Já",IF(C1132="Starfsmaður","Nei","Nei")))</f>
        <v/>
      </c>
      <c r="G1132" s="63"/>
      <c r="H1132" s="63"/>
      <c r="I1132" s="63"/>
      <c r="J1132" s="64" t="str">
        <f aca="false">IF(OR(A1132="",B1132=""),"",CONCATENATE("https://matarstund.is/serfaedi?id=",LOWER(SUBSTITUTE(B1132,"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64" t="str">
        <f aca="false">IF(OR(A1133="",B1133=""),"",CONCATENATE("https://matarstund.is/serfaedi?id=",LOWER(SUBSTITUTE(B1133," ","-"))))</f>
        <v/>
      </c>
    </row>
    <row r="1134" customFormat="false" ht="15" hidden="false" customHeight="true" outlineLevel="0" collapsed="false">
      <c r="A1134" s="63"/>
      <c r="B1134" s="63"/>
      <c r="C1134" s="63"/>
      <c r="D1134" s="63"/>
      <c r="E1134" s="63"/>
      <c r="F1134" s="28" t="str">
        <f aca="false">IF(C1134="","",IF(OR(C1134="1. bekkur",C1134="2. bekkur",C1134="3. bekkur",C1134="4. bekkur"),"Já",IF(C1134="Starfsmaður","Nei","Nei")))</f>
        <v/>
      </c>
      <c r="G1134" s="63"/>
      <c r="H1134" s="63"/>
      <c r="I1134" s="63"/>
      <c r="J1134" s="64" t="str">
        <f aca="false">IF(OR(A1134="",B1134=""),"",CONCATENATE("https://matarstund.is/serfaedi?id=",LOWER(SUBSTITUTE(B1134,"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64" t="str">
        <f aca="false">IF(OR(A1135="",B1135=""),"",CONCATENATE("https://matarstund.is/serfaedi?id=",LOWER(SUBSTITUTE(B1135," ","-"))))</f>
        <v/>
      </c>
    </row>
    <row r="1136" customFormat="false" ht="15" hidden="false" customHeight="true" outlineLevel="0" collapsed="false">
      <c r="A1136" s="63"/>
      <c r="B1136" s="63"/>
      <c r="C1136" s="63"/>
      <c r="D1136" s="63"/>
      <c r="E1136" s="63"/>
      <c r="F1136" s="28" t="str">
        <f aca="false">IF(C1136="","",IF(OR(C1136="1. bekkur",C1136="2. bekkur",C1136="3. bekkur",C1136="4. bekkur"),"Já",IF(C1136="Starfsmaður","Nei","Nei")))</f>
        <v/>
      </c>
      <c r="G1136" s="63"/>
      <c r="H1136" s="63"/>
      <c r="I1136" s="63"/>
      <c r="J1136" s="64" t="str">
        <f aca="false">IF(OR(A1136="",B1136=""),"",CONCATENATE("https://matarstund.is/serfaedi?id=",LOWER(SUBSTITUTE(B1136,"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64" t="str">
        <f aca="false">IF(OR(A1137="",B1137=""),"",CONCATENATE("https://matarstund.is/serfaedi?id=",LOWER(SUBSTITUTE(B1137," ","-"))))</f>
        <v/>
      </c>
    </row>
    <row r="1138" customFormat="false" ht="15" hidden="false" customHeight="true" outlineLevel="0" collapsed="false">
      <c r="A1138" s="63"/>
      <c r="B1138" s="63"/>
      <c r="C1138" s="63"/>
      <c r="D1138" s="63"/>
      <c r="E1138" s="63"/>
      <c r="F1138" s="28" t="str">
        <f aca="false">IF(C1138="","",IF(OR(C1138="1. bekkur",C1138="2. bekkur",C1138="3. bekkur",C1138="4. bekkur"),"Já",IF(C1138="Starfsmaður","Nei","Nei")))</f>
        <v/>
      </c>
      <c r="G1138" s="63"/>
      <c r="H1138" s="63"/>
      <c r="I1138" s="63"/>
      <c r="J1138" s="64" t="str">
        <f aca="false">IF(OR(A1138="",B1138=""),"",CONCATENATE("https://matarstund.is/serfaedi?id=",LOWER(SUBSTITUTE(B1138,"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64" t="str">
        <f aca="false">IF(OR(A1139="",B1139=""),"",CONCATENATE("https://matarstund.is/serfaedi?id=",LOWER(SUBSTITUTE(B1139," ","-"))))</f>
        <v/>
      </c>
    </row>
    <row r="1140" customFormat="false" ht="15" hidden="false" customHeight="true" outlineLevel="0" collapsed="false">
      <c r="A1140" s="63"/>
      <c r="B1140" s="63"/>
      <c r="C1140" s="63"/>
      <c r="D1140" s="63"/>
      <c r="E1140" s="63"/>
      <c r="F1140" s="28" t="str">
        <f aca="false">IF(C1140="","",IF(OR(C1140="1. bekkur",C1140="2. bekkur",C1140="3. bekkur",C1140="4. bekkur"),"Já",IF(C1140="Starfsmaður","Nei","Nei")))</f>
        <v/>
      </c>
      <c r="G1140" s="63"/>
      <c r="H1140" s="63"/>
      <c r="I1140" s="63"/>
      <c r="J1140" s="64" t="str">
        <f aca="false">IF(OR(A1140="",B1140=""),"",CONCATENATE("https://matarstund.is/serfaedi?id=",LOWER(SUBSTITUTE(B1140,"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64" t="str">
        <f aca="false">IF(OR(A1141="",B1141=""),"",CONCATENATE("https://matarstund.is/serfaedi?id=",LOWER(SUBSTITUTE(B1141," ","-"))))</f>
        <v/>
      </c>
    </row>
    <row r="1142" customFormat="false" ht="15" hidden="false" customHeight="true" outlineLevel="0" collapsed="false">
      <c r="A1142" s="63"/>
      <c r="B1142" s="63"/>
      <c r="C1142" s="63"/>
      <c r="D1142" s="63"/>
      <c r="E1142" s="63"/>
      <c r="F1142" s="28" t="str">
        <f aca="false">IF(C1142="","",IF(OR(C1142="1. bekkur",C1142="2. bekkur",C1142="3. bekkur",C1142="4. bekkur"),"Já",IF(C1142="Starfsmaður","Nei","Nei")))</f>
        <v/>
      </c>
      <c r="G1142" s="63"/>
      <c r="H1142" s="63"/>
      <c r="I1142" s="63"/>
      <c r="J1142" s="64" t="str">
        <f aca="false">IF(OR(A1142="",B1142=""),"",CONCATENATE("https://matarstund.is/serfaedi?id=",LOWER(SUBSTITUTE(B1142,"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64" t="str">
        <f aca="false">IF(OR(A1143="",B1143=""),"",CONCATENATE("https://matarstund.is/serfaedi?id=",LOWER(SUBSTITUTE(B1143," ","-"))))</f>
        <v/>
      </c>
    </row>
    <row r="1144" customFormat="false" ht="15" hidden="false" customHeight="true" outlineLevel="0" collapsed="false">
      <c r="A1144" s="63"/>
      <c r="B1144" s="63"/>
      <c r="C1144" s="63"/>
      <c r="D1144" s="63"/>
      <c r="E1144" s="63"/>
      <c r="F1144" s="28" t="str">
        <f aca="false">IF(C1144="","",IF(OR(C1144="1. bekkur",C1144="2. bekkur",C1144="3. bekkur",C1144="4. bekkur"),"Já",IF(C1144="Starfsmaður","Nei","Nei")))</f>
        <v/>
      </c>
      <c r="G1144" s="63"/>
      <c r="H1144" s="63"/>
      <c r="I1144" s="63"/>
      <c r="J1144" s="64" t="str">
        <f aca="false">IF(OR(A1144="",B1144=""),"",CONCATENATE("https://matarstund.is/serfaedi?id=",LOWER(SUBSTITUTE(B1144,"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64" t="str">
        <f aca="false">IF(OR(A1145="",B1145=""),"",CONCATENATE("https://matarstund.is/serfaedi?id=",LOWER(SUBSTITUTE(B1145," ","-"))))</f>
        <v/>
      </c>
    </row>
    <row r="1146" customFormat="false" ht="15" hidden="false" customHeight="true" outlineLevel="0" collapsed="false">
      <c r="A1146" s="63"/>
      <c r="B1146" s="63"/>
      <c r="C1146" s="63"/>
      <c r="D1146" s="63"/>
      <c r="E1146" s="63"/>
      <c r="F1146" s="28" t="str">
        <f aca="false">IF(C1146="","",IF(OR(C1146="1. bekkur",C1146="2. bekkur",C1146="3. bekkur",C1146="4. bekkur"),"Já",IF(C1146="Starfsmaður","Nei","Nei")))</f>
        <v/>
      </c>
      <c r="G1146" s="63"/>
      <c r="H1146" s="63"/>
      <c r="I1146" s="63"/>
      <c r="J1146" s="64" t="str">
        <f aca="false">IF(OR(A1146="",B1146=""),"",CONCATENATE("https://matarstund.is/serfaedi?id=",LOWER(SUBSTITUTE(B1146,"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64" t="str">
        <f aca="false">IF(OR(A1147="",B1147=""),"",CONCATENATE("https://matarstund.is/serfaedi?id=",LOWER(SUBSTITUTE(B1147," ","-"))))</f>
        <v/>
      </c>
    </row>
    <row r="1148" customFormat="false" ht="15" hidden="false" customHeight="true" outlineLevel="0" collapsed="false">
      <c r="A1148" s="63"/>
      <c r="B1148" s="63"/>
      <c r="C1148" s="63"/>
      <c r="D1148" s="63"/>
      <c r="E1148" s="63"/>
      <c r="F1148" s="28" t="str">
        <f aca="false">IF(C1148="","",IF(OR(C1148="1. bekkur",C1148="2. bekkur",C1148="3. bekkur",C1148="4. bekkur"),"Já",IF(C1148="Starfsmaður","Nei","Nei")))</f>
        <v/>
      </c>
      <c r="G1148" s="63"/>
      <c r="H1148" s="63"/>
      <c r="I1148" s="63"/>
      <c r="J1148" s="64" t="str">
        <f aca="false">IF(OR(A1148="",B1148=""),"",CONCATENATE("https://matarstund.is/serfaedi?id=",LOWER(SUBSTITUTE(B1148,"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64" t="str">
        <f aca="false">IF(OR(A1149="",B1149=""),"",CONCATENATE("https://matarstund.is/serfaedi?id=",LOWER(SUBSTITUTE(B1149," ","-"))))</f>
        <v/>
      </c>
    </row>
    <row r="1150" customFormat="false" ht="15" hidden="false" customHeight="true" outlineLevel="0" collapsed="false">
      <c r="A1150" s="63"/>
      <c r="B1150" s="63"/>
      <c r="C1150" s="63"/>
      <c r="D1150" s="63"/>
      <c r="E1150" s="63"/>
      <c r="F1150" s="28" t="str">
        <f aca="false">IF(C1150="","",IF(OR(C1150="1. bekkur",C1150="2. bekkur",C1150="3. bekkur",C1150="4. bekkur"),"Já",IF(C1150="Starfsmaður","Nei","Nei")))</f>
        <v/>
      </c>
      <c r="G1150" s="63"/>
      <c r="H1150" s="63"/>
      <c r="I1150" s="63"/>
      <c r="J1150" s="64" t="str">
        <f aca="false">IF(OR(A1150="",B1150=""),"",CONCATENATE("https://matarstund.is/serfaedi?id=",LOWER(SUBSTITUTE(B1150,"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64" t="str">
        <f aca="false">IF(OR(A1151="",B1151=""),"",CONCATENATE("https://matarstund.is/serfaedi?id=",LOWER(SUBSTITUTE(B1151," ","-"))))</f>
        <v/>
      </c>
    </row>
    <row r="1152" customFormat="false" ht="15" hidden="false" customHeight="true" outlineLevel="0" collapsed="false">
      <c r="A1152" s="63"/>
      <c r="B1152" s="63"/>
      <c r="C1152" s="63"/>
      <c r="D1152" s="63"/>
      <c r="E1152" s="63"/>
      <c r="F1152" s="28" t="str">
        <f aca="false">IF(C1152="","",IF(OR(C1152="1. bekkur",C1152="2. bekkur",C1152="3. bekkur",C1152="4. bekkur"),"Já",IF(C1152="Starfsmaður","Nei","Nei")))</f>
        <v/>
      </c>
      <c r="G1152" s="63"/>
      <c r="H1152" s="63"/>
      <c r="I1152" s="63"/>
      <c r="J1152" s="64" t="str">
        <f aca="false">IF(OR(A1152="",B1152=""),"",CONCATENATE("https://matarstund.is/serfaedi?id=",LOWER(SUBSTITUTE(B1152,"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64" t="str">
        <f aca="false">IF(OR(A1153="",B1153=""),"",CONCATENATE("https://matarstund.is/serfaedi?id=",LOWER(SUBSTITUTE(B1153," ","-"))))</f>
        <v/>
      </c>
    </row>
    <row r="1154" customFormat="false" ht="15" hidden="false" customHeight="true" outlineLevel="0" collapsed="false">
      <c r="A1154" s="63"/>
      <c r="B1154" s="63"/>
      <c r="C1154" s="63"/>
      <c r="D1154" s="63"/>
      <c r="E1154" s="63"/>
      <c r="F1154" s="28" t="str">
        <f aca="false">IF(C1154="","",IF(OR(C1154="1. bekkur",C1154="2. bekkur",C1154="3. bekkur",C1154="4. bekkur"),"Já",IF(C1154="Starfsmaður","Nei","Nei")))</f>
        <v/>
      </c>
      <c r="G1154" s="63"/>
      <c r="H1154" s="63"/>
      <c r="I1154" s="63"/>
      <c r="J1154" s="64" t="str">
        <f aca="false">IF(OR(A1154="",B1154=""),"",CONCATENATE("https://matarstund.is/serfaedi?id=",LOWER(SUBSTITUTE(B1154,"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64" t="str">
        <f aca="false">IF(OR(A1155="",B1155=""),"",CONCATENATE("https://matarstund.is/serfaedi?id=",LOWER(SUBSTITUTE(B1155," ","-"))))</f>
        <v/>
      </c>
    </row>
    <row r="1156" customFormat="false" ht="15" hidden="false" customHeight="true" outlineLevel="0" collapsed="false">
      <c r="A1156" s="63"/>
      <c r="B1156" s="63"/>
      <c r="C1156" s="63"/>
      <c r="D1156" s="63"/>
      <c r="E1156" s="63"/>
      <c r="F1156" s="28" t="str">
        <f aca="false">IF(C1156="","",IF(OR(C1156="1. bekkur",C1156="2. bekkur",C1156="3. bekkur",C1156="4. bekkur"),"Já",IF(C1156="Starfsmaður","Nei","Nei")))</f>
        <v/>
      </c>
      <c r="G1156" s="63"/>
      <c r="H1156" s="63"/>
      <c r="I1156" s="63"/>
      <c r="J1156" s="64" t="str">
        <f aca="false">IF(OR(A1156="",B1156=""),"",CONCATENATE("https://matarstund.is/serfaedi?id=",LOWER(SUBSTITUTE(B1156,"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64" t="str">
        <f aca="false">IF(OR(A1157="",B1157=""),"",CONCATENATE("https://matarstund.is/serfaedi?id=",LOWER(SUBSTITUTE(B1157," ","-"))))</f>
        <v/>
      </c>
    </row>
    <row r="1158" customFormat="false" ht="15" hidden="false" customHeight="true" outlineLevel="0" collapsed="false">
      <c r="A1158" s="63"/>
      <c r="B1158" s="63"/>
      <c r="C1158" s="63"/>
      <c r="D1158" s="63"/>
      <c r="E1158" s="63"/>
      <c r="F1158" s="28" t="str">
        <f aca="false">IF(C1158="","",IF(OR(C1158="1. bekkur",C1158="2. bekkur",C1158="3. bekkur",C1158="4. bekkur"),"Já",IF(C1158="Starfsmaður","Nei","Nei")))</f>
        <v/>
      </c>
      <c r="G1158" s="63"/>
      <c r="H1158" s="63"/>
      <c r="I1158" s="63"/>
      <c r="J1158" s="64" t="str">
        <f aca="false">IF(OR(A1158="",B1158=""),"",CONCATENATE("https://matarstund.is/serfaedi?id=",LOWER(SUBSTITUTE(B1158,"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64" t="str">
        <f aca="false">IF(OR(A1159="",B1159=""),"",CONCATENATE("https://matarstund.is/serfaedi?id=",LOWER(SUBSTITUTE(B1159," ","-"))))</f>
        <v/>
      </c>
    </row>
    <row r="1160" customFormat="false" ht="15" hidden="false" customHeight="true" outlineLevel="0" collapsed="false">
      <c r="A1160" s="63"/>
      <c r="B1160" s="63"/>
      <c r="C1160" s="63"/>
      <c r="D1160" s="63"/>
      <c r="E1160" s="63"/>
      <c r="F1160" s="28" t="str">
        <f aca="false">IF(C1160="","",IF(OR(C1160="1. bekkur",C1160="2. bekkur",C1160="3. bekkur",C1160="4. bekkur"),"Já",IF(C1160="Starfsmaður","Nei","Nei")))</f>
        <v/>
      </c>
      <c r="G1160" s="63"/>
      <c r="H1160" s="63"/>
      <c r="I1160" s="63"/>
      <c r="J1160" s="64" t="str">
        <f aca="false">IF(OR(A1160="",B1160=""),"",CONCATENATE("https://matarstund.is/serfaedi?id=",LOWER(SUBSTITUTE(B1160,"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64" t="str">
        <f aca="false">IF(OR(A1161="",B1161=""),"",CONCATENATE("https://matarstund.is/serfaedi?id=",LOWER(SUBSTITUTE(B1161," ","-"))))</f>
        <v/>
      </c>
    </row>
    <row r="1162" customFormat="false" ht="15" hidden="false" customHeight="true" outlineLevel="0" collapsed="false">
      <c r="A1162" s="63"/>
      <c r="B1162" s="63"/>
      <c r="C1162" s="63"/>
      <c r="D1162" s="63"/>
      <c r="E1162" s="63"/>
      <c r="F1162" s="28" t="str">
        <f aca="false">IF(C1162="","",IF(OR(C1162="1. bekkur",C1162="2. bekkur",C1162="3. bekkur",C1162="4. bekkur"),"Já",IF(C1162="Starfsmaður","Nei","Nei")))</f>
        <v/>
      </c>
      <c r="G1162" s="63"/>
      <c r="H1162" s="63"/>
      <c r="I1162" s="63"/>
      <c r="J1162" s="64" t="str">
        <f aca="false">IF(OR(A1162="",B1162=""),"",CONCATENATE("https://matarstund.is/serfaedi?id=",LOWER(SUBSTITUTE(B1162,"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64" t="str">
        <f aca="false">IF(OR(A1163="",B1163=""),"",CONCATENATE("https://matarstund.is/serfaedi?id=",LOWER(SUBSTITUTE(B1163," ","-"))))</f>
        <v/>
      </c>
    </row>
    <row r="1164" customFormat="false" ht="15" hidden="false" customHeight="true" outlineLevel="0" collapsed="false">
      <c r="A1164" s="63"/>
      <c r="B1164" s="63"/>
      <c r="C1164" s="63"/>
      <c r="D1164" s="63"/>
      <c r="E1164" s="63"/>
      <c r="F1164" s="28" t="str">
        <f aca="false">IF(C1164="","",IF(OR(C1164="1. bekkur",C1164="2. bekkur",C1164="3. bekkur",C1164="4. bekkur"),"Já",IF(C1164="Starfsmaður","Nei","Nei")))</f>
        <v/>
      </c>
      <c r="G1164" s="63"/>
      <c r="H1164" s="63"/>
      <c r="I1164" s="63"/>
      <c r="J1164" s="64" t="str">
        <f aca="false">IF(OR(A1164="",B1164=""),"",CONCATENATE("https://matarstund.is/serfaedi?id=",LOWER(SUBSTITUTE(B1164,"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64" t="str">
        <f aca="false">IF(OR(A1165="",B1165=""),"",CONCATENATE("https://matarstund.is/serfaedi?id=",LOWER(SUBSTITUTE(B1165," ","-"))))</f>
        <v/>
      </c>
    </row>
    <row r="1166" customFormat="false" ht="15" hidden="false" customHeight="true" outlineLevel="0" collapsed="false">
      <c r="A1166" s="63"/>
      <c r="B1166" s="63"/>
      <c r="C1166" s="63"/>
      <c r="D1166" s="63"/>
      <c r="E1166" s="63"/>
      <c r="F1166" s="28" t="str">
        <f aca="false">IF(C1166="","",IF(OR(C1166="1. bekkur",C1166="2. bekkur",C1166="3. bekkur",C1166="4. bekkur"),"Já",IF(C1166="Starfsmaður","Nei","Nei")))</f>
        <v/>
      </c>
      <c r="G1166" s="63"/>
      <c r="H1166" s="63"/>
      <c r="I1166" s="63"/>
      <c r="J1166" s="64" t="str">
        <f aca="false">IF(OR(A1166="",B1166=""),"",CONCATENATE("https://matarstund.is/serfaedi?id=",LOWER(SUBSTITUTE(B1166,"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64" t="str">
        <f aca="false">IF(OR(A1167="",B1167=""),"",CONCATENATE("https://matarstund.is/serfaedi?id=",LOWER(SUBSTITUTE(B1167," ","-"))))</f>
        <v/>
      </c>
    </row>
    <row r="1168" customFormat="false" ht="15" hidden="false" customHeight="true" outlineLevel="0" collapsed="false">
      <c r="A1168" s="63"/>
      <c r="B1168" s="63"/>
      <c r="C1168" s="63"/>
      <c r="D1168" s="63"/>
      <c r="E1168" s="63"/>
      <c r="F1168" s="28" t="str">
        <f aca="false">IF(C1168="","",IF(OR(C1168="1. bekkur",C1168="2. bekkur",C1168="3. bekkur",C1168="4. bekkur"),"Já",IF(C1168="Starfsmaður","Nei","Nei")))</f>
        <v/>
      </c>
      <c r="G1168" s="63"/>
      <c r="H1168" s="63"/>
      <c r="I1168" s="63"/>
      <c r="J1168" s="64" t="str">
        <f aca="false">IF(OR(A1168="",B1168=""),"",CONCATENATE("https://matarstund.is/serfaedi?id=",LOWER(SUBSTITUTE(B1168,"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64" t="str">
        <f aca="false">IF(OR(A1169="",B1169=""),"",CONCATENATE("https://matarstund.is/serfaedi?id=",LOWER(SUBSTITUTE(B1169," ","-"))))</f>
        <v/>
      </c>
    </row>
    <row r="1170" customFormat="false" ht="15" hidden="false" customHeight="true" outlineLevel="0" collapsed="false">
      <c r="A1170" s="63"/>
      <c r="B1170" s="63"/>
      <c r="C1170" s="63"/>
      <c r="D1170" s="63"/>
      <c r="E1170" s="63"/>
      <c r="F1170" s="28" t="str">
        <f aca="false">IF(C1170="","",IF(OR(C1170="1. bekkur",C1170="2. bekkur",C1170="3. bekkur",C1170="4. bekkur"),"Já",IF(C1170="Starfsmaður","Nei","Nei")))</f>
        <v/>
      </c>
      <c r="G1170" s="63"/>
      <c r="H1170" s="63"/>
      <c r="I1170" s="63"/>
      <c r="J1170" s="64" t="str">
        <f aca="false">IF(OR(A1170="",B1170=""),"",CONCATENATE("https://matarstund.is/serfaedi?id=",LOWER(SUBSTITUTE(B1170,"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64" t="str">
        <f aca="false">IF(OR(A1171="",B1171=""),"",CONCATENATE("https://matarstund.is/serfaedi?id=",LOWER(SUBSTITUTE(B1171," ","-"))))</f>
        <v/>
      </c>
    </row>
    <row r="1172" customFormat="false" ht="15" hidden="false" customHeight="true" outlineLevel="0" collapsed="false">
      <c r="A1172" s="63"/>
      <c r="B1172" s="63"/>
      <c r="C1172" s="63"/>
      <c r="D1172" s="63"/>
      <c r="E1172" s="63"/>
      <c r="F1172" s="28" t="str">
        <f aca="false">IF(C1172="","",IF(OR(C1172="1. bekkur",C1172="2. bekkur",C1172="3. bekkur",C1172="4. bekkur"),"Já",IF(C1172="Starfsmaður","Nei","Nei")))</f>
        <v/>
      </c>
      <c r="G1172" s="63"/>
      <c r="H1172" s="63"/>
      <c r="I1172" s="63"/>
      <c r="J1172" s="64" t="str">
        <f aca="false">IF(OR(A1172="",B1172=""),"",CONCATENATE("https://matarstund.is/serfaedi?id=",LOWER(SUBSTITUTE(B1172,"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64" t="str">
        <f aca="false">IF(OR(A1173="",B1173=""),"",CONCATENATE("https://matarstund.is/serfaedi?id=",LOWER(SUBSTITUTE(B1173," ","-"))))</f>
        <v/>
      </c>
    </row>
    <row r="1174" customFormat="false" ht="15" hidden="false" customHeight="true" outlineLevel="0" collapsed="false">
      <c r="A1174" s="63"/>
      <c r="B1174" s="63"/>
      <c r="C1174" s="63"/>
      <c r="D1174" s="63"/>
      <c r="E1174" s="63"/>
      <c r="F1174" s="28" t="str">
        <f aca="false">IF(C1174="","",IF(OR(C1174="1. bekkur",C1174="2. bekkur",C1174="3. bekkur",C1174="4. bekkur"),"Já",IF(C1174="Starfsmaður","Nei","Nei")))</f>
        <v/>
      </c>
      <c r="G1174" s="63"/>
      <c r="H1174" s="63"/>
      <c r="I1174" s="63"/>
      <c r="J1174" s="64" t="str">
        <f aca="false">IF(OR(A1174="",B1174=""),"",CONCATENATE("https://matarstund.is/serfaedi?id=",LOWER(SUBSTITUTE(B1174,"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64" t="str">
        <f aca="false">IF(OR(A1175="",B1175=""),"",CONCATENATE("https://matarstund.is/serfaedi?id=",LOWER(SUBSTITUTE(B1175," ","-"))))</f>
        <v/>
      </c>
    </row>
    <row r="1176" customFormat="false" ht="15" hidden="false" customHeight="true" outlineLevel="0" collapsed="false">
      <c r="A1176" s="63"/>
      <c r="B1176" s="63"/>
      <c r="C1176" s="63"/>
      <c r="D1176" s="63"/>
      <c r="E1176" s="63"/>
      <c r="F1176" s="28" t="str">
        <f aca="false">IF(C1176="","",IF(OR(C1176="1. bekkur",C1176="2. bekkur",C1176="3. bekkur",C1176="4. bekkur"),"Já",IF(C1176="Starfsmaður","Nei","Nei")))</f>
        <v/>
      </c>
      <c r="G1176" s="63"/>
      <c r="H1176" s="63"/>
      <c r="I1176" s="63"/>
      <c r="J1176" s="64" t="str">
        <f aca="false">IF(OR(A1176="",B1176=""),"",CONCATENATE("https://matarstund.is/serfaedi?id=",LOWER(SUBSTITUTE(B1176,"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64" t="str">
        <f aca="false">IF(OR(A1177="",B1177=""),"",CONCATENATE("https://matarstund.is/serfaedi?id=",LOWER(SUBSTITUTE(B1177," ","-"))))</f>
        <v/>
      </c>
    </row>
    <row r="1178" customFormat="false" ht="15" hidden="false" customHeight="true" outlineLevel="0" collapsed="false">
      <c r="A1178" s="63"/>
      <c r="B1178" s="63"/>
      <c r="C1178" s="63"/>
      <c r="D1178" s="63"/>
      <c r="E1178" s="63"/>
      <c r="F1178" s="28" t="str">
        <f aca="false">IF(C1178="","",IF(OR(C1178="1. bekkur",C1178="2. bekkur",C1178="3. bekkur",C1178="4. bekkur"),"Já",IF(C1178="Starfsmaður","Nei","Nei")))</f>
        <v/>
      </c>
      <c r="G1178" s="63"/>
      <c r="H1178" s="63"/>
      <c r="I1178" s="63"/>
      <c r="J1178" s="64" t="str">
        <f aca="false">IF(OR(A1178="",B1178=""),"",CONCATENATE("https://matarstund.is/serfaedi?id=",LOWER(SUBSTITUTE(B1178,"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64" t="str">
        <f aca="false">IF(OR(A1179="",B1179=""),"",CONCATENATE("https://matarstund.is/serfaedi?id=",LOWER(SUBSTITUTE(B1179," ","-"))))</f>
        <v/>
      </c>
    </row>
    <row r="1180" customFormat="false" ht="15" hidden="false" customHeight="true" outlineLevel="0" collapsed="false">
      <c r="A1180" s="63"/>
      <c r="B1180" s="63"/>
      <c r="C1180" s="63"/>
      <c r="D1180" s="63"/>
      <c r="E1180" s="63"/>
      <c r="F1180" s="28" t="str">
        <f aca="false">IF(C1180="","",IF(OR(C1180="1. bekkur",C1180="2. bekkur",C1180="3. bekkur",C1180="4. bekkur"),"Já",IF(C1180="Starfsmaður","Nei","Nei")))</f>
        <v/>
      </c>
      <c r="G1180" s="63"/>
      <c r="H1180" s="63"/>
      <c r="I1180" s="63"/>
      <c r="J1180" s="64" t="str">
        <f aca="false">IF(OR(A1180="",B1180=""),"",CONCATENATE("https://matarstund.is/serfaedi?id=",LOWER(SUBSTITUTE(B1180,"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64" t="str">
        <f aca="false">IF(OR(A1181="",B1181=""),"",CONCATENATE("https://matarstund.is/serfaedi?id=",LOWER(SUBSTITUTE(B1181," ","-"))))</f>
        <v/>
      </c>
    </row>
    <row r="1182" customFormat="false" ht="15" hidden="false" customHeight="true" outlineLevel="0" collapsed="false">
      <c r="A1182" s="63"/>
      <c r="B1182" s="63"/>
      <c r="C1182" s="63"/>
      <c r="D1182" s="63"/>
      <c r="E1182" s="63"/>
      <c r="F1182" s="28" t="str">
        <f aca="false">IF(C1182="","",IF(OR(C1182="1. bekkur",C1182="2. bekkur",C1182="3. bekkur",C1182="4. bekkur"),"Já",IF(C1182="Starfsmaður","Nei","Nei")))</f>
        <v/>
      </c>
      <c r="G1182" s="63"/>
      <c r="H1182" s="63"/>
      <c r="I1182" s="63"/>
      <c r="J1182" s="64" t="str">
        <f aca="false">IF(OR(A1182="",B1182=""),"",CONCATENATE("https://matarstund.is/serfaedi?id=",LOWER(SUBSTITUTE(B1182,"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64" t="str">
        <f aca="false">IF(OR(A1183="",B1183=""),"",CONCATENATE("https://matarstund.is/serfaedi?id=",LOWER(SUBSTITUTE(B1183," ","-"))))</f>
        <v/>
      </c>
    </row>
    <row r="1184" customFormat="false" ht="15" hidden="false" customHeight="true" outlineLevel="0" collapsed="false">
      <c r="A1184" s="63"/>
      <c r="B1184" s="63"/>
      <c r="C1184" s="63"/>
      <c r="D1184" s="63"/>
      <c r="E1184" s="63"/>
      <c r="F1184" s="28" t="str">
        <f aca="false">IF(C1184="","",IF(OR(C1184="1. bekkur",C1184="2. bekkur",C1184="3. bekkur",C1184="4. bekkur"),"Já",IF(C1184="Starfsmaður","Nei","Nei")))</f>
        <v/>
      </c>
      <c r="G1184" s="63"/>
      <c r="H1184" s="63"/>
      <c r="I1184" s="63"/>
      <c r="J1184" s="64" t="str">
        <f aca="false">IF(OR(A1184="",B1184=""),"",CONCATENATE("https://matarstund.is/serfaedi?id=",LOWER(SUBSTITUTE(B1184,"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64" t="str">
        <f aca="false">IF(OR(A1185="",B1185=""),"",CONCATENATE("https://matarstund.is/serfaedi?id=",LOWER(SUBSTITUTE(B1185," ","-"))))</f>
        <v/>
      </c>
    </row>
    <row r="1186" customFormat="false" ht="15" hidden="false" customHeight="true" outlineLevel="0" collapsed="false">
      <c r="A1186" s="63"/>
      <c r="B1186" s="63"/>
      <c r="C1186" s="63"/>
      <c r="D1186" s="63"/>
      <c r="E1186" s="63"/>
      <c r="F1186" s="28" t="str">
        <f aca="false">IF(C1186="","",IF(OR(C1186="1. bekkur",C1186="2. bekkur",C1186="3. bekkur",C1186="4. bekkur"),"Já",IF(C1186="Starfsmaður","Nei","Nei")))</f>
        <v/>
      </c>
      <c r="G1186" s="63"/>
      <c r="H1186" s="63"/>
      <c r="I1186" s="63"/>
      <c r="J1186" s="64" t="str">
        <f aca="false">IF(OR(A1186="",B1186=""),"",CONCATENATE("https://matarstund.is/serfaedi?id=",LOWER(SUBSTITUTE(B1186,"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64" t="str">
        <f aca="false">IF(OR(A1187="",B1187=""),"",CONCATENATE("https://matarstund.is/serfaedi?id=",LOWER(SUBSTITUTE(B1187," ","-"))))</f>
        <v/>
      </c>
    </row>
    <row r="1188" customFormat="false" ht="15" hidden="false" customHeight="true" outlineLevel="0" collapsed="false">
      <c r="A1188" s="63"/>
      <c r="B1188" s="63"/>
      <c r="C1188" s="63"/>
      <c r="D1188" s="63"/>
      <c r="E1188" s="63"/>
      <c r="F1188" s="28" t="str">
        <f aca="false">IF(C1188="","",IF(OR(C1188="1. bekkur",C1188="2. bekkur",C1188="3. bekkur",C1188="4. bekkur"),"Já",IF(C1188="Starfsmaður","Nei","Nei")))</f>
        <v/>
      </c>
      <c r="G1188" s="63"/>
      <c r="H1188" s="63"/>
      <c r="I1188" s="63"/>
      <c r="J1188" s="64" t="str">
        <f aca="false">IF(OR(A1188="",B1188=""),"",CONCATENATE("https://matarstund.is/serfaedi?id=",LOWER(SUBSTITUTE(B1188,"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64" t="str">
        <f aca="false">IF(OR(A1189="",B1189=""),"",CONCATENATE("https://matarstund.is/serfaedi?id=",LOWER(SUBSTITUTE(B1189," ","-"))))</f>
        <v/>
      </c>
    </row>
    <row r="1190" customFormat="false" ht="15" hidden="false" customHeight="true" outlineLevel="0" collapsed="false">
      <c r="A1190" s="63"/>
      <c r="B1190" s="63"/>
      <c r="C1190" s="63"/>
      <c r="D1190" s="63"/>
      <c r="E1190" s="63"/>
      <c r="F1190" s="28" t="str">
        <f aca="false">IF(C1190="","",IF(OR(C1190="1. bekkur",C1190="2. bekkur",C1190="3. bekkur",C1190="4. bekkur"),"Já",IF(C1190="Starfsmaður","Nei","Nei")))</f>
        <v/>
      </c>
      <c r="G1190" s="63"/>
      <c r="H1190" s="63"/>
      <c r="I1190" s="63"/>
      <c r="J1190" s="64" t="str">
        <f aca="false">IF(OR(A1190="",B1190=""),"",CONCATENATE("https://matarstund.is/serfaedi?id=",LOWER(SUBSTITUTE(B1190,"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64" t="str">
        <f aca="false">IF(OR(A1191="",B1191=""),"",CONCATENATE("https://matarstund.is/serfaedi?id=",LOWER(SUBSTITUTE(B1191," ","-"))))</f>
        <v/>
      </c>
    </row>
    <row r="1192" customFormat="false" ht="15" hidden="false" customHeight="true" outlineLevel="0" collapsed="false">
      <c r="A1192" s="63"/>
      <c r="B1192" s="63"/>
      <c r="C1192" s="63"/>
      <c r="D1192" s="63"/>
      <c r="E1192" s="63"/>
      <c r="F1192" s="28" t="str">
        <f aca="false">IF(C1192="","",IF(OR(C1192="1. bekkur",C1192="2. bekkur",C1192="3. bekkur",C1192="4. bekkur"),"Já",IF(C1192="Starfsmaður","Nei","Nei")))</f>
        <v/>
      </c>
      <c r="G1192" s="63"/>
      <c r="H1192" s="63"/>
      <c r="I1192" s="63"/>
      <c r="J1192" s="64" t="str">
        <f aca="false">IF(OR(A1192="",B1192=""),"",CONCATENATE("https://matarstund.is/serfaedi?id=",LOWER(SUBSTITUTE(B1192,"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64" t="str">
        <f aca="false">IF(OR(A1193="",B1193=""),"",CONCATENATE("https://matarstund.is/serfaedi?id=",LOWER(SUBSTITUTE(B1193," ","-"))))</f>
        <v/>
      </c>
    </row>
    <row r="1194" customFormat="false" ht="15" hidden="false" customHeight="true" outlineLevel="0" collapsed="false">
      <c r="A1194" s="63"/>
      <c r="B1194" s="63"/>
      <c r="C1194" s="63"/>
      <c r="D1194" s="63"/>
      <c r="E1194" s="63"/>
      <c r="F1194" s="28" t="str">
        <f aca="false">IF(C1194="","",IF(OR(C1194="1. bekkur",C1194="2. bekkur",C1194="3. bekkur",C1194="4. bekkur"),"Já",IF(C1194="Starfsmaður","Nei","Nei")))</f>
        <v/>
      </c>
      <c r="G1194" s="63"/>
      <c r="H1194" s="63"/>
      <c r="I1194" s="63"/>
      <c r="J1194" s="64" t="str">
        <f aca="false">IF(OR(A1194="",B1194=""),"",CONCATENATE("https://matarstund.is/serfaedi?id=",LOWER(SUBSTITUTE(B1194,"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64" t="str">
        <f aca="false">IF(OR(A1195="",B1195=""),"",CONCATENATE("https://matarstund.is/serfaedi?id=",LOWER(SUBSTITUTE(B1195," ","-"))))</f>
        <v/>
      </c>
    </row>
    <row r="1196" customFormat="false" ht="15" hidden="false" customHeight="true" outlineLevel="0" collapsed="false">
      <c r="A1196" s="63"/>
      <c r="B1196" s="63"/>
      <c r="C1196" s="63"/>
      <c r="D1196" s="63"/>
      <c r="E1196" s="63"/>
      <c r="F1196" s="28" t="str">
        <f aca="false">IF(C1196="","",IF(OR(C1196="1. bekkur",C1196="2. bekkur",C1196="3. bekkur",C1196="4. bekkur"),"Já",IF(C1196="Starfsmaður","Nei","Nei")))</f>
        <v/>
      </c>
      <c r="G1196" s="63"/>
      <c r="H1196" s="63"/>
      <c r="I1196" s="63"/>
      <c r="J1196" s="64" t="str">
        <f aca="false">IF(OR(A1196="",B1196=""),"",CONCATENATE("https://matarstund.is/serfaedi?id=",LOWER(SUBSTITUTE(B1196,"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64" t="str">
        <f aca="false">IF(OR(A1197="",B1197=""),"",CONCATENATE("https://matarstund.is/serfaedi?id=",LOWER(SUBSTITUTE(B1197," ","-"))))</f>
        <v/>
      </c>
    </row>
    <row r="1198" customFormat="false" ht="15" hidden="false" customHeight="true" outlineLevel="0" collapsed="false">
      <c r="A1198" s="63"/>
      <c r="B1198" s="63"/>
      <c r="C1198" s="63"/>
      <c r="D1198" s="63"/>
      <c r="E1198" s="63"/>
      <c r="F1198" s="28" t="str">
        <f aca="false">IF(C1198="","",IF(OR(C1198="1. bekkur",C1198="2. bekkur",C1198="3. bekkur",C1198="4. bekkur"),"Já",IF(C1198="Starfsmaður","Nei","Nei")))</f>
        <v/>
      </c>
      <c r="G1198" s="63"/>
      <c r="H1198" s="63"/>
      <c r="I1198" s="63"/>
      <c r="J1198" s="64" t="str">
        <f aca="false">IF(OR(A1198="",B1198=""),"",CONCATENATE("https://matarstund.is/serfaedi?id=",LOWER(SUBSTITUTE(B1198,"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64" t="str">
        <f aca="false">IF(OR(A1199="",B1199=""),"",CONCATENATE("https://matarstund.is/serfaedi?id=",LOWER(SUBSTITUTE(B1199," ","-"))))</f>
        <v/>
      </c>
    </row>
    <row r="1200" customFormat="false" ht="15" hidden="false" customHeight="true" outlineLevel="0" collapsed="false">
      <c r="A1200" s="63"/>
      <c r="B1200" s="63"/>
      <c r="C1200" s="63"/>
      <c r="D1200" s="63"/>
      <c r="E1200" s="63"/>
      <c r="F1200" s="28" t="str">
        <f aca="false">IF(C1200="","",IF(OR(C1200="1. bekkur",C1200="2. bekkur",C1200="3. bekkur",C1200="4. bekkur"),"Já",IF(C1200="Starfsmaður","Nei","Nei")))</f>
        <v/>
      </c>
      <c r="G1200" s="63"/>
      <c r="H1200" s="63"/>
      <c r="I1200" s="63"/>
      <c r="J1200" s="64" t="str">
        <f aca="false">IF(OR(A1200="",B1200=""),"",CONCATENATE("https://matarstund.is/serfaedi?id=",LOWER(SUBSTITUTE(B1200,"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64" t="str">
        <f aca="false">IF(OR(A1201="",B1201=""),"",CONCATENATE("https://matarstund.is/serfaedi?id=",LOWER(SUBSTITUTE(B1201," ","-"))))</f>
        <v/>
      </c>
    </row>
    <row r="1202" customFormat="false" ht="15" hidden="false" customHeight="true" outlineLevel="0" collapsed="false">
      <c r="A1202" s="63"/>
      <c r="B1202" s="63"/>
      <c r="C1202" s="63"/>
      <c r="D1202" s="63"/>
      <c r="E1202" s="63"/>
      <c r="F1202" s="28" t="str">
        <f aca="false">IF(C1202="","",IF(OR(C1202="1. bekkur",C1202="2. bekkur",C1202="3. bekkur",C1202="4. bekkur"),"Já",IF(C1202="Starfsmaður","Nei","Nei")))</f>
        <v/>
      </c>
      <c r="G1202" s="63"/>
      <c r="H1202" s="63"/>
      <c r="I1202" s="63"/>
      <c r="J1202" s="64" t="str">
        <f aca="false">IF(OR(A1202="",B1202=""),"",CONCATENATE("https://matarstund.is/serfaedi?id=",LOWER(SUBSTITUTE(B1202,"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64" t="str">
        <f aca="false">IF(OR(A1203="",B1203=""),"",CONCATENATE("https://matarstund.is/serfaedi?id=",LOWER(SUBSTITUTE(B1203," ","-"))))</f>
        <v/>
      </c>
    </row>
    <row r="1204" customFormat="false" ht="15" hidden="false" customHeight="true" outlineLevel="0" collapsed="false">
      <c r="A1204" s="63"/>
      <c r="B1204" s="63"/>
      <c r="C1204" s="63"/>
      <c r="D1204" s="63"/>
      <c r="E1204" s="63"/>
      <c r="F1204" s="28" t="str">
        <f aca="false">IF(C1204="","",IF(OR(C1204="1. bekkur",C1204="2. bekkur",C1204="3. bekkur",C1204="4. bekkur"),"Já",IF(C1204="Starfsmaður","Nei","Nei")))</f>
        <v/>
      </c>
      <c r="G1204" s="63"/>
      <c r="H1204" s="63"/>
      <c r="I1204" s="63"/>
      <c r="J1204" s="64" t="str">
        <f aca="false">IF(OR(A1204="",B1204=""),"",CONCATENATE("https://matarstund.is/serfaedi?id=",LOWER(SUBSTITUTE(B1204,"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64" t="str">
        <f aca="false">IF(OR(A1205="",B1205=""),"",CONCATENATE("https://matarstund.is/serfaedi?id=",LOWER(SUBSTITUTE(B1205," ","-"))))</f>
        <v/>
      </c>
    </row>
    <row r="1206" customFormat="false" ht="15" hidden="false" customHeight="true" outlineLevel="0" collapsed="false">
      <c r="A1206" s="63"/>
      <c r="B1206" s="63"/>
      <c r="C1206" s="63"/>
      <c r="D1206" s="63"/>
      <c r="E1206" s="63"/>
      <c r="F1206" s="28" t="str">
        <f aca="false">IF(C1206="","",IF(OR(C1206="1. bekkur",C1206="2. bekkur",C1206="3. bekkur",C1206="4. bekkur"),"Já",IF(C1206="Starfsmaður","Nei","Nei")))</f>
        <v/>
      </c>
      <c r="G1206" s="63"/>
      <c r="H1206" s="63"/>
      <c r="I1206" s="63"/>
      <c r="J1206" s="64" t="str">
        <f aca="false">IF(OR(A1206="",B1206=""),"",CONCATENATE("https://matarstund.is/serfaedi?id=",LOWER(SUBSTITUTE(B1206,"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64" t="str">
        <f aca="false">IF(OR(A1207="",B1207=""),"",CONCATENATE("https://matarstund.is/serfaedi?id=",LOWER(SUBSTITUTE(B1207," ","-"))))</f>
        <v/>
      </c>
    </row>
    <row r="1208" customFormat="false" ht="15" hidden="false" customHeight="true" outlineLevel="0" collapsed="false">
      <c r="A1208" s="63"/>
      <c r="B1208" s="63"/>
      <c r="C1208" s="63"/>
      <c r="D1208" s="63"/>
      <c r="E1208" s="63"/>
      <c r="F1208" s="28" t="str">
        <f aca="false">IF(C1208="","",IF(OR(C1208="1. bekkur",C1208="2. bekkur",C1208="3. bekkur",C1208="4. bekkur"),"Já",IF(C1208="Starfsmaður","Nei","Nei")))</f>
        <v/>
      </c>
      <c r="G1208" s="63"/>
      <c r="H1208" s="63"/>
      <c r="I1208" s="63"/>
      <c r="J1208" s="64" t="str">
        <f aca="false">IF(OR(A1208="",B1208=""),"",CONCATENATE("https://matarstund.is/serfaedi?id=",LOWER(SUBSTITUTE(B1208,"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64" t="str">
        <f aca="false">IF(OR(A1209="",B1209=""),"",CONCATENATE("https://matarstund.is/serfaedi?id=",LOWER(SUBSTITUTE(B1209," ","-"))))</f>
        <v/>
      </c>
    </row>
    <row r="1210" customFormat="false" ht="15" hidden="false" customHeight="true" outlineLevel="0" collapsed="false">
      <c r="A1210" s="63"/>
      <c r="B1210" s="63"/>
      <c r="C1210" s="63"/>
      <c r="D1210" s="63"/>
      <c r="E1210" s="63"/>
      <c r="F1210" s="28" t="str">
        <f aca="false">IF(C1210="","",IF(OR(C1210="1. bekkur",C1210="2. bekkur",C1210="3. bekkur",C1210="4. bekkur"),"Já",IF(C1210="Starfsmaður","Nei","Nei")))</f>
        <v/>
      </c>
      <c r="G1210" s="63"/>
      <c r="H1210" s="63"/>
      <c r="I1210" s="63"/>
      <c r="J1210" s="64" t="str">
        <f aca="false">IF(OR(A1210="",B1210=""),"",CONCATENATE("https://matarstund.is/serfaedi?id=",LOWER(SUBSTITUTE(B1210,"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64" t="str">
        <f aca="false">IF(OR(A1211="",B1211=""),"",CONCATENATE("https://matarstund.is/serfaedi?id=",LOWER(SUBSTITUTE(B1211," ","-"))))</f>
        <v/>
      </c>
    </row>
    <row r="1212" customFormat="false" ht="15" hidden="false" customHeight="true" outlineLevel="0" collapsed="false">
      <c r="A1212" s="63"/>
      <c r="B1212" s="63"/>
      <c r="C1212" s="63"/>
      <c r="D1212" s="63"/>
      <c r="E1212" s="63"/>
      <c r="F1212" s="28" t="str">
        <f aca="false">IF(C1212="","",IF(OR(C1212="1. bekkur",C1212="2. bekkur",C1212="3. bekkur",C1212="4. bekkur"),"Já",IF(C1212="Starfsmaður","Nei","Nei")))</f>
        <v/>
      </c>
      <c r="G1212" s="63"/>
      <c r="H1212" s="63"/>
      <c r="I1212" s="63"/>
      <c r="J1212" s="64" t="str">
        <f aca="false">IF(OR(A1212="",B1212=""),"",CONCATENATE("https://matarstund.is/serfaedi?id=",LOWER(SUBSTITUTE(B1212,"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64" t="str">
        <f aca="false">IF(OR(A1213="",B1213=""),"",CONCATENATE("https://matarstund.is/serfaedi?id=",LOWER(SUBSTITUTE(B1213," ","-"))))</f>
        <v/>
      </c>
    </row>
    <row r="1214" customFormat="false" ht="15" hidden="false" customHeight="true" outlineLevel="0" collapsed="false">
      <c r="A1214" s="63"/>
      <c r="B1214" s="63"/>
      <c r="C1214" s="63"/>
      <c r="D1214" s="63"/>
      <c r="E1214" s="63"/>
      <c r="F1214" s="28" t="str">
        <f aca="false">IF(C1214="","",IF(OR(C1214="1. bekkur",C1214="2. bekkur",C1214="3. bekkur",C1214="4. bekkur"),"Já",IF(C1214="Starfsmaður","Nei","Nei")))</f>
        <v/>
      </c>
      <c r="G1214" s="63"/>
      <c r="H1214" s="63"/>
      <c r="I1214" s="63"/>
      <c r="J1214" s="64" t="str">
        <f aca="false">IF(OR(A1214="",B1214=""),"",CONCATENATE("https://matarstund.is/serfaedi?id=",LOWER(SUBSTITUTE(B1214,"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64" t="str">
        <f aca="false">IF(OR(A1215="",B1215=""),"",CONCATENATE("https://matarstund.is/serfaedi?id=",LOWER(SUBSTITUTE(B1215," ","-"))))</f>
        <v/>
      </c>
    </row>
    <row r="1216" customFormat="false" ht="15" hidden="false" customHeight="true" outlineLevel="0" collapsed="false">
      <c r="A1216" s="63"/>
      <c r="B1216" s="63"/>
      <c r="C1216" s="63"/>
      <c r="D1216" s="63"/>
      <c r="E1216" s="63"/>
      <c r="F1216" s="28" t="str">
        <f aca="false">IF(C1216="","",IF(OR(C1216="1. bekkur",C1216="2. bekkur",C1216="3. bekkur",C1216="4. bekkur"),"Já",IF(C1216="Starfsmaður","Nei","Nei")))</f>
        <v/>
      </c>
      <c r="G1216" s="63"/>
      <c r="H1216" s="63"/>
      <c r="I1216" s="63"/>
      <c r="J1216" s="64" t="str">
        <f aca="false">IF(OR(A1216="",B1216=""),"",CONCATENATE("https://matarstund.is/serfaedi?id=",LOWER(SUBSTITUTE(B1216,"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64" t="str">
        <f aca="false">IF(OR(A1217="",B1217=""),"",CONCATENATE("https://matarstund.is/serfaedi?id=",LOWER(SUBSTITUTE(B1217," ","-"))))</f>
        <v/>
      </c>
    </row>
    <row r="1218" customFormat="false" ht="15" hidden="false" customHeight="true" outlineLevel="0" collapsed="false">
      <c r="A1218" s="63"/>
      <c r="B1218" s="63"/>
      <c r="C1218" s="63"/>
      <c r="D1218" s="63"/>
      <c r="E1218" s="63"/>
      <c r="F1218" s="28" t="str">
        <f aca="false">IF(C1218="","",IF(OR(C1218="1. bekkur",C1218="2. bekkur",C1218="3. bekkur",C1218="4. bekkur"),"Já",IF(C1218="Starfsmaður","Nei","Nei")))</f>
        <v/>
      </c>
      <c r="G1218" s="63"/>
      <c r="H1218" s="63"/>
      <c r="I1218" s="63"/>
      <c r="J1218" s="64" t="str">
        <f aca="false">IF(OR(A1218="",B1218=""),"",CONCATENATE("https://matarstund.is/serfaedi?id=",LOWER(SUBSTITUTE(B1218,"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64" t="str">
        <f aca="false">IF(OR(A1219="",B1219=""),"",CONCATENATE("https://matarstund.is/serfaedi?id=",LOWER(SUBSTITUTE(B1219," ","-"))))</f>
        <v/>
      </c>
    </row>
    <row r="1220" customFormat="false" ht="15" hidden="false" customHeight="true" outlineLevel="0" collapsed="false">
      <c r="A1220" s="63"/>
      <c r="B1220" s="63"/>
      <c r="C1220" s="63"/>
      <c r="D1220" s="63"/>
      <c r="E1220" s="63"/>
      <c r="F1220" s="28" t="str">
        <f aca="false">IF(C1220="","",IF(OR(C1220="1. bekkur",C1220="2. bekkur",C1220="3. bekkur",C1220="4. bekkur"),"Já",IF(C1220="Starfsmaður","Nei","Nei")))</f>
        <v/>
      </c>
      <c r="G1220" s="63"/>
      <c r="H1220" s="63"/>
      <c r="I1220" s="63"/>
      <c r="J1220" s="64" t="str">
        <f aca="false">IF(OR(A1220="",B1220=""),"",CONCATENATE("https://matarstund.is/serfaedi?id=",LOWER(SUBSTITUTE(B1220,"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64" t="str">
        <f aca="false">IF(OR(A1221="",B1221=""),"",CONCATENATE("https://matarstund.is/serfaedi?id=",LOWER(SUBSTITUTE(B1221," ","-"))))</f>
        <v/>
      </c>
    </row>
    <row r="1222" customFormat="false" ht="15" hidden="false" customHeight="true" outlineLevel="0" collapsed="false">
      <c r="A1222" s="63"/>
      <c r="B1222" s="63"/>
      <c r="C1222" s="63"/>
      <c r="D1222" s="63"/>
      <c r="E1222" s="63"/>
      <c r="F1222" s="28" t="str">
        <f aca="false">IF(C1222="","",IF(OR(C1222="1. bekkur",C1222="2. bekkur",C1222="3. bekkur",C1222="4. bekkur"),"Já",IF(C1222="Starfsmaður","Nei","Nei")))</f>
        <v/>
      </c>
      <c r="G1222" s="63"/>
      <c r="H1222" s="63"/>
      <c r="I1222" s="63"/>
      <c r="J1222" s="64" t="str">
        <f aca="false">IF(OR(A1222="",B1222=""),"",CONCATENATE("https://matarstund.is/serfaedi?id=",LOWER(SUBSTITUTE(B1222,"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64" t="str">
        <f aca="false">IF(OR(A1223="",B1223=""),"",CONCATENATE("https://matarstund.is/serfaedi?id=",LOWER(SUBSTITUTE(B1223," ","-"))))</f>
        <v/>
      </c>
    </row>
    <row r="1224" customFormat="false" ht="15" hidden="false" customHeight="true" outlineLevel="0" collapsed="false">
      <c r="A1224" s="63"/>
      <c r="B1224" s="63"/>
      <c r="C1224" s="63"/>
      <c r="D1224" s="63"/>
      <c r="E1224" s="63"/>
      <c r="F1224" s="28" t="str">
        <f aca="false">IF(C1224="","",IF(OR(C1224="1. bekkur",C1224="2. bekkur",C1224="3. bekkur",C1224="4. bekkur"),"Já",IF(C1224="Starfsmaður","Nei","Nei")))</f>
        <v/>
      </c>
      <c r="G1224" s="63"/>
      <c r="H1224" s="63"/>
      <c r="I1224" s="63"/>
      <c r="J1224" s="64" t="str">
        <f aca="false">IF(OR(A1224="",B1224=""),"",CONCATENATE("https://matarstund.is/serfaedi?id=",LOWER(SUBSTITUTE(B1224,"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64" t="str">
        <f aca="false">IF(OR(A1225="",B1225=""),"",CONCATENATE("https://matarstund.is/serfaedi?id=",LOWER(SUBSTITUTE(B1225," ","-"))))</f>
        <v/>
      </c>
    </row>
    <row r="1226" customFormat="false" ht="15" hidden="false" customHeight="true" outlineLevel="0" collapsed="false">
      <c r="A1226" s="63"/>
      <c r="B1226" s="63"/>
      <c r="C1226" s="63"/>
      <c r="D1226" s="63"/>
      <c r="E1226" s="63"/>
      <c r="F1226" s="28" t="str">
        <f aca="false">IF(C1226="","",IF(OR(C1226="1. bekkur",C1226="2. bekkur",C1226="3. bekkur",C1226="4. bekkur"),"Já",IF(C1226="Starfsmaður","Nei","Nei")))</f>
        <v/>
      </c>
      <c r="G1226" s="63"/>
      <c r="H1226" s="63"/>
      <c r="I1226" s="63"/>
      <c r="J1226" s="64" t="str">
        <f aca="false">IF(OR(A1226="",B1226=""),"",CONCATENATE("https://matarstund.is/serfaedi?id=",LOWER(SUBSTITUTE(B1226,"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64" t="str">
        <f aca="false">IF(OR(A1227="",B1227=""),"",CONCATENATE("https://matarstund.is/serfaedi?id=",LOWER(SUBSTITUTE(B1227," ","-"))))</f>
        <v/>
      </c>
    </row>
    <row r="1228" customFormat="false" ht="15" hidden="false" customHeight="true" outlineLevel="0" collapsed="false">
      <c r="A1228" s="63"/>
      <c r="B1228" s="63"/>
      <c r="C1228" s="63"/>
      <c r="D1228" s="63"/>
      <c r="E1228" s="63"/>
      <c r="F1228" s="28" t="str">
        <f aca="false">IF(C1228="","",IF(OR(C1228="1. bekkur",C1228="2. bekkur",C1228="3. bekkur",C1228="4. bekkur"),"Já",IF(C1228="Starfsmaður","Nei","Nei")))</f>
        <v/>
      </c>
      <c r="G1228" s="63"/>
      <c r="H1228" s="63"/>
      <c r="I1228" s="63"/>
      <c r="J1228" s="64" t="str">
        <f aca="false">IF(OR(A1228="",B1228=""),"",CONCATENATE("https://matarstund.is/serfaedi?id=",LOWER(SUBSTITUTE(B1228,"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64" t="str">
        <f aca="false">IF(OR(A1229="",B1229=""),"",CONCATENATE("https://matarstund.is/serfaedi?id=",LOWER(SUBSTITUTE(B1229," ","-"))))</f>
        <v/>
      </c>
    </row>
    <row r="1230" customFormat="false" ht="15" hidden="false" customHeight="true" outlineLevel="0" collapsed="false">
      <c r="A1230" s="63"/>
      <c r="B1230" s="63"/>
      <c r="C1230" s="63"/>
      <c r="D1230" s="63"/>
      <c r="E1230" s="63"/>
      <c r="F1230" s="28" t="str">
        <f aca="false">IF(C1230="","",IF(OR(C1230="1. bekkur",C1230="2. bekkur",C1230="3. bekkur",C1230="4. bekkur"),"Já",IF(C1230="Starfsmaður","Nei","Nei")))</f>
        <v/>
      </c>
      <c r="G1230" s="63"/>
      <c r="H1230" s="63"/>
      <c r="I1230" s="63"/>
      <c r="J1230" s="64" t="str">
        <f aca="false">IF(OR(A1230="",B1230=""),"",CONCATENATE("https://matarstund.is/serfaedi?id=",LOWER(SUBSTITUTE(B1230,"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64" t="str">
        <f aca="false">IF(OR(A1231="",B1231=""),"",CONCATENATE("https://matarstund.is/serfaedi?id=",LOWER(SUBSTITUTE(B1231," ","-"))))</f>
        <v/>
      </c>
    </row>
    <row r="1232" customFormat="false" ht="15" hidden="false" customHeight="true" outlineLevel="0" collapsed="false">
      <c r="A1232" s="63"/>
      <c r="B1232" s="63"/>
      <c r="C1232" s="63"/>
      <c r="D1232" s="63"/>
      <c r="E1232" s="63"/>
      <c r="F1232" s="28" t="str">
        <f aca="false">IF(C1232="","",IF(OR(C1232="1. bekkur",C1232="2. bekkur",C1232="3. bekkur",C1232="4. bekkur"),"Já",IF(C1232="Starfsmaður","Nei","Nei")))</f>
        <v/>
      </c>
      <c r="G1232" s="63"/>
      <c r="H1232" s="63"/>
      <c r="I1232" s="63"/>
      <c r="J1232" s="64" t="str">
        <f aca="false">IF(OR(A1232="",B1232=""),"",CONCATENATE("https://matarstund.is/serfaedi?id=",LOWER(SUBSTITUTE(B1232,"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64" t="str">
        <f aca="false">IF(OR(A1233="",B1233=""),"",CONCATENATE("https://matarstund.is/serfaedi?id=",LOWER(SUBSTITUTE(B1233," ","-"))))</f>
        <v/>
      </c>
    </row>
    <row r="1234" customFormat="false" ht="15" hidden="false" customHeight="true" outlineLevel="0" collapsed="false">
      <c r="A1234" s="63"/>
      <c r="B1234" s="63"/>
      <c r="C1234" s="63"/>
      <c r="D1234" s="63"/>
      <c r="E1234" s="63"/>
      <c r="F1234" s="28" t="str">
        <f aca="false">IF(C1234="","",IF(OR(C1234="1. bekkur",C1234="2. bekkur",C1234="3. bekkur",C1234="4. bekkur"),"Já",IF(C1234="Starfsmaður","Nei","Nei")))</f>
        <v/>
      </c>
      <c r="G1234" s="63"/>
      <c r="H1234" s="63"/>
      <c r="I1234" s="63"/>
      <c r="J1234" s="64" t="str">
        <f aca="false">IF(OR(A1234="",B1234=""),"",CONCATENATE("https://matarstund.is/serfaedi?id=",LOWER(SUBSTITUTE(B1234,"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64" t="str">
        <f aca="false">IF(OR(A1235="",B1235=""),"",CONCATENATE("https://matarstund.is/serfaedi?id=",LOWER(SUBSTITUTE(B1235," ","-"))))</f>
        <v/>
      </c>
    </row>
    <row r="1236" customFormat="false" ht="15" hidden="false" customHeight="true" outlineLevel="0" collapsed="false">
      <c r="A1236" s="63"/>
      <c r="B1236" s="63"/>
      <c r="C1236" s="63"/>
      <c r="D1236" s="63"/>
      <c r="E1236" s="63"/>
      <c r="F1236" s="28" t="str">
        <f aca="false">IF(C1236="","",IF(OR(C1236="1. bekkur",C1236="2. bekkur",C1236="3. bekkur",C1236="4. bekkur"),"Já",IF(C1236="Starfsmaður","Nei","Nei")))</f>
        <v/>
      </c>
      <c r="G1236" s="63"/>
      <c r="H1236" s="63"/>
      <c r="I1236" s="63"/>
      <c r="J1236" s="64" t="str">
        <f aca="false">IF(OR(A1236="",B1236=""),"",CONCATENATE("https://matarstund.is/serfaedi?id=",LOWER(SUBSTITUTE(B1236,"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64" t="str">
        <f aca="false">IF(OR(A1237="",B1237=""),"",CONCATENATE("https://matarstund.is/serfaedi?id=",LOWER(SUBSTITUTE(B1237," ","-"))))</f>
        <v/>
      </c>
    </row>
    <row r="1238" customFormat="false" ht="15" hidden="false" customHeight="true" outlineLevel="0" collapsed="false">
      <c r="A1238" s="63"/>
      <c r="B1238" s="63"/>
      <c r="C1238" s="63"/>
      <c r="D1238" s="63"/>
      <c r="E1238" s="63"/>
      <c r="F1238" s="28" t="str">
        <f aca="false">IF(C1238="","",IF(OR(C1238="1. bekkur",C1238="2. bekkur",C1238="3. bekkur",C1238="4. bekkur"),"Já",IF(C1238="Starfsmaður","Nei","Nei")))</f>
        <v/>
      </c>
      <c r="G1238" s="63"/>
      <c r="H1238" s="63"/>
      <c r="I1238" s="63"/>
      <c r="J1238" s="64" t="str">
        <f aca="false">IF(OR(A1238="",B1238=""),"",CONCATENATE("https://matarstund.is/serfaedi?id=",LOWER(SUBSTITUTE(B1238,"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64" t="str">
        <f aca="false">IF(OR(A1239="",B1239=""),"",CONCATENATE("https://matarstund.is/serfaedi?id=",LOWER(SUBSTITUTE(B1239," ","-"))))</f>
        <v/>
      </c>
    </row>
    <row r="1240" customFormat="false" ht="15" hidden="false" customHeight="true" outlineLevel="0" collapsed="false">
      <c r="A1240" s="63"/>
      <c r="B1240" s="63"/>
      <c r="C1240" s="63"/>
      <c r="D1240" s="63"/>
      <c r="E1240" s="63"/>
      <c r="F1240" s="28" t="str">
        <f aca="false">IF(C1240="","",IF(OR(C1240="1. bekkur",C1240="2. bekkur",C1240="3. bekkur",C1240="4. bekkur"),"Já",IF(C1240="Starfsmaður","Nei","Nei")))</f>
        <v/>
      </c>
      <c r="G1240" s="63"/>
      <c r="H1240" s="63"/>
      <c r="I1240" s="63"/>
      <c r="J1240" s="64" t="str">
        <f aca="false">IF(OR(A1240="",B1240=""),"",CONCATENATE("https://matarstund.is/serfaedi?id=",LOWER(SUBSTITUTE(B1240,"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64" t="str">
        <f aca="false">IF(OR(A1241="",B1241=""),"",CONCATENATE("https://matarstund.is/serfaedi?id=",LOWER(SUBSTITUTE(B1241," ","-"))))</f>
        <v/>
      </c>
    </row>
    <row r="1242" customFormat="false" ht="15" hidden="false" customHeight="true" outlineLevel="0" collapsed="false">
      <c r="A1242" s="63"/>
      <c r="B1242" s="63"/>
      <c r="C1242" s="63"/>
      <c r="D1242" s="63"/>
      <c r="E1242" s="63"/>
      <c r="F1242" s="28" t="str">
        <f aca="false">IF(C1242="","",IF(OR(C1242="1. bekkur",C1242="2. bekkur",C1242="3. bekkur",C1242="4. bekkur"),"Já",IF(C1242="Starfsmaður","Nei","Nei")))</f>
        <v/>
      </c>
      <c r="G1242" s="63"/>
      <c r="H1242" s="63"/>
      <c r="I1242" s="63"/>
      <c r="J1242" s="64" t="str">
        <f aca="false">IF(OR(A1242="",B1242=""),"",CONCATENATE("https://matarstund.is/serfaedi?id=",LOWER(SUBSTITUTE(B1242,"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64" t="str">
        <f aca="false">IF(OR(A1243="",B1243=""),"",CONCATENATE("https://matarstund.is/serfaedi?id=",LOWER(SUBSTITUTE(B1243," ","-"))))</f>
        <v/>
      </c>
    </row>
    <row r="1244" customFormat="false" ht="15" hidden="false" customHeight="true" outlineLevel="0" collapsed="false">
      <c r="A1244" s="63"/>
      <c r="B1244" s="63"/>
      <c r="C1244" s="63"/>
      <c r="D1244" s="63"/>
      <c r="E1244" s="63"/>
      <c r="F1244" s="28" t="str">
        <f aca="false">IF(C1244="","",IF(OR(C1244="1. bekkur",C1244="2. bekkur",C1244="3. bekkur",C1244="4. bekkur"),"Já",IF(C1244="Starfsmaður","Nei","Nei")))</f>
        <v/>
      </c>
      <c r="G1244" s="63"/>
      <c r="H1244" s="63"/>
      <c r="I1244" s="63"/>
      <c r="J1244" s="64" t="str">
        <f aca="false">IF(OR(A1244="",B1244=""),"",CONCATENATE("https://matarstund.is/serfaedi?id=",LOWER(SUBSTITUTE(B1244,"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64" t="str">
        <f aca="false">IF(OR(A1245="",B1245=""),"",CONCATENATE("https://matarstund.is/serfaedi?id=",LOWER(SUBSTITUTE(B1245," ","-"))))</f>
        <v/>
      </c>
    </row>
    <row r="1246" customFormat="false" ht="15" hidden="false" customHeight="true" outlineLevel="0" collapsed="false">
      <c r="A1246" s="63"/>
      <c r="B1246" s="63"/>
      <c r="C1246" s="63"/>
      <c r="D1246" s="63"/>
      <c r="E1246" s="63"/>
      <c r="F1246" s="28" t="str">
        <f aca="false">IF(C1246="","",IF(OR(C1246="1. bekkur",C1246="2. bekkur",C1246="3. bekkur",C1246="4. bekkur"),"Já",IF(C1246="Starfsmaður","Nei","Nei")))</f>
        <v/>
      </c>
      <c r="G1246" s="63"/>
      <c r="H1246" s="63"/>
      <c r="I1246" s="63"/>
      <c r="J1246" s="64" t="str">
        <f aca="false">IF(OR(A1246="",B1246=""),"",CONCATENATE("https://matarstund.is/serfaedi?id=",LOWER(SUBSTITUTE(B1246,"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64" t="str">
        <f aca="false">IF(OR(A1247="",B1247=""),"",CONCATENATE("https://matarstund.is/serfaedi?id=",LOWER(SUBSTITUTE(B1247," ","-"))))</f>
        <v/>
      </c>
    </row>
    <row r="1248" customFormat="false" ht="15" hidden="false" customHeight="true" outlineLevel="0" collapsed="false">
      <c r="A1248" s="63"/>
      <c r="B1248" s="63"/>
      <c r="C1248" s="63"/>
      <c r="D1248" s="63"/>
      <c r="E1248" s="63"/>
      <c r="F1248" s="28" t="str">
        <f aca="false">IF(C1248="","",IF(OR(C1248="1. bekkur",C1248="2. bekkur",C1248="3. bekkur",C1248="4. bekkur"),"Já",IF(C1248="Starfsmaður","Nei","Nei")))</f>
        <v/>
      </c>
      <c r="G1248" s="63"/>
      <c r="H1248" s="63"/>
      <c r="I1248" s="63"/>
      <c r="J1248" s="64" t="str">
        <f aca="false">IF(OR(A1248="",B1248=""),"",CONCATENATE("https://matarstund.is/serfaedi?id=",LOWER(SUBSTITUTE(B1248,"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64" t="str">
        <f aca="false">IF(OR(A1249="",B1249=""),"",CONCATENATE("https://matarstund.is/serfaedi?id=",LOWER(SUBSTITUTE(B1249," ","-"))))</f>
        <v/>
      </c>
    </row>
    <row r="1250" customFormat="false" ht="15" hidden="false" customHeight="true" outlineLevel="0" collapsed="false">
      <c r="A1250" s="63"/>
      <c r="B1250" s="63"/>
      <c r="C1250" s="63"/>
      <c r="D1250" s="63"/>
      <c r="E1250" s="63"/>
      <c r="F1250" s="28" t="str">
        <f aca="false">IF(C1250="","",IF(OR(C1250="1. bekkur",C1250="2. bekkur",C1250="3. bekkur",C1250="4. bekkur"),"Já",IF(C1250="Starfsmaður","Nei","Nei")))</f>
        <v/>
      </c>
      <c r="G1250" s="63"/>
      <c r="H1250" s="63"/>
      <c r="I1250" s="63"/>
      <c r="J1250" s="64" t="str">
        <f aca="false">IF(OR(A1250="",B1250=""),"",CONCATENATE("https://matarstund.is/serfaedi?id=",LOWER(SUBSTITUTE(B1250,"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64" t="str">
        <f aca="false">IF(OR(A1251="",B1251=""),"",CONCATENATE("https://matarstund.is/serfaedi?id=",LOWER(SUBSTITUTE(B1251," ","-"))))</f>
        <v/>
      </c>
    </row>
    <row r="1252" customFormat="false" ht="15" hidden="false" customHeight="true" outlineLevel="0" collapsed="false">
      <c r="A1252" s="63"/>
      <c r="B1252" s="63"/>
      <c r="C1252" s="63"/>
      <c r="D1252" s="63"/>
      <c r="E1252" s="63"/>
      <c r="F1252" s="28" t="str">
        <f aca="false">IF(C1252="","",IF(OR(C1252="1. bekkur",C1252="2. bekkur",C1252="3. bekkur",C1252="4. bekkur"),"Já",IF(C1252="Starfsmaður","Nei","Nei")))</f>
        <v/>
      </c>
      <c r="G1252" s="63"/>
      <c r="H1252" s="63"/>
      <c r="I1252" s="63"/>
      <c r="J1252" s="64" t="str">
        <f aca="false">IF(OR(A1252="",B1252=""),"",CONCATENATE("https://matarstund.is/serfaedi?id=",LOWER(SUBSTITUTE(B1252,"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64" t="str">
        <f aca="false">IF(OR(A1253="",B1253=""),"",CONCATENATE("https://matarstund.is/serfaedi?id=",LOWER(SUBSTITUTE(B1253," ","-"))))</f>
        <v/>
      </c>
    </row>
    <row r="1254" customFormat="false" ht="15" hidden="false" customHeight="true" outlineLevel="0" collapsed="false">
      <c r="A1254" s="63"/>
      <c r="B1254" s="63"/>
      <c r="C1254" s="63"/>
      <c r="D1254" s="63"/>
      <c r="E1254" s="63"/>
      <c r="F1254" s="28" t="str">
        <f aca="false">IF(C1254="","",IF(OR(C1254="1. bekkur",C1254="2. bekkur",C1254="3. bekkur",C1254="4. bekkur"),"Já",IF(C1254="Starfsmaður","Nei","Nei")))</f>
        <v/>
      </c>
      <c r="G1254" s="63"/>
      <c r="H1254" s="63"/>
      <c r="I1254" s="63"/>
      <c r="J1254" s="64" t="str">
        <f aca="false">IF(OR(A1254="",B1254=""),"",CONCATENATE("https://matarstund.is/serfaedi?id=",LOWER(SUBSTITUTE(B1254,"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64" t="str">
        <f aca="false">IF(OR(A1255="",B1255=""),"",CONCATENATE("https://matarstund.is/serfaedi?id=",LOWER(SUBSTITUTE(B1255," ","-"))))</f>
        <v/>
      </c>
    </row>
    <row r="1256" customFormat="false" ht="15" hidden="false" customHeight="true" outlineLevel="0" collapsed="false">
      <c r="A1256" s="63"/>
      <c r="B1256" s="63"/>
      <c r="C1256" s="63"/>
      <c r="D1256" s="63"/>
      <c r="E1256" s="63"/>
      <c r="F1256" s="28" t="str">
        <f aca="false">IF(C1256="","",IF(OR(C1256="1. bekkur",C1256="2. bekkur",C1256="3. bekkur",C1256="4. bekkur"),"Já",IF(C1256="Starfsmaður","Nei","Nei")))</f>
        <v/>
      </c>
      <c r="G1256" s="63"/>
      <c r="H1256" s="63"/>
      <c r="I1256" s="63"/>
      <c r="J1256" s="64" t="str">
        <f aca="false">IF(OR(A1256="",B1256=""),"",CONCATENATE("https://matarstund.is/serfaedi?id=",LOWER(SUBSTITUTE(B1256,"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64" t="str">
        <f aca="false">IF(OR(A1257="",B1257=""),"",CONCATENATE("https://matarstund.is/serfaedi?id=",LOWER(SUBSTITUTE(B1257," ","-"))))</f>
        <v/>
      </c>
    </row>
    <row r="1258" customFormat="false" ht="15" hidden="false" customHeight="true" outlineLevel="0" collapsed="false">
      <c r="A1258" s="63"/>
      <c r="B1258" s="63"/>
      <c r="C1258" s="63"/>
      <c r="D1258" s="63"/>
      <c r="E1258" s="63"/>
      <c r="F1258" s="28" t="str">
        <f aca="false">IF(C1258="","",IF(OR(C1258="1. bekkur",C1258="2. bekkur",C1258="3. bekkur",C1258="4. bekkur"),"Já",IF(C1258="Starfsmaður","Nei","Nei")))</f>
        <v/>
      </c>
      <c r="G1258" s="63"/>
      <c r="H1258" s="63"/>
      <c r="I1258" s="63"/>
      <c r="J1258" s="64" t="str">
        <f aca="false">IF(OR(A1258="",B1258=""),"",CONCATENATE("https://matarstund.is/serfaedi?id=",LOWER(SUBSTITUTE(B1258,"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64" t="str">
        <f aca="false">IF(OR(A1259="",B1259=""),"",CONCATENATE("https://matarstund.is/serfaedi?id=",LOWER(SUBSTITUTE(B1259," ","-"))))</f>
        <v/>
      </c>
    </row>
    <row r="1260" customFormat="false" ht="15" hidden="false" customHeight="true" outlineLevel="0" collapsed="false">
      <c r="A1260" s="63"/>
      <c r="B1260" s="63"/>
      <c r="C1260" s="63"/>
      <c r="D1260" s="63"/>
      <c r="E1260" s="63"/>
      <c r="F1260" s="28" t="str">
        <f aca="false">IF(C1260="","",IF(OR(C1260="1. bekkur",C1260="2. bekkur",C1260="3. bekkur",C1260="4. bekkur"),"Já",IF(C1260="Starfsmaður","Nei","Nei")))</f>
        <v/>
      </c>
      <c r="G1260" s="63"/>
      <c r="H1260" s="63"/>
      <c r="I1260" s="63"/>
      <c r="J1260" s="64" t="str">
        <f aca="false">IF(OR(A1260="",B1260=""),"",CONCATENATE("https://matarstund.is/serfaedi?id=",LOWER(SUBSTITUTE(B1260,"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64" t="str">
        <f aca="false">IF(OR(A1261="",B1261=""),"",CONCATENATE("https://matarstund.is/serfaedi?id=",LOWER(SUBSTITUTE(B1261," ","-"))))</f>
        <v/>
      </c>
    </row>
    <row r="1262" customFormat="false" ht="15" hidden="false" customHeight="true" outlineLevel="0" collapsed="false">
      <c r="A1262" s="63"/>
      <c r="B1262" s="63"/>
      <c r="C1262" s="63"/>
      <c r="D1262" s="63"/>
      <c r="E1262" s="63"/>
      <c r="F1262" s="28" t="str">
        <f aca="false">IF(C1262="","",IF(OR(C1262="1. bekkur",C1262="2. bekkur",C1262="3. bekkur",C1262="4. bekkur"),"Já",IF(C1262="Starfsmaður","Nei","Nei")))</f>
        <v/>
      </c>
      <c r="G1262" s="63"/>
      <c r="H1262" s="63"/>
      <c r="I1262" s="63"/>
      <c r="J1262" s="64" t="str">
        <f aca="false">IF(OR(A1262="",B1262=""),"",CONCATENATE("https://matarstund.is/serfaedi?id=",LOWER(SUBSTITUTE(B1262,"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64" t="str">
        <f aca="false">IF(OR(A1263="",B1263=""),"",CONCATENATE("https://matarstund.is/serfaedi?id=",LOWER(SUBSTITUTE(B1263," ","-"))))</f>
        <v/>
      </c>
    </row>
    <row r="1264" customFormat="false" ht="15" hidden="false" customHeight="true" outlineLevel="0" collapsed="false">
      <c r="A1264" s="63"/>
      <c r="B1264" s="63"/>
      <c r="C1264" s="63"/>
      <c r="D1264" s="63"/>
      <c r="E1264" s="63"/>
      <c r="F1264" s="28" t="str">
        <f aca="false">IF(C1264="","",IF(OR(C1264="1. bekkur",C1264="2. bekkur",C1264="3. bekkur",C1264="4. bekkur"),"Já",IF(C1264="Starfsmaður","Nei","Nei")))</f>
        <v/>
      </c>
      <c r="G1264" s="63"/>
      <c r="H1264" s="63"/>
      <c r="I1264" s="63"/>
      <c r="J1264" s="64" t="str">
        <f aca="false">IF(OR(A1264="",B1264=""),"",CONCATENATE("https://matarstund.is/serfaedi?id=",LOWER(SUBSTITUTE(B1264,"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64" t="str">
        <f aca="false">IF(OR(A1265="",B1265=""),"",CONCATENATE("https://matarstund.is/serfaedi?id=",LOWER(SUBSTITUTE(B1265," ","-"))))</f>
        <v/>
      </c>
    </row>
    <row r="1266" customFormat="false" ht="15" hidden="false" customHeight="true" outlineLevel="0" collapsed="false">
      <c r="A1266" s="63"/>
      <c r="B1266" s="63"/>
      <c r="C1266" s="63"/>
      <c r="D1266" s="63"/>
      <c r="E1266" s="63"/>
      <c r="F1266" s="28" t="str">
        <f aca="false">IF(C1266="","",IF(OR(C1266="1. bekkur",C1266="2. bekkur",C1266="3. bekkur",C1266="4. bekkur"),"Já",IF(C1266="Starfsmaður","Nei","Nei")))</f>
        <v/>
      </c>
      <c r="G1266" s="63"/>
      <c r="H1266" s="63"/>
      <c r="I1266" s="63"/>
      <c r="J1266" s="64" t="str">
        <f aca="false">IF(OR(A1266="",B1266=""),"",CONCATENATE("https://matarstund.is/serfaedi?id=",LOWER(SUBSTITUTE(B1266,"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64" t="str">
        <f aca="false">IF(OR(A1267="",B1267=""),"",CONCATENATE("https://matarstund.is/serfaedi?id=",LOWER(SUBSTITUTE(B1267," ","-"))))</f>
        <v/>
      </c>
    </row>
    <row r="1268" customFormat="false" ht="15" hidden="false" customHeight="true" outlineLevel="0" collapsed="false">
      <c r="A1268" s="63"/>
      <c r="B1268" s="63"/>
      <c r="C1268" s="63"/>
      <c r="D1268" s="63"/>
      <c r="E1268" s="63"/>
      <c r="F1268" s="28" t="str">
        <f aca="false">IF(C1268="","",IF(OR(C1268="1. bekkur",C1268="2. bekkur",C1268="3. bekkur",C1268="4. bekkur"),"Já",IF(C1268="Starfsmaður","Nei","Nei")))</f>
        <v/>
      </c>
      <c r="G1268" s="63"/>
      <c r="H1268" s="63"/>
      <c r="I1268" s="63"/>
      <c r="J1268" s="64" t="str">
        <f aca="false">IF(OR(A1268="",B1268=""),"",CONCATENATE("https://matarstund.is/serfaedi?id=",LOWER(SUBSTITUTE(B1268,"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64" t="str">
        <f aca="false">IF(OR(A1269="",B1269=""),"",CONCATENATE("https://matarstund.is/serfaedi?id=",LOWER(SUBSTITUTE(B1269," ","-"))))</f>
        <v/>
      </c>
    </row>
    <row r="1270" customFormat="false" ht="15" hidden="false" customHeight="true" outlineLevel="0" collapsed="false">
      <c r="A1270" s="63"/>
      <c r="B1270" s="63"/>
      <c r="C1270" s="63"/>
      <c r="D1270" s="63"/>
      <c r="E1270" s="63"/>
      <c r="F1270" s="28" t="str">
        <f aca="false">IF(C1270="","",IF(OR(C1270="1. bekkur",C1270="2. bekkur",C1270="3. bekkur",C1270="4. bekkur"),"Já",IF(C1270="Starfsmaður","Nei","Nei")))</f>
        <v/>
      </c>
      <c r="G1270" s="63"/>
      <c r="H1270" s="63"/>
      <c r="I1270" s="63"/>
      <c r="J1270" s="64" t="str">
        <f aca="false">IF(OR(A1270="",B1270=""),"",CONCATENATE("https://matarstund.is/serfaedi?id=",LOWER(SUBSTITUTE(B1270,"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64" t="str">
        <f aca="false">IF(OR(A1271="",B1271=""),"",CONCATENATE("https://matarstund.is/serfaedi?id=",LOWER(SUBSTITUTE(B1271," ","-"))))</f>
        <v/>
      </c>
    </row>
    <row r="1272" customFormat="false" ht="15" hidden="false" customHeight="true" outlineLevel="0" collapsed="false">
      <c r="A1272" s="63"/>
      <c r="B1272" s="63"/>
      <c r="C1272" s="63"/>
      <c r="D1272" s="63"/>
      <c r="E1272" s="63"/>
      <c r="F1272" s="28" t="str">
        <f aca="false">IF(C1272="","",IF(OR(C1272="1. bekkur",C1272="2. bekkur",C1272="3. bekkur",C1272="4. bekkur"),"Já",IF(C1272="Starfsmaður","Nei","Nei")))</f>
        <v/>
      </c>
      <c r="G1272" s="63"/>
      <c r="H1272" s="63"/>
      <c r="I1272" s="63"/>
      <c r="J1272" s="64" t="str">
        <f aca="false">IF(OR(A1272="",B1272=""),"",CONCATENATE("https://matarstund.is/serfaedi?id=",LOWER(SUBSTITUTE(B1272,"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64" t="str">
        <f aca="false">IF(OR(A1273="",B1273=""),"",CONCATENATE("https://matarstund.is/serfaedi?id=",LOWER(SUBSTITUTE(B1273," ","-"))))</f>
        <v/>
      </c>
    </row>
    <row r="1274" customFormat="false" ht="15" hidden="false" customHeight="true" outlineLevel="0" collapsed="false">
      <c r="A1274" s="63"/>
      <c r="B1274" s="63"/>
      <c r="C1274" s="63"/>
      <c r="D1274" s="63"/>
      <c r="E1274" s="63"/>
      <c r="F1274" s="28" t="str">
        <f aca="false">IF(C1274="","",IF(OR(C1274="1. bekkur",C1274="2. bekkur",C1274="3. bekkur",C1274="4. bekkur"),"Já",IF(C1274="Starfsmaður","Nei","Nei")))</f>
        <v/>
      </c>
      <c r="G1274" s="63"/>
      <c r="H1274" s="63"/>
      <c r="I1274" s="63"/>
      <c r="J1274" s="64" t="str">
        <f aca="false">IF(OR(A1274="",B1274=""),"",CONCATENATE("https://matarstund.is/serfaedi?id=",LOWER(SUBSTITUTE(B1274,"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64" t="str">
        <f aca="false">IF(OR(A1275="",B1275=""),"",CONCATENATE("https://matarstund.is/serfaedi?id=",LOWER(SUBSTITUTE(B1275," ","-"))))</f>
        <v/>
      </c>
    </row>
    <row r="1276" customFormat="false" ht="15" hidden="false" customHeight="true" outlineLevel="0" collapsed="false">
      <c r="A1276" s="63"/>
      <c r="B1276" s="63"/>
      <c r="C1276" s="63"/>
      <c r="D1276" s="63"/>
      <c r="E1276" s="63"/>
      <c r="F1276" s="28" t="str">
        <f aca="false">IF(C1276="","",IF(OR(C1276="1. bekkur",C1276="2. bekkur",C1276="3. bekkur",C1276="4. bekkur"),"Já",IF(C1276="Starfsmaður","Nei","Nei")))</f>
        <v/>
      </c>
      <c r="G1276" s="63"/>
      <c r="H1276" s="63"/>
      <c r="I1276" s="63"/>
      <c r="J1276" s="64" t="str">
        <f aca="false">IF(OR(A1276="",B1276=""),"",CONCATENATE("https://matarstund.is/serfaedi?id=",LOWER(SUBSTITUTE(B1276,"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64" t="str">
        <f aca="false">IF(OR(A1277="",B1277=""),"",CONCATENATE("https://matarstund.is/serfaedi?id=",LOWER(SUBSTITUTE(B1277," ","-"))))</f>
        <v/>
      </c>
    </row>
    <row r="1278" customFormat="false" ht="15" hidden="false" customHeight="true" outlineLevel="0" collapsed="false">
      <c r="A1278" s="63"/>
      <c r="B1278" s="63"/>
      <c r="C1278" s="63"/>
      <c r="D1278" s="63"/>
      <c r="E1278" s="63"/>
      <c r="F1278" s="28" t="str">
        <f aca="false">IF(C1278="","",IF(OR(C1278="1. bekkur",C1278="2. bekkur",C1278="3. bekkur",C1278="4. bekkur"),"Já",IF(C1278="Starfsmaður","Nei","Nei")))</f>
        <v/>
      </c>
      <c r="G1278" s="63"/>
      <c r="H1278" s="63"/>
      <c r="I1278" s="63"/>
      <c r="J1278" s="64" t="str">
        <f aca="false">IF(OR(A1278="",B1278=""),"",CONCATENATE("https://matarstund.is/serfaedi?id=",LOWER(SUBSTITUTE(B1278,"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64" t="str">
        <f aca="false">IF(OR(A1279="",B1279=""),"",CONCATENATE("https://matarstund.is/serfaedi?id=",LOWER(SUBSTITUTE(B1279," ","-"))))</f>
        <v/>
      </c>
    </row>
    <row r="1280" customFormat="false" ht="15" hidden="false" customHeight="true" outlineLevel="0" collapsed="false">
      <c r="A1280" s="63"/>
      <c r="B1280" s="63"/>
      <c r="C1280" s="63"/>
      <c r="D1280" s="63"/>
      <c r="E1280" s="63"/>
      <c r="F1280" s="28" t="str">
        <f aca="false">IF(C1280="","",IF(OR(C1280="1. bekkur",C1280="2. bekkur",C1280="3. bekkur",C1280="4. bekkur"),"Já",IF(C1280="Starfsmaður","Nei","Nei")))</f>
        <v/>
      </c>
      <c r="G1280" s="63"/>
      <c r="H1280" s="63"/>
      <c r="I1280" s="63"/>
      <c r="J1280" s="64" t="str">
        <f aca="false">IF(OR(A1280="",B1280=""),"",CONCATENATE("https://matarstund.is/serfaedi?id=",LOWER(SUBSTITUTE(B1280,"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64" t="str">
        <f aca="false">IF(OR(A1281="",B1281=""),"",CONCATENATE("https://matarstund.is/serfaedi?id=",LOWER(SUBSTITUTE(B1281," ","-"))))</f>
        <v/>
      </c>
    </row>
    <row r="1282" customFormat="false" ht="15" hidden="false" customHeight="true" outlineLevel="0" collapsed="false">
      <c r="A1282" s="63"/>
      <c r="B1282" s="63"/>
      <c r="C1282" s="63"/>
      <c r="D1282" s="63"/>
      <c r="E1282" s="63"/>
      <c r="F1282" s="28" t="str">
        <f aca="false">IF(C1282="","",IF(OR(C1282="1. bekkur",C1282="2. bekkur",C1282="3. bekkur",C1282="4. bekkur"),"Já",IF(C1282="Starfsmaður","Nei","Nei")))</f>
        <v/>
      </c>
      <c r="G1282" s="63"/>
      <c r="H1282" s="63"/>
      <c r="I1282" s="63"/>
      <c r="J1282" s="64" t="str">
        <f aca="false">IF(OR(A1282="",B1282=""),"",CONCATENATE("https://matarstund.is/serfaedi?id=",LOWER(SUBSTITUTE(B1282,"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64" t="str">
        <f aca="false">IF(OR(A1283="",B1283=""),"",CONCATENATE("https://matarstund.is/serfaedi?id=",LOWER(SUBSTITUTE(B1283," ","-"))))</f>
        <v/>
      </c>
    </row>
    <row r="1284" customFormat="false" ht="15" hidden="false" customHeight="true" outlineLevel="0" collapsed="false">
      <c r="A1284" s="63"/>
      <c r="B1284" s="63"/>
      <c r="C1284" s="63"/>
      <c r="D1284" s="63"/>
      <c r="E1284" s="63"/>
      <c r="F1284" s="28" t="str">
        <f aca="false">IF(C1284="","",IF(OR(C1284="1. bekkur",C1284="2. bekkur",C1284="3. bekkur",C1284="4. bekkur"),"Já",IF(C1284="Starfsmaður","Nei","Nei")))</f>
        <v/>
      </c>
      <c r="G1284" s="63"/>
      <c r="H1284" s="63"/>
      <c r="I1284" s="63"/>
      <c r="J1284" s="64" t="str">
        <f aca="false">IF(OR(A1284="",B1284=""),"",CONCATENATE("https://matarstund.is/serfaedi?id=",LOWER(SUBSTITUTE(B1284,"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64" t="str">
        <f aca="false">IF(OR(A1285="",B1285=""),"",CONCATENATE("https://matarstund.is/serfaedi?id=",LOWER(SUBSTITUTE(B1285," ","-"))))</f>
        <v/>
      </c>
    </row>
    <row r="1286" customFormat="false" ht="15" hidden="false" customHeight="true" outlineLevel="0" collapsed="false">
      <c r="A1286" s="63"/>
      <c r="B1286" s="63"/>
      <c r="C1286" s="63"/>
      <c r="D1286" s="63"/>
      <c r="E1286" s="63"/>
      <c r="F1286" s="28" t="str">
        <f aca="false">IF(C1286="","",IF(OR(C1286="1. bekkur",C1286="2. bekkur",C1286="3. bekkur",C1286="4. bekkur"),"Já",IF(C1286="Starfsmaður","Nei","Nei")))</f>
        <v/>
      </c>
      <c r="G1286" s="63"/>
      <c r="H1286" s="63"/>
      <c r="I1286" s="63"/>
      <c r="J1286" s="64" t="str">
        <f aca="false">IF(OR(A1286="",B1286=""),"",CONCATENATE("https://matarstund.is/serfaedi?id=",LOWER(SUBSTITUTE(B1286,"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64" t="str">
        <f aca="false">IF(OR(A1287="",B1287=""),"",CONCATENATE("https://matarstund.is/serfaedi?id=",LOWER(SUBSTITUTE(B1287," ","-"))))</f>
        <v/>
      </c>
    </row>
    <row r="1288" customFormat="false" ht="15" hidden="false" customHeight="true" outlineLevel="0" collapsed="false">
      <c r="A1288" s="63"/>
      <c r="B1288" s="63"/>
      <c r="C1288" s="63"/>
      <c r="D1288" s="63"/>
      <c r="E1288" s="63"/>
      <c r="F1288" s="28" t="str">
        <f aca="false">IF(C1288="","",IF(OR(C1288="1. bekkur",C1288="2. bekkur",C1288="3. bekkur",C1288="4. bekkur"),"Já",IF(C1288="Starfsmaður","Nei","Nei")))</f>
        <v/>
      </c>
      <c r="G1288" s="63"/>
      <c r="H1288" s="63"/>
      <c r="I1288" s="63"/>
      <c r="J1288" s="64" t="str">
        <f aca="false">IF(OR(A1288="",B1288=""),"",CONCATENATE("https://matarstund.is/serfaedi?id=",LOWER(SUBSTITUTE(B1288,"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64" t="str">
        <f aca="false">IF(OR(A1289="",B1289=""),"",CONCATENATE("https://matarstund.is/serfaedi?id=",LOWER(SUBSTITUTE(B1289," ","-"))))</f>
        <v/>
      </c>
    </row>
    <row r="1290" customFormat="false" ht="15" hidden="false" customHeight="true" outlineLevel="0" collapsed="false">
      <c r="A1290" s="63"/>
      <c r="B1290" s="63"/>
      <c r="C1290" s="63"/>
      <c r="D1290" s="63"/>
      <c r="E1290" s="63"/>
      <c r="F1290" s="28" t="str">
        <f aca="false">IF(C1290="","",IF(OR(C1290="1. bekkur",C1290="2. bekkur",C1290="3. bekkur",C1290="4. bekkur"),"Já",IF(C1290="Starfsmaður","Nei","Nei")))</f>
        <v/>
      </c>
      <c r="G1290" s="63"/>
      <c r="H1290" s="63"/>
      <c r="I1290" s="63"/>
      <c r="J1290" s="64" t="str">
        <f aca="false">IF(OR(A1290="",B1290=""),"",CONCATENATE("https://matarstund.is/serfaedi?id=",LOWER(SUBSTITUTE(B1290,"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64" t="str">
        <f aca="false">IF(OR(A1291="",B1291=""),"",CONCATENATE("https://matarstund.is/serfaedi?id=",LOWER(SUBSTITUTE(B1291," ","-"))))</f>
        <v/>
      </c>
    </row>
    <row r="1292" customFormat="false" ht="15" hidden="false" customHeight="true" outlineLevel="0" collapsed="false">
      <c r="A1292" s="63"/>
      <c r="B1292" s="63"/>
      <c r="C1292" s="63"/>
      <c r="D1292" s="63"/>
      <c r="E1292" s="63"/>
      <c r="F1292" s="28" t="str">
        <f aca="false">IF(C1292="","",IF(OR(C1292="1. bekkur",C1292="2. bekkur",C1292="3. bekkur",C1292="4. bekkur"),"Já",IF(C1292="Starfsmaður","Nei","Nei")))</f>
        <v/>
      </c>
      <c r="G1292" s="63"/>
      <c r="H1292" s="63"/>
      <c r="I1292" s="63"/>
      <c r="J1292" s="64" t="str">
        <f aca="false">IF(OR(A1292="",B1292=""),"",CONCATENATE("https://matarstund.is/serfaedi?id=",LOWER(SUBSTITUTE(B1292,"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64" t="str">
        <f aca="false">IF(OR(A1293="",B1293=""),"",CONCATENATE("https://matarstund.is/serfaedi?id=",LOWER(SUBSTITUTE(B1293," ","-"))))</f>
        <v/>
      </c>
    </row>
    <row r="1294" customFormat="false" ht="15" hidden="false" customHeight="true" outlineLevel="0" collapsed="false">
      <c r="A1294" s="63"/>
      <c r="B1294" s="63"/>
      <c r="C1294" s="63"/>
      <c r="D1294" s="63"/>
      <c r="E1294" s="63"/>
      <c r="F1294" s="28" t="str">
        <f aca="false">IF(C1294="","",IF(OR(C1294="1. bekkur",C1294="2. bekkur",C1294="3. bekkur",C1294="4. bekkur"),"Já",IF(C1294="Starfsmaður","Nei","Nei")))</f>
        <v/>
      </c>
      <c r="G1294" s="63"/>
      <c r="H1294" s="63"/>
      <c r="I1294" s="63"/>
      <c r="J1294" s="64" t="str">
        <f aca="false">IF(OR(A1294="",B1294=""),"",CONCATENATE("https://matarstund.is/serfaedi?id=",LOWER(SUBSTITUTE(B1294,"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64" t="str">
        <f aca="false">IF(OR(A1295="",B1295=""),"",CONCATENATE("https://matarstund.is/serfaedi?id=",LOWER(SUBSTITUTE(B1295," ","-"))))</f>
        <v/>
      </c>
    </row>
    <row r="1296" customFormat="false" ht="15" hidden="false" customHeight="true" outlineLevel="0" collapsed="false">
      <c r="A1296" s="63"/>
      <c r="B1296" s="63"/>
      <c r="C1296" s="63"/>
      <c r="D1296" s="63"/>
      <c r="E1296" s="63"/>
      <c r="F1296" s="28" t="str">
        <f aca="false">IF(C1296="","",IF(OR(C1296="1. bekkur",C1296="2. bekkur",C1296="3. bekkur",C1296="4. bekkur"),"Já",IF(C1296="Starfsmaður","Nei","Nei")))</f>
        <v/>
      </c>
      <c r="G1296" s="63"/>
      <c r="H1296" s="63"/>
      <c r="I1296" s="63"/>
      <c r="J1296" s="64" t="str">
        <f aca="false">IF(OR(A1296="",B1296=""),"",CONCATENATE("https://matarstund.is/serfaedi?id=",LOWER(SUBSTITUTE(B1296,"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64" t="str">
        <f aca="false">IF(OR(A1297="",B1297=""),"",CONCATENATE("https://matarstund.is/serfaedi?id=",LOWER(SUBSTITUTE(B1297," ","-"))))</f>
        <v/>
      </c>
    </row>
    <row r="1298" customFormat="false" ht="15" hidden="false" customHeight="true" outlineLevel="0" collapsed="false">
      <c r="A1298" s="63"/>
      <c r="B1298" s="63"/>
      <c r="C1298" s="63"/>
      <c r="D1298" s="63"/>
      <c r="E1298" s="63"/>
      <c r="F1298" s="28" t="str">
        <f aca="false">IF(C1298="","",IF(OR(C1298="1. bekkur",C1298="2. bekkur",C1298="3. bekkur",C1298="4. bekkur"),"Já",IF(C1298="Starfsmaður","Nei","Nei")))</f>
        <v/>
      </c>
      <c r="G1298" s="63"/>
      <c r="H1298" s="63"/>
      <c r="I1298" s="63"/>
      <c r="J1298" s="64" t="str">
        <f aca="false">IF(OR(A1298="",B1298=""),"",CONCATENATE("https://matarstund.is/serfaedi?id=",LOWER(SUBSTITUTE(B1298,"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64" t="str">
        <f aca="false">IF(OR(A1299="",B1299=""),"",CONCATENATE("https://matarstund.is/serfaedi?id=",LOWER(SUBSTITUTE(B1299," ","-"))))</f>
        <v/>
      </c>
    </row>
    <row r="1300" customFormat="false" ht="15" hidden="false" customHeight="true" outlineLevel="0" collapsed="false">
      <c r="A1300" s="63"/>
      <c r="B1300" s="63"/>
      <c r="C1300" s="63"/>
      <c r="D1300" s="63"/>
      <c r="E1300" s="63"/>
      <c r="F1300" s="28" t="str">
        <f aca="false">IF(C1300="","",IF(OR(C1300="1. bekkur",C1300="2. bekkur",C1300="3. bekkur",C1300="4. bekkur"),"Já",IF(C1300="Starfsmaður","Nei","Nei")))</f>
        <v/>
      </c>
      <c r="G1300" s="63"/>
      <c r="H1300" s="63"/>
      <c r="I1300" s="63"/>
      <c r="J1300" s="64" t="str">
        <f aca="false">IF(OR(A1300="",B1300=""),"",CONCATENATE("https://matarstund.is/serfaedi?id=",LOWER(SUBSTITUTE(B1300,"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64" t="str">
        <f aca="false">IF(OR(A1301="",B1301=""),"",CONCATENATE("https://matarstund.is/serfaedi?id=",LOWER(SUBSTITUTE(B1301," ","-"))))</f>
        <v/>
      </c>
    </row>
    <row r="1302" customFormat="false" ht="15" hidden="false" customHeight="true" outlineLevel="0" collapsed="false">
      <c r="A1302" s="63"/>
      <c r="B1302" s="63"/>
      <c r="C1302" s="63"/>
      <c r="D1302" s="63"/>
      <c r="E1302" s="63"/>
      <c r="F1302" s="28" t="str">
        <f aca="false">IF(C1302="","",IF(OR(C1302="1. bekkur",C1302="2. bekkur",C1302="3. bekkur",C1302="4. bekkur"),"Já",IF(C1302="Starfsmaður","Nei","Nei")))</f>
        <v/>
      </c>
      <c r="G1302" s="63"/>
      <c r="H1302" s="63"/>
      <c r="I1302" s="63"/>
      <c r="J1302" s="64" t="str">
        <f aca="false">IF(OR(A1302="",B1302=""),"",CONCATENATE("https://matarstund.is/serfaedi?id=",LOWER(SUBSTITUTE(B1302,"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64" t="str">
        <f aca="false">IF(OR(A1303="",B1303=""),"",CONCATENATE("https://matarstund.is/serfaedi?id=",LOWER(SUBSTITUTE(B1303," ","-"))))</f>
        <v/>
      </c>
    </row>
    <row r="1304" customFormat="false" ht="15" hidden="false" customHeight="true" outlineLevel="0" collapsed="false">
      <c r="A1304" s="63"/>
      <c r="B1304" s="63"/>
      <c r="C1304" s="63"/>
      <c r="D1304" s="63"/>
      <c r="E1304" s="63"/>
      <c r="F1304" s="28" t="str">
        <f aca="false">IF(C1304="","",IF(OR(C1304="1. bekkur",C1304="2. bekkur",C1304="3. bekkur",C1304="4. bekkur"),"Já",IF(C1304="Starfsmaður","Nei","Nei")))</f>
        <v/>
      </c>
      <c r="G1304" s="63"/>
      <c r="H1304" s="63"/>
      <c r="I1304" s="63"/>
      <c r="J1304" s="64" t="str">
        <f aca="false">IF(OR(A1304="",B1304=""),"",CONCATENATE("https://matarstund.is/serfaedi?id=",LOWER(SUBSTITUTE(B1304,"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64" t="str">
        <f aca="false">IF(OR(A1305="",B1305=""),"",CONCATENATE("https://matarstund.is/serfaedi?id=",LOWER(SUBSTITUTE(B1305," ","-"))))</f>
        <v/>
      </c>
    </row>
    <row r="1306" customFormat="false" ht="15" hidden="false" customHeight="true" outlineLevel="0" collapsed="false">
      <c r="A1306" s="63"/>
      <c r="B1306" s="63"/>
      <c r="C1306" s="63"/>
      <c r="D1306" s="63"/>
      <c r="E1306" s="63"/>
      <c r="F1306" s="28" t="str">
        <f aca="false">IF(C1306="","",IF(OR(C1306="1. bekkur",C1306="2. bekkur",C1306="3. bekkur",C1306="4. bekkur"),"Já",IF(C1306="Starfsmaður","Nei","Nei")))</f>
        <v/>
      </c>
      <c r="G1306" s="63"/>
      <c r="H1306" s="63"/>
      <c r="I1306" s="63"/>
      <c r="J1306" s="64" t="str">
        <f aca="false">IF(OR(A1306="",B1306=""),"",CONCATENATE("https://matarstund.is/serfaedi?id=",LOWER(SUBSTITUTE(B1306,"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64" t="str">
        <f aca="false">IF(OR(A1307="",B1307=""),"",CONCATENATE("https://matarstund.is/serfaedi?id=",LOWER(SUBSTITUTE(B1307," ","-"))))</f>
        <v/>
      </c>
    </row>
    <row r="1308" customFormat="false" ht="15" hidden="false" customHeight="true" outlineLevel="0" collapsed="false">
      <c r="A1308" s="63"/>
      <c r="B1308" s="63"/>
      <c r="C1308" s="63"/>
      <c r="D1308" s="63"/>
      <c r="E1308" s="63"/>
      <c r="F1308" s="28" t="str">
        <f aca="false">IF(C1308="","",IF(OR(C1308="1. bekkur",C1308="2. bekkur",C1308="3. bekkur",C1308="4. bekkur"),"Já",IF(C1308="Starfsmaður","Nei","Nei")))</f>
        <v/>
      </c>
      <c r="G1308" s="63"/>
      <c r="H1308" s="63"/>
      <c r="I1308" s="63"/>
      <c r="J1308" s="64" t="str">
        <f aca="false">IF(OR(A1308="",B1308=""),"",CONCATENATE("https://matarstund.is/serfaedi?id=",LOWER(SUBSTITUTE(B1308,"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64" t="str">
        <f aca="false">IF(OR(A1309="",B1309=""),"",CONCATENATE("https://matarstund.is/serfaedi?id=",LOWER(SUBSTITUTE(B1309," ","-"))))</f>
        <v/>
      </c>
    </row>
    <row r="1310" customFormat="false" ht="15" hidden="false" customHeight="true" outlineLevel="0" collapsed="false">
      <c r="A1310" s="63"/>
      <c r="B1310" s="63"/>
      <c r="C1310" s="63"/>
      <c r="D1310" s="63"/>
      <c r="E1310" s="63"/>
      <c r="F1310" s="28" t="str">
        <f aca="false">IF(C1310="","",IF(OR(C1310="1. bekkur",C1310="2. bekkur",C1310="3. bekkur",C1310="4. bekkur"),"Já",IF(C1310="Starfsmaður","Nei","Nei")))</f>
        <v/>
      </c>
      <c r="G1310" s="63"/>
      <c r="H1310" s="63"/>
      <c r="I1310" s="63"/>
      <c r="J1310" s="64" t="str">
        <f aca="false">IF(OR(A1310="",B1310=""),"",CONCATENATE("https://matarstund.is/serfaedi?id=",LOWER(SUBSTITUTE(B1310,"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64" t="str">
        <f aca="false">IF(OR(A1311="",B1311=""),"",CONCATENATE("https://matarstund.is/serfaedi?id=",LOWER(SUBSTITUTE(B1311," ","-"))))</f>
        <v/>
      </c>
    </row>
    <row r="1312" customFormat="false" ht="15" hidden="false" customHeight="true" outlineLevel="0" collapsed="false">
      <c r="A1312" s="63"/>
      <c r="B1312" s="63"/>
      <c r="C1312" s="63"/>
      <c r="D1312" s="63"/>
      <c r="E1312" s="63"/>
      <c r="F1312" s="28" t="str">
        <f aca="false">IF(C1312="","",IF(OR(C1312="1. bekkur",C1312="2. bekkur",C1312="3. bekkur",C1312="4. bekkur"),"Já",IF(C1312="Starfsmaður","Nei","Nei")))</f>
        <v/>
      </c>
      <c r="G1312" s="63"/>
      <c r="H1312" s="63"/>
      <c r="I1312" s="63"/>
      <c r="J1312" s="64" t="str">
        <f aca="false">IF(OR(A1312="",B1312=""),"",CONCATENATE("https://matarstund.is/serfaedi?id=",LOWER(SUBSTITUTE(B1312,"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64" t="str">
        <f aca="false">IF(OR(A1313="",B1313=""),"",CONCATENATE("https://matarstund.is/serfaedi?id=",LOWER(SUBSTITUTE(B1313," ","-"))))</f>
        <v/>
      </c>
    </row>
    <row r="1314" customFormat="false" ht="15" hidden="false" customHeight="true" outlineLevel="0" collapsed="false">
      <c r="A1314" s="63"/>
      <c r="B1314" s="63"/>
      <c r="C1314" s="63"/>
      <c r="D1314" s="63"/>
      <c r="E1314" s="63"/>
      <c r="F1314" s="28" t="str">
        <f aca="false">IF(C1314="","",IF(OR(C1314="1. bekkur",C1314="2. bekkur",C1314="3. bekkur",C1314="4. bekkur"),"Já",IF(C1314="Starfsmaður","Nei","Nei")))</f>
        <v/>
      </c>
      <c r="G1314" s="63"/>
      <c r="H1314" s="63"/>
      <c r="I1314" s="63"/>
      <c r="J1314" s="64" t="str">
        <f aca="false">IF(OR(A1314="",B1314=""),"",CONCATENATE("https://matarstund.is/serfaedi?id=",LOWER(SUBSTITUTE(B1314,"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64" t="str">
        <f aca="false">IF(OR(A1315="",B1315=""),"",CONCATENATE("https://matarstund.is/serfaedi?id=",LOWER(SUBSTITUTE(B1315," ","-"))))</f>
        <v/>
      </c>
    </row>
    <row r="1316" customFormat="false" ht="15" hidden="false" customHeight="true" outlineLevel="0" collapsed="false">
      <c r="A1316" s="63"/>
      <c r="B1316" s="63"/>
      <c r="C1316" s="63"/>
      <c r="D1316" s="63"/>
      <c r="E1316" s="63"/>
      <c r="F1316" s="28" t="str">
        <f aca="false">IF(C1316="","",IF(OR(C1316="1. bekkur",C1316="2. bekkur",C1316="3. bekkur",C1316="4. bekkur"),"Já",IF(C1316="Starfsmaður","Nei","Nei")))</f>
        <v/>
      </c>
      <c r="G1316" s="63"/>
      <c r="H1316" s="63"/>
      <c r="I1316" s="63"/>
      <c r="J1316" s="64" t="str">
        <f aca="false">IF(OR(A1316="",B1316=""),"",CONCATENATE("https://matarstund.is/serfaedi?id=",LOWER(SUBSTITUTE(B1316,"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64" t="str">
        <f aca="false">IF(OR(A1317="",B1317=""),"",CONCATENATE("https://matarstund.is/serfaedi?id=",LOWER(SUBSTITUTE(B1317," ","-"))))</f>
        <v/>
      </c>
    </row>
    <row r="1318" customFormat="false" ht="15" hidden="false" customHeight="true" outlineLevel="0" collapsed="false">
      <c r="A1318" s="63"/>
      <c r="B1318" s="63"/>
      <c r="C1318" s="63"/>
      <c r="D1318" s="63"/>
      <c r="E1318" s="63"/>
      <c r="F1318" s="28" t="str">
        <f aca="false">IF(C1318="","",IF(OR(C1318="1. bekkur",C1318="2. bekkur",C1318="3. bekkur",C1318="4. bekkur"),"Já",IF(C1318="Starfsmaður","Nei","Nei")))</f>
        <v/>
      </c>
      <c r="G1318" s="63"/>
      <c r="H1318" s="63"/>
      <c r="I1318" s="63"/>
      <c r="J1318" s="64" t="str">
        <f aca="false">IF(OR(A1318="",B1318=""),"",CONCATENATE("https://matarstund.is/serfaedi?id=",LOWER(SUBSTITUTE(B1318,"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64" t="str">
        <f aca="false">IF(OR(A1319="",B1319=""),"",CONCATENATE("https://matarstund.is/serfaedi?id=",LOWER(SUBSTITUTE(B1319," ","-"))))</f>
        <v/>
      </c>
    </row>
    <row r="1320" customFormat="false" ht="15" hidden="false" customHeight="true" outlineLevel="0" collapsed="false">
      <c r="A1320" s="63"/>
      <c r="B1320" s="63"/>
      <c r="C1320" s="63"/>
      <c r="D1320" s="63"/>
      <c r="E1320" s="63"/>
      <c r="F1320" s="28" t="str">
        <f aca="false">IF(C1320="","",IF(OR(C1320="1. bekkur",C1320="2. bekkur",C1320="3. bekkur",C1320="4. bekkur"),"Já",IF(C1320="Starfsmaður","Nei","Nei")))</f>
        <v/>
      </c>
      <c r="G1320" s="63"/>
      <c r="H1320" s="63"/>
      <c r="I1320" s="63"/>
      <c r="J1320" s="64" t="str">
        <f aca="false">IF(OR(A1320="",B1320=""),"",CONCATENATE("https://matarstund.is/serfaedi?id=",LOWER(SUBSTITUTE(B1320,"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64" t="str">
        <f aca="false">IF(OR(A1321="",B1321=""),"",CONCATENATE("https://matarstund.is/serfaedi?id=",LOWER(SUBSTITUTE(B1321," ","-"))))</f>
        <v/>
      </c>
    </row>
    <row r="1322" customFormat="false" ht="15" hidden="false" customHeight="true" outlineLevel="0" collapsed="false">
      <c r="A1322" s="63"/>
      <c r="B1322" s="63"/>
      <c r="C1322" s="63"/>
      <c r="D1322" s="63"/>
      <c r="E1322" s="63"/>
      <c r="F1322" s="28" t="str">
        <f aca="false">IF(C1322="","",IF(OR(C1322="1. bekkur",C1322="2. bekkur",C1322="3. bekkur",C1322="4. bekkur"),"Já",IF(C1322="Starfsmaður","Nei","Nei")))</f>
        <v/>
      </c>
      <c r="G1322" s="63"/>
      <c r="H1322" s="63"/>
      <c r="I1322" s="63"/>
      <c r="J1322" s="64" t="str">
        <f aca="false">IF(OR(A1322="",B1322=""),"",CONCATENATE("https://matarstund.is/serfaedi?id=",LOWER(SUBSTITUTE(B1322,"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64" t="str">
        <f aca="false">IF(OR(A1323="",B1323=""),"",CONCATENATE("https://matarstund.is/serfaedi?id=",LOWER(SUBSTITUTE(B1323," ","-"))))</f>
        <v/>
      </c>
    </row>
    <row r="1324" customFormat="false" ht="15" hidden="false" customHeight="true" outlineLevel="0" collapsed="false">
      <c r="A1324" s="63"/>
      <c r="B1324" s="63"/>
      <c r="C1324" s="63"/>
      <c r="D1324" s="63"/>
      <c r="E1324" s="63"/>
      <c r="F1324" s="28" t="str">
        <f aca="false">IF(C1324="","",IF(OR(C1324="1. bekkur",C1324="2. bekkur",C1324="3. bekkur",C1324="4. bekkur"),"Já",IF(C1324="Starfsmaður","Nei","Nei")))</f>
        <v/>
      </c>
      <c r="G1324" s="63"/>
      <c r="H1324" s="63"/>
      <c r="I1324" s="63"/>
      <c r="J1324" s="64" t="str">
        <f aca="false">IF(OR(A1324="",B1324=""),"",CONCATENATE("https://matarstund.is/serfaedi?id=",LOWER(SUBSTITUTE(B1324,"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64" t="str">
        <f aca="false">IF(OR(A1325="",B1325=""),"",CONCATENATE("https://matarstund.is/serfaedi?id=",LOWER(SUBSTITUTE(B1325," ","-"))))</f>
        <v/>
      </c>
    </row>
    <row r="1326" customFormat="false" ht="15" hidden="false" customHeight="true" outlineLevel="0" collapsed="false">
      <c r="A1326" s="63"/>
      <c r="B1326" s="63"/>
      <c r="C1326" s="63"/>
      <c r="D1326" s="63"/>
      <c r="E1326" s="63"/>
      <c r="F1326" s="28" t="str">
        <f aca="false">IF(C1326="","",IF(OR(C1326="1. bekkur",C1326="2. bekkur",C1326="3. bekkur",C1326="4. bekkur"),"Já",IF(C1326="Starfsmaður","Nei","Nei")))</f>
        <v/>
      </c>
      <c r="G1326" s="63"/>
      <c r="H1326" s="63"/>
      <c r="I1326" s="63"/>
      <c r="J1326" s="64" t="str">
        <f aca="false">IF(OR(A1326="",B1326=""),"",CONCATENATE("https://matarstund.is/serfaedi?id=",LOWER(SUBSTITUTE(B1326,"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64" t="str">
        <f aca="false">IF(OR(A1327="",B1327=""),"",CONCATENATE("https://matarstund.is/serfaedi?id=",LOWER(SUBSTITUTE(B1327," ","-"))))</f>
        <v/>
      </c>
    </row>
    <row r="1328" customFormat="false" ht="15" hidden="false" customHeight="true" outlineLevel="0" collapsed="false">
      <c r="A1328" s="63"/>
      <c r="B1328" s="63"/>
      <c r="C1328" s="63"/>
      <c r="D1328" s="63"/>
      <c r="E1328" s="63"/>
      <c r="F1328" s="28" t="str">
        <f aca="false">IF(C1328="","",IF(OR(C1328="1. bekkur",C1328="2. bekkur",C1328="3. bekkur",C1328="4. bekkur"),"Já",IF(C1328="Starfsmaður","Nei","Nei")))</f>
        <v/>
      </c>
      <c r="G1328" s="63"/>
      <c r="H1328" s="63"/>
      <c r="I1328" s="63"/>
      <c r="J1328" s="64" t="str">
        <f aca="false">IF(OR(A1328="",B1328=""),"",CONCATENATE("https://matarstund.is/serfaedi?id=",LOWER(SUBSTITUTE(B1328,"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64" t="str">
        <f aca="false">IF(OR(A1329="",B1329=""),"",CONCATENATE("https://matarstund.is/serfaedi?id=",LOWER(SUBSTITUTE(B1329," ","-"))))</f>
        <v/>
      </c>
    </row>
    <row r="1330" customFormat="false" ht="15" hidden="false" customHeight="true" outlineLevel="0" collapsed="false">
      <c r="A1330" s="63"/>
      <c r="B1330" s="63"/>
      <c r="C1330" s="63"/>
      <c r="D1330" s="63"/>
      <c r="E1330" s="63"/>
      <c r="F1330" s="28" t="str">
        <f aca="false">IF(C1330="","",IF(OR(C1330="1. bekkur",C1330="2. bekkur",C1330="3. bekkur",C1330="4. bekkur"),"Já",IF(C1330="Starfsmaður","Nei","Nei")))</f>
        <v/>
      </c>
      <c r="G1330" s="63"/>
      <c r="H1330" s="63"/>
      <c r="I1330" s="63"/>
      <c r="J1330" s="64" t="str">
        <f aca="false">IF(OR(A1330="",B1330=""),"",CONCATENATE("https://matarstund.is/serfaedi?id=",LOWER(SUBSTITUTE(B1330,"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64" t="str">
        <f aca="false">IF(OR(A1331="",B1331=""),"",CONCATENATE("https://matarstund.is/serfaedi?id=",LOWER(SUBSTITUTE(B1331," ","-"))))</f>
        <v/>
      </c>
    </row>
    <row r="1332" customFormat="false" ht="15" hidden="false" customHeight="true" outlineLevel="0" collapsed="false">
      <c r="A1332" s="63"/>
      <c r="B1332" s="63"/>
      <c r="C1332" s="63"/>
      <c r="D1332" s="63"/>
      <c r="E1332" s="63"/>
      <c r="F1332" s="28" t="str">
        <f aca="false">IF(C1332="","",IF(OR(C1332="1. bekkur",C1332="2. bekkur",C1332="3. bekkur",C1332="4. bekkur"),"Já",IF(C1332="Starfsmaður","Nei","Nei")))</f>
        <v/>
      </c>
      <c r="G1332" s="63"/>
      <c r="H1332" s="63"/>
      <c r="I1332" s="63"/>
      <c r="J1332" s="64" t="str">
        <f aca="false">IF(OR(A1332="",B1332=""),"",CONCATENATE("https://matarstund.is/serfaedi?id=",LOWER(SUBSTITUTE(B1332,"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64" t="str">
        <f aca="false">IF(OR(A1333="",B1333=""),"",CONCATENATE("https://matarstund.is/serfaedi?id=",LOWER(SUBSTITUTE(B1333," ","-"))))</f>
        <v/>
      </c>
    </row>
    <row r="1334" customFormat="false" ht="15" hidden="false" customHeight="true" outlineLevel="0" collapsed="false">
      <c r="A1334" s="63"/>
      <c r="B1334" s="63"/>
      <c r="C1334" s="63"/>
      <c r="D1334" s="63"/>
      <c r="E1334" s="63"/>
      <c r="F1334" s="28" t="str">
        <f aca="false">IF(C1334="","",IF(OR(C1334="1. bekkur",C1334="2. bekkur",C1334="3. bekkur",C1334="4. bekkur"),"Já",IF(C1334="Starfsmaður","Nei","Nei")))</f>
        <v/>
      </c>
      <c r="G1334" s="63"/>
      <c r="H1334" s="63"/>
      <c r="I1334" s="63"/>
      <c r="J1334" s="64" t="str">
        <f aca="false">IF(OR(A1334="",B1334=""),"",CONCATENATE("https://matarstund.is/serfaedi?id=",LOWER(SUBSTITUTE(B1334,"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64" t="str">
        <f aca="false">IF(OR(A1335="",B1335=""),"",CONCATENATE("https://matarstund.is/serfaedi?id=",LOWER(SUBSTITUTE(B1335," ","-"))))</f>
        <v/>
      </c>
    </row>
    <row r="1336" customFormat="false" ht="15" hidden="false" customHeight="true" outlineLevel="0" collapsed="false">
      <c r="A1336" s="63"/>
      <c r="B1336" s="63"/>
      <c r="C1336" s="63"/>
      <c r="D1336" s="63"/>
      <c r="E1336" s="63"/>
      <c r="F1336" s="28" t="str">
        <f aca="false">IF(C1336="","",IF(OR(C1336="1. bekkur",C1336="2. bekkur",C1336="3. bekkur",C1336="4. bekkur"),"Já",IF(C1336="Starfsmaður","Nei","Nei")))</f>
        <v/>
      </c>
      <c r="G1336" s="63"/>
      <c r="H1336" s="63"/>
      <c r="I1336" s="63"/>
      <c r="J1336" s="64" t="str">
        <f aca="false">IF(OR(A1336="",B1336=""),"",CONCATENATE("https://matarstund.is/serfaedi?id=",LOWER(SUBSTITUTE(B1336,"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64" t="str">
        <f aca="false">IF(OR(A1337="",B1337=""),"",CONCATENATE("https://matarstund.is/serfaedi?id=",LOWER(SUBSTITUTE(B1337," ","-"))))</f>
        <v/>
      </c>
    </row>
    <row r="1338" customFormat="false" ht="15" hidden="false" customHeight="true" outlineLevel="0" collapsed="false">
      <c r="A1338" s="63"/>
      <c r="B1338" s="63"/>
      <c r="C1338" s="63"/>
      <c r="D1338" s="63"/>
      <c r="E1338" s="63"/>
      <c r="F1338" s="28" t="str">
        <f aca="false">IF(C1338="","",IF(OR(C1338="1. bekkur",C1338="2. bekkur",C1338="3. bekkur",C1338="4. bekkur"),"Já",IF(C1338="Starfsmaður","Nei","Nei")))</f>
        <v/>
      </c>
      <c r="G1338" s="63"/>
      <c r="H1338" s="63"/>
      <c r="I1338" s="63"/>
      <c r="J1338" s="64" t="str">
        <f aca="false">IF(OR(A1338="",B1338=""),"",CONCATENATE("https://matarstund.is/serfaedi?id=",LOWER(SUBSTITUTE(B1338,"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64" t="str">
        <f aca="false">IF(OR(A1339="",B1339=""),"",CONCATENATE("https://matarstund.is/serfaedi?id=",LOWER(SUBSTITUTE(B1339," ","-"))))</f>
        <v/>
      </c>
    </row>
    <row r="1340" customFormat="false" ht="15" hidden="false" customHeight="true" outlineLevel="0" collapsed="false">
      <c r="A1340" s="63"/>
      <c r="B1340" s="63"/>
      <c r="C1340" s="63"/>
      <c r="D1340" s="63"/>
      <c r="E1340" s="63"/>
      <c r="F1340" s="28" t="str">
        <f aca="false">IF(C1340="","",IF(OR(C1340="1. bekkur",C1340="2. bekkur",C1340="3. bekkur",C1340="4. bekkur"),"Já",IF(C1340="Starfsmaður","Nei","Nei")))</f>
        <v/>
      </c>
      <c r="G1340" s="63"/>
      <c r="H1340" s="63"/>
      <c r="I1340" s="63"/>
      <c r="J1340" s="64" t="str">
        <f aca="false">IF(OR(A1340="",B1340=""),"",CONCATENATE("https://matarstund.is/serfaedi?id=",LOWER(SUBSTITUTE(B1340,"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64" t="str">
        <f aca="false">IF(OR(A1341="",B1341=""),"",CONCATENATE("https://matarstund.is/serfaedi?id=",LOWER(SUBSTITUTE(B1341," ","-"))))</f>
        <v/>
      </c>
    </row>
    <row r="1342" customFormat="false" ht="15" hidden="false" customHeight="true" outlineLevel="0" collapsed="false">
      <c r="A1342" s="63"/>
      <c r="B1342" s="63"/>
      <c r="C1342" s="63"/>
      <c r="D1342" s="63"/>
      <c r="E1342" s="63"/>
      <c r="F1342" s="28" t="str">
        <f aca="false">IF(C1342="","",IF(OR(C1342="1. bekkur",C1342="2. bekkur",C1342="3. bekkur",C1342="4. bekkur"),"Já",IF(C1342="Starfsmaður","Nei","Nei")))</f>
        <v/>
      </c>
      <c r="G1342" s="63"/>
      <c r="H1342" s="63"/>
      <c r="I1342" s="63"/>
      <c r="J1342" s="64" t="str">
        <f aca="false">IF(OR(A1342="",B1342=""),"",CONCATENATE("https://matarstund.is/serfaedi?id=",LOWER(SUBSTITUTE(B1342,"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64" t="str">
        <f aca="false">IF(OR(A1343="",B1343=""),"",CONCATENATE("https://matarstund.is/serfaedi?id=",LOWER(SUBSTITUTE(B1343," ","-"))))</f>
        <v/>
      </c>
    </row>
    <row r="1344" customFormat="false" ht="15" hidden="false" customHeight="true" outlineLevel="0" collapsed="false">
      <c r="A1344" s="63"/>
      <c r="B1344" s="63"/>
      <c r="C1344" s="63"/>
      <c r="D1344" s="63"/>
      <c r="E1344" s="63"/>
      <c r="F1344" s="28" t="str">
        <f aca="false">IF(C1344="","",IF(OR(C1344="1. bekkur",C1344="2. bekkur",C1344="3. bekkur",C1344="4. bekkur"),"Já",IF(C1344="Starfsmaður","Nei","Nei")))</f>
        <v/>
      </c>
      <c r="G1344" s="63"/>
      <c r="H1344" s="63"/>
      <c r="I1344" s="63"/>
      <c r="J1344" s="64" t="str">
        <f aca="false">IF(OR(A1344="",B1344=""),"",CONCATENATE("https://matarstund.is/serfaedi?id=",LOWER(SUBSTITUTE(B1344,"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64" t="str">
        <f aca="false">IF(OR(A1345="",B1345=""),"",CONCATENATE("https://matarstund.is/serfaedi?id=",LOWER(SUBSTITUTE(B1345," ","-"))))</f>
        <v/>
      </c>
    </row>
    <row r="1346" customFormat="false" ht="15" hidden="false" customHeight="true" outlineLevel="0" collapsed="false">
      <c r="A1346" s="63"/>
      <c r="B1346" s="63"/>
      <c r="C1346" s="63"/>
      <c r="D1346" s="63"/>
      <c r="E1346" s="63"/>
      <c r="F1346" s="28" t="str">
        <f aca="false">IF(C1346="","",IF(OR(C1346="1. bekkur",C1346="2. bekkur",C1346="3. bekkur",C1346="4. bekkur"),"Já",IF(C1346="Starfsmaður","Nei","Nei")))</f>
        <v/>
      </c>
      <c r="G1346" s="63"/>
      <c r="H1346" s="63"/>
      <c r="I1346" s="63"/>
      <c r="J1346" s="64" t="str">
        <f aca="false">IF(OR(A1346="",B1346=""),"",CONCATENATE("https://matarstund.is/serfaedi?id=",LOWER(SUBSTITUTE(B1346,"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64" t="str">
        <f aca="false">IF(OR(A1347="",B1347=""),"",CONCATENATE("https://matarstund.is/serfaedi?id=",LOWER(SUBSTITUTE(B1347," ","-"))))</f>
        <v/>
      </c>
    </row>
    <row r="1348" customFormat="false" ht="15" hidden="false" customHeight="true" outlineLevel="0" collapsed="false">
      <c r="A1348" s="63"/>
      <c r="B1348" s="63"/>
      <c r="C1348" s="63"/>
      <c r="D1348" s="63"/>
      <c r="E1348" s="63"/>
      <c r="F1348" s="28" t="str">
        <f aca="false">IF(C1348="","",IF(OR(C1348="1. bekkur",C1348="2. bekkur",C1348="3. bekkur",C1348="4. bekkur"),"Já",IF(C1348="Starfsmaður","Nei","Nei")))</f>
        <v/>
      </c>
      <c r="G1348" s="63"/>
      <c r="H1348" s="63"/>
      <c r="I1348" s="63"/>
      <c r="J1348" s="64" t="str">
        <f aca="false">IF(OR(A1348="",B1348=""),"",CONCATENATE("https://matarstund.is/serfaedi?id=",LOWER(SUBSTITUTE(B1348,"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64" t="str">
        <f aca="false">IF(OR(A1349="",B1349=""),"",CONCATENATE("https://matarstund.is/serfaedi?id=",LOWER(SUBSTITUTE(B1349," ","-"))))</f>
        <v/>
      </c>
    </row>
    <row r="1350" customFormat="false" ht="15" hidden="false" customHeight="true" outlineLevel="0" collapsed="false">
      <c r="A1350" s="63"/>
      <c r="B1350" s="63"/>
      <c r="C1350" s="63"/>
      <c r="D1350" s="63"/>
      <c r="E1350" s="63"/>
      <c r="F1350" s="28" t="str">
        <f aca="false">IF(C1350="","",IF(OR(C1350="1. bekkur",C1350="2. bekkur",C1350="3. bekkur",C1350="4. bekkur"),"Já",IF(C1350="Starfsmaður","Nei","Nei")))</f>
        <v/>
      </c>
      <c r="G1350" s="63"/>
      <c r="H1350" s="63"/>
      <c r="I1350" s="63"/>
      <c r="J1350" s="64" t="str">
        <f aca="false">IF(OR(A1350="",B1350=""),"",CONCATENATE("https://matarstund.is/serfaedi?id=",LOWER(SUBSTITUTE(B1350,"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64" t="str">
        <f aca="false">IF(OR(A1351="",B1351=""),"",CONCATENATE("https://matarstund.is/serfaedi?id=",LOWER(SUBSTITUTE(B1351," ","-"))))</f>
        <v/>
      </c>
    </row>
    <row r="1352" customFormat="false" ht="15" hidden="false" customHeight="true" outlineLevel="0" collapsed="false">
      <c r="A1352" s="63"/>
      <c r="B1352" s="63"/>
      <c r="C1352" s="63"/>
      <c r="D1352" s="63"/>
      <c r="E1352" s="63"/>
      <c r="F1352" s="28" t="str">
        <f aca="false">IF(C1352="","",IF(OR(C1352="1. bekkur",C1352="2. bekkur",C1352="3. bekkur",C1352="4. bekkur"),"Já",IF(C1352="Starfsmaður","Nei","Nei")))</f>
        <v/>
      </c>
      <c r="G1352" s="63"/>
      <c r="H1352" s="63"/>
      <c r="I1352" s="63"/>
      <c r="J1352" s="64" t="str">
        <f aca="false">IF(OR(A1352="",B1352=""),"",CONCATENATE("https://matarstund.is/serfaedi?id=",LOWER(SUBSTITUTE(B1352,"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64" t="str">
        <f aca="false">IF(OR(A1353="",B1353=""),"",CONCATENATE("https://matarstund.is/serfaedi?id=",LOWER(SUBSTITUTE(B1353," ","-"))))</f>
        <v/>
      </c>
    </row>
    <row r="1354" customFormat="false" ht="15" hidden="false" customHeight="true" outlineLevel="0" collapsed="false">
      <c r="A1354" s="63"/>
      <c r="B1354" s="63"/>
      <c r="C1354" s="63"/>
      <c r="D1354" s="63"/>
      <c r="E1354" s="63"/>
      <c r="F1354" s="28" t="str">
        <f aca="false">IF(C1354="","",IF(OR(C1354="1. bekkur",C1354="2. bekkur",C1354="3. bekkur",C1354="4. bekkur"),"Já",IF(C1354="Starfsmaður","Nei","Nei")))</f>
        <v/>
      </c>
      <c r="G1354" s="63"/>
      <c r="H1354" s="63"/>
      <c r="I1354" s="63"/>
      <c r="J1354" s="64" t="str">
        <f aca="false">IF(OR(A1354="",B1354=""),"",CONCATENATE("https://matarstund.is/serfaedi?id=",LOWER(SUBSTITUTE(B1354,"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64" t="str">
        <f aca="false">IF(OR(A1355="",B1355=""),"",CONCATENATE("https://matarstund.is/serfaedi?id=",LOWER(SUBSTITUTE(B1355," ","-"))))</f>
        <v/>
      </c>
    </row>
    <row r="1356" customFormat="false" ht="15" hidden="false" customHeight="true" outlineLevel="0" collapsed="false">
      <c r="A1356" s="63"/>
      <c r="B1356" s="63"/>
      <c r="C1356" s="63"/>
      <c r="D1356" s="63"/>
      <c r="E1356" s="63"/>
      <c r="F1356" s="28" t="str">
        <f aca="false">IF(C1356="","",IF(OR(C1356="1. bekkur",C1356="2. bekkur",C1356="3. bekkur",C1356="4. bekkur"),"Já",IF(C1356="Starfsmaður","Nei","Nei")))</f>
        <v/>
      </c>
      <c r="G1356" s="63"/>
      <c r="H1356" s="63"/>
      <c r="I1356" s="63"/>
      <c r="J1356" s="64" t="str">
        <f aca="false">IF(OR(A1356="",B1356=""),"",CONCATENATE("https://matarstund.is/serfaedi?id=",LOWER(SUBSTITUTE(B1356,"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64" t="str">
        <f aca="false">IF(OR(A1357="",B1357=""),"",CONCATENATE("https://matarstund.is/serfaedi?id=",LOWER(SUBSTITUTE(B1357," ","-"))))</f>
        <v/>
      </c>
    </row>
    <row r="1358" customFormat="false" ht="15" hidden="false" customHeight="true" outlineLevel="0" collapsed="false">
      <c r="A1358" s="63"/>
      <c r="B1358" s="63"/>
      <c r="C1358" s="63"/>
      <c r="D1358" s="63"/>
      <c r="E1358" s="63"/>
      <c r="F1358" s="28" t="str">
        <f aca="false">IF(C1358="","",IF(OR(C1358="1. bekkur",C1358="2. bekkur",C1358="3. bekkur",C1358="4. bekkur"),"Já",IF(C1358="Starfsmaður","Nei","Nei")))</f>
        <v/>
      </c>
      <c r="G1358" s="63"/>
      <c r="H1358" s="63"/>
      <c r="I1358" s="63"/>
      <c r="J1358" s="64" t="str">
        <f aca="false">IF(OR(A1358="",B1358=""),"",CONCATENATE("https://matarstund.is/serfaedi?id=",LOWER(SUBSTITUTE(B1358,"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64" t="str">
        <f aca="false">IF(OR(A1359="",B1359=""),"",CONCATENATE("https://matarstund.is/serfaedi?id=",LOWER(SUBSTITUTE(B1359," ","-"))))</f>
        <v/>
      </c>
    </row>
    <row r="1360" customFormat="false" ht="15" hidden="false" customHeight="true" outlineLevel="0" collapsed="false">
      <c r="A1360" s="63"/>
      <c r="B1360" s="63"/>
      <c r="C1360" s="63"/>
      <c r="D1360" s="63"/>
      <c r="E1360" s="63"/>
      <c r="F1360" s="28" t="str">
        <f aca="false">IF(C1360="","",IF(OR(C1360="1. bekkur",C1360="2. bekkur",C1360="3. bekkur",C1360="4. bekkur"),"Já",IF(C1360="Starfsmaður","Nei","Nei")))</f>
        <v/>
      </c>
      <c r="G1360" s="63"/>
      <c r="H1360" s="63"/>
      <c r="I1360" s="63"/>
      <c r="J1360" s="64" t="str">
        <f aca="false">IF(OR(A1360="",B1360=""),"",CONCATENATE("https://matarstund.is/serfaedi?id=",LOWER(SUBSTITUTE(B1360,"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64" t="str">
        <f aca="false">IF(OR(A1361="",B1361=""),"",CONCATENATE("https://matarstund.is/serfaedi?id=",LOWER(SUBSTITUTE(B1361," ","-"))))</f>
        <v/>
      </c>
    </row>
    <row r="1362" customFormat="false" ht="15" hidden="false" customHeight="true" outlineLevel="0" collapsed="false">
      <c r="A1362" s="63"/>
      <c r="B1362" s="63"/>
      <c r="C1362" s="63"/>
      <c r="D1362" s="63"/>
      <c r="E1362" s="63"/>
      <c r="F1362" s="28" t="str">
        <f aca="false">IF(C1362="","",IF(OR(C1362="1. bekkur",C1362="2. bekkur",C1362="3. bekkur",C1362="4. bekkur"),"Já",IF(C1362="Starfsmaður","Nei","Nei")))</f>
        <v/>
      </c>
      <c r="G1362" s="63"/>
      <c r="H1362" s="63"/>
      <c r="I1362" s="63"/>
      <c r="J1362" s="64" t="str">
        <f aca="false">IF(OR(A1362="",B1362=""),"",CONCATENATE("https://matarstund.is/serfaedi?id=",LOWER(SUBSTITUTE(B1362,"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64" t="str">
        <f aca="false">IF(OR(A1363="",B1363=""),"",CONCATENATE("https://matarstund.is/serfaedi?id=",LOWER(SUBSTITUTE(B1363," ","-"))))</f>
        <v/>
      </c>
    </row>
    <row r="1364" customFormat="false" ht="15" hidden="false" customHeight="true" outlineLevel="0" collapsed="false">
      <c r="A1364" s="63"/>
      <c r="B1364" s="63"/>
      <c r="C1364" s="63"/>
      <c r="D1364" s="63"/>
      <c r="E1364" s="63"/>
      <c r="F1364" s="28" t="str">
        <f aca="false">IF(C1364="","",IF(OR(C1364="1. bekkur",C1364="2. bekkur",C1364="3. bekkur",C1364="4. bekkur"),"Já",IF(C1364="Starfsmaður","Nei","Nei")))</f>
        <v/>
      </c>
      <c r="G1364" s="63"/>
      <c r="H1364" s="63"/>
      <c r="I1364" s="63"/>
      <c r="J1364" s="64" t="str">
        <f aca="false">IF(OR(A1364="",B1364=""),"",CONCATENATE("https://matarstund.is/serfaedi?id=",LOWER(SUBSTITUTE(B1364,"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64" t="str">
        <f aca="false">IF(OR(A1365="",B1365=""),"",CONCATENATE("https://matarstund.is/serfaedi?id=",LOWER(SUBSTITUTE(B1365," ","-"))))</f>
        <v/>
      </c>
    </row>
    <row r="1366" customFormat="false" ht="15" hidden="false" customHeight="true" outlineLevel="0" collapsed="false">
      <c r="A1366" s="63"/>
      <c r="B1366" s="63"/>
      <c r="C1366" s="63"/>
      <c r="D1366" s="63"/>
      <c r="E1366" s="63"/>
      <c r="F1366" s="28" t="str">
        <f aca="false">IF(C1366="","",IF(OR(C1366="1. bekkur",C1366="2. bekkur",C1366="3. bekkur",C1366="4. bekkur"),"Já",IF(C1366="Starfsmaður","Nei","Nei")))</f>
        <v/>
      </c>
      <c r="G1366" s="63"/>
      <c r="H1366" s="63"/>
      <c r="I1366" s="63"/>
      <c r="J1366" s="64" t="str">
        <f aca="false">IF(OR(A1366="",B1366=""),"",CONCATENATE("https://matarstund.is/serfaedi?id=",LOWER(SUBSTITUTE(B1366,"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64" t="str">
        <f aca="false">IF(OR(A1367="",B1367=""),"",CONCATENATE("https://matarstund.is/serfaedi?id=",LOWER(SUBSTITUTE(B1367," ","-"))))</f>
        <v/>
      </c>
    </row>
    <row r="1368" customFormat="false" ht="15" hidden="false" customHeight="true" outlineLevel="0" collapsed="false">
      <c r="A1368" s="63"/>
      <c r="B1368" s="63"/>
      <c r="C1368" s="63"/>
      <c r="D1368" s="63"/>
      <c r="E1368" s="63"/>
      <c r="F1368" s="28" t="str">
        <f aca="false">IF(C1368="","",IF(OR(C1368="1. bekkur",C1368="2. bekkur",C1368="3. bekkur",C1368="4. bekkur"),"Já",IF(C1368="Starfsmaður","Nei","Nei")))</f>
        <v/>
      </c>
      <c r="G1368" s="63"/>
      <c r="H1368" s="63"/>
      <c r="I1368" s="63"/>
      <c r="J1368" s="64" t="str">
        <f aca="false">IF(OR(A1368="",B1368=""),"",CONCATENATE("https://matarstund.is/serfaedi?id=",LOWER(SUBSTITUTE(B1368,"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64" t="str">
        <f aca="false">IF(OR(A1369="",B1369=""),"",CONCATENATE("https://matarstund.is/serfaedi?id=",LOWER(SUBSTITUTE(B1369," ","-"))))</f>
        <v/>
      </c>
    </row>
    <row r="1370" customFormat="false" ht="15" hidden="false" customHeight="true" outlineLevel="0" collapsed="false">
      <c r="A1370" s="63"/>
      <c r="B1370" s="63"/>
      <c r="C1370" s="63"/>
      <c r="D1370" s="63"/>
      <c r="E1370" s="63"/>
      <c r="F1370" s="28" t="str">
        <f aca="false">IF(C1370="","",IF(OR(C1370="1. bekkur",C1370="2. bekkur",C1370="3. bekkur",C1370="4. bekkur"),"Já",IF(C1370="Starfsmaður","Nei","Nei")))</f>
        <v/>
      </c>
      <c r="G1370" s="63"/>
      <c r="H1370" s="63"/>
      <c r="I1370" s="63"/>
      <c r="J1370" s="64" t="str">
        <f aca="false">IF(OR(A1370="",B1370=""),"",CONCATENATE("https://matarstund.is/serfaedi?id=",LOWER(SUBSTITUTE(B1370,"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64" t="str">
        <f aca="false">IF(OR(A1371="",B1371=""),"",CONCATENATE("https://matarstund.is/serfaedi?id=",LOWER(SUBSTITUTE(B1371," ","-"))))</f>
        <v/>
      </c>
    </row>
    <row r="1372" customFormat="false" ht="15" hidden="false" customHeight="true" outlineLevel="0" collapsed="false">
      <c r="A1372" s="63"/>
      <c r="B1372" s="63"/>
      <c r="C1372" s="63"/>
      <c r="D1372" s="63"/>
      <c r="E1372" s="63"/>
      <c r="F1372" s="28" t="str">
        <f aca="false">IF(C1372="","",IF(OR(C1372="1. bekkur",C1372="2. bekkur",C1372="3. bekkur",C1372="4. bekkur"),"Já",IF(C1372="Starfsmaður","Nei","Nei")))</f>
        <v/>
      </c>
      <c r="G1372" s="63"/>
      <c r="H1372" s="63"/>
      <c r="I1372" s="63"/>
      <c r="J1372" s="64" t="str">
        <f aca="false">IF(OR(A1372="",B1372=""),"",CONCATENATE("https://matarstund.is/serfaedi?id=",LOWER(SUBSTITUTE(B1372,"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64" t="str">
        <f aca="false">IF(OR(A1373="",B1373=""),"",CONCATENATE("https://matarstund.is/serfaedi?id=",LOWER(SUBSTITUTE(B1373," ","-"))))</f>
        <v/>
      </c>
    </row>
    <row r="1374" customFormat="false" ht="15" hidden="false" customHeight="true" outlineLevel="0" collapsed="false">
      <c r="A1374" s="63"/>
      <c r="B1374" s="63"/>
      <c r="C1374" s="63"/>
      <c r="D1374" s="63"/>
      <c r="E1374" s="63"/>
      <c r="F1374" s="28" t="str">
        <f aca="false">IF(C1374="","",IF(OR(C1374="1. bekkur",C1374="2. bekkur",C1374="3. bekkur",C1374="4. bekkur"),"Já",IF(C1374="Starfsmaður","Nei","Nei")))</f>
        <v/>
      </c>
      <c r="G1374" s="63"/>
      <c r="H1374" s="63"/>
      <c r="I1374" s="63"/>
      <c r="J1374" s="64" t="str">
        <f aca="false">IF(OR(A1374="",B1374=""),"",CONCATENATE("https://matarstund.is/serfaedi?id=",LOWER(SUBSTITUTE(B1374,"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64" t="str">
        <f aca="false">IF(OR(A1375="",B1375=""),"",CONCATENATE("https://matarstund.is/serfaedi?id=",LOWER(SUBSTITUTE(B1375," ","-"))))</f>
        <v/>
      </c>
    </row>
    <row r="1376" customFormat="false" ht="15" hidden="false" customHeight="true" outlineLevel="0" collapsed="false">
      <c r="A1376" s="63"/>
      <c r="B1376" s="63"/>
      <c r="C1376" s="63"/>
      <c r="D1376" s="63"/>
      <c r="E1376" s="63"/>
      <c r="F1376" s="28" t="str">
        <f aca="false">IF(C1376="","",IF(OR(C1376="1. bekkur",C1376="2. bekkur",C1376="3. bekkur",C1376="4. bekkur"),"Já",IF(C1376="Starfsmaður","Nei","Nei")))</f>
        <v/>
      </c>
      <c r="G1376" s="63"/>
      <c r="H1376" s="63"/>
      <c r="I1376" s="63"/>
      <c r="J1376" s="64" t="str">
        <f aca="false">IF(OR(A1376="",B1376=""),"",CONCATENATE("https://matarstund.is/serfaedi?id=",LOWER(SUBSTITUTE(B1376,"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64" t="str">
        <f aca="false">IF(OR(A1377="",B1377=""),"",CONCATENATE("https://matarstund.is/serfaedi?id=",LOWER(SUBSTITUTE(B1377," ","-"))))</f>
        <v/>
      </c>
    </row>
    <row r="1378" customFormat="false" ht="15" hidden="false" customHeight="true" outlineLevel="0" collapsed="false">
      <c r="A1378" s="63"/>
      <c r="B1378" s="63"/>
      <c r="C1378" s="63"/>
      <c r="D1378" s="63"/>
      <c r="E1378" s="63"/>
      <c r="F1378" s="28" t="str">
        <f aca="false">IF(C1378="","",IF(OR(C1378="1. bekkur",C1378="2. bekkur",C1378="3. bekkur",C1378="4. bekkur"),"Já",IF(C1378="Starfsmaður","Nei","Nei")))</f>
        <v/>
      </c>
      <c r="G1378" s="63"/>
      <c r="H1378" s="63"/>
      <c r="I1378" s="63"/>
      <c r="J1378" s="64" t="str">
        <f aca="false">IF(OR(A1378="",B1378=""),"",CONCATENATE("https://matarstund.is/serfaedi?id=",LOWER(SUBSTITUTE(B1378,"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64" t="str">
        <f aca="false">IF(OR(A1379="",B1379=""),"",CONCATENATE("https://matarstund.is/serfaedi?id=",LOWER(SUBSTITUTE(B1379," ","-"))))</f>
        <v/>
      </c>
    </row>
    <row r="1380" customFormat="false" ht="15" hidden="false" customHeight="true" outlineLevel="0" collapsed="false">
      <c r="A1380" s="63"/>
      <c r="B1380" s="63"/>
      <c r="C1380" s="63"/>
      <c r="D1380" s="63"/>
      <c r="E1380" s="63"/>
      <c r="F1380" s="28" t="str">
        <f aca="false">IF(C1380="","",IF(OR(C1380="1. bekkur",C1380="2. bekkur",C1380="3. bekkur",C1380="4. bekkur"),"Já",IF(C1380="Starfsmaður","Nei","Nei")))</f>
        <v/>
      </c>
      <c r="G1380" s="63"/>
      <c r="H1380" s="63"/>
      <c r="I1380" s="63"/>
      <c r="J1380" s="64" t="str">
        <f aca="false">IF(OR(A1380="",B1380=""),"",CONCATENATE("https://matarstund.is/serfaedi?id=",LOWER(SUBSTITUTE(B1380,"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64" t="str">
        <f aca="false">IF(OR(A1381="",B1381=""),"",CONCATENATE("https://matarstund.is/serfaedi?id=",LOWER(SUBSTITUTE(B1381," ","-"))))</f>
        <v/>
      </c>
    </row>
    <row r="1382" customFormat="false" ht="15" hidden="false" customHeight="true" outlineLevel="0" collapsed="false">
      <c r="A1382" s="63"/>
      <c r="B1382" s="63"/>
      <c r="C1382" s="63"/>
      <c r="D1382" s="63"/>
      <c r="E1382" s="63"/>
      <c r="F1382" s="28" t="str">
        <f aca="false">IF(C1382="","",IF(OR(C1382="1. bekkur",C1382="2. bekkur",C1382="3. bekkur",C1382="4. bekkur"),"Já",IF(C1382="Starfsmaður","Nei","Nei")))</f>
        <v/>
      </c>
      <c r="G1382" s="63"/>
      <c r="H1382" s="63"/>
      <c r="I1382" s="63"/>
      <c r="J1382" s="64" t="str">
        <f aca="false">IF(OR(A1382="",B1382=""),"",CONCATENATE("https://matarstund.is/serfaedi?id=",LOWER(SUBSTITUTE(B1382,"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64" t="str">
        <f aca="false">IF(OR(A1383="",B1383=""),"",CONCATENATE("https://matarstund.is/serfaedi?id=",LOWER(SUBSTITUTE(B1383," ","-"))))</f>
        <v/>
      </c>
    </row>
    <row r="1384" customFormat="false" ht="15" hidden="false" customHeight="true" outlineLevel="0" collapsed="false">
      <c r="A1384" s="63"/>
      <c r="B1384" s="63"/>
      <c r="C1384" s="63"/>
      <c r="D1384" s="63"/>
      <c r="E1384" s="63"/>
      <c r="F1384" s="28" t="str">
        <f aca="false">IF(C1384="","",IF(OR(C1384="1. bekkur",C1384="2. bekkur",C1384="3. bekkur",C1384="4. bekkur"),"Já",IF(C1384="Starfsmaður","Nei","Nei")))</f>
        <v/>
      </c>
      <c r="G1384" s="63"/>
      <c r="H1384" s="63"/>
      <c r="I1384" s="63"/>
      <c r="J1384" s="64" t="str">
        <f aca="false">IF(OR(A1384="",B1384=""),"",CONCATENATE("https://matarstund.is/serfaedi?id=",LOWER(SUBSTITUTE(B1384,"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64" t="str">
        <f aca="false">IF(OR(A1385="",B1385=""),"",CONCATENATE("https://matarstund.is/serfaedi?id=",LOWER(SUBSTITUTE(B1385," ","-"))))</f>
        <v/>
      </c>
    </row>
    <row r="1386" customFormat="false" ht="15" hidden="false" customHeight="true" outlineLevel="0" collapsed="false">
      <c r="A1386" s="63"/>
      <c r="B1386" s="63"/>
      <c r="C1386" s="63"/>
      <c r="D1386" s="63"/>
      <c r="E1386" s="63"/>
      <c r="F1386" s="28" t="str">
        <f aca="false">IF(C1386="","",IF(OR(C1386="1. bekkur",C1386="2. bekkur",C1386="3. bekkur",C1386="4. bekkur"),"Já",IF(C1386="Starfsmaður","Nei","Nei")))</f>
        <v/>
      </c>
      <c r="G1386" s="63"/>
      <c r="H1386" s="63"/>
      <c r="I1386" s="63"/>
      <c r="J1386" s="64" t="str">
        <f aca="false">IF(OR(A1386="",B1386=""),"",CONCATENATE("https://matarstund.is/serfaedi?id=",LOWER(SUBSTITUTE(B1386,"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64" t="str">
        <f aca="false">IF(OR(A1387="",B1387=""),"",CONCATENATE("https://matarstund.is/serfaedi?id=",LOWER(SUBSTITUTE(B1387," ","-"))))</f>
        <v/>
      </c>
    </row>
    <row r="1388" customFormat="false" ht="15" hidden="false" customHeight="true" outlineLevel="0" collapsed="false">
      <c r="A1388" s="63"/>
      <c r="B1388" s="63"/>
      <c r="C1388" s="63"/>
      <c r="D1388" s="63"/>
      <c r="E1388" s="63"/>
      <c r="F1388" s="28" t="str">
        <f aca="false">IF(C1388="","",IF(OR(C1388="1. bekkur",C1388="2. bekkur",C1388="3. bekkur",C1388="4. bekkur"),"Já",IF(C1388="Starfsmaður","Nei","Nei")))</f>
        <v/>
      </c>
      <c r="G1388" s="63"/>
      <c r="H1388" s="63"/>
      <c r="I1388" s="63"/>
      <c r="J1388" s="64" t="str">
        <f aca="false">IF(OR(A1388="",B1388=""),"",CONCATENATE("https://matarstund.is/serfaedi?id=",LOWER(SUBSTITUTE(B1388,"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64" t="str">
        <f aca="false">IF(OR(A1389="",B1389=""),"",CONCATENATE("https://matarstund.is/serfaedi?id=",LOWER(SUBSTITUTE(B1389," ","-"))))</f>
        <v/>
      </c>
    </row>
    <row r="1390" customFormat="false" ht="15" hidden="false" customHeight="true" outlineLevel="0" collapsed="false">
      <c r="A1390" s="63"/>
      <c r="B1390" s="63"/>
      <c r="C1390" s="63"/>
      <c r="D1390" s="63"/>
      <c r="E1390" s="63"/>
      <c r="F1390" s="28" t="str">
        <f aca="false">IF(C1390="","",IF(OR(C1390="1. bekkur",C1390="2. bekkur",C1390="3. bekkur",C1390="4. bekkur"),"Já",IF(C1390="Starfsmaður","Nei","Nei")))</f>
        <v/>
      </c>
      <c r="G1390" s="63"/>
      <c r="H1390" s="63"/>
      <c r="I1390" s="63"/>
      <c r="J1390" s="64" t="str">
        <f aca="false">IF(OR(A1390="",B1390=""),"",CONCATENATE("https://matarstund.is/serfaedi?id=",LOWER(SUBSTITUTE(B1390,"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64" t="str">
        <f aca="false">IF(OR(A1391="",B1391=""),"",CONCATENATE("https://matarstund.is/serfaedi?id=",LOWER(SUBSTITUTE(B1391," ","-"))))</f>
        <v/>
      </c>
    </row>
    <row r="1392" customFormat="false" ht="15" hidden="false" customHeight="true" outlineLevel="0" collapsed="false">
      <c r="A1392" s="63"/>
      <c r="B1392" s="63"/>
      <c r="C1392" s="63"/>
      <c r="D1392" s="63"/>
      <c r="E1392" s="63"/>
      <c r="F1392" s="28" t="str">
        <f aca="false">IF(C1392="","",IF(OR(C1392="1. bekkur",C1392="2. bekkur",C1392="3. bekkur",C1392="4. bekkur"),"Já",IF(C1392="Starfsmaður","Nei","Nei")))</f>
        <v/>
      </c>
      <c r="G1392" s="63"/>
      <c r="H1392" s="63"/>
      <c r="I1392" s="63"/>
      <c r="J1392" s="64" t="str">
        <f aca="false">IF(OR(A1392="",B1392=""),"",CONCATENATE("https://matarstund.is/serfaedi?id=",LOWER(SUBSTITUTE(B1392,"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64" t="str">
        <f aca="false">IF(OR(A1393="",B1393=""),"",CONCATENATE("https://matarstund.is/serfaedi?id=",LOWER(SUBSTITUTE(B1393," ","-"))))</f>
        <v/>
      </c>
    </row>
    <row r="1394" customFormat="false" ht="15" hidden="false" customHeight="true" outlineLevel="0" collapsed="false">
      <c r="A1394" s="63"/>
      <c r="B1394" s="63"/>
      <c r="C1394" s="63"/>
      <c r="D1394" s="63"/>
      <c r="E1394" s="63"/>
      <c r="F1394" s="28" t="str">
        <f aca="false">IF(C1394="","",IF(OR(C1394="1. bekkur",C1394="2. bekkur",C1394="3. bekkur",C1394="4. bekkur"),"Já",IF(C1394="Starfsmaður","Nei","Nei")))</f>
        <v/>
      </c>
      <c r="G1394" s="63"/>
      <c r="H1394" s="63"/>
      <c r="I1394" s="63"/>
      <c r="J1394" s="64" t="str">
        <f aca="false">IF(OR(A1394="",B1394=""),"",CONCATENATE("https://matarstund.is/serfaedi?id=",LOWER(SUBSTITUTE(B1394,"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64" t="str">
        <f aca="false">IF(OR(A1395="",B1395=""),"",CONCATENATE("https://matarstund.is/serfaedi?id=",LOWER(SUBSTITUTE(B1395," ","-"))))</f>
        <v/>
      </c>
    </row>
    <row r="1396" customFormat="false" ht="15" hidden="false" customHeight="true" outlineLevel="0" collapsed="false">
      <c r="A1396" s="63"/>
      <c r="B1396" s="63"/>
      <c r="C1396" s="63"/>
      <c r="D1396" s="63"/>
      <c r="E1396" s="63"/>
      <c r="F1396" s="28" t="str">
        <f aca="false">IF(C1396="","",IF(OR(C1396="1. bekkur",C1396="2. bekkur",C1396="3. bekkur",C1396="4. bekkur"),"Já",IF(C1396="Starfsmaður","Nei","Nei")))</f>
        <v/>
      </c>
      <c r="G1396" s="63"/>
      <c r="H1396" s="63"/>
      <c r="I1396" s="63"/>
      <c r="J1396" s="64" t="str">
        <f aca="false">IF(OR(A1396="",B1396=""),"",CONCATENATE("https://matarstund.is/serfaedi?id=",LOWER(SUBSTITUTE(B1396,"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64" t="str">
        <f aca="false">IF(OR(A1397="",B1397=""),"",CONCATENATE("https://matarstund.is/serfaedi?id=",LOWER(SUBSTITUTE(B1397," ","-"))))</f>
        <v/>
      </c>
    </row>
    <row r="1398" customFormat="false" ht="15" hidden="false" customHeight="true" outlineLevel="0" collapsed="false">
      <c r="A1398" s="63"/>
      <c r="B1398" s="63"/>
      <c r="C1398" s="63"/>
      <c r="D1398" s="63"/>
      <c r="E1398" s="63"/>
      <c r="F1398" s="28" t="str">
        <f aca="false">IF(C1398="","",IF(OR(C1398="1. bekkur",C1398="2. bekkur",C1398="3. bekkur",C1398="4. bekkur"),"Já",IF(C1398="Starfsmaður","Nei","Nei")))</f>
        <v/>
      </c>
      <c r="G1398" s="63"/>
      <c r="H1398" s="63"/>
      <c r="I1398" s="63"/>
      <c r="J1398" s="64" t="str">
        <f aca="false">IF(OR(A1398="",B1398=""),"",CONCATENATE("https://matarstund.is/serfaedi?id=",LOWER(SUBSTITUTE(B1398,"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64" t="str">
        <f aca="false">IF(OR(A1399="",B1399=""),"",CONCATENATE("https://matarstund.is/serfaedi?id=",LOWER(SUBSTITUTE(B1399," ","-"))))</f>
        <v/>
      </c>
    </row>
    <row r="1400" customFormat="false" ht="15" hidden="false" customHeight="true" outlineLevel="0" collapsed="false">
      <c r="A1400" s="63"/>
      <c r="B1400" s="63"/>
      <c r="C1400" s="63"/>
      <c r="D1400" s="63"/>
      <c r="E1400" s="63"/>
      <c r="F1400" s="28" t="str">
        <f aca="false">IF(C1400="","",IF(OR(C1400="1. bekkur",C1400="2. bekkur",C1400="3. bekkur",C1400="4. bekkur"),"Já",IF(C1400="Starfsmaður","Nei","Nei")))</f>
        <v/>
      </c>
      <c r="G1400" s="63"/>
      <c r="H1400" s="63"/>
      <c r="I1400" s="63"/>
      <c r="J1400" s="64" t="str">
        <f aca="false">IF(OR(A1400="",B1400=""),"",CONCATENATE("https://matarstund.is/serfaedi?id=",LOWER(SUBSTITUTE(B1400,"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64" t="str">
        <f aca="false">IF(OR(A1401="",B1401=""),"",CONCATENATE("https://matarstund.is/serfaedi?id=",LOWER(SUBSTITUTE(B1401," ","-"))))</f>
        <v/>
      </c>
    </row>
    <row r="1402" customFormat="false" ht="15" hidden="false" customHeight="true" outlineLevel="0" collapsed="false">
      <c r="A1402" s="63"/>
      <c r="B1402" s="63"/>
      <c r="C1402" s="63"/>
      <c r="D1402" s="63"/>
      <c r="E1402" s="63"/>
      <c r="F1402" s="28" t="str">
        <f aca="false">IF(C1402="","",IF(OR(C1402="1. bekkur",C1402="2. bekkur",C1402="3. bekkur",C1402="4. bekkur"),"Já",IF(C1402="Starfsmaður","Nei","Nei")))</f>
        <v/>
      </c>
      <c r="G1402" s="63"/>
      <c r="H1402" s="63"/>
      <c r="I1402" s="63"/>
      <c r="J1402" s="64" t="str">
        <f aca="false">IF(OR(A1402="",B1402=""),"",CONCATENATE("https://matarstund.is/serfaedi?id=",LOWER(SUBSTITUTE(B1402,"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64" t="str">
        <f aca="false">IF(OR(A1403="",B1403=""),"",CONCATENATE("https://matarstund.is/serfaedi?id=",LOWER(SUBSTITUTE(B1403," ","-"))))</f>
        <v/>
      </c>
    </row>
    <row r="1404" customFormat="false" ht="15" hidden="false" customHeight="true" outlineLevel="0" collapsed="false">
      <c r="A1404" s="63"/>
      <c r="B1404" s="63"/>
      <c r="C1404" s="63"/>
      <c r="D1404" s="63"/>
      <c r="E1404" s="63"/>
      <c r="F1404" s="28" t="str">
        <f aca="false">IF(C1404="","",IF(OR(C1404="1. bekkur",C1404="2. bekkur",C1404="3. bekkur",C1404="4. bekkur"),"Já",IF(C1404="Starfsmaður","Nei","Nei")))</f>
        <v/>
      </c>
      <c r="G1404" s="63"/>
      <c r="H1404" s="63"/>
      <c r="I1404" s="63"/>
      <c r="J1404" s="64" t="str">
        <f aca="false">IF(OR(A1404="",B1404=""),"",CONCATENATE("https://matarstund.is/serfaedi?id=",LOWER(SUBSTITUTE(B1404,"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64" t="str">
        <f aca="false">IF(OR(A1405="",B1405=""),"",CONCATENATE("https://matarstund.is/serfaedi?id=",LOWER(SUBSTITUTE(B1405," ","-"))))</f>
        <v/>
      </c>
    </row>
    <row r="1406" customFormat="false" ht="15" hidden="false" customHeight="true" outlineLevel="0" collapsed="false">
      <c r="A1406" s="63"/>
      <c r="B1406" s="63"/>
      <c r="C1406" s="63"/>
      <c r="D1406" s="63"/>
      <c r="E1406" s="63"/>
      <c r="F1406" s="28" t="str">
        <f aca="false">IF(C1406="","",IF(OR(C1406="1. bekkur",C1406="2. bekkur",C1406="3. bekkur",C1406="4. bekkur"),"Já",IF(C1406="Starfsmaður","Nei","Nei")))</f>
        <v/>
      </c>
      <c r="G1406" s="63"/>
      <c r="H1406" s="63"/>
      <c r="I1406" s="63"/>
      <c r="J1406" s="64" t="str">
        <f aca="false">IF(OR(A1406="",B1406=""),"",CONCATENATE("https://matarstund.is/serfaedi?id=",LOWER(SUBSTITUTE(B1406,"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64" t="str">
        <f aca="false">IF(OR(A1407="",B1407=""),"",CONCATENATE("https://matarstund.is/serfaedi?id=",LOWER(SUBSTITUTE(B1407," ","-"))))</f>
        <v/>
      </c>
    </row>
    <row r="1408" customFormat="false" ht="15" hidden="false" customHeight="true" outlineLevel="0" collapsed="false">
      <c r="A1408" s="63"/>
      <c r="B1408" s="63"/>
      <c r="C1408" s="63"/>
      <c r="D1408" s="63"/>
      <c r="E1408" s="63"/>
      <c r="F1408" s="28" t="str">
        <f aca="false">IF(C1408="","",IF(OR(C1408="1. bekkur",C1408="2. bekkur",C1408="3. bekkur",C1408="4. bekkur"),"Já",IF(C1408="Starfsmaður","Nei","Nei")))</f>
        <v/>
      </c>
      <c r="G1408" s="63"/>
      <c r="H1408" s="63"/>
      <c r="I1408" s="63"/>
      <c r="J1408" s="64" t="str">
        <f aca="false">IF(OR(A1408="",B1408=""),"",CONCATENATE("https://matarstund.is/serfaedi?id=",LOWER(SUBSTITUTE(B1408,"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64" t="str">
        <f aca="false">IF(OR(A1409="",B1409=""),"",CONCATENATE("https://matarstund.is/serfaedi?id=",LOWER(SUBSTITUTE(B1409," ","-"))))</f>
        <v/>
      </c>
    </row>
    <row r="1410" customFormat="false" ht="15" hidden="false" customHeight="true" outlineLevel="0" collapsed="false">
      <c r="A1410" s="63"/>
      <c r="B1410" s="63"/>
      <c r="C1410" s="63"/>
      <c r="D1410" s="63"/>
      <c r="E1410" s="63"/>
      <c r="F1410" s="28" t="str">
        <f aca="false">IF(C1410="","",IF(OR(C1410="1. bekkur",C1410="2. bekkur",C1410="3. bekkur",C1410="4. bekkur"),"Já",IF(C1410="Starfsmaður","Nei","Nei")))</f>
        <v/>
      </c>
      <c r="G1410" s="63"/>
      <c r="H1410" s="63"/>
      <c r="I1410" s="63"/>
      <c r="J1410" s="64" t="str">
        <f aca="false">IF(OR(A1410="",B1410=""),"",CONCATENATE("https://matarstund.is/serfaedi?id=",LOWER(SUBSTITUTE(B1410,"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64" t="str">
        <f aca="false">IF(OR(A1411="",B1411=""),"",CONCATENATE("https://matarstund.is/serfaedi?id=",LOWER(SUBSTITUTE(B1411," ","-"))))</f>
        <v/>
      </c>
    </row>
    <row r="1412" customFormat="false" ht="15" hidden="false" customHeight="true" outlineLevel="0" collapsed="false">
      <c r="A1412" s="63"/>
      <c r="B1412" s="63"/>
      <c r="C1412" s="63"/>
      <c r="D1412" s="63"/>
      <c r="E1412" s="63"/>
      <c r="F1412" s="28" t="str">
        <f aca="false">IF(C1412="","",IF(OR(C1412="1. bekkur",C1412="2. bekkur",C1412="3. bekkur",C1412="4. bekkur"),"Já",IF(C1412="Starfsmaður","Nei","Nei")))</f>
        <v/>
      </c>
      <c r="G1412" s="63"/>
      <c r="H1412" s="63"/>
      <c r="I1412" s="63"/>
      <c r="J1412" s="64" t="str">
        <f aca="false">IF(OR(A1412="",B1412=""),"",CONCATENATE("https://matarstund.is/serfaedi?id=",LOWER(SUBSTITUTE(B1412,"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64" t="str">
        <f aca="false">IF(OR(A1413="",B1413=""),"",CONCATENATE("https://matarstund.is/serfaedi?id=",LOWER(SUBSTITUTE(B1413," ","-"))))</f>
        <v/>
      </c>
    </row>
    <row r="1414" customFormat="false" ht="15" hidden="false" customHeight="true" outlineLevel="0" collapsed="false">
      <c r="A1414" s="63"/>
      <c r="B1414" s="63"/>
      <c r="C1414" s="63"/>
      <c r="D1414" s="63"/>
      <c r="E1414" s="63"/>
      <c r="F1414" s="28" t="str">
        <f aca="false">IF(C1414="","",IF(OR(C1414="1. bekkur",C1414="2. bekkur",C1414="3. bekkur",C1414="4. bekkur"),"Já",IF(C1414="Starfsmaður","Nei","Nei")))</f>
        <v/>
      </c>
      <c r="G1414" s="63"/>
      <c r="H1414" s="63"/>
      <c r="I1414" s="63"/>
      <c r="J1414" s="64" t="str">
        <f aca="false">IF(OR(A1414="",B1414=""),"",CONCATENATE("https://matarstund.is/serfaedi?id=",LOWER(SUBSTITUTE(B1414,"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64" t="str">
        <f aca="false">IF(OR(A1415="",B1415=""),"",CONCATENATE("https://matarstund.is/serfaedi?id=",LOWER(SUBSTITUTE(B1415," ","-"))))</f>
        <v/>
      </c>
    </row>
    <row r="1416" customFormat="false" ht="15" hidden="false" customHeight="true" outlineLevel="0" collapsed="false">
      <c r="A1416" s="63"/>
      <c r="B1416" s="63"/>
      <c r="C1416" s="63"/>
      <c r="D1416" s="63"/>
      <c r="E1416" s="63"/>
      <c r="F1416" s="28" t="str">
        <f aca="false">IF(C1416="","",IF(OR(C1416="1. bekkur",C1416="2. bekkur",C1416="3. bekkur",C1416="4. bekkur"),"Já",IF(C1416="Starfsmaður","Nei","Nei")))</f>
        <v/>
      </c>
      <c r="G1416" s="63"/>
      <c r="H1416" s="63"/>
      <c r="I1416" s="63"/>
      <c r="J1416" s="64" t="str">
        <f aca="false">IF(OR(A1416="",B1416=""),"",CONCATENATE("https://matarstund.is/serfaedi?id=",LOWER(SUBSTITUTE(B1416,"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64" t="str">
        <f aca="false">IF(OR(A1417="",B1417=""),"",CONCATENATE("https://matarstund.is/serfaedi?id=",LOWER(SUBSTITUTE(B1417," ","-"))))</f>
        <v/>
      </c>
    </row>
    <row r="1418" customFormat="false" ht="15" hidden="false" customHeight="true" outlineLevel="0" collapsed="false">
      <c r="A1418" s="63"/>
      <c r="B1418" s="63"/>
      <c r="C1418" s="63"/>
      <c r="D1418" s="63"/>
      <c r="E1418" s="63"/>
      <c r="F1418" s="28" t="str">
        <f aca="false">IF(C1418="","",IF(OR(C1418="1. bekkur",C1418="2. bekkur",C1418="3. bekkur",C1418="4. bekkur"),"Já",IF(C1418="Starfsmaður","Nei","Nei")))</f>
        <v/>
      </c>
      <c r="G1418" s="63"/>
      <c r="H1418" s="63"/>
      <c r="I1418" s="63"/>
      <c r="J1418" s="64" t="str">
        <f aca="false">IF(OR(A1418="",B1418=""),"",CONCATENATE("https://matarstund.is/serfaedi?id=",LOWER(SUBSTITUTE(B1418,"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64" t="str">
        <f aca="false">IF(OR(A1419="",B1419=""),"",CONCATENATE("https://matarstund.is/serfaedi?id=",LOWER(SUBSTITUTE(B1419," ","-"))))</f>
        <v/>
      </c>
    </row>
    <row r="1420" customFormat="false" ht="15" hidden="false" customHeight="true" outlineLevel="0" collapsed="false">
      <c r="A1420" s="63"/>
      <c r="B1420" s="63"/>
      <c r="C1420" s="63"/>
      <c r="D1420" s="63"/>
      <c r="E1420" s="63"/>
      <c r="F1420" s="28" t="str">
        <f aca="false">IF(C1420="","",IF(OR(C1420="1. bekkur",C1420="2. bekkur",C1420="3. bekkur",C1420="4. bekkur"),"Já",IF(C1420="Starfsmaður","Nei","Nei")))</f>
        <v/>
      </c>
      <c r="G1420" s="63"/>
      <c r="H1420" s="63"/>
      <c r="I1420" s="63"/>
      <c r="J1420" s="64" t="str">
        <f aca="false">IF(OR(A1420="",B1420=""),"",CONCATENATE("https://matarstund.is/serfaedi?id=",LOWER(SUBSTITUTE(B1420,"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64" t="str">
        <f aca="false">IF(OR(A1421="",B1421=""),"",CONCATENATE("https://matarstund.is/serfaedi?id=",LOWER(SUBSTITUTE(B1421," ","-"))))</f>
        <v/>
      </c>
    </row>
    <row r="1422" customFormat="false" ht="15" hidden="false" customHeight="true" outlineLevel="0" collapsed="false">
      <c r="A1422" s="63"/>
      <c r="B1422" s="63"/>
      <c r="C1422" s="63"/>
      <c r="D1422" s="63"/>
      <c r="E1422" s="63"/>
      <c r="F1422" s="28" t="str">
        <f aca="false">IF(C1422="","",IF(OR(C1422="1. bekkur",C1422="2. bekkur",C1422="3. bekkur",C1422="4. bekkur"),"Já",IF(C1422="Starfsmaður","Nei","Nei")))</f>
        <v/>
      </c>
      <c r="G1422" s="63"/>
      <c r="H1422" s="63"/>
      <c r="I1422" s="63"/>
      <c r="J1422" s="64" t="str">
        <f aca="false">IF(OR(A1422="",B1422=""),"",CONCATENATE("https://matarstund.is/serfaedi?id=",LOWER(SUBSTITUTE(B1422,"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64" t="str">
        <f aca="false">IF(OR(A1423="",B1423=""),"",CONCATENATE("https://matarstund.is/serfaedi?id=",LOWER(SUBSTITUTE(B1423," ","-"))))</f>
        <v/>
      </c>
    </row>
    <row r="1424" customFormat="false" ht="15" hidden="false" customHeight="true" outlineLevel="0" collapsed="false">
      <c r="A1424" s="63"/>
      <c r="B1424" s="63"/>
      <c r="C1424" s="63"/>
      <c r="D1424" s="63"/>
      <c r="E1424" s="63"/>
      <c r="F1424" s="28" t="str">
        <f aca="false">IF(C1424="","",IF(OR(C1424="1. bekkur",C1424="2. bekkur",C1424="3. bekkur",C1424="4. bekkur"),"Já",IF(C1424="Starfsmaður","Nei","Nei")))</f>
        <v/>
      </c>
      <c r="G1424" s="63"/>
      <c r="H1424" s="63"/>
      <c r="I1424" s="63"/>
      <c r="J1424" s="64" t="str">
        <f aca="false">IF(OR(A1424="",B1424=""),"",CONCATENATE("https://matarstund.is/serfaedi?id=",LOWER(SUBSTITUTE(B1424,"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64" t="str">
        <f aca="false">IF(OR(A1425="",B1425=""),"",CONCATENATE("https://matarstund.is/serfaedi?id=",LOWER(SUBSTITUTE(B1425," ","-"))))</f>
        <v/>
      </c>
    </row>
    <row r="1426" customFormat="false" ht="15" hidden="false" customHeight="true" outlineLevel="0" collapsed="false">
      <c r="A1426" s="63"/>
      <c r="B1426" s="63"/>
      <c r="C1426" s="63"/>
      <c r="D1426" s="63"/>
      <c r="E1426" s="63"/>
      <c r="F1426" s="28" t="str">
        <f aca="false">IF(C1426="","",IF(OR(C1426="1. bekkur",C1426="2. bekkur",C1426="3. bekkur",C1426="4. bekkur"),"Já",IF(C1426="Starfsmaður","Nei","Nei")))</f>
        <v/>
      </c>
      <c r="G1426" s="63"/>
      <c r="H1426" s="63"/>
      <c r="I1426" s="63"/>
      <c r="J1426" s="64" t="str">
        <f aca="false">IF(OR(A1426="",B1426=""),"",CONCATENATE("https://matarstund.is/serfaedi?id=",LOWER(SUBSTITUTE(B1426,"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64" t="str">
        <f aca="false">IF(OR(A1427="",B1427=""),"",CONCATENATE("https://matarstund.is/serfaedi?id=",LOWER(SUBSTITUTE(B1427," ","-"))))</f>
        <v/>
      </c>
    </row>
    <row r="1428" customFormat="false" ht="15" hidden="false" customHeight="true" outlineLevel="0" collapsed="false">
      <c r="A1428" s="63"/>
      <c r="B1428" s="63"/>
      <c r="C1428" s="63"/>
      <c r="D1428" s="63"/>
      <c r="E1428" s="63"/>
      <c r="F1428" s="28" t="str">
        <f aca="false">IF(C1428="","",IF(OR(C1428="1. bekkur",C1428="2. bekkur",C1428="3. bekkur",C1428="4. bekkur"),"Já",IF(C1428="Starfsmaður","Nei","Nei")))</f>
        <v/>
      </c>
      <c r="G1428" s="63"/>
      <c r="H1428" s="63"/>
      <c r="I1428" s="63"/>
      <c r="J1428" s="64" t="str">
        <f aca="false">IF(OR(A1428="",B1428=""),"",CONCATENATE("https://matarstund.is/serfaedi?id=",LOWER(SUBSTITUTE(B1428,"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64" t="str">
        <f aca="false">IF(OR(A1429="",B1429=""),"",CONCATENATE("https://matarstund.is/serfaedi?id=",LOWER(SUBSTITUTE(B1429," ","-"))))</f>
        <v/>
      </c>
    </row>
    <row r="1430" customFormat="false" ht="15" hidden="false" customHeight="true" outlineLevel="0" collapsed="false">
      <c r="A1430" s="63"/>
      <c r="B1430" s="63"/>
      <c r="C1430" s="63"/>
      <c r="D1430" s="63"/>
      <c r="E1430" s="63"/>
      <c r="F1430" s="28" t="str">
        <f aca="false">IF(C1430="","",IF(OR(C1430="1. bekkur",C1430="2. bekkur",C1430="3. bekkur",C1430="4. bekkur"),"Já",IF(C1430="Starfsmaður","Nei","Nei")))</f>
        <v/>
      </c>
      <c r="G1430" s="63"/>
      <c r="H1430" s="63"/>
      <c r="I1430" s="63"/>
      <c r="J1430" s="64" t="str">
        <f aca="false">IF(OR(A1430="",B1430=""),"",CONCATENATE("https://matarstund.is/serfaedi?id=",LOWER(SUBSTITUTE(B1430,"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64" t="str">
        <f aca="false">IF(OR(A1431="",B1431=""),"",CONCATENATE("https://matarstund.is/serfaedi?id=",LOWER(SUBSTITUTE(B1431," ","-"))))</f>
        <v/>
      </c>
    </row>
    <row r="1432" customFormat="false" ht="15" hidden="false" customHeight="true" outlineLevel="0" collapsed="false">
      <c r="A1432" s="63"/>
      <c r="B1432" s="63"/>
      <c r="C1432" s="63"/>
      <c r="D1432" s="63"/>
      <c r="E1432" s="63"/>
      <c r="F1432" s="28" t="str">
        <f aca="false">IF(C1432="","",IF(OR(C1432="1. bekkur",C1432="2. bekkur",C1432="3. bekkur",C1432="4. bekkur"),"Já",IF(C1432="Starfsmaður","Nei","Nei")))</f>
        <v/>
      </c>
      <c r="G1432" s="63"/>
      <c r="H1432" s="63"/>
      <c r="I1432" s="63"/>
      <c r="J1432" s="64" t="str">
        <f aca="false">IF(OR(A1432="",B1432=""),"",CONCATENATE("https://matarstund.is/serfaedi?id=",LOWER(SUBSTITUTE(B1432,"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64" t="str">
        <f aca="false">IF(OR(A1433="",B1433=""),"",CONCATENATE("https://matarstund.is/serfaedi?id=",LOWER(SUBSTITUTE(B1433," ","-"))))</f>
        <v/>
      </c>
    </row>
    <row r="1434" customFormat="false" ht="15" hidden="false" customHeight="true" outlineLevel="0" collapsed="false">
      <c r="A1434" s="63"/>
      <c r="B1434" s="63"/>
      <c r="C1434" s="63"/>
      <c r="D1434" s="63"/>
      <c r="E1434" s="63"/>
      <c r="F1434" s="28" t="str">
        <f aca="false">IF(C1434="","",IF(OR(C1434="1. bekkur",C1434="2. bekkur",C1434="3. bekkur",C1434="4. bekkur"),"Já",IF(C1434="Starfsmaður","Nei","Nei")))</f>
        <v/>
      </c>
      <c r="G1434" s="63"/>
      <c r="H1434" s="63"/>
      <c r="I1434" s="63"/>
      <c r="J1434" s="64" t="str">
        <f aca="false">IF(OR(A1434="",B1434=""),"",CONCATENATE("https://matarstund.is/serfaedi?id=",LOWER(SUBSTITUTE(B1434,"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64" t="str">
        <f aca="false">IF(OR(A1435="",B1435=""),"",CONCATENATE("https://matarstund.is/serfaedi?id=",LOWER(SUBSTITUTE(B1435," ","-"))))</f>
        <v/>
      </c>
    </row>
    <row r="1436" customFormat="false" ht="15" hidden="false" customHeight="true" outlineLevel="0" collapsed="false">
      <c r="A1436" s="63"/>
      <c r="B1436" s="63"/>
      <c r="C1436" s="63"/>
      <c r="D1436" s="63"/>
      <c r="E1436" s="63"/>
      <c r="F1436" s="28" t="str">
        <f aca="false">IF(C1436="","",IF(OR(C1436="1. bekkur",C1436="2. bekkur",C1436="3. bekkur",C1436="4. bekkur"),"Já",IF(C1436="Starfsmaður","Nei","Nei")))</f>
        <v/>
      </c>
      <c r="G1436" s="63"/>
      <c r="H1436" s="63"/>
      <c r="I1436" s="63"/>
      <c r="J1436" s="64" t="str">
        <f aca="false">IF(OR(A1436="",B1436=""),"",CONCATENATE("https://matarstund.is/serfaedi?id=",LOWER(SUBSTITUTE(B1436,"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64" t="str">
        <f aca="false">IF(OR(A1437="",B1437=""),"",CONCATENATE("https://matarstund.is/serfaedi?id=",LOWER(SUBSTITUTE(B1437," ","-"))))</f>
        <v/>
      </c>
    </row>
    <row r="1438" customFormat="false" ht="15" hidden="false" customHeight="true" outlineLevel="0" collapsed="false">
      <c r="A1438" s="63"/>
      <c r="B1438" s="63"/>
      <c r="C1438" s="63"/>
      <c r="D1438" s="63"/>
      <c r="E1438" s="63"/>
      <c r="F1438" s="28" t="str">
        <f aca="false">IF(C1438="","",IF(OR(C1438="1. bekkur",C1438="2. bekkur",C1438="3. bekkur",C1438="4. bekkur"),"Já",IF(C1438="Starfsmaður","Nei","Nei")))</f>
        <v/>
      </c>
      <c r="G1438" s="63"/>
      <c r="H1438" s="63"/>
      <c r="I1438" s="63"/>
      <c r="J1438" s="64" t="str">
        <f aca="false">IF(OR(A1438="",B1438=""),"",CONCATENATE("https://matarstund.is/serfaedi?id=",LOWER(SUBSTITUTE(B1438,"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64" t="str">
        <f aca="false">IF(OR(A1439="",B1439=""),"",CONCATENATE("https://matarstund.is/serfaedi?id=",LOWER(SUBSTITUTE(B1439," ","-"))))</f>
        <v/>
      </c>
    </row>
    <row r="1440" customFormat="false" ht="15" hidden="false" customHeight="true" outlineLevel="0" collapsed="false">
      <c r="A1440" s="63"/>
      <c r="B1440" s="63"/>
      <c r="C1440" s="63"/>
      <c r="D1440" s="63"/>
      <c r="E1440" s="63"/>
      <c r="F1440" s="28" t="str">
        <f aca="false">IF(C1440="","",IF(OR(C1440="1. bekkur",C1440="2. bekkur",C1440="3. bekkur",C1440="4. bekkur"),"Já",IF(C1440="Starfsmaður","Nei","Nei")))</f>
        <v/>
      </c>
      <c r="G1440" s="63"/>
      <c r="H1440" s="63"/>
      <c r="I1440" s="63"/>
      <c r="J1440" s="64" t="str">
        <f aca="false">IF(OR(A1440="",B1440=""),"",CONCATENATE("https://matarstund.is/serfaedi?id=",LOWER(SUBSTITUTE(B1440,"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64" t="str">
        <f aca="false">IF(OR(A1441="",B1441=""),"",CONCATENATE("https://matarstund.is/serfaedi?id=",LOWER(SUBSTITUTE(B1441," ","-"))))</f>
        <v/>
      </c>
    </row>
    <row r="1442" customFormat="false" ht="15" hidden="false" customHeight="true" outlineLevel="0" collapsed="false">
      <c r="A1442" s="63"/>
      <c r="B1442" s="63"/>
      <c r="C1442" s="63"/>
      <c r="D1442" s="63"/>
      <c r="E1442" s="63"/>
      <c r="F1442" s="28" t="str">
        <f aca="false">IF(C1442="","",IF(OR(C1442="1. bekkur",C1442="2. bekkur",C1442="3. bekkur",C1442="4. bekkur"),"Já",IF(C1442="Starfsmaður","Nei","Nei")))</f>
        <v/>
      </c>
      <c r="G1442" s="63"/>
      <c r="H1442" s="63"/>
      <c r="I1442" s="63"/>
      <c r="J1442" s="64" t="str">
        <f aca="false">IF(OR(A1442="",B1442=""),"",CONCATENATE("https://matarstund.is/serfaedi?id=",LOWER(SUBSTITUTE(B1442,"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64" t="str">
        <f aca="false">IF(OR(A1443="",B1443=""),"",CONCATENATE("https://matarstund.is/serfaedi?id=",LOWER(SUBSTITUTE(B1443," ","-"))))</f>
        <v/>
      </c>
    </row>
    <row r="1444" customFormat="false" ht="15" hidden="false" customHeight="true" outlineLevel="0" collapsed="false">
      <c r="A1444" s="63"/>
      <c r="B1444" s="63"/>
      <c r="C1444" s="63"/>
      <c r="D1444" s="63"/>
      <c r="E1444" s="63"/>
      <c r="F1444" s="28" t="str">
        <f aca="false">IF(C1444="","",IF(OR(C1444="1. bekkur",C1444="2. bekkur",C1444="3. bekkur",C1444="4. bekkur"),"Já",IF(C1444="Starfsmaður","Nei","Nei")))</f>
        <v/>
      </c>
      <c r="G1444" s="63"/>
      <c r="H1444" s="63"/>
      <c r="I1444" s="63"/>
      <c r="J1444" s="64" t="str">
        <f aca="false">IF(OR(A1444="",B1444=""),"",CONCATENATE("https://matarstund.is/serfaedi?id=",LOWER(SUBSTITUTE(B1444,"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64" t="str">
        <f aca="false">IF(OR(A1445="",B1445=""),"",CONCATENATE("https://matarstund.is/serfaedi?id=",LOWER(SUBSTITUTE(B1445," ","-"))))</f>
        <v/>
      </c>
    </row>
    <row r="1446" customFormat="false" ht="15" hidden="false" customHeight="true" outlineLevel="0" collapsed="false">
      <c r="A1446" s="63"/>
      <c r="B1446" s="63"/>
      <c r="C1446" s="63"/>
      <c r="D1446" s="63"/>
      <c r="E1446" s="63"/>
      <c r="F1446" s="28" t="str">
        <f aca="false">IF(C1446="","",IF(OR(C1446="1. bekkur",C1446="2. bekkur",C1446="3. bekkur",C1446="4. bekkur"),"Já",IF(C1446="Starfsmaður","Nei","Nei")))</f>
        <v/>
      </c>
      <c r="G1446" s="63"/>
      <c r="H1446" s="63"/>
      <c r="I1446" s="63"/>
      <c r="J1446" s="64" t="str">
        <f aca="false">IF(OR(A1446="",B1446=""),"",CONCATENATE("https://matarstund.is/serfaedi?id=",LOWER(SUBSTITUTE(B1446,"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64" t="str">
        <f aca="false">IF(OR(A1447="",B1447=""),"",CONCATENATE("https://matarstund.is/serfaedi?id=",LOWER(SUBSTITUTE(B1447," ","-"))))</f>
        <v/>
      </c>
    </row>
    <row r="1448" customFormat="false" ht="15" hidden="false" customHeight="true" outlineLevel="0" collapsed="false">
      <c r="A1448" s="63"/>
      <c r="B1448" s="63"/>
      <c r="C1448" s="63"/>
      <c r="D1448" s="63"/>
      <c r="E1448" s="63"/>
      <c r="F1448" s="28" t="str">
        <f aca="false">IF(C1448="","",IF(OR(C1448="1. bekkur",C1448="2. bekkur",C1448="3. bekkur",C1448="4. bekkur"),"Já",IF(C1448="Starfsmaður","Nei","Nei")))</f>
        <v/>
      </c>
      <c r="G1448" s="63"/>
      <c r="H1448" s="63"/>
      <c r="I1448" s="63"/>
      <c r="J1448" s="64" t="str">
        <f aca="false">IF(OR(A1448="",B1448=""),"",CONCATENATE("https://matarstund.is/serfaedi?id=",LOWER(SUBSTITUTE(B1448,"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64" t="str">
        <f aca="false">IF(OR(A1449="",B1449=""),"",CONCATENATE("https://matarstund.is/serfaedi?id=",LOWER(SUBSTITUTE(B1449," ","-"))))</f>
        <v/>
      </c>
    </row>
    <row r="1450" customFormat="false" ht="15" hidden="false" customHeight="true" outlineLevel="0" collapsed="false">
      <c r="A1450" s="63"/>
      <c r="B1450" s="63"/>
      <c r="C1450" s="63"/>
      <c r="D1450" s="63"/>
      <c r="E1450" s="63"/>
      <c r="F1450" s="28" t="str">
        <f aca="false">IF(C1450="","",IF(OR(C1450="1. bekkur",C1450="2. bekkur",C1450="3. bekkur",C1450="4. bekkur"),"Já",IF(C1450="Starfsmaður","Nei","Nei")))</f>
        <v/>
      </c>
      <c r="G1450" s="63"/>
      <c r="H1450" s="63"/>
      <c r="I1450" s="63"/>
      <c r="J1450" s="64" t="str">
        <f aca="false">IF(OR(A1450="",B1450=""),"",CONCATENATE("https://matarstund.is/serfaedi?id=",LOWER(SUBSTITUTE(B1450,"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64" t="str">
        <f aca="false">IF(OR(A1451="",B1451=""),"",CONCATENATE("https://matarstund.is/serfaedi?id=",LOWER(SUBSTITUTE(B1451," ","-"))))</f>
        <v/>
      </c>
    </row>
    <row r="1452" customFormat="false" ht="15" hidden="false" customHeight="true" outlineLevel="0" collapsed="false">
      <c r="A1452" s="63"/>
      <c r="B1452" s="63"/>
      <c r="C1452" s="63"/>
      <c r="D1452" s="63"/>
      <c r="E1452" s="63"/>
      <c r="F1452" s="28" t="str">
        <f aca="false">IF(C1452="","",IF(OR(C1452="1. bekkur",C1452="2. bekkur",C1452="3. bekkur",C1452="4. bekkur"),"Já",IF(C1452="Starfsmaður","Nei","Nei")))</f>
        <v/>
      </c>
      <c r="G1452" s="63"/>
      <c r="H1452" s="63"/>
      <c r="I1452" s="63"/>
      <c r="J1452" s="64" t="str">
        <f aca="false">IF(OR(A1452="",B1452=""),"",CONCATENATE("https://matarstund.is/serfaedi?id=",LOWER(SUBSTITUTE(B1452,"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64" t="str">
        <f aca="false">IF(OR(A1453="",B1453=""),"",CONCATENATE("https://matarstund.is/serfaedi?id=",LOWER(SUBSTITUTE(B1453," ","-"))))</f>
        <v/>
      </c>
    </row>
    <row r="1454" customFormat="false" ht="15" hidden="false" customHeight="true" outlineLevel="0" collapsed="false">
      <c r="A1454" s="63"/>
      <c r="B1454" s="63"/>
      <c r="C1454" s="63"/>
      <c r="D1454" s="63"/>
      <c r="E1454" s="63"/>
      <c r="F1454" s="28" t="str">
        <f aca="false">IF(C1454="","",IF(OR(C1454="1. bekkur",C1454="2. bekkur",C1454="3. bekkur",C1454="4. bekkur"),"Já",IF(C1454="Starfsmaður","Nei","Nei")))</f>
        <v/>
      </c>
      <c r="G1454" s="63"/>
      <c r="H1454" s="63"/>
      <c r="I1454" s="63"/>
      <c r="J1454" s="64" t="str">
        <f aca="false">IF(OR(A1454="",B1454=""),"",CONCATENATE("https://matarstund.is/serfaedi?id=",LOWER(SUBSTITUTE(B1454,"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64" t="str">
        <f aca="false">IF(OR(A1455="",B1455=""),"",CONCATENATE("https://matarstund.is/serfaedi?id=",LOWER(SUBSTITUTE(B1455," ","-"))))</f>
        <v/>
      </c>
    </row>
    <row r="1456" customFormat="false" ht="15" hidden="false" customHeight="true" outlineLevel="0" collapsed="false">
      <c r="A1456" s="63"/>
      <c r="B1456" s="63"/>
      <c r="C1456" s="63"/>
      <c r="D1456" s="63"/>
      <c r="E1456" s="63"/>
      <c r="F1456" s="28" t="str">
        <f aca="false">IF(C1456="","",IF(OR(C1456="1. bekkur",C1456="2. bekkur",C1456="3. bekkur",C1456="4. bekkur"),"Já",IF(C1456="Starfsmaður","Nei","Nei")))</f>
        <v/>
      </c>
      <c r="G1456" s="63"/>
      <c r="H1456" s="63"/>
      <c r="I1456" s="63"/>
      <c r="J1456" s="64" t="str">
        <f aca="false">IF(OR(A1456="",B1456=""),"",CONCATENATE("https://matarstund.is/serfaedi?id=",LOWER(SUBSTITUTE(B1456,"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64" t="str">
        <f aca="false">IF(OR(A1457="",B1457=""),"",CONCATENATE("https://matarstund.is/serfaedi?id=",LOWER(SUBSTITUTE(B1457," ","-"))))</f>
        <v/>
      </c>
    </row>
    <row r="1458" customFormat="false" ht="15" hidden="false" customHeight="true" outlineLevel="0" collapsed="false">
      <c r="A1458" s="63"/>
      <c r="B1458" s="63"/>
      <c r="C1458" s="63"/>
      <c r="D1458" s="63"/>
      <c r="E1458" s="63"/>
      <c r="F1458" s="28" t="str">
        <f aca="false">IF(C1458="","",IF(OR(C1458="1. bekkur",C1458="2. bekkur",C1458="3. bekkur",C1458="4. bekkur"),"Já",IF(C1458="Starfsmaður","Nei","Nei")))</f>
        <v/>
      </c>
      <c r="G1458" s="63"/>
      <c r="H1458" s="63"/>
      <c r="I1458" s="63"/>
      <c r="J1458" s="64" t="str">
        <f aca="false">IF(OR(A1458="",B1458=""),"",CONCATENATE("https://matarstund.is/serfaedi?id=",LOWER(SUBSTITUTE(B1458,"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64" t="str">
        <f aca="false">IF(OR(A1459="",B1459=""),"",CONCATENATE("https://matarstund.is/serfaedi?id=",LOWER(SUBSTITUTE(B1459," ","-"))))</f>
        <v/>
      </c>
    </row>
    <row r="1460" customFormat="false" ht="15" hidden="false" customHeight="true" outlineLevel="0" collapsed="false">
      <c r="A1460" s="63"/>
      <c r="B1460" s="63"/>
      <c r="C1460" s="63"/>
      <c r="D1460" s="63"/>
      <c r="E1460" s="63"/>
      <c r="F1460" s="28" t="str">
        <f aca="false">IF(C1460="","",IF(OR(C1460="1. bekkur",C1460="2. bekkur",C1460="3. bekkur",C1460="4. bekkur"),"Já",IF(C1460="Starfsmaður","Nei","Nei")))</f>
        <v/>
      </c>
      <c r="G1460" s="63"/>
      <c r="H1460" s="63"/>
      <c r="I1460" s="63"/>
      <c r="J1460" s="64" t="str">
        <f aca="false">IF(OR(A1460="",B1460=""),"",CONCATENATE("https://matarstund.is/serfaedi?id=",LOWER(SUBSTITUTE(B1460,"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64" t="str">
        <f aca="false">IF(OR(A1461="",B1461=""),"",CONCATENATE("https://matarstund.is/serfaedi?id=",LOWER(SUBSTITUTE(B1461," ","-"))))</f>
        <v/>
      </c>
    </row>
    <row r="1462" customFormat="false" ht="15" hidden="false" customHeight="true" outlineLevel="0" collapsed="false">
      <c r="A1462" s="63"/>
      <c r="B1462" s="63"/>
      <c r="C1462" s="63"/>
      <c r="D1462" s="63"/>
      <c r="E1462" s="63"/>
      <c r="F1462" s="28" t="str">
        <f aca="false">IF(C1462="","",IF(OR(C1462="1. bekkur",C1462="2. bekkur",C1462="3. bekkur",C1462="4. bekkur"),"Já",IF(C1462="Starfsmaður","Nei","Nei")))</f>
        <v/>
      </c>
      <c r="G1462" s="63"/>
      <c r="H1462" s="63"/>
      <c r="I1462" s="63"/>
      <c r="J1462" s="64" t="str">
        <f aca="false">IF(OR(A1462="",B1462=""),"",CONCATENATE("https://matarstund.is/serfaedi?id=",LOWER(SUBSTITUTE(B1462,"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64" t="str">
        <f aca="false">IF(OR(A1463="",B1463=""),"",CONCATENATE("https://matarstund.is/serfaedi?id=",LOWER(SUBSTITUTE(B1463," ","-"))))</f>
        <v/>
      </c>
    </row>
    <row r="1464" customFormat="false" ht="15" hidden="false" customHeight="true" outlineLevel="0" collapsed="false">
      <c r="A1464" s="63"/>
      <c r="B1464" s="63"/>
      <c r="C1464" s="63"/>
      <c r="D1464" s="63"/>
      <c r="E1464" s="63"/>
      <c r="F1464" s="28" t="str">
        <f aca="false">IF(C1464="","",IF(OR(C1464="1. bekkur",C1464="2. bekkur",C1464="3. bekkur",C1464="4. bekkur"),"Já",IF(C1464="Starfsmaður","Nei","Nei")))</f>
        <v/>
      </c>
      <c r="G1464" s="63"/>
      <c r="H1464" s="63"/>
      <c r="I1464" s="63"/>
      <c r="J1464" s="64" t="str">
        <f aca="false">IF(OR(A1464="",B1464=""),"",CONCATENATE("https://matarstund.is/serfaedi?id=",LOWER(SUBSTITUTE(B1464,"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64" t="str">
        <f aca="false">IF(OR(A1465="",B1465=""),"",CONCATENATE("https://matarstund.is/serfaedi?id=",LOWER(SUBSTITUTE(B1465," ","-"))))</f>
        <v/>
      </c>
    </row>
    <row r="1466" customFormat="false" ht="15" hidden="false" customHeight="true" outlineLevel="0" collapsed="false">
      <c r="A1466" s="63"/>
      <c r="B1466" s="63"/>
      <c r="C1466" s="63"/>
      <c r="D1466" s="63"/>
      <c r="E1466" s="63"/>
      <c r="F1466" s="28" t="str">
        <f aca="false">IF(C1466="","",IF(OR(C1466="1. bekkur",C1466="2. bekkur",C1466="3. bekkur",C1466="4. bekkur"),"Já",IF(C1466="Starfsmaður","Nei","Nei")))</f>
        <v/>
      </c>
      <c r="G1466" s="63"/>
      <c r="H1466" s="63"/>
      <c r="I1466" s="63"/>
      <c r="J1466" s="64" t="str">
        <f aca="false">IF(OR(A1466="",B1466=""),"",CONCATENATE("https://matarstund.is/serfaedi?id=",LOWER(SUBSTITUTE(B1466,"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64" t="str">
        <f aca="false">IF(OR(A1467="",B1467=""),"",CONCATENATE("https://matarstund.is/serfaedi?id=",LOWER(SUBSTITUTE(B1467," ","-"))))</f>
        <v/>
      </c>
    </row>
    <row r="1468" customFormat="false" ht="15" hidden="false" customHeight="true" outlineLevel="0" collapsed="false">
      <c r="A1468" s="63"/>
      <c r="B1468" s="63"/>
      <c r="C1468" s="63"/>
      <c r="D1468" s="63"/>
      <c r="E1468" s="63"/>
      <c r="F1468" s="28" t="str">
        <f aca="false">IF(C1468="","",IF(OR(C1468="1. bekkur",C1468="2. bekkur",C1468="3. bekkur",C1468="4. bekkur"),"Já",IF(C1468="Starfsmaður","Nei","Nei")))</f>
        <v/>
      </c>
      <c r="G1468" s="63"/>
      <c r="H1468" s="63"/>
      <c r="I1468" s="63"/>
      <c r="J1468" s="64" t="str">
        <f aca="false">IF(OR(A1468="",B1468=""),"",CONCATENATE("https://matarstund.is/serfaedi?id=",LOWER(SUBSTITUTE(B1468,"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64" t="str">
        <f aca="false">IF(OR(A1469="",B1469=""),"",CONCATENATE("https://matarstund.is/serfaedi?id=",LOWER(SUBSTITUTE(B1469," ","-"))))</f>
        <v/>
      </c>
    </row>
    <row r="1470" customFormat="false" ht="15" hidden="false" customHeight="true" outlineLevel="0" collapsed="false">
      <c r="A1470" s="63"/>
      <c r="B1470" s="63"/>
      <c r="C1470" s="63"/>
      <c r="D1470" s="63"/>
      <c r="E1470" s="63"/>
      <c r="F1470" s="28" t="str">
        <f aca="false">IF(C1470="","",IF(OR(C1470="1. bekkur",C1470="2. bekkur",C1470="3. bekkur",C1470="4. bekkur"),"Já",IF(C1470="Starfsmaður","Nei","Nei")))</f>
        <v/>
      </c>
      <c r="G1470" s="63"/>
      <c r="H1470" s="63"/>
      <c r="I1470" s="63"/>
      <c r="J1470" s="64" t="str">
        <f aca="false">IF(OR(A1470="",B1470=""),"",CONCATENATE("https://matarstund.is/serfaedi?id=",LOWER(SUBSTITUTE(B1470,"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64" t="str">
        <f aca="false">IF(OR(A1471="",B1471=""),"",CONCATENATE("https://matarstund.is/serfaedi?id=",LOWER(SUBSTITUTE(B1471," ","-"))))</f>
        <v/>
      </c>
    </row>
    <row r="1472" customFormat="false" ht="15" hidden="false" customHeight="true" outlineLevel="0" collapsed="false">
      <c r="A1472" s="63"/>
      <c r="B1472" s="63"/>
      <c r="C1472" s="63"/>
      <c r="D1472" s="63"/>
      <c r="E1472" s="63"/>
      <c r="F1472" s="28" t="str">
        <f aca="false">IF(C1472="","",IF(OR(C1472="1. bekkur",C1472="2. bekkur",C1472="3. bekkur",C1472="4. bekkur"),"Já",IF(C1472="Starfsmaður","Nei","Nei")))</f>
        <v/>
      </c>
      <c r="G1472" s="63"/>
      <c r="H1472" s="63"/>
      <c r="I1472" s="63"/>
      <c r="J1472" s="64" t="str">
        <f aca="false">IF(OR(A1472="",B1472=""),"",CONCATENATE("https://matarstund.is/serfaedi?id=",LOWER(SUBSTITUTE(B1472,"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64" t="str">
        <f aca="false">IF(OR(A1473="",B1473=""),"",CONCATENATE("https://matarstund.is/serfaedi?id=",LOWER(SUBSTITUTE(B1473," ","-"))))</f>
        <v/>
      </c>
    </row>
    <row r="1474" customFormat="false" ht="15" hidden="false" customHeight="true" outlineLevel="0" collapsed="false">
      <c r="A1474" s="63"/>
      <c r="B1474" s="63"/>
      <c r="C1474" s="63"/>
      <c r="D1474" s="63"/>
      <c r="E1474" s="63"/>
      <c r="F1474" s="28" t="str">
        <f aca="false">IF(C1474="","",IF(OR(C1474="1. bekkur",C1474="2. bekkur",C1474="3. bekkur",C1474="4. bekkur"),"Já",IF(C1474="Starfsmaður","Nei","Nei")))</f>
        <v/>
      </c>
      <c r="G1474" s="63"/>
      <c r="H1474" s="63"/>
      <c r="I1474" s="63"/>
      <c r="J1474" s="64" t="str">
        <f aca="false">IF(OR(A1474="",B1474=""),"",CONCATENATE("https://matarstund.is/serfaedi?id=",LOWER(SUBSTITUTE(B1474,"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64" t="str">
        <f aca="false">IF(OR(A1475="",B1475=""),"",CONCATENATE("https://matarstund.is/serfaedi?id=",LOWER(SUBSTITUTE(B1475," ","-"))))</f>
        <v/>
      </c>
    </row>
    <row r="1476" customFormat="false" ht="15" hidden="false" customHeight="true" outlineLevel="0" collapsed="false">
      <c r="A1476" s="63"/>
      <c r="B1476" s="63"/>
      <c r="C1476" s="63"/>
      <c r="D1476" s="63"/>
      <c r="E1476" s="63"/>
      <c r="F1476" s="28" t="str">
        <f aca="false">IF(C1476="","",IF(OR(C1476="1. bekkur",C1476="2. bekkur",C1476="3. bekkur",C1476="4. bekkur"),"Já",IF(C1476="Starfsmaður","Nei","Nei")))</f>
        <v/>
      </c>
      <c r="G1476" s="63"/>
      <c r="H1476" s="63"/>
      <c r="I1476" s="63"/>
      <c r="J1476" s="64" t="str">
        <f aca="false">IF(OR(A1476="",B1476=""),"",CONCATENATE("https://matarstund.is/serfaedi?id=",LOWER(SUBSTITUTE(B1476,"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64" t="str">
        <f aca="false">IF(OR(A1477="",B1477=""),"",CONCATENATE("https://matarstund.is/serfaedi?id=",LOWER(SUBSTITUTE(B1477," ","-"))))</f>
        <v/>
      </c>
    </row>
    <row r="1478" customFormat="false" ht="15" hidden="false" customHeight="true" outlineLevel="0" collapsed="false">
      <c r="A1478" s="63"/>
      <c r="B1478" s="63"/>
      <c r="C1478" s="63"/>
      <c r="D1478" s="63"/>
      <c r="E1478" s="63"/>
      <c r="F1478" s="28" t="str">
        <f aca="false">IF(C1478="","",IF(OR(C1478="1. bekkur",C1478="2. bekkur",C1478="3. bekkur",C1478="4. bekkur"),"Já",IF(C1478="Starfsmaður","Nei","Nei")))</f>
        <v/>
      </c>
      <c r="G1478" s="63"/>
      <c r="H1478" s="63"/>
      <c r="I1478" s="63"/>
      <c r="J1478" s="64" t="str">
        <f aca="false">IF(OR(A1478="",B1478=""),"",CONCATENATE("https://matarstund.is/serfaedi?id=",LOWER(SUBSTITUTE(B1478,"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64" t="str">
        <f aca="false">IF(OR(A1479="",B1479=""),"",CONCATENATE("https://matarstund.is/serfaedi?id=",LOWER(SUBSTITUTE(B1479," ","-"))))</f>
        <v/>
      </c>
    </row>
    <row r="1480" customFormat="false" ht="15" hidden="false" customHeight="true" outlineLevel="0" collapsed="false">
      <c r="A1480" s="63"/>
      <c r="B1480" s="63"/>
      <c r="C1480" s="63"/>
      <c r="D1480" s="63"/>
      <c r="E1480" s="63"/>
      <c r="F1480" s="28" t="str">
        <f aca="false">IF(C1480="","",IF(OR(C1480="1. bekkur",C1480="2. bekkur",C1480="3. bekkur",C1480="4. bekkur"),"Já",IF(C1480="Starfsmaður","Nei","Nei")))</f>
        <v/>
      </c>
      <c r="G1480" s="63"/>
      <c r="H1480" s="63"/>
      <c r="I1480" s="63"/>
      <c r="J1480" s="64" t="str">
        <f aca="false">IF(OR(A1480="",B1480=""),"",CONCATENATE("https://matarstund.is/serfaedi?id=",LOWER(SUBSTITUTE(B1480,"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64" t="str">
        <f aca="false">IF(OR(A1481="",B1481=""),"",CONCATENATE("https://matarstund.is/serfaedi?id=",LOWER(SUBSTITUTE(B1481," ","-"))))</f>
        <v/>
      </c>
    </row>
    <row r="1482" customFormat="false" ht="15" hidden="false" customHeight="true" outlineLevel="0" collapsed="false">
      <c r="A1482" s="63"/>
      <c r="B1482" s="63"/>
      <c r="C1482" s="63"/>
      <c r="D1482" s="63"/>
      <c r="E1482" s="63"/>
      <c r="F1482" s="28" t="str">
        <f aca="false">IF(C1482="","",IF(OR(C1482="1. bekkur",C1482="2. bekkur",C1482="3. bekkur",C1482="4. bekkur"),"Já",IF(C1482="Starfsmaður","Nei","Nei")))</f>
        <v/>
      </c>
      <c r="G1482" s="63"/>
      <c r="H1482" s="63"/>
      <c r="I1482" s="63"/>
      <c r="J1482" s="64" t="str">
        <f aca="false">IF(OR(A1482="",B1482=""),"",CONCATENATE("https://matarstund.is/serfaedi?id=",LOWER(SUBSTITUTE(B1482,"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64" t="str">
        <f aca="false">IF(OR(A1483="",B1483=""),"",CONCATENATE("https://matarstund.is/serfaedi?id=",LOWER(SUBSTITUTE(B1483," ","-"))))</f>
        <v/>
      </c>
    </row>
    <row r="1484" customFormat="false" ht="15" hidden="false" customHeight="true" outlineLevel="0" collapsed="false">
      <c r="A1484" s="63"/>
      <c r="B1484" s="63"/>
      <c r="C1484" s="63"/>
      <c r="D1484" s="63"/>
      <c r="E1484" s="63"/>
      <c r="F1484" s="28" t="str">
        <f aca="false">IF(C1484="","",IF(OR(C1484="1. bekkur",C1484="2. bekkur",C1484="3. bekkur",C1484="4. bekkur"),"Já",IF(C1484="Starfsmaður","Nei","Nei")))</f>
        <v/>
      </c>
      <c r="G1484" s="63"/>
      <c r="H1484" s="63"/>
      <c r="I1484" s="63"/>
      <c r="J1484" s="64" t="str">
        <f aca="false">IF(OR(A1484="",B1484=""),"",CONCATENATE("https://matarstund.is/serfaedi?id=",LOWER(SUBSTITUTE(B1484,"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64" t="str">
        <f aca="false">IF(OR(A1485="",B1485=""),"",CONCATENATE("https://matarstund.is/serfaedi?id=",LOWER(SUBSTITUTE(B1485," ","-"))))</f>
        <v/>
      </c>
    </row>
    <row r="1486" customFormat="false" ht="15" hidden="false" customHeight="true" outlineLevel="0" collapsed="false">
      <c r="A1486" s="63"/>
      <c r="B1486" s="63"/>
      <c r="C1486" s="63"/>
      <c r="D1486" s="63"/>
      <c r="E1486" s="63"/>
      <c r="F1486" s="28" t="str">
        <f aca="false">IF(C1486="","",IF(OR(C1486="1. bekkur",C1486="2. bekkur",C1486="3. bekkur",C1486="4. bekkur"),"Já",IF(C1486="Starfsmaður","Nei","Nei")))</f>
        <v/>
      </c>
      <c r="G1486" s="63"/>
      <c r="H1486" s="63"/>
      <c r="I1486" s="63"/>
      <c r="J1486" s="64" t="str">
        <f aca="false">IF(OR(A1486="",B1486=""),"",CONCATENATE("https://matarstund.is/serfaedi?id=",LOWER(SUBSTITUTE(B1486,"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64" t="str">
        <f aca="false">IF(OR(A1487="",B1487=""),"",CONCATENATE("https://matarstund.is/serfaedi?id=",LOWER(SUBSTITUTE(B1487," ","-"))))</f>
        <v/>
      </c>
    </row>
    <row r="1488" customFormat="false" ht="15" hidden="false" customHeight="true" outlineLevel="0" collapsed="false">
      <c r="A1488" s="63"/>
      <c r="B1488" s="63"/>
      <c r="C1488" s="63"/>
      <c r="D1488" s="63"/>
      <c r="E1488" s="63"/>
      <c r="F1488" s="28" t="str">
        <f aca="false">IF(C1488="","",IF(OR(C1488="1. bekkur",C1488="2. bekkur",C1488="3. bekkur",C1488="4. bekkur"),"Já",IF(C1488="Starfsmaður","Nei","Nei")))</f>
        <v/>
      </c>
      <c r="G1488" s="63"/>
      <c r="H1488" s="63"/>
      <c r="I1488" s="63"/>
      <c r="J1488" s="64" t="str">
        <f aca="false">IF(OR(A1488="",B1488=""),"",CONCATENATE("https://matarstund.is/serfaedi?id=",LOWER(SUBSTITUTE(B1488,"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64" t="str">
        <f aca="false">IF(OR(A1489="",B1489=""),"",CONCATENATE("https://matarstund.is/serfaedi?id=",LOWER(SUBSTITUTE(B1489," ","-"))))</f>
        <v/>
      </c>
    </row>
    <row r="1490" customFormat="false" ht="15" hidden="false" customHeight="true" outlineLevel="0" collapsed="false">
      <c r="A1490" s="63"/>
      <c r="B1490" s="63"/>
      <c r="C1490" s="63"/>
      <c r="D1490" s="63"/>
      <c r="E1490" s="63"/>
      <c r="F1490" s="28" t="str">
        <f aca="false">IF(C1490="","",IF(OR(C1490="1. bekkur",C1490="2. bekkur",C1490="3. bekkur",C1490="4. bekkur"),"Já",IF(C1490="Starfsmaður","Nei","Nei")))</f>
        <v/>
      </c>
      <c r="G1490" s="63"/>
      <c r="H1490" s="63"/>
      <c r="I1490" s="63"/>
      <c r="J1490" s="64" t="str">
        <f aca="false">IF(OR(A1490="",B1490=""),"",CONCATENATE("https://matarstund.is/serfaedi?id=",LOWER(SUBSTITUTE(B1490,"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64" t="str">
        <f aca="false">IF(OR(A1491="",B1491=""),"",CONCATENATE("https://matarstund.is/serfaedi?id=",LOWER(SUBSTITUTE(B1491," ","-"))))</f>
        <v/>
      </c>
    </row>
    <row r="1492" customFormat="false" ht="15" hidden="false" customHeight="true" outlineLevel="0" collapsed="false">
      <c r="A1492" s="63"/>
      <c r="B1492" s="63"/>
      <c r="C1492" s="63"/>
      <c r="D1492" s="63"/>
      <c r="E1492" s="63"/>
      <c r="F1492" s="28" t="str">
        <f aca="false">IF(C1492="","",IF(OR(C1492="1. bekkur",C1492="2. bekkur",C1492="3. bekkur",C1492="4. bekkur"),"Já",IF(C1492="Starfsmaður","Nei","Nei")))</f>
        <v/>
      </c>
      <c r="G1492" s="63"/>
      <c r="H1492" s="63"/>
      <c r="I1492" s="63"/>
      <c r="J1492" s="64" t="str">
        <f aca="false">IF(OR(A1492="",B1492=""),"",CONCATENATE("https://matarstund.is/serfaedi?id=",LOWER(SUBSTITUTE(B1492,"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64" t="str">
        <f aca="false">IF(OR(A1493="",B1493=""),"",CONCATENATE("https://matarstund.is/serfaedi?id=",LOWER(SUBSTITUTE(B1493," ","-"))))</f>
        <v/>
      </c>
    </row>
    <row r="1494" customFormat="false" ht="15" hidden="false" customHeight="true" outlineLevel="0" collapsed="false">
      <c r="A1494" s="63"/>
      <c r="B1494" s="63"/>
      <c r="C1494" s="63"/>
      <c r="D1494" s="63"/>
      <c r="E1494" s="63"/>
      <c r="F1494" s="28" t="str">
        <f aca="false">IF(C1494="","",IF(OR(C1494="1. bekkur",C1494="2. bekkur",C1494="3. bekkur",C1494="4. bekkur"),"Já",IF(C1494="Starfsmaður","Nei","Nei")))</f>
        <v/>
      </c>
      <c r="G1494" s="63"/>
      <c r="H1494" s="63"/>
      <c r="I1494" s="63"/>
      <c r="J1494" s="64" t="str">
        <f aca="false">IF(OR(A1494="",B1494=""),"",CONCATENATE("https://matarstund.is/serfaedi?id=",LOWER(SUBSTITUTE(B1494,"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64" t="str">
        <f aca="false">IF(OR(A1495="",B1495=""),"",CONCATENATE("https://matarstund.is/serfaedi?id=",LOWER(SUBSTITUTE(B1495," ","-"))))</f>
        <v/>
      </c>
    </row>
    <row r="1496" customFormat="false" ht="15" hidden="false" customHeight="true" outlineLevel="0" collapsed="false">
      <c r="A1496" s="63"/>
      <c r="B1496" s="63"/>
      <c r="C1496" s="63"/>
      <c r="D1496" s="63"/>
      <c r="E1496" s="63"/>
      <c r="F1496" s="28" t="str">
        <f aca="false">IF(C1496="","",IF(OR(C1496="1. bekkur",C1496="2. bekkur",C1496="3. bekkur",C1496="4. bekkur"),"Já",IF(C1496="Starfsmaður","Nei","Nei")))</f>
        <v/>
      </c>
      <c r="G1496" s="63"/>
      <c r="H1496" s="63"/>
      <c r="I1496" s="63"/>
      <c r="J1496" s="64" t="str">
        <f aca="false">IF(OR(A1496="",B1496=""),"",CONCATENATE("https://matarstund.is/serfaedi?id=",LOWER(SUBSTITUTE(B1496,"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64" t="str">
        <f aca="false">IF(OR(A1497="",B1497=""),"",CONCATENATE("https://matarstund.is/serfaedi?id=",LOWER(SUBSTITUTE(B1497," ","-"))))</f>
        <v/>
      </c>
    </row>
    <row r="1498" customFormat="false" ht="15" hidden="false" customHeight="true" outlineLevel="0" collapsed="false">
      <c r="A1498" s="63"/>
      <c r="B1498" s="63"/>
      <c r="C1498" s="63"/>
      <c r="D1498" s="63"/>
      <c r="E1498" s="63"/>
      <c r="F1498" s="28" t="str">
        <f aca="false">IF(C1498="","",IF(OR(C1498="1. bekkur",C1498="2. bekkur",C1498="3. bekkur",C1498="4. bekkur"),"Já",IF(C1498="Starfsmaður","Nei","Nei")))</f>
        <v/>
      </c>
      <c r="G1498" s="63"/>
      <c r="H1498" s="63"/>
      <c r="I1498" s="63"/>
      <c r="J1498" s="64" t="str">
        <f aca="false">IF(OR(A1498="",B1498=""),"",CONCATENATE("https://matarstund.is/serfaedi?id=",LOWER(SUBSTITUTE(B1498,"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64" t="str">
        <f aca="false">IF(OR(A1499="",B1499=""),"",CONCATENATE("https://matarstund.is/serfaedi?id=",LOWER(SUBSTITUTE(B1499," ","-"))))</f>
        <v/>
      </c>
    </row>
    <row r="1500" customFormat="false" ht="15" hidden="false" customHeight="true" outlineLevel="0" collapsed="false">
      <c r="A1500" s="63"/>
      <c r="B1500" s="63"/>
      <c r="C1500" s="63"/>
      <c r="D1500" s="63"/>
      <c r="E1500" s="63"/>
      <c r="F1500" s="28" t="str">
        <f aca="false">IF(C1500="","",IF(OR(C1500="1. bekkur",C1500="2. bekkur",C1500="3. bekkur",C1500="4. bekkur"),"Já",IF(C1500="Starfsmaður","Nei","Nei")))</f>
        <v/>
      </c>
      <c r="G1500" s="63"/>
      <c r="H1500" s="63"/>
      <c r="I1500" s="63"/>
      <c r="J1500" s="64" t="str">
        <f aca="false">IF(OR(A1500="",B1500=""),"",CONCATENATE("https://matarstund.is/serfaedi?id=",LOWER(SUBSTITUTE(B1500,"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64" t="str">
        <f aca="false">IF(OR(A1501="",B1501=""),"",CONCATENATE("https://matarstund.is/serfaedi?id=",LOWER(SUBSTITUTE(B1501," ","-"))))</f>
        <v/>
      </c>
    </row>
    <row r="1502" customFormat="false" ht="15" hidden="false" customHeight="true" outlineLevel="0" collapsed="false">
      <c r="A1502" s="63"/>
      <c r="B1502" s="63"/>
      <c r="C1502" s="63"/>
      <c r="D1502" s="63"/>
      <c r="E1502" s="63"/>
      <c r="F1502" s="28" t="str">
        <f aca="false">IF(C1502="","",IF(OR(C1502="1. bekkur",C1502="2. bekkur",C1502="3. bekkur",C1502="4. bekkur"),"Já",IF(C1502="Starfsmaður","Nei","Nei")))</f>
        <v/>
      </c>
      <c r="G1502" s="63"/>
      <c r="H1502" s="63"/>
      <c r="I1502" s="63"/>
      <c r="J1502" s="64" t="str">
        <f aca="false">IF(OR(A1502="",B1502=""),"",CONCATENATE("https://matarstund.is/serfaedi?id=",LOWER(SUBSTITUTE(B1502,"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64" t="str">
        <f aca="false">IF(OR(A1503="",B1503=""),"",CONCATENATE("https://matarstund.is/serfaedi?id=",LOWER(SUBSTITUTE(B1503," ","-"))))</f>
        <v/>
      </c>
    </row>
    <row r="1504" customFormat="false" ht="15" hidden="false" customHeight="true" outlineLevel="0" collapsed="false">
      <c r="A1504" s="63"/>
      <c r="B1504" s="63"/>
      <c r="C1504" s="63"/>
      <c r="D1504" s="63"/>
      <c r="E1504" s="63"/>
      <c r="F1504" s="28" t="str">
        <f aca="false">IF(C1504="","",IF(OR(C1504="1. bekkur",C1504="2. bekkur",C1504="3. bekkur",C1504="4. bekkur"),"Já",IF(C1504="Starfsmaður","Nei","Nei")))</f>
        <v/>
      </c>
      <c r="G1504" s="63"/>
      <c r="H1504" s="63"/>
      <c r="I1504" s="63"/>
      <c r="J1504" s="64" t="str">
        <f aca="false">IF(OR(A1504="",B1504=""),"",CONCATENATE("https://matarstund.is/serfaedi?id=",LOWER(SUBSTITUTE(B1504,"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64" t="str">
        <f aca="false">IF(OR(A1505="",B1505=""),"",CONCATENATE("https://matarstund.is/serfaedi?id=",LOWER(SUBSTITUTE(B1505," ","-"))))</f>
        <v/>
      </c>
    </row>
    <row r="1506" customFormat="false" ht="15" hidden="false" customHeight="true" outlineLevel="0" collapsed="false">
      <c r="A1506" s="63"/>
      <c r="B1506" s="63"/>
      <c r="C1506" s="63"/>
      <c r="D1506" s="63"/>
      <c r="E1506" s="63"/>
      <c r="F1506" s="28" t="str">
        <f aca="false">IF(C1506="","",IF(OR(C1506="1. bekkur",C1506="2. bekkur",C1506="3. bekkur",C1506="4. bekkur"),"Já",IF(C1506="Starfsmaður","Nei","Nei")))</f>
        <v/>
      </c>
      <c r="G1506" s="63"/>
      <c r="H1506" s="63"/>
      <c r="I1506" s="63"/>
      <c r="J1506" s="64" t="str">
        <f aca="false">IF(OR(A1506="",B1506=""),"",CONCATENATE("https://matarstund.is/serfaedi?id=",LOWER(SUBSTITUTE(B1506,"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64" t="str">
        <f aca="false">IF(OR(A1507="",B1507=""),"",CONCATENATE("https://matarstund.is/serfaedi?id=",LOWER(SUBSTITUTE(B1507," ","-"))))</f>
        <v/>
      </c>
    </row>
    <row r="1508" customFormat="false" ht="15" hidden="false" customHeight="true" outlineLevel="0" collapsed="false">
      <c r="A1508" s="63"/>
      <c r="B1508" s="63"/>
      <c r="C1508" s="63"/>
      <c r="D1508" s="63"/>
      <c r="E1508" s="63"/>
      <c r="F1508" s="28" t="str">
        <f aca="false">IF(C1508="","",IF(OR(C1508="1. bekkur",C1508="2. bekkur",C1508="3. bekkur",C1508="4. bekkur"),"Já",IF(C1508="Starfsmaður","Nei","Nei")))</f>
        <v/>
      </c>
      <c r="G1508" s="63"/>
      <c r="H1508" s="63"/>
      <c r="I1508" s="63"/>
      <c r="J1508" s="64" t="str">
        <f aca="false">IF(OR(A1508="",B1508=""),"",CONCATENATE("https://matarstund.is/serfaedi?id=",LOWER(SUBSTITUTE(B1508,"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64" t="str">
        <f aca="false">IF(OR(A1509="",B1509=""),"",CONCATENATE("https://matarstund.is/serfaedi?id=",LOWER(SUBSTITUTE(B1509," ","-"))))</f>
        <v/>
      </c>
    </row>
    <row r="1510" customFormat="false" ht="15" hidden="false" customHeight="true" outlineLevel="0" collapsed="false">
      <c r="A1510" s="63"/>
      <c r="B1510" s="63"/>
      <c r="C1510" s="63"/>
      <c r="D1510" s="63"/>
      <c r="E1510" s="63"/>
      <c r="F1510" s="28" t="str">
        <f aca="false">IF(C1510="","",IF(OR(C1510="1. bekkur",C1510="2. bekkur",C1510="3. bekkur",C1510="4. bekkur"),"Já",IF(C1510="Starfsmaður","Nei","Nei")))</f>
        <v/>
      </c>
      <c r="G1510" s="63"/>
      <c r="H1510" s="63"/>
      <c r="I1510" s="63"/>
      <c r="J1510" s="64" t="str">
        <f aca="false">IF(OR(A1510="",B1510=""),"",CONCATENATE("https://matarstund.is/serfaedi?id=",LOWER(SUBSTITUTE(B1510,"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64" t="str">
        <f aca="false">IF(OR(A1511="",B1511=""),"",CONCATENATE("https://matarstund.is/serfaedi?id=",LOWER(SUBSTITUTE(B1511," ","-"))))</f>
        <v/>
      </c>
    </row>
    <row r="1512" customFormat="false" ht="15" hidden="false" customHeight="true" outlineLevel="0" collapsed="false">
      <c r="A1512" s="63"/>
      <c r="B1512" s="63"/>
      <c r="C1512" s="63"/>
      <c r="D1512" s="63"/>
      <c r="E1512" s="63"/>
      <c r="F1512" s="28" t="str">
        <f aca="false">IF(C1512="","",IF(OR(C1512="1. bekkur",C1512="2. bekkur",C1512="3. bekkur",C1512="4. bekkur"),"Já",IF(C1512="Starfsmaður","Nei","Nei")))</f>
        <v/>
      </c>
      <c r="G1512" s="63"/>
      <c r="H1512" s="63"/>
      <c r="I1512" s="63"/>
      <c r="J1512" s="64" t="str">
        <f aca="false">IF(OR(A1512="",B1512=""),"",CONCATENATE("https://matarstund.is/serfaedi?id=",LOWER(SUBSTITUTE(B1512,"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64" t="str">
        <f aca="false">IF(OR(A1513="",B1513=""),"",CONCATENATE("https://matarstund.is/serfaedi?id=",LOWER(SUBSTITUTE(B1513," ","-"))))</f>
        <v/>
      </c>
    </row>
    <row r="1514" customFormat="false" ht="15" hidden="false" customHeight="true" outlineLevel="0" collapsed="false">
      <c r="A1514" s="63"/>
      <c r="B1514" s="63"/>
      <c r="C1514" s="63"/>
      <c r="D1514" s="63"/>
      <c r="E1514" s="63"/>
      <c r="F1514" s="28" t="str">
        <f aca="false">IF(C1514="","",IF(OR(C1514="1. bekkur",C1514="2. bekkur",C1514="3. bekkur",C1514="4. bekkur"),"Já",IF(C1514="Starfsmaður","Nei","Nei")))</f>
        <v/>
      </c>
      <c r="G1514" s="63"/>
      <c r="H1514" s="63"/>
      <c r="I1514" s="63"/>
      <c r="J1514" s="64" t="str">
        <f aca="false">IF(OR(A1514="",B1514=""),"",CONCATENATE("https://matarstund.is/serfaedi?id=",LOWER(SUBSTITUTE(B1514,"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64" t="str">
        <f aca="false">IF(OR(A1515="",B1515=""),"",CONCATENATE("https://matarstund.is/serfaedi?id=",LOWER(SUBSTITUTE(B1515," ","-"))))</f>
        <v/>
      </c>
    </row>
    <row r="1516" customFormat="false" ht="15" hidden="false" customHeight="true" outlineLevel="0" collapsed="false">
      <c r="A1516" s="63"/>
      <c r="B1516" s="63"/>
      <c r="C1516" s="63"/>
      <c r="D1516" s="63"/>
      <c r="E1516" s="63"/>
      <c r="F1516" s="28" t="str">
        <f aca="false">IF(C1516="","",IF(OR(C1516="1. bekkur",C1516="2. bekkur",C1516="3. bekkur",C1516="4. bekkur"),"Já",IF(C1516="Starfsmaður","Nei","Nei")))</f>
        <v/>
      </c>
      <c r="G1516" s="63"/>
      <c r="H1516" s="63"/>
      <c r="I1516" s="63"/>
      <c r="J1516" s="64" t="str">
        <f aca="false">IF(OR(A1516="",B1516=""),"",CONCATENATE("https://matarstund.is/serfaedi?id=",LOWER(SUBSTITUTE(B1516,"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64" t="str">
        <f aca="false">IF(OR(A1517="",B1517=""),"",CONCATENATE("https://matarstund.is/serfaedi?id=",LOWER(SUBSTITUTE(B1517," ","-"))))</f>
        <v/>
      </c>
    </row>
    <row r="1518" customFormat="false" ht="15" hidden="false" customHeight="true" outlineLevel="0" collapsed="false">
      <c r="A1518" s="63"/>
      <c r="B1518" s="63"/>
      <c r="C1518" s="63"/>
      <c r="D1518" s="63"/>
      <c r="E1518" s="63"/>
      <c r="F1518" s="28" t="str">
        <f aca="false">IF(C1518="","",IF(OR(C1518="1. bekkur",C1518="2. bekkur",C1518="3. bekkur",C1518="4. bekkur"),"Já",IF(C1518="Starfsmaður","Nei","Nei")))</f>
        <v/>
      </c>
      <c r="G1518" s="63"/>
      <c r="H1518" s="63"/>
      <c r="I1518" s="63"/>
      <c r="J1518" s="64" t="str">
        <f aca="false">IF(OR(A1518="",B1518=""),"",CONCATENATE("https://matarstund.is/serfaedi?id=",LOWER(SUBSTITUTE(B1518,"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64" t="str">
        <f aca="false">IF(OR(A1519="",B1519=""),"",CONCATENATE("https://matarstund.is/serfaedi?id=",LOWER(SUBSTITUTE(B1519," ","-"))))</f>
        <v/>
      </c>
    </row>
    <row r="1520" customFormat="false" ht="15" hidden="false" customHeight="true" outlineLevel="0" collapsed="false">
      <c r="A1520" s="63"/>
      <c r="B1520" s="63"/>
      <c r="C1520" s="63"/>
      <c r="D1520" s="63"/>
      <c r="E1520" s="63"/>
      <c r="F1520" s="28" t="str">
        <f aca="false">IF(C1520="","",IF(OR(C1520="1. bekkur",C1520="2. bekkur",C1520="3. bekkur",C1520="4. bekkur"),"Já",IF(C1520="Starfsmaður","Nei","Nei")))</f>
        <v/>
      </c>
      <c r="G1520" s="63"/>
      <c r="H1520" s="63"/>
      <c r="I1520" s="63"/>
      <c r="J1520" s="64" t="str">
        <f aca="false">IF(OR(A1520="",B1520=""),"",CONCATENATE("https://matarstund.is/serfaedi?id=",LOWER(SUBSTITUTE(B1520,"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64" t="str">
        <f aca="false">IF(OR(A1521="",B1521=""),"",CONCATENATE("https://matarstund.is/serfaedi?id=",LOWER(SUBSTITUTE(B1521," ","-"))))</f>
        <v/>
      </c>
    </row>
    <row r="1522" customFormat="false" ht="15" hidden="false" customHeight="true" outlineLevel="0" collapsed="false">
      <c r="A1522" s="63"/>
      <c r="B1522" s="63"/>
      <c r="C1522" s="63"/>
      <c r="D1522" s="63"/>
      <c r="E1522" s="63"/>
      <c r="F1522" s="28" t="str">
        <f aca="false">IF(C1522="","",IF(OR(C1522="1. bekkur",C1522="2. bekkur",C1522="3. bekkur",C1522="4. bekkur"),"Já",IF(C1522="Starfsmaður","Nei","Nei")))</f>
        <v/>
      </c>
      <c r="G1522" s="63"/>
      <c r="H1522" s="63"/>
      <c r="I1522" s="63"/>
      <c r="J1522" s="64" t="str">
        <f aca="false">IF(OR(A1522="",B1522=""),"",CONCATENATE("https://matarstund.is/serfaedi?id=",LOWER(SUBSTITUTE(B1522,"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64" t="str">
        <f aca="false">IF(OR(A1523="",B1523=""),"",CONCATENATE("https://matarstund.is/serfaedi?id=",LOWER(SUBSTITUTE(B1523," ","-"))))</f>
        <v/>
      </c>
    </row>
    <row r="1524" customFormat="false" ht="15" hidden="false" customHeight="true" outlineLevel="0" collapsed="false">
      <c r="A1524" s="63"/>
      <c r="B1524" s="63"/>
      <c r="C1524" s="63"/>
      <c r="D1524" s="63"/>
      <c r="E1524" s="63"/>
      <c r="F1524" s="28" t="str">
        <f aca="false">IF(C1524="","",IF(OR(C1524="1. bekkur",C1524="2. bekkur",C1524="3. bekkur",C1524="4. bekkur"),"Já",IF(C1524="Starfsmaður","Nei","Nei")))</f>
        <v/>
      </c>
      <c r="G1524" s="63"/>
      <c r="H1524" s="63"/>
      <c r="I1524" s="63"/>
      <c r="J1524" s="64" t="str">
        <f aca="false">IF(OR(A1524="",B1524=""),"",CONCATENATE("https://matarstund.is/serfaedi?id=",LOWER(SUBSTITUTE(B1524,"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64" t="str">
        <f aca="false">IF(OR(A1525="",B1525=""),"",CONCATENATE("https://matarstund.is/serfaedi?id=",LOWER(SUBSTITUTE(B1525," ","-"))))</f>
        <v/>
      </c>
    </row>
    <row r="1526" customFormat="false" ht="15" hidden="false" customHeight="true" outlineLevel="0" collapsed="false">
      <c r="A1526" s="63"/>
      <c r="B1526" s="63"/>
      <c r="C1526" s="63"/>
      <c r="D1526" s="63"/>
      <c r="E1526" s="63"/>
      <c r="F1526" s="28" t="str">
        <f aca="false">IF(C1526="","",IF(OR(C1526="1. bekkur",C1526="2. bekkur",C1526="3. bekkur",C1526="4. bekkur"),"Já",IF(C1526="Starfsmaður","Nei","Nei")))</f>
        <v/>
      </c>
      <c r="G1526" s="63"/>
      <c r="H1526" s="63"/>
      <c r="I1526" s="63"/>
      <c r="J1526" s="64" t="str">
        <f aca="false">IF(OR(A1526="",B1526=""),"",CONCATENATE("https://matarstund.is/serfaedi?id=",LOWER(SUBSTITUTE(B1526,"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64" t="str">
        <f aca="false">IF(OR(A1527="",B1527=""),"",CONCATENATE("https://matarstund.is/serfaedi?id=",LOWER(SUBSTITUTE(B1527," ","-"))))</f>
        <v/>
      </c>
    </row>
    <row r="1528" customFormat="false" ht="15" hidden="false" customHeight="true" outlineLevel="0" collapsed="false">
      <c r="A1528" s="63"/>
      <c r="B1528" s="63"/>
      <c r="C1528" s="63"/>
      <c r="D1528" s="63"/>
      <c r="E1528" s="63"/>
      <c r="F1528" s="28" t="str">
        <f aca="false">IF(C1528="","",IF(OR(C1528="1. bekkur",C1528="2. bekkur",C1528="3. bekkur",C1528="4. bekkur"),"Já",IF(C1528="Starfsmaður","Nei","Nei")))</f>
        <v/>
      </c>
      <c r="G1528" s="63"/>
      <c r="H1528" s="63"/>
      <c r="I1528" s="63"/>
      <c r="J1528" s="64" t="str">
        <f aca="false">IF(OR(A1528="",B1528=""),"",CONCATENATE("https://matarstund.is/serfaedi?id=",LOWER(SUBSTITUTE(B1528,"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64" t="str">
        <f aca="false">IF(OR(A1529="",B1529=""),"",CONCATENATE("https://matarstund.is/serfaedi?id=",LOWER(SUBSTITUTE(B1529," ","-"))))</f>
        <v/>
      </c>
    </row>
    <row r="1530" customFormat="false" ht="15" hidden="false" customHeight="true" outlineLevel="0" collapsed="false">
      <c r="A1530" s="63"/>
      <c r="B1530" s="63"/>
      <c r="C1530" s="63"/>
      <c r="D1530" s="63"/>
      <c r="E1530" s="63"/>
      <c r="F1530" s="28" t="str">
        <f aca="false">IF(C1530="","",IF(OR(C1530="1. bekkur",C1530="2. bekkur",C1530="3. bekkur",C1530="4. bekkur"),"Já",IF(C1530="Starfsmaður","Nei","Nei")))</f>
        <v/>
      </c>
      <c r="G1530" s="63"/>
      <c r="H1530" s="63"/>
      <c r="I1530" s="63"/>
      <c r="J1530" s="64" t="str">
        <f aca="false">IF(OR(A1530="",B1530=""),"",CONCATENATE("https://matarstund.is/serfaedi?id=",LOWER(SUBSTITUTE(B1530,"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64" t="str">
        <f aca="false">IF(OR(A1531="",B1531=""),"",CONCATENATE("https://matarstund.is/serfaedi?id=",LOWER(SUBSTITUTE(B1531," ","-"))))</f>
        <v/>
      </c>
    </row>
    <row r="1532" customFormat="false" ht="15" hidden="false" customHeight="true" outlineLevel="0" collapsed="false">
      <c r="A1532" s="63"/>
      <c r="B1532" s="63"/>
      <c r="C1532" s="63"/>
      <c r="D1532" s="63"/>
      <c r="E1532" s="63"/>
      <c r="F1532" s="28" t="str">
        <f aca="false">IF(C1532="","",IF(OR(C1532="1. bekkur",C1532="2. bekkur",C1532="3. bekkur",C1532="4. bekkur"),"Já",IF(C1532="Starfsmaður","Nei","Nei")))</f>
        <v/>
      </c>
      <c r="G1532" s="63"/>
      <c r="H1532" s="63"/>
      <c r="I1532" s="63"/>
      <c r="J1532" s="64" t="str">
        <f aca="false">IF(OR(A1532="",B1532=""),"",CONCATENATE("https://matarstund.is/serfaedi?id=",LOWER(SUBSTITUTE(B1532,"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64" t="str">
        <f aca="false">IF(OR(A1533="",B1533=""),"",CONCATENATE("https://matarstund.is/serfaedi?id=",LOWER(SUBSTITUTE(B1533," ","-"))))</f>
        <v/>
      </c>
    </row>
    <row r="1534" customFormat="false" ht="15" hidden="false" customHeight="true" outlineLevel="0" collapsed="false">
      <c r="A1534" s="63"/>
      <c r="B1534" s="63"/>
      <c r="C1534" s="63"/>
      <c r="D1534" s="63"/>
      <c r="E1534" s="63"/>
      <c r="F1534" s="28" t="str">
        <f aca="false">IF(C1534="","",IF(OR(C1534="1. bekkur",C1534="2. bekkur",C1534="3. bekkur",C1534="4. bekkur"),"Já",IF(C1534="Starfsmaður","Nei","Nei")))</f>
        <v/>
      </c>
      <c r="G1534" s="63"/>
      <c r="H1534" s="63"/>
      <c r="I1534" s="63"/>
      <c r="J1534" s="64" t="str">
        <f aca="false">IF(OR(A1534="",B1534=""),"",CONCATENATE("https://matarstund.is/serfaedi?id=",LOWER(SUBSTITUTE(B1534,"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64" t="str">
        <f aca="false">IF(OR(A1535="",B1535=""),"",CONCATENATE("https://matarstund.is/serfaedi?id=",LOWER(SUBSTITUTE(B1535," ","-"))))</f>
        <v/>
      </c>
    </row>
    <row r="1536" customFormat="false" ht="15" hidden="false" customHeight="true" outlineLevel="0" collapsed="false">
      <c r="A1536" s="63"/>
      <c r="B1536" s="63"/>
      <c r="C1536" s="63"/>
      <c r="D1536" s="63"/>
      <c r="E1536" s="63"/>
      <c r="F1536" s="28" t="str">
        <f aca="false">IF(C1536="","",IF(OR(C1536="1. bekkur",C1536="2. bekkur",C1536="3. bekkur",C1536="4. bekkur"),"Já",IF(C1536="Starfsmaður","Nei","Nei")))</f>
        <v/>
      </c>
      <c r="G1536" s="63"/>
      <c r="H1536" s="63"/>
      <c r="I1536" s="63"/>
      <c r="J1536" s="64" t="str">
        <f aca="false">IF(OR(A1536="",B1536=""),"",CONCATENATE("https://matarstund.is/serfaedi?id=",LOWER(SUBSTITUTE(B1536,"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64" t="str">
        <f aca="false">IF(OR(A1537="",B1537=""),"",CONCATENATE("https://matarstund.is/serfaedi?id=",LOWER(SUBSTITUTE(B1537," ","-"))))</f>
        <v/>
      </c>
    </row>
    <row r="1538" customFormat="false" ht="15" hidden="false" customHeight="true" outlineLevel="0" collapsed="false">
      <c r="A1538" s="63"/>
      <c r="B1538" s="63"/>
      <c r="C1538" s="63"/>
      <c r="D1538" s="63"/>
      <c r="E1538" s="63"/>
      <c r="F1538" s="28" t="str">
        <f aca="false">IF(C1538="","",IF(OR(C1538="1. bekkur",C1538="2. bekkur",C1538="3. bekkur",C1538="4. bekkur"),"Já",IF(C1538="Starfsmaður","Nei","Nei")))</f>
        <v/>
      </c>
      <c r="G1538" s="63"/>
      <c r="H1538" s="63"/>
      <c r="I1538" s="63"/>
      <c r="J1538" s="64" t="str">
        <f aca="false">IF(OR(A1538="",B1538=""),"",CONCATENATE("https://matarstund.is/serfaedi?id=",LOWER(SUBSTITUTE(B1538,"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64" t="str">
        <f aca="false">IF(OR(A1539="",B1539=""),"",CONCATENATE("https://matarstund.is/serfaedi?id=",LOWER(SUBSTITUTE(B1539," ","-"))))</f>
        <v/>
      </c>
    </row>
    <row r="1540" customFormat="false" ht="15" hidden="false" customHeight="true" outlineLevel="0" collapsed="false">
      <c r="A1540" s="63"/>
      <c r="B1540" s="63"/>
      <c r="C1540" s="63"/>
      <c r="D1540" s="63"/>
      <c r="E1540" s="63"/>
      <c r="F1540" s="28" t="str">
        <f aca="false">IF(C1540="","",IF(OR(C1540="1. bekkur",C1540="2. bekkur",C1540="3. bekkur",C1540="4. bekkur"),"Já",IF(C1540="Starfsmaður","Nei","Nei")))</f>
        <v/>
      </c>
      <c r="G1540" s="63"/>
      <c r="H1540" s="63"/>
      <c r="I1540" s="63"/>
      <c r="J1540" s="64" t="str">
        <f aca="false">IF(OR(A1540="",B1540=""),"",CONCATENATE("https://matarstund.is/serfaedi?id=",LOWER(SUBSTITUTE(B1540,"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64" t="str">
        <f aca="false">IF(OR(A1541="",B1541=""),"",CONCATENATE("https://matarstund.is/serfaedi?id=",LOWER(SUBSTITUTE(B1541," ","-"))))</f>
        <v/>
      </c>
    </row>
    <row r="1542" customFormat="false" ht="15" hidden="false" customHeight="true" outlineLevel="0" collapsed="false">
      <c r="A1542" s="63"/>
      <c r="B1542" s="63"/>
      <c r="C1542" s="63"/>
      <c r="D1542" s="63"/>
      <c r="E1542" s="63"/>
      <c r="F1542" s="28" t="str">
        <f aca="false">IF(C1542="","",IF(OR(C1542="1. bekkur",C1542="2. bekkur",C1542="3. bekkur",C1542="4. bekkur"),"Já",IF(C1542="Starfsmaður","Nei","Nei")))</f>
        <v/>
      </c>
      <c r="G1542" s="63"/>
      <c r="H1542" s="63"/>
      <c r="I1542" s="63"/>
      <c r="J1542" s="64" t="str">
        <f aca="false">IF(OR(A1542="",B1542=""),"",CONCATENATE("https://matarstund.is/serfaedi?id=",LOWER(SUBSTITUTE(B1542,"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64" t="str">
        <f aca="false">IF(OR(A1543="",B1543=""),"",CONCATENATE("https://matarstund.is/serfaedi?id=",LOWER(SUBSTITUTE(B1543," ","-"))))</f>
        <v/>
      </c>
    </row>
    <row r="1544" customFormat="false" ht="15" hidden="false" customHeight="true" outlineLevel="0" collapsed="false">
      <c r="A1544" s="63"/>
      <c r="B1544" s="63"/>
      <c r="C1544" s="63"/>
      <c r="D1544" s="63"/>
      <c r="E1544" s="63"/>
      <c r="F1544" s="28" t="str">
        <f aca="false">IF(C1544="","",IF(OR(C1544="1. bekkur",C1544="2. bekkur",C1544="3. bekkur",C1544="4. bekkur"),"Já",IF(C1544="Starfsmaður","Nei","Nei")))</f>
        <v/>
      </c>
      <c r="G1544" s="63"/>
      <c r="H1544" s="63"/>
      <c r="I1544" s="63"/>
      <c r="J1544" s="64" t="str">
        <f aca="false">IF(OR(A1544="",B1544=""),"",CONCATENATE("https://matarstund.is/serfaedi?id=",LOWER(SUBSTITUTE(B1544,"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64" t="str">
        <f aca="false">IF(OR(A1545="",B1545=""),"",CONCATENATE("https://matarstund.is/serfaedi?id=",LOWER(SUBSTITUTE(B1545," ","-"))))</f>
        <v/>
      </c>
    </row>
    <row r="1546" customFormat="false" ht="15" hidden="false" customHeight="true" outlineLevel="0" collapsed="false">
      <c r="A1546" s="63"/>
      <c r="B1546" s="63"/>
      <c r="C1546" s="63"/>
      <c r="D1546" s="63"/>
      <c r="E1546" s="63"/>
      <c r="F1546" s="28" t="str">
        <f aca="false">IF(C1546="","",IF(OR(C1546="1. bekkur",C1546="2. bekkur",C1546="3. bekkur",C1546="4. bekkur"),"Já",IF(C1546="Starfsmaður","Nei","Nei")))</f>
        <v/>
      </c>
      <c r="G1546" s="63"/>
      <c r="H1546" s="63"/>
      <c r="I1546" s="63"/>
      <c r="J1546" s="64" t="str">
        <f aca="false">IF(OR(A1546="",B1546=""),"",CONCATENATE("https://matarstund.is/serfaedi?id=",LOWER(SUBSTITUTE(B1546,"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64" t="str">
        <f aca="false">IF(OR(A1547="",B1547=""),"",CONCATENATE("https://matarstund.is/serfaedi?id=",LOWER(SUBSTITUTE(B1547," ","-"))))</f>
        <v/>
      </c>
    </row>
    <row r="1548" customFormat="false" ht="15" hidden="false" customHeight="true" outlineLevel="0" collapsed="false">
      <c r="A1548" s="63"/>
      <c r="B1548" s="63"/>
      <c r="C1548" s="63"/>
      <c r="D1548" s="63"/>
      <c r="E1548" s="63"/>
      <c r="F1548" s="28" t="str">
        <f aca="false">IF(C1548="","",IF(OR(C1548="1. bekkur",C1548="2. bekkur",C1548="3. bekkur",C1548="4. bekkur"),"Já",IF(C1548="Starfsmaður","Nei","Nei")))</f>
        <v/>
      </c>
      <c r="G1548" s="63"/>
      <c r="H1548" s="63"/>
      <c r="I1548" s="63"/>
      <c r="J1548" s="64" t="str">
        <f aca="false">IF(OR(A1548="",B1548=""),"",CONCATENATE("https://matarstund.is/serfaedi?id=",LOWER(SUBSTITUTE(B1548,"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64" t="str">
        <f aca="false">IF(OR(A1549="",B1549=""),"",CONCATENATE("https://matarstund.is/serfaedi?id=",LOWER(SUBSTITUTE(B1549," ","-"))))</f>
        <v/>
      </c>
    </row>
    <row r="1550" customFormat="false" ht="15" hidden="false" customHeight="true" outlineLevel="0" collapsed="false">
      <c r="A1550" s="63"/>
      <c r="B1550" s="63"/>
      <c r="C1550" s="63"/>
      <c r="D1550" s="63"/>
      <c r="E1550" s="63"/>
      <c r="F1550" s="28" t="str">
        <f aca="false">IF(C1550="","",IF(OR(C1550="1. bekkur",C1550="2. bekkur",C1550="3. bekkur",C1550="4. bekkur"),"Já",IF(C1550="Starfsmaður","Nei","Nei")))</f>
        <v/>
      </c>
      <c r="G1550" s="63"/>
      <c r="H1550" s="63"/>
      <c r="I1550" s="63"/>
      <c r="J1550" s="64" t="str">
        <f aca="false">IF(OR(A1550="",B1550=""),"",CONCATENATE("https://matarstund.is/serfaedi?id=",LOWER(SUBSTITUTE(B1550,"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64" t="str">
        <f aca="false">IF(OR(A1551="",B1551=""),"",CONCATENATE("https://matarstund.is/serfaedi?id=",LOWER(SUBSTITUTE(B1551," ","-"))))</f>
        <v/>
      </c>
    </row>
    <row r="1552" customFormat="false" ht="15" hidden="false" customHeight="true" outlineLevel="0" collapsed="false">
      <c r="A1552" s="63"/>
      <c r="B1552" s="63"/>
      <c r="C1552" s="63"/>
      <c r="D1552" s="63"/>
      <c r="E1552" s="63"/>
      <c r="F1552" s="28" t="str">
        <f aca="false">IF(C1552="","",IF(OR(C1552="1. bekkur",C1552="2. bekkur",C1552="3. bekkur",C1552="4. bekkur"),"Já",IF(C1552="Starfsmaður","Nei","Nei")))</f>
        <v/>
      </c>
      <c r="G1552" s="63"/>
      <c r="H1552" s="63"/>
      <c r="I1552" s="63"/>
      <c r="J1552" s="64" t="str">
        <f aca="false">IF(OR(A1552="",B1552=""),"",CONCATENATE("https://matarstund.is/serfaedi?id=",LOWER(SUBSTITUTE(B1552,"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64" t="str">
        <f aca="false">IF(OR(A1553="",B1553=""),"",CONCATENATE("https://matarstund.is/serfaedi?id=",LOWER(SUBSTITUTE(B1553," ","-"))))</f>
        <v/>
      </c>
    </row>
    <row r="1554" customFormat="false" ht="15" hidden="false" customHeight="true" outlineLevel="0" collapsed="false">
      <c r="A1554" s="63"/>
      <c r="B1554" s="63"/>
      <c r="C1554" s="63"/>
      <c r="D1554" s="63"/>
      <c r="E1554" s="63"/>
      <c r="F1554" s="28" t="str">
        <f aca="false">IF(C1554="","",IF(OR(C1554="1. bekkur",C1554="2. bekkur",C1554="3. bekkur",C1554="4. bekkur"),"Já",IF(C1554="Starfsmaður","Nei","Nei")))</f>
        <v/>
      </c>
      <c r="G1554" s="63"/>
      <c r="H1554" s="63"/>
      <c r="I1554" s="63"/>
      <c r="J1554" s="64" t="str">
        <f aca="false">IF(OR(A1554="",B1554=""),"",CONCATENATE("https://matarstund.is/serfaedi?id=",LOWER(SUBSTITUTE(B1554,"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64" t="str">
        <f aca="false">IF(OR(A1555="",B1555=""),"",CONCATENATE("https://matarstund.is/serfaedi?id=",LOWER(SUBSTITUTE(B1555," ","-"))))</f>
        <v/>
      </c>
    </row>
    <row r="1556" customFormat="false" ht="15" hidden="false" customHeight="true" outlineLevel="0" collapsed="false">
      <c r="A1556" s="63"/>
      <c r="B1556" s="63"/>
      <c r="C1556" s="63"/>
      <c r="D1556" s="63"/>
      <c r="E1556" s="63"/>
      <c r="F1556" s="28" t="str">
        <f aca="false">IF(C1556="","",IF(OR(C1556="1. bekkur",C1556="2. bekkur",C1556="3. bekkur",C1556="4. bekkur"),"Já",IF(C1556="Starfsmaður","Nei","Nei")))</f>
        <v/>
      </c>
      <c r="G1556" s="63"/>
      <c r="H1556" s="63"/>
      <c r="I1556" s="63"/>
      <c r="J1556" s="64" t="str">
        <f aca="false">IF(OR(A1556="",B1556=""),"",CONCATENATE("https://matarstund.is/serfaedi?id=",LOWER(SUBSTITUTE(B1556,"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64" t="str">
        <f aca="false">IF(OR(A1557="",B1557=""),"",CONCATENATE("https://matarstund.is/serfaedi?id=",LOWER(SUBSTITUTE(B1557," ","-"))))</f>
        <v/>
      </c>
    </row>
    <row r="1558" customFormat="false" ht="15" hidden="false" customHeight="true" outlineLevel="0" collapsed="false">
      <c r="A1558" s="63"/>
      <c r="B1558" s="63"/>
      <c r="C1558" s="63"/>
      <c r="D1558" s="63"/>
      <c r="E1558" s="63"/>
      <c r="F1558" s="28" t="str">
        <f aca="false">IF(C1558="","",IF(OR(C1558="1. bekkur",C1558="2. bekkur",C1558="3. bekkur",C1558="4. bekkur"),"Já",IF(C1558="Starfsmaður","Nei","Nei")))</f>
        <v/>
      </c>
      <c r="G1558" s="63"/>
      <c r="H1558" s="63"/>
      <c r="I1558" s="63"/>
      <c r="J1558" s="64" t="str">
        <f aca="false">IF(OR(A1558="",B1558=""),"",CONCATENATE("https://matarstund.is/serfaedi?id=",LOWER(SUBSTITUTE(B1558,"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64" t="str">
        <f aca="false">IF(OR(A1559="",B1559=""),"",CONCATENATE("https://matarstund.is/serfaedi?id=",LOWER(SUBSTITUTE(B1559," ","-"))))</f>
        <v/>
      </c>
    </row>
    <row r="1560" customFormat="false" ht="15" hidden="false" customHeight="true" outlineLevel="0" collapsed="false">
      <c r="A1560" s="63"/>
      <c r="B1560" s="63"/>
      <c r="C1560" s="63"/>
      <c r="D1560" s="63"/>
      <c r="E1560" s="63"/>
      <c r="F1560" s="28" t="str">
        <f aca="false">IF(C1560="","",IF(OR(C1560="1. bekkur",C1560="2. bekkur",C1560="3. bekkur",C1560="4. bekkur"),"Já",IF(C1560="Starfsmaður","Nei","Nei")))</f>
        <v/>
      </c>
      <c r="G1560" s="63"/>
      <c r="H1560" s="63"/>
      <c r="I1560" s="63"/>
      <c r="J1560" s="64" t="str">
        <f aca="false">IF(OR(A1560="",B1560=""),"",CONCATENATE("https://matarstund.is/serfaedi?id=",LOWER(SUBSTITUTE(B1560,"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64" t="str">
        <f aca="false">IF(OR(A1561="",B1561=""),"",CONCATENATE("https://matarstund.is/serfaedi?id=",LOWER(SUBSTITUTE(B1561," ","-"))))</f>
        <v/>
      </c>
    </row>
    <row r="1562" customFormat="false" ht="15" hidden="false" customHeight="true" outlineLevel="0" collapsed="false">
      <c r="A1562" s="63"/>
      <c r="B1562" s="63"/>
      <c r="C1562" s="63"/>
      <c r="D1562" s="63"/>
      <c r="E1562" s="63"/>
      <c r="F1562" s="28" t="str">
        <f aca="false">IF(C1562="","",IF(OR(C1562="1. bekkur",C1562="2. bekkur",C1562="3. bekkur",C1562="4. bekkur"),"Já",IF(C1562="Starfsmaður","Nei","Nei")))</f>
        <v/>
      </c>
      <c r="G1562" s="63"/>
      <c r="H1562" s="63"/>
      <c r="I1562" s="63"/>
      <c r="J1562" s="64" t="str">
        <f aca="false">IF(OR(A1562="",B1562=""),"",CONCATENATE("https://matarstund.is/serfaedi?id=",LOWER(SUBSTITUTE(B1562,"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64" t="str">
        <f aca="false">IF(OR(A1563="",B1563=""),"",CONCATENATE("https://matarstund.is/serfaedi?id=",LOWER(SUBSTITUTE(B1563," ","-"))))</f>
        <v/>
      </c>
    </row>
    <row r="1564" customFormat="false" ht="15" hidden="false" customHeight="true" outlineLevel="0" collapsed="false">
      <c r="A1564" s="63"/>
      <c r="B1564" s="63"/>
      <c r="C1564" s="63"/>
      <c r="D1564" s="63"/>
      <c r="E1564" s="63"/>
      <c r="F1564" s="28" t="str">
        <f aca="false">IF(C1564="","",IF(OR(C1564="1. bekkur",C1564="2. bekkur",C1564="3. bekkur",C1564="4. bekkur"),"Já",IF(C1564="Starfsmaður","Nei","Nei")))</f>
        <v/>
      </c>
      <c r="G1564" s="63"/>
      <c r="H1564" s="63"/>
      <c r="I1564" s="63"/>
      <c r="J1564" s="64" t="str">
        <f aca="false">IF(OR(A1564="",B1564=""),"",CONCATENATE("https://matarstund.is/serfaedi?id=",LOWER(SUBSTITUTE(B1564,"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64" t="str">
        <f aca="false">IF(OR(A1565="",B1565=""),"",CONCATENATE("https://matarstund.is/serfaedi?id=",LOWER(SUBSTITUTE(B1565," ","-"))))</f>
        <v/>
      </c>
    </row>
    <row r="1566" customFormat="false" ht="15" hidden="false" customHeight="true" outlineLevel="0" collapsed="false">
      <c r="A1566" s="63"/>
      <c r="B1566" s="63"/>
      <c r="C1566" s="63"/>
      <c r="D1566" s="63"/>
      <c r="E1566" s="63"/>
      <c r="F1566" s="28" t="str">
        <f aca="false">IF(C1566="","",IF(OR(C1566="1. bekkur",C1566="2. bekkur",C1566="3. bekkur",C1566="4. bekkur"),"Já",IF(C1566="Starfsmaður","Nei","Nei")))</f>
        <v/>
      </c>
      <c r="G1566" s="63"/>
      <c r="H1566" s="63"/>
      <c r="I1566" s="63"/>
      <c r="J1566" s="64" t="str">
        <f aca="false">IF(OR(A1566="",B1566=""),"",CONCATENATE("https://matarstund.is/serfaedi?id=",LOWER(SUBSTITUTE(B1566,"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64" t="str">
        <f aca="false">IF(OR(A1567="",B1567=""),"",CONCATENATE("https://matarstund.is/serfaedi?id=",LOWER(SUBSTITUTE(B1567," ","-"))))</f>
        <v/>
      </c>
    </row>
    <row r="1568" customFormat="false" ht="15" hidden="false" customHeight="true" outlineLevel="0" collapsed="false">
      <c r="A1568" s="63"/>
      <c r="B1568" s="63"/>
      <c r="C1568" s="63"/>
      <c r="D1568" s="63"/>
      <c r="E1568" s="63"/>
      <c r="F1568" s="28" t="str">
        <f aca="false">IF(C1568="","",IF(OR(C1568="1. bekkur",C1568="2. bekkur",C1568="3. bekkur",C1568="4. bekkur"),"Já",IF(C1568="Starfsmaður","Nei","Nei")))</f>
        <v/>
      </c>
      <c r="G1568" s="63"/>
      <c r="H1568" s="63"/>
      <c r="I1568" s="63"/>
      <c r="J1568" s="64" t="str">
        <f aca="false">IF(OR(A1568="",B1568=""),"",CONCATENATE("https://matarstund.is/serfaedi?id=",LOWER(SUBSTITUTE(B1568,"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64" t="str">
        <f aca="false">IF(OR(A1569="",B1569=""),"",CONCATENATE("https://matarstund.is/serfaedi?id=",LOWER(SUBSTITUTE(B1569," ","-"))))</f>
        <v/>
      </c>
    </row>
    <row r="1570" customFormat="false" ht="15" hidden="false" customHeight="true" outlineLevel="0" collapsed="false">
      <c r="A1570" s="63"/>
      <c r="B1570" s="63"/>
      <c r="C1570" s="63"/>
      <c r="D1570" s="63"/>
      <c r="E1570" s="63"/>
      <c r="F1570" s="28" t="str">
        <f aca="false">IF(C1570="","",IF(OR(C1570="1. bekkur",C1570="2. bekkur",C1570="3. bekkur",C1570="4. bekkur"),"Já",IF(C1570="Starfsmaður","Nei","Nei")))</f>
        <v/>
      </c>
      <c r="G1570" s="63"/>
      <c r="H1570" s="63"/>
      <c r="I1570" s="63"/>
      <c r="J1570" s="64" t="str">
        <f aca="false">IF(OR(A1570="",B1570=""),"",CONCATENATE("https://matarstund.is/serfaedi?id=",LOWER(SUBSTITUTE(B1570,"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64" t="str">
        <f aca="false">IF(OR(A1571="",B1571=""),"",CONCATENATE("https://matarstund.is/serfaedi?id=",LOWER(SUBSTITUTE(B1571," ","-"))))</f>
        <v/>
      </c>
    </row>
    <row r="1572" customFormat="false" ht="15" hidden="false" customHeight="true" outlineLevel="0" collapsed="false">
      <c r="A1572" s="63"/>
      <c r="B1572" s="63"/>
      <c r="C1572" s="63"/>
      <c r="D1572" s="63"/>
      <c r="E1572" s="63"/>
      <c r="F1572" s="28" t="str">
        <f aca="false">IF(C1572="","",IF(OR(C1572="1. bekkur",C1572="2. bekkur",C1572="3. bekkur",C1572="4. bekkur"),"Já",IF(C1572="Starfsmaður","Nei","Nei")))</f>
        <v/>
      </c>
      <c r="G1572" s="63"/>
      <c r="H1572" s="63"/>
      <c r="I1572" s="63"/>
      <c r="J1572" s="64" t="str">
        <f aca="false">IF(OR(A1572="",B1572=""),"",CONCATENATE("https://matarstund.is/serfaedi?id=",LOWER(SUBSTITUTE(B1572,"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64" t="str">
        <f aca="false">IF(OR(A1573="",B1573=""),"",CONCATENATE("https://matarstund.is/serfaedi?id=",LOWER(SUBSTITUTE(B1573," ","-"))))</f>
        <v/>
      </c>
    </row>
    <row r="1574" customFormat="false" ht="15" hidden="false" customHeight="true" outlineLevel="0" collapsed="false">
      <c r="A1574" s="63"/>
      <c r="B1574" s="63"/>
      <c r="C1574" s="63"/>
      <c r="D1574" s="63"/>
      <c r="E1574" s="63"/>
      <c r="F1574" s="28" t="str">
        <f aca="false">IF(C1574="","",IF(OR(C1574="1. bekkur",C1574="2. bekkur",C1574="3. bekkur",C1574="4. bekkur"),"Já",IF(C1574="Starfsmaður","Nei","Nei")))</f>
        <v/>
      </c>
      <c r="G1574" s="63"/>
      <c r="H1574" s="63"/>
      <c r="I1574" s="63"/>
      <c r="J1574" s="64" t="str">
        <f aca="false">IF(OR(A1574="",B1574=""),"",CONCATENATE("https://matarstund.is/serfaedi?id=",LOWER(SUBSTITUTE(B1574,"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64" t="str">
        <f aca="false">IF(OR(A1575="",B1575=""),"",CONCATENATE("https://matarstund.is/serfaedi?id=",LOWER(SUBSTITUTE(B1575," ","-"))))</f>
        <v/>
      </c>
    </row>
    <row r="1576" customFormat="false" ht="15" hidden="false" customHeight="true" outlineLevel="0" collapsed="false">
      <c r="A1576" s="63"/>
      <c r="B1576" s="63"/>
      <c r="C1576" s="63"/>
      <c r="D1576" s="63"/>
      <c r="E1576" s="63"/>
      <c r="F1576" s="28" t="str">
        <f aca="false">IF(C1576="","",IF(OR(C1576="1. bekkur",C1576="2. bekkur",C1576="3. bekkur",C1576="4. bekkur"),"Já",IF(C1576="Starfsmaður","Nei","Nei")))</f>
        <v/>
      </c>
      <c r="G1576" s="63"/>
      <c r="H1576" s="63"/>
      <c r="I1576" s="63"/>
      <c r="J1576" s="64" t="str">
        <f aca="false">IF(OR(A1576="",B1576=""),"",CONCATENATE("https://matarstund.is/serfaedi?id=",LOWER(SUBSTITUTE(B1576,"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64" t="str">
        <f aca="false">IF(OR(A1577="",B1577=""),"",CONCATENATE("https://matarstund.is/serfaedi?id=",LOWER(SUBSTITUTE(B1577," ","-"))))</f>
        <v/>
      </c>
    </row>
    <row r="1578" customFormat="false" ht="15" hidden="false" customHeight="true" outlineLevel="0" collapsed="false">
      <c r="A1578" s="63"/>
      <c r="B1578" s="63"/>
      <c r="C1578" s="63"/>
      <c r="D1578" s="63"/>
      <c r="E1578" s="63"/>
      <c r="F1578" s="28" t="str">
        <f aca="false">IF(C1578="","",IF(OR(C1578="1. bekkur",C1578="2. bekkur",C1578="3. bekkur",C1578="4. bekkur"),"Já",IF(C1578="Starfsmaður","Nei","Nei")))</f>
        <v/>
      </c>
      <c r="G1578" s="63"/>
      <c r="H1578" s="63"/>
      <c r="I1578" s="63"/>
      <c r="J1578" s="64" t="str">
        <f aca="false">IF(OR(A1578="",B1578=""),"",CONCATENATE("https://matarstund.is/serfaedi?id=",LOWER(SUBSTITUTE(B1578,"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64" t="str">
        <f aca="false">IF(OR(A1579="",B1579=""),"",CONCATENATE("https://matarstund.is/serfaedi?id=",LOWER(SUBSTITUTE(B1579," ","-"))))</f>
        <v/>
      </c>
    </row>
    <row r="1580" customFormat="false" ht="15" hidden="false" customHeight="true" outlineLevel="0" collapsed="false">
      <c r="A1580" s="63"/>
      <c r="B1580" s="63"/>
      <c r="C1580" s="63"/>
      <c r="D1580" s="63"/>
      <c r="E1580" s="63"/>
      <c r="F1580" s="28" t="str">
        <f aca="false">IF(C1580="","",IF(OR(C1580="1. bekkur",C1580="2. bekkur",C1580="3. bekkur",C1580="4. bekkur"),"Já",IF(C1580="Starfsmaður","Nei","Nei")))</f>
        <v/>
      </c>
      <c r="G1580" s="63"/>
      <c r="H1580" s="63"/>
      <c r="I1580" s="63"/>
      <c r="J1580" s="64" t="str">
        <f aca="false">IF(OR(A1580="",B1580=""),"",CONCATENATE("https://matarstund.is/serfaedi?id=",LOWER(SUBSTITUTE(B1580,"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64" t="str">
        <f aca="false">IF(OR(A1581="",B1581=""),"",CONCATENATE("https://matarstund.is/serfaedi?id=",LOWER(SUBSTITUTE(B1581," ","-"))))</f>
        <v/>
      </c>
    </row>
    <row r="1582" customFormat="false" ht="15" hidden="false" customHeight="true" outlineLevel="0" collapsed="false">
      <c r="A1582" s="63"/>
      <c r="B1582" s="63"/>
      <c r="C1582" s="63"/>
      <c r="D1582" s="63"/>
      <c r="E1582" s="63"/>
      <c r="F1582" s="28" t="str">
        <f aca="false">IF(C1582="","",IF(OR(C1582="1. bekkur",C1582="2. bekkur",C1582="3. bekkur",C1582="4. bekkur"),"Já",IF(C1582="Starfsmaður","Nei","Nei")))</f>
        <v/>
      </c>
      <c r="G1582" s="63"/>
      <c r="H1582" s="63"/>
      <c r="I1582" s="63"/>
      <c r="J1582" s="64" t="str">
        <f aca="false">IF(OR(A1582="",B1582=""),"",CONCATENATE("https://matarstund.is/serfaedi?id=",LOWER(SUBSTITUTE(B1582,"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64" t="str">
        <f aca="false">IF(OR(A1583="",B1583=""),"",CONCATENATE("https://matarstund.is/serfaedi?id=",LOWER(SUBSTITUTE(B1583," ","-"))))</f>
        <v/>
      </c>
    </row>
    <row r="1584" customFormat="false" ht="15" hidden="false" customHeight="true" outlineLevel="0" collapsed="false">
      <c r="A1584" s="63"/>
      <c r="B1584" s="63"/>
      <c r="C1584" s="63"/>
      <c r="D1584" s="63"/>
      <c r="E1584" s="63"/>
      <c r="F1584" s="28" t="str">
        <f aca="false">IF(C1584="","",IF(OR(C1584="1. bekkur",C1584="2. bekkur",C1584="3. bekkur",C1584="4. bekkur"),"Já",IF(C1584="Starfsmaður","Nei","Nei")))</f>
        <v/>
      </c>
      <c r="G1584" s="63"/>
      <c r="H1584" s="63"/>
      <c r="I1584" s="63"/>
      <c r="J1584" s="64" t="str">
        <f aca="false">IF(OR(A1584="",B1584=""),"",CONCATENATE("https://matarstund.is/serfaedi?id=",LOWER(SUBSTITUTE(B1584,"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64" t="str">
        <f aca="false">IF(OR(A1585="",B1585=""),"",CONCATENATE("https://matarstund.is/serfaedi?id=",LOWER(SUBSTITUTE(B1585," ","-"))))</f>
        <v/>
      </c>
    </row>
    <row r="1586" customFormat="false" ht="15" hidden="false" customHeight="true" outlineLevel="0" collapsed="false">
      <c r="A1586" s="63"/>
      <c r="B1586" s="63"/>
      <c r="C1586" s="63"/>
      <c r="D1586" s="63"/>
      <c r="E1586" s="63"/>
      <c r="F1586" s="28" t="str">
        <f aca="false">IF(C1586="","",IF(OR(C1586="1. bekkur",C1586="2. bekkur",C1586="3. bekkur",C1586="4. bekkur"),"Já",IF(C1586="Starfsmaður","Nei","Nei")))</f>
        <v/>
      </c>
      <c r="G1586" s="63"/>
      <c r="H1586" s="63"/>
      <c r="I1586" s="63"/>
      <c r="J1586" s="64" t="str">
        <f aca="false">IF(OR(A1586="",B1586=""),"",CONCATENATE("https://matarstund.is/serfaedi?id=",LOWER(SUBSTITUTE(B1586,"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64" t="str">
        <f aca="false">IF(OR(A1587="",B1587=""),"",CONCATENATE("https://matarstund.is/serfaedi?id=",LOWER(SUBSTITUTE(B1587," ","-"))))</f>
        <v/>
      </c>
    </row>
    <row r="1588" customFormat="false" ht="15" hidden="false" customHeight="true" outlineLevel="0" collapsed="false">
      <c r="A1588" s="63"/>
      <c r="B1588" s="63"/>
      <c r="C1588" s="63"/>
      <c r="D1588" s="63"/>
      <c r="E1588" s="63"/>
      <c r="F1588" s="28" t="str">
        <f aca="false">IF(C1588="","",IF(OR(C1588="1. bekkur",C1588="2. bekkur",C1588="3. bekkur",C1588="4. bekkur"),"Já",IF(C1588="Starfsmaður","Nei","Nei")))</f>
        <v/>
      </c>
      <c r="G1588" s="63"/>
      <c r="H1588" s="63"/>
      <c r="I1588" s="63"/>
      <c r="J1588" s="64" t="str">
        <f aca="false">IF(OR(A1588="",B1588=""),"",CONCATENATE("https://matarstund.is/serfaedi?id=",LOWER(SUBSTITUTE(B1588,"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64" t="str">
        <f aca="false">IF(OR(A1589="",B1589=""),"",CONCATENATE("https://matarstund.is/serfaedi?id=",LOWER(SUBSTITUTE(B1589," ","-"))))</f>
        <v/>
      </c>
    </row>
    <row r="1590" customFormat="false" ht="15" hidden="false" customHeight="true" outlineLevel="0" collapsed="false">
      <c r="A1590" s="63"/>
      <c r="B1590" s="63"/>
      <c r="C1590" s="63"/>
      <c r="D1590" s="63"/>
      <c r="E1590" s="63"/>
      <c r="F1590" s="28" t="str">
        <f aca="false">IF(C1590="","",IF(OR(C1590="1. bekkur",C1590="2. bekkur",C1590="3. bekkur",C1590="4. bekkur"),"Já",IF(C1590="Starfsmaður","Nei","Nei")))</f>
        <v/>
      </c>
      <c r="G1590" s="63"/>
      <c r="H1590" s="63"/>
      <c r="I1590" s="63"/>
      <c r="J1590" s="64" t="str">
        <f aca="false">IF(OR(A1590="",B1590=""),"",CONCATENATE("https://matarstund.is/serfaedi?id=",LOWER(SUBSTITUTE(B1590,"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64" t="str">
        <f aca="false">IF(OR(A1591="",B1591=""),"",CONCATENATE("https://matarstund.is/serfaedi?id=",LOWER(SUBSTITUTE(B1591," ","-"))))</f>
        <v/>
      </c>
    </row>
    <row r="1592" customFormat="false" ht="15" hidden="false" customHeight="true" outlineLevel="0" collapsed="false">
      <c r="A1592" s="63"/>
      <c r="B1592" s="63"/>
      <c r="C1592" s="63"/>
      <c r="D1592" s="63"/>
      <c r="E1592" s="63"/>
      <c r="F1592" s="28" t="str">
        <f aca="false">IF(C1592="","",IF(OR(C1592="1. bekkur",C1592="2. bekkur",C1592="3. bekkur",C1592="4. bekkur"),"Já",IF(C1592="Starfsmaður","Nei","Nei")))</f>
        <v/>
      </c>
      <c r="G1592" s="63"/>
      <c r="H1592" s="63"/>
      <c r="I1592" s="63"/>
      <c r="J1592" s="64" t="str">
        <f aca="false">IF(OR(A1592="",B1592=""),"",CONCATENATE("https://matarstund.is/serfaedi?id=",LOWER(SUBSTITUTE(B1592,"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64" t="str">
        <f aca="false">IF(OR(A1593="",B1593=""),"",CONCATENATE("https://matarstund.is/serfaedi?id=",LOWER(SUBSTITUTE(B1593," ","-"))))</f>
        <v/>
      </c>
    </row>
    <row r="1594" customFormat="false" ht="15" hidden="false" customHeight="true" outlineLevel="0" collapsed="false">
      <c r="A1594" s="63"/>
      <c r="B1594" s="63"/>
      <c r="C1594" s="63"/>
      <c r="D1594" s="63"/>
      <c r="E1594" s="63"/>
      <c r="F1594" s="28" t="str">
        <f aca="false">IF(C1594="","",IF(OR(C1594="1. bekkur",C1594="2. bekkur",C1594="3. bekkur",C1594="4. bekkur"),"Já",IF(C1594="Starfsmaður","Nei","Nei")))</f>
        <v/>
      </c>
      <c r="G1594" s="63"/>
      <c r="H1594" s="63"/>
      <c r="I1594" s="63"/>
      <c r="J1594" s="64" t="str">
        <f aca="false">IF(OR(A1594="",B1594=""),"",CONCATENATE("https://matarstund.is/serfaedi?id=",LOWER(SUBSTITUTE(B1594,"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64" t="str">
        <f aca="false">IF(OR(A1595="",B1595=""),"",CONCATENATE("https://matarstund.is/serfaedi?id=",LOWER(SUBSTITUTE(B1595," ","-"))))</f>
        <v/>
      </c>
    </row>
    <row r="1596" customFormat="false" ht="15" hidden="false" customHeight="true" outlineLevel="0" collapsed="false">
      <c r="A1596" s="63"/>
      <c r="B1596" s="63"/>
      <c r="C1596" s="63"/>
      <c r="D1596" s="63"/>
      <c r="E1596" s="63"/>
      <c r="F1596" s="28" t="str">
        <f aca="false">IF(C1596="","",IF(OR(C1596="1. bekkur",C1596="2. bekkur",C1596="3. bekkur",C1596="4. bekkur"),"Já",IF(C1596="Starfsmaður","Nei","Nei")))</f>
        <v/>
      </c>
      <c r="G1596" s="63"/>
      <c r="H1596" s="63"/>
      <c r="I1596" s="63"/>
      <c r="J1596" s="64" t="str">
        <f aca="false">IF(OR(A1596="",B1596=""),"",CONCATENATE("https://matarstund.is/serfaedi?id=",LOWER(SUBSTITUTE(B1596,"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64" t="str">
        <f aca="false">IF(OR(A1597="",B1597=""),"",CONCATENATE("https://matarstund.is/serfaedi?id=",LOWER(SUBSTITUTE(B1597," ","-"))))</f>
        <v/>
      </c>
    </row>
    <row r="1598" customFormat="false" ht="15" hidden="false" customHeight="true" outlineLevel="0" collapsed="false">
      <c r="A1598" s="63"/>
      <c r="B1598" s="63"/>
      <c r="C1598" s="63"/>
      <c r="D1598" s="63"/>
      <c r="E1598" s="63"/>
      <c r="F1598" s="28" t="str">
        <f aca="false">IF(C1598="","",IF(OR(C1598="1. bekkur",C1598="2. bekkur",C1598="3. bekkur",C1598="4. bekkur"),"Já",IF(C1598="Starfsmaður","Nei","Nei")))</f>
        <v/>
      </c>
      <c r="G1598" s="63"/>
      <c r="H1598" s="63"/>
      <c r="I1598" s="63"/>
      <c r="J1598" s="64" t="str">
        <f aca="false">IF(OR(A1598="",B1598=""),"",CONCATENATE("https://matarstund.is/serfaedi?id=",LOWER(SUBSTITUTE(B1598,"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64" t="str">
        <f aca="false">IF(OR(A1599="",B1599=""),"",CONCATENATE("https://matarstund.is/serfaedi?id=",LOWER(SUBSTITUTE(B1599," ","-"))))</f>
        <v/>
      </c>
    </row>
    <row r="1600" customFormat="false" ht="15" hidden="false" customHeight="true" outlineLevel="0" collapsed="false">
      <c r="A1600" s="63"/>
      <c r="B1600" s="63"/>
      <c r="C1600" s="63"/>
      <c r="D1600" s="63"/>
      <c r="E1600" s="63"/>
      <c r="F1600" s="28" t="str">
        <f aca="false">IF(C1600="","",IF(OR(C1600="1. bekkur",C1600="2. bekkur",C1600="3. bekkur",C1600="4. bekkur"),"Já",IF(C1600="Starfsmaður","Nei","Nei")))</f>
        <v/>
      </c>
      <c r="G1600" s="63"/>
      <c r="H1600" s="63"/>
      <c r="I1600" s="63"/>
      <c r="J1600" s="64" t="str">
        <f aca="false">IF(OR(A1600="",B1600=""),"",CONCATENATE("https://matarstund.is/serfaedi?id=",LOWER(SUBSTITUTE(B1600,"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64" t="str">
        <f aca="false">IF(OR(A1601="",B1601=""),"",CONCATENATE("https://matarstund.is/serfaedi?id=",LOWER(SUBSTITUTE(B1601," ","-"))))</f>
        <v/>
      </c>
    </row>
    <row r="1602" customFormat="false" ht="15" hidden="false" customHeight="true" outlineLevel="0" collapsed="false">
      <c r="A1602" s="63"/>
      <c r="B1602" s="63"/>
      <c r="C1602" s="63"/>
      <c r="D1602" s="63"/>
      <c r="E1602" s="63"/>
      <c r="F1602" s="28" t="str">
        <f aca="false">IF(C1602="","",IF(OR(C1602="1. bekkur",C1602="2. bekkur",C1602="3. bekkur",C1602="4. bekkur"),"Já",IF(C1602="Starfsmaður","Nei","Nei")))</f>
        <v/>
      </c>
      <c r="G1602" s="63"/>
      <c r="H1602" s="63"/>
      <c r="I1602" s="63"/>
      <c r="J1602" s="64" t="str">
        <f aca="false">IF(OR(A1602="",B1602=""),"",CONCATENATE("https://matarstund.is/serfaedi?id=",LOWER(SUBSTITUTE(B1602,"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64" t="str">
        <f aca="false">IF(OR(A1603="",B1603=""),"",CONCATENATE("https://matarstund.is/serfaedi?id=",LOWER(SUBSTITUTE(B1603," ","-"))))</f>
        <v/>
      </c>
    </row>
    <row r="1604" customFormat="false" ht="15" hidden="false" customHeight="true" outlineLevel="0" collapsed="false">
      <c r="A1604" s="63"/>
      <c r="B1604" s="63"/>
      <c r="C1604" s="63"/>
      <c r="D1604" s="63"/>
      <c r="E1604" s="63"/>
      <c r="F1604" s="28" t="str">
        <f aca="false">IF(C1604="","",IF(OR(C1604="1. bekkur",C1604="2. bekkur",C1604="3. bekkur",C1604="4. bekkur"),"Já",IF(C1604="Starfsmaður","Nei","Nei")))</f>
        <v/>
      </c>
      <c r="G1604" s="63"/>
      <c r="H1604" s="63"/>
      <c r="I1604" s="63"/>
      <c r="J1604" s="64" t="str">
        <f aca="false">IF(OR(A1604="",B1604=""),"",CONCATENATE("https://matarstund.is/serfaedi?id=",LOWER(SUBSTITUTE(B1604,"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64" t="str">
        <f aca="false">IF(OR(A1605="",B1605=""),"",CONCATENATE("https://matarstund.is/serfaedi?id=",LOWER(SUBSTITUTE(B1605," ","-"))))</f>
        <v/>
      </c>
    </row>
    <row r="1606" customFormat="false" ht="15" hidden="false" customHeight="true" outlineLevel="0" collapsed="false">
      <c r="A1606" s="63"/>
      <c r="B1606" s="63"/>
      <c r="C1606" s="63"/>
      <c r="D1606" s="63"/>
      <c r="E1606" s="63"/>
      <c r="F1606" s="28" t="str">
        <f aca="false">IF(C1606="","",IF(OR(C1606="1. bekkur",C1606="2. bekkur",C1606="3. bekkur",C1606="4. bekkur"),"Já",IF(C1606="Starfsmaður","Nei","Nei")))</f>
        <v/>
      </c>
      <c r="G1606" s="63"/>
      <c r="H1606" s="63"/>
      <c r="I1606" s="63"/>
      <c r="J1606" s="64" t="str">
        <f aca="false">IF(OR(A1606="",B1606=""),"",CONCATENATE("https://matarstund.is/serfaedi?id=",LOWER(SUBSTITUTE(B1606,"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64" t="str">
        <f aca="false">IF(OR(A1607="",B1607=""),"",CONCATENATE("https://matarstund.is/serfaedi?id=",LOWER(SUBSTITUTE(B1607," ","-"))))</f>
        <v/>
      </c>
    </row>
    <row r="1608" customFormat="false" ht="15" hidden="false" customHeight="true" outlineLevel="0" collapsed="false">
      <c r="A1608" s="63"/>
      <c r="B1608" s="63"/>
      <c r="C1608" s="63"/>
      <c r="D1608" s="63"/>
      <c r="E1608" s="63"/>
      <c r="F1608" s="28" t="str">
        <f aca="false">IF(C1608="","",IF(OR(C1608="1. bekkur",C1608="2. bekkur",C1608="3. bekkur",C1608="4. bekkur"),"Já",IF(C1608="Starfsmaður","Nei","Nei")))</f>
        <v/>
      </c>
      <c r="G1608" s="63"/>
      <c r="H1608" s="63"/>
      <c r="I1608" s="63"/>
      <c r="J1608" s="64" t="str">
        <f aca="false">IF(OR(A1608="",B1608=""),"",CONCATENATE("https://matarstund.is/serfaedi?id=",LOWER(SUBSTITUTE(B1608,"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64" t="str">
        <f aca="false">IF(OR(A1609="",B1609=""),"",CONCATENATE("https://matarstund.is/serfaedi?id=",LOWER(SUBSTITUTE(B1609," ","-"))))</f>
        <v/>
      </c>
    </row>
    <row r="1610" customFormat="false" ht="15" hidden="false" customHeight="true" outlineLevel="0" collapsed="false">
      <c r="A1610" s="63"/>
      <c r="B1610" s="63"/>
      <c r="C1610" s="63"/>
      <c r="D1610" s="63"/>
      <c r="E1610" s="63"/>
      <c r="F1610" s="28" t="str">
        <f aca="false">IF(C1610="","",IF(OR(C1610="1. bekkur",C1610="2. bekkur",C1610="3. bekkur",C1610="4. bekkur"),"Já",IF(C1610="Starfsmaður","Nei","Nei")))</f>
        <v/>
      </c>
      <c r="G1610" s="63"/>
      <c r="H1610" s="63"/>
      <c r="I1610" s="63"/>
      <c r="J1610" s="64" t="str">
        <f aca="false">IF(OR(A1610="",B1610=""),"",CONCATENATE("https://matarstund.is/serfaedi?id=",LOWER(SUBSTITUTE(B1610,"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64" t="str">
        <f aca="false">IF(OR(A1611="",B1611=""),"",CONCATENATE("https://matarstund.is/serfaedi?id=",LOWER(SUBSTITUTE(B1611," ","-"))))</f>
        <v/>
      </c>
    </row>
    <row r="1612" customFormat="false" ht="15" hidden="false" customHeight="true" outlineLevel="0" collapsed="false">
      <c r="A1612" s="63"/>
      <c r="B1612" s="63"/>
      <c r="C1612" s="63"/>
      <c r="D1612" s="63"/>
      <c r="E1612" s="63"/>
      <c r="F1612" s="28" t="str">
        <f aca="false">IF(C1612="","",IF(OR(C1612="1. bekkur",C1612="2. bekkur",C1612="3. bekkur",C1612="4. bekkur"),"Já",IF(C1612="Starfsmaður","Nei","Nei")))</f>
        <v/>
      </c>
      <c r="G1612" s="63"/>
      <c r="H1612" s="63"/>
      <c r="I1612" s="63"/>
      <c r="J1612" s="64" t="str">
        <f aca="false">IF(OR(A1612="",B1612=""),"",CONCATENATE("https://matarstund.is/serfaedi?id=",LOWER(SUBSTITUTE(B1612,"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64" t="str">
        <f aca="false">IF(OR(A1613="",B1613=""),"",CONCATENATE("https://matarstund.is/serfaedi?id=",LOWER(SUBSTITUTE(B1613," ","-"))))</f>
        <v/>
      </c>
    </row>
    <row r="1614" customFormat="false" ht="15" hidden="false" customHeight="true" outlineLevel="0" collapsed="false">
      <c r="A1614" s="63"/>
      <c r="B1614" s="63"/>
      <c r="C1614" s="63"/>
      <c r="D1614" s="63"/>
      <c r="E1614" s="63"/>
      <c r="F1614" s="28" t="str">
        <f aca="false">IF(C1614="","",IF(OR(C1614="1. bekkur",C1614="2. bekkur",C1614="3. bekkur",C1614="4. bekkur"),"Já",IF(C1614="Starfsmaður","Nei","Nei")))</f>
        <v/>
      </c>
      <c r="G1614" s="63"/>
      <c r="H1614" s="63"/>
      <c r="I1614" s="63"/>
      <c r="J1614" s="64" t="str">
        <f aca="false">IF(OR(A1614="",B1614=""),"",CONCATENATE("https://matarstund.is/serfaedi?id=",LOWER(SUBSTITUTE(B1614,"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64" t="str">
        <f aca="false">IF(OR(A1615="",B1615=""),"",CONCATENATE("https://matarstund.is/serfaedi?id=",LOWER(SUBSTITUTE(B1615," ","-"))))</f>
        <v/>
      </c>
    </row>
    <row r="1616" customFormat="false" ht="15" hidden="false" customHeight="true" outlineLevel="0" collapsed="false">
      <c r="A1616" s="63"/>
      <c r="B1616" s="63"/>
      <c r="C1616" s="63"/>
      <c r="D1616" s="63"/>
      <c r="E1616" s="63"/>
      <c r="F1616" s="28" t="str">
        <f aca="false">IF(C1616="","",IF(OR(C1616="1. bekkur",C1616="2. bekkur",C1616="3. bekkur",C1616="4. bekkur"),"Já",IF(C1616="Starfsmaður","Nei","Nei")))</f>
        <v/>
      </c>
      <c r="G1616" s="63"/>
      <c r="H1616" s="63"/>
      <c r="I1616" s="63"/>
      <c r="J1616" s="64" t="str">
        <f aca="false">IF(OR(A1616="",B1616=""),"",CONCATENATE("https://matarstund.is/serfaedi?id=",LOWER(SUBSTITUTE(B1616,"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64" t="str">
        <f aca="false">IF(OR(A1617="",B1617=""),"",CONCATENATE("https://matarstund.is/serfaedi?id=",LOWER(SUBSTITUTE(B1617," ","-"))))</f>
        <v/>
      </c>
    </row>
    <row r="1618" customFormat="false" ht="15" hidden="false" customHeight="true" outlineLevel="0" collapsed="false">
      <c r="A1618" s="63"/>
      <c r="B1618" s="63"/>
      <c r="C1618" s="63"/>
      <c r="D1618" s="63"/>
      <c r="E1618" s="63"/>
      <c r="F1618" s="28" t="str">
        <f aca="false">IF(C1618="","",IF(OR(C1618="1. bekkur",C1618="2. bekkur",C1618="3. bekkur",C1618="4. bekkur"),"Já",IF(C1618="Starfsmaður","Nei","Nei")))</f>
        <v/>
      </c>
      <c r="G1618" s="63"/>
      <c r="H1618" s="63"/>
      <c r="I1618" s="63"/>
      <c r="J1618" s="64" t="str">
        <f aca="false">IF(OR(A1618="",B1618=""),"",CONCATENATE("https://matarstund.is/serfaedi?id=",LOWER(SUBSTITUTE(B1618,"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64" t="str">
        <f aca="false">IF(OR(A1619="",B1619=""),"",CONCATENATE("https://matarstund.is/serfaedi?id=",LOWER(SUBSTITUTE(B1619," ","-"))))</f>
        <v/>
      </c>
    </row>
    <row r="1620" customFormat="false" ht="15" hidden="false" customHeight="true" outlineLevel="0" collapsed="false">
      <c r="A1620" s="63"/>
      <c r="B1620" s="63"/>
      <c r="C1620" s="63"/>
      <c r="D1620" s="63"/>
      <c r="E1620" s="63"/>
      <c r="F1620" s="28" t="str">
        <f aca="false">IF(C1620="","",IF(OR(C1620="1. bekkur",C1620="2. bekkur",C1620="3. bekkur",C1620="4. bekkur"),"Já",IF(C1620="Starfsmaður","Nei","Nei")))</f>
        <v/>
      </c>
      <c r="G1620" s="63"/>
      <c r="H1620" s="63"/>
      <c r="I1620" s="63"/>
      <c r="J1620" s="64" t="str">
        <f aca="false">IF(OR(A1620="",B1620=""),"",CONCATENATE("https://matarstund.is/serfaedi?id=",LOWER(SUBSTITUTE(B1620,"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64" t="str">
        <f aca="false">IF(OR(A1621="",B1621=""),"",CONCATENATE("https://matarstund.is/serfaedi?id=",LOWER(SUBSTITUTE(B1621," ","-"))))</f>
        <v/>
      </c>
    </row>
    <row r="1622" customFormat="false" ht="15" hidden="false" customHeight="true" outlineLevel="0" collapsed="false">
      <c r="A1622" s="63"/>
      <c r="B1622" s="63"/>
      <c r="C1622" s="63"/>
      <c r="D1622" s="63"/>
      <c r="E1622" s="63"/>
      <c r="F1622" s="28" t="str">
        <f aca="false">IF(C1622="","",IF(OR(C1622="1. bekkur",C1622="2. bekkur",C1622="3. bekkur",C1622="4. bekkur"),"Já",IF(C1622="Starfsmaður","Nei","Nei")))</f>
        <v/>
      </c>
      <c r="G1622" s="63"/>
      <c r="H1622" s="63"/>
      <c r="I1622" s="63"/>
      <c r="J1622" s="64" t="str">
        <f aca="false">IF(OR(A1622="",B1622=""),"",CONCATENATE("https://matarstund.is/serfaedi?id=",LOWER(SUBSTITUTE(B1622,"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64" t="str">
        <f aca="false">IF(OR(A1623="",B1623=""),"",CONCATENATE("https://matarstund.is/serfaedi?id=",LOWER(SUBSTITUTE(B1623," ","-"))))</f>
        <v/>
      </c>
    </row>
    <row r="1624" customFormat="false" ht="15" hidden="false" customHeight="true" outlineLevel="0" collapsed="false">
      <c r="A1624" s="63"/>
      <c r="B1624" s="63"/>
      <c r="C1624" s="63"/>
      <c r="D1624" s="63"/>
      <c r="E1624" s="63"/>
      <c r="F1624" s="28" t="str">
        <f aca="false">IF(C1624="","",IF(OR(C1624="1. bekkur",C1624="2. bekkur",C1624="3. bekkur",C1624="4. bekkur"),"Já",IF(C1624="Starfsmaður","Nei","Nei")))</f>
        <v/>
      </c>
      <c r="G1624" s="63"/>
      <c r="H1624" s="63"/>
      <c r="I1624" s="63"/>
      <c r="J1624" s="64" t="str">
        <f aca="false">IF(OR(A1624="",B1624=""),"",CONCATENATE("https://matarstund.is/serfaedi?id=",LOWER(SUBSTITUTE(B1624,"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64" t="str">
        <f aca="false">IF(OR(A1625="",B1625=""),"",CONCATENATE("https://matarstund.is/serfaedi?id=",LOWER(SUBSTITUTE(B1625," ","-"))))</f>
        <v/>
      </c>
    </row>
    <row r="1626" customFormat="false" ht="15" hidden="false" customHeight="true" outlineLevel="0" collapsed="false">
      <c r="A1626" s="63"/>
      <c r="B1626" s="63"/>
      <c r="C1626" s="63"/>
      <c r="D1626" s="63"/>
      <c r="E1626" s="63"/>
      <c r="F1626" s="28" t="str">
        <f aca="false">IF(C1626="","",IF(OR(C1626="1. bekkur",C1626="2. bekkur",C1626="3. bekkur",C1626="4. bekkur"),"Já",IF(C1626="Starfsmaður","Nei","Nei")))</f>
        <v/>
      </c>
      <c r="G1626" s="63"/>
      <c r="H1626" s="63"/>
      <c r="I1626" s="63"/>
      <c r="J1626" s="64" t="str">
        <f aca="false">IF(OR(A1626="",B1626=""),"",CONCATENATE("https://matarstund.is/serfaedi?id=",LOWER(SUBSTITUTE(B1626,"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64" t="str">
        <f aca="false">IF(OR(A1627="",B1627=""),"",CONCATENATE("https://matarstund.is/serfaedi?id=",LOWER(SUBSTITUTE(B1627," ","-"))))</f>
        <v/>
      </c>
    </row>
    <row r="1628" customFormat="false" ht="15" hidden="false" customHeight="true" outlineLevel="0" collapsed="false">
      <c r="A1628" s="63"/>
      <c r="B1628" s="63"/>
      <c r="C1628" s="63"/>
      <c r="D1628" s="63"/>
      <c r="E1628" s="63"/>
      <c r="F1628" s="28" t="str">
        <f aca="false">IF(C1628="","",IF(OR(C1628="1. bekkur",C1628="2. bekkur",C1628="3. bekkur",C1628="4. bekkur"),"Já",IF(C1628="Starfsmaður","Nei","Nei")))</f>
        <v/>
      </c>
      <c r="G1628" s="63"/>
      <c r="H1628" s="63"/>
      <c r="I1628" s="63"/>
      <c r="J1628" s="64" t="str">
        <f aca="false">IF(OR(A1628="",B1628=""),"",CONCATENATE("https://matarstund.is/serfaedi?id=",LOWER(SUBSTITUTE(B1628,"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64" t="str">
        <f aca="false">IF(OR(A1629="",B1629=""),"",CONCATENATE("https://matarstund.is/serfaedi?id=",LOWER(SUBSTITUTE(B1629," ","-"))))</f>
        <v/>
      </c>
    </row>
    <row r="1630" customFormat="false" ht="15" hidden="false" customHeight="true" outlineLevel="0" collapsed="false">
      <c r="A1630" s="63"/>
      <c r="B1630" s="63"/>
      <c r="C1630" s="63"/>
      <c r="D1630" s="63"/>
      <c r="E1630" s="63"/>
      <c r="F1630" s="28" t="str">
        <f aca="false">IF(C1630="","",IF(OR(C1630="1. bekkur",C1630="2. bekkur",C1630="3. bekkur",C1630="4. bekkur"),"Já",IF(C1630="Starfsmaður","Nei","Nei")))</f>
        <v/>
      </c>
      <c r="G1630" s="63"/>
      <c r="H1630" s="63"/>
      <c r="I1630" s="63"/>
      <c r="J1630" s="64" t="str">
        <f aca="false">IF(OR(A1630="",B1630=""),"",CONCATENATE("https://matarstund.is/serfaedi?id=",LOWER(SUBSTITUTE(B1630,"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64" t="str">
        <f aca="false">IF(OR(A1631="",B1631=""),"",CONCATENATE("https://matarstund.is/serfaedi?id=",LOWER(SUBSTITUTE(B1631," ","-"))))</f>
        <v/>
      </c>
    </row>
    <row r="1632" customFormat="false" ht="15" hidden="false" customHeight="true" outlineLevel="0" collapsed="false">
      <c r="A1632" s="63"/>
      <c r="B1632" s="63"/>
      <c r="C1632" s="63"/>
      <c r="D1632" s="63"/>
      <c r="E1632" s="63"/>
      <c r="F1632" s="28" t="str">
        <f aca="false">IF(C1632="","",IF(OR(C1632="1. bekkur",C1632="2. bekkur",C1632="3. bekkur",C1632="4. bekkur"),"Já",IF(C1632="Starfsmaður","Nei","Nei")))</f>
        <v/>
      </c>
      <c r="G1632" s="63"/>
      <c r="H1632" s="63"/>
      <c r="I1632" s="63"/>
      <c r="J1632" s="64" t="str">
        <f aca="false">IF(OR(A1632="",B1632=""),"",CONCATENATE("https://matarstund.is/serfaedi?id=",LOWER(SUBSTITUTE(B1632,"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64" t="str">
        <f aca="false">IF(OR(A1633="",B1633=""),"",CONCATENATE("https://matarstund.is/serfaedi?id=",LOWER(SUBSTITUTE(B1633," ","-"))))</f>
        <v/>
      </c>
    </row>
    <row r="1634" customFormat="false" ht="15" hidden="false" customHeight="true" outlineLevel="0" collapsed="false">
      <c r="A1634" s="63"/>
      <c r="B1634" s="63"/>
      <c r="C1634" s="63"/>
      <c r="D1634" s="63"/>
      <c r="E1634" s="63"/>
      <c r="F1634" s="28" t="str">
        <f aca="false">IF(C1634="","",IF(OR(C1634="1. bekkur",C1634="2. bekkur",C1634="3. bekkur",C1634="4. bekkur"),"Já",IF(C1634="Starfsmaður","Nei","Nei")))</f>
        <v/>
      </c>
      <c r="G1634" s="63"/>
      <c r="H1634" s="63"/>
      <c r="I1634" s="63"/>
      <c r="J1634" s="64" t="str">
        <f aca="false">IF(OR(A1634="",B1634=""),"",CONCATENATE("https://matarstund.is/serfaedi?id=",LOWER(SUBSTITUTE(B1634,"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64" t="str">
        <f aca="false">IF(OR(A1635="",B1635=""),"",CONCATENATE("https://matarstund.is/serfaedi?id=",LOWER(SUBSTITUTE(B1635," ","-"))))</f>
        <v/>
      </c>
    </row>
    <row r="1636" customFormat="false" ht="15" hidden="false" customHeight="true" outlineLevel="0" collapsed="false">
      <c r="A1636" s="63"/>
      <c r="B1636" s="63"/>
      <c r="C1636" s="63"/>
      <c r="D1636" s="63"/>
      <c r="E1636" s="63"/>
      <c r="F1636" s="28" t="str">
        <f aca="false">IF(C1636="","",IF(OR(C1636="1. bekkur",C1636="2. bekkur",C1636="3. bekkur",C1636="4. bekkur"),"Já",IF(C1636="Starfsmaður","Nei","Nei")))</f>
        <v/>
      </c>
      <c r="G1636" s="63"/>
      <c r="H1636" s="63"/>
      <c r="I1636" s="63"/>
      <c r="J1636" s="64" t="str">
        <f aca="false">IF(OR(A1636="",B1636=""),"",CONCATENATE("https://matarstund.is/serfaedi?id=",LOWER(SUBSTITUTE(B1636,"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64" t="str">
        <f aca="false">IF(OR(A1637="",B1637=""),"",CONCATENATE("https://matarstund.is/serfaedi?id=",LOWER(SUBSTITUTE(B1637," ","-"))))</f>
        <v/>
      </c>
    </row>
    <row r="1638" customFormat="false" ht="15" hidden="false" customHeight="true" outlineLevel="0" collapsed="false">
      <c r="A1638" s="63"/>
      <c r="B1638" s="63"/>
      <c r="C1638" s="63"/>
      <c r="D1638" s="63"/>
      <c r="E1638" s="63"/>
      <c r="F1638" s="28" t="str">
        <f aca="false">IF(C1638="","",IF(OR(C1638="1. bekkur",C1638="2. bekkur",C1638="3. bekkur",C1638="4. bekkur"),"Já",IF(C1638="Starfsmaður","Nei","Nei")))</f>
        <v/>
      </c>
      <c r="G1638" s="63"/>
      <c r="H1638" s="63"/>
      <c r="I1638" s="63"/>
      <c r="J1638" s="64" t="str">
        <f aca="false">IF(OR(A1638="",B1638=""),"",CONCATENATE("https://matarstund.is/serfaedi?id=",LOWER(SUBSTITUTE(B1638,"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64" t="str">
        <f aca="false">IF(OR(A1639="",B1639=""),"",CONCATENATE("https://matarstund.is/serfaedi?id=",LOWER(SUBSTITUTE(B1639," ","-"))))</f>
        <v/>
      </c>
    </row>
    <row r="1640" customFormat="false" ht="15" hidden="false" customHeight="true" outlineLevel="0" collapsed="false">
      <c r="A1640" s="63"/>
      <c r="B1640" s="63"/>
      <c r="C1640" s="63"/>
      <c r="D1640" s="63"/>
      <c r="E1640" s="63"/>
      <c r="F1640" s="28" t="str">
        <f aca="false">IF(C1640="","",IF(OR(C1640="1. bekkur",C1640="2. bekkur",C1640="3. bekkur",C1640="4. bekkur"),"Já",IF(C1640="Starfsmaður","Nei","Nei")))</f>
        <v/>
      </c>
      <c r="G1640" s="63"/>
      <c r="H1640" s="63"/>
      <c r="I1640" s="63"/>
      <c r="J1640" s="64" t="str">
        <f aca="false">IF(OR(A1640="",B1640=""),"",CONCATENATE("https://matarstund.is/serfaedi?id=",LOWER(SUBSTITUTE(B1640,"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64" t="str">
        <f aca="false">IF(OR(A1641="",B1641=""),"",CONCATENATE("https://matarstund.is/serfaedi?id=",LOWER(SUBSTITUTE(B1641," ","-"))))</f>
        <v/>
      </c>
    </row>
    <row r="1642" customFormat="false" ht="15" hidden="false" customHeight="true" outlineLevel="0" collapsed="false">
      <c r="A1642" s="63"/>
      <c r="B1642" s="63"/>
      <c r="C1642" s="63"/>
      <c r="D1642" s="63"/>
      <c r="E1642" s="63"/>
      <c r="F1642" s="28" t="str">
        <f aca="false">IF(C1642="","",IF(OR(C1642="1. bekkur",C1642="2. bekkur",C1642="3. bekkur",C1642="4. bekkur"),"Já",IF(C1642="Starfsmaður","Nei","Nei")))</f>
        <v/>
      </c>
      <c r="G1642" s="63"/>
      <c r="H1642" s="63"/>
      <c r="I1642" s="63"/>
      <c r="J1642" s="64" t="str">
        <f aca="false">IF(OR(A1642="",B1642=""),"",CONCATENATE("https://matarstund.is/serfaedi?id=",LOWER(SUBSTITUTE(B1642,"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64" t="str">
        <f aca="false">IF(OR(A1643="",B1643=""),"",CONCATENATE("https://matarstund.is/serfaedi?id=",LOWER(SUBSTITUTE(B1643," ","-"))))</f>
        <v/>
      </c>
    </row>
    <row r="1644" customFormat="false" ht="15" hidden="false" customHeight="true" outlineLevel="0" collapsed="false">
      <c r="A1644" s="63"/>
      <c r="B1644" s="63"/>
      <c r="C1644" s="63"/>
      <c r="D1644" s="63"/>
      <c r="E1644" s="63"/>
      <c r="F1644" s="28" t="str">
        <f aca="false">IF(C1644="","",IF(OR(C1644="1. bekkur",C1644="2. bekkur",C1644="3. bekkur",C1644="4. bekkur"),"Já",IF(C1644="Starfsmaður","Nei","Nei")))</f>
        <v/>
      </c>
      <c r="G1644" s="63"/>
      <c r="H1644" s="63"/>
      <c r="I1644" s="63"/>
      <c r="J1644" s="64" t="str">
        <f aca="false">IF(OR(A1644="",B1644=""),"",CONCATENATE("https://matarstund.is/serfaedi?id=",LOWER(SUBSTITUTE(B1644,"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64" t="str">
        <f aca="false">IF(OR(A1645="",B1645=""),"",CONCATENATE("https://matarstund.is/serfaedi?id=",LOWER(SUBSTITUTE(B1645," ","-"))))</f>
        <v/>
      </c>
    </row>
    <row r="1646" customFormat="false" ht="15" hidden="false" customHeight="true" outlineLevel="0" collapsed="false">
      <c r="A1646" s="63"/>
      <c r="B1646" s="63"/>
      <c r="C1646" s="63"/>
      <c r="D1646" s="63"/>
      <c r="E1646" s="63"/>
      <c r="F1646" s="28" t="str">
        <f aca="false">IF(C1646="","",IF(OR(C1646="1. bekkur",C1646="2. bekkur",C1646="3. bekkur",C1646="4. bekkur"),"Já",IF(C1646="Starfsmaður","Nei","Nei")))</f>
        <v/>
      </c>
      <c r="G1646" s="63"/>
      <c r="H1646" s="63"/>
      <c r="I1646" s="63"/>
      <c r="J1646" s="64" t="str">
        <f aca="false">IF(OR(A1646="",B1646=""),"",CONCATENATE("https://matarstund.is/serfaedi?id=",LOWER(SUBSTITUTE(B1646,"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64" t="str">
        <f aca="false">IF(OR(A1647="",B1647=""),"",CONCATENATE("https://matarstund.is/serfaedi?id=",LOWER(SUBSTITUTE(B1647," ","-"))))</f>
        <v/>
      </c>
    </row>
    <row r="1648" customFormat="false" ht="15" hidden="false" customHeight="true" outlineLevel="0" collapsed="false">
      <c r="A1648" s="63"/>
      <c r="B1648" s="63"/>
      <c r="C1648" s="63"/>
      <c r="D1648" s="63"/>
      <c r="E1648" s="63"/>
      <c r="F1648" s="28" t="str">
        <f aca="false">IF(C1648="","",IF(OR(C1648="1. bekkur",C1648="2. bekkur",C1648="3. bekkur",C1648="4. bekkur"),"Já",IF(C1648="Starfsmaður","Nei","Nei")))</f>
        <v/>
      </c>
      <c r="G1648" s="63"/>
      <c r="H1648" s="63"/>
      <c r="I1648" s="63"/>
      <c r="J1648" s="64" t="str">
        <f aca="false">IF(OR(A1648="",B1648=""),"",CONCATENATE("https://matarstund.is/serfaedi?id=",LOWER(SUBSTITUTE(B1648,"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64" t="str">
        <f aca="false">IF(OR(A1649="",B1649=""),"",CONCATENATE("https://matarstund.is/serfaedi?id=",LOWER(SUBSTITUTE(B1649," ","-"))))</f>
        <v/>
      </c>
    </row>
    <row r="1650" customFormat="false" ht="15" hidden="false" customHeight="true" outlineLevel="0" collapsed="false">
      <c r="A1650" s="63"/>
      <c r="B1650" s="63"/>
      <c r="C1650" s="63"/>
      <c r="D1650" s="63"/>
      <c r="E1650" s="63"/>
      <c r="F1650" s="28" t="str">
        <f aca="false">IF(C1650="","",IF(OR(C1650="1. bekkur",C1650="2. bekkur",C1650="3. bekkur",C1650="4. bekkur"),"Já",IF(C1650="Starfsmaður","Nei","Nei")))</f>
        <v/>
      </c>
      <c r="G1650" s="63"/>
      <c r="H1650" s="63"/>
      <c r="I1650" s="63"/>
      <c r="J1650" s="64" t="str">
        <f aca="false">IF(OR(A1650="",B1650=""),"",CONCATENATE("https://matarstund.is/serfaedi?id=",LOWER(SUBSTITUTE(B1650,"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64" t="str">
        <f aca="false">IF(OR(A1651="",B1651=""),"",CONCATENATE("https://matarstund.is/serfaedi?id=",LOWER(SUBSTITUTE(B1651," ","-"))))</f>
        <v/>
      </c>
    </row>
    <row r="1652" customFormat="false" ht="15" hidden="false" customHeight="true" outlineLevel="0" collapsed="false">
      <c r="A1652" s="63"/>
      <c r="B1652" s="63"/>
      <c r="C1652" s="63"/>
      <c r="D1652" s="63"/>
      <c r="E1652" s="63"/>
      <c r="F1652" s="28" t="str">
        <f aca="false">IF(C1652="","",IF(OR(C1652="1. bekkur",C1652="2. bekkur",C1652="3. bekkur",C1652="4. bekkur"),"Já",IF(C1652="Starfsmaður","Nei","Nei")))</f>
        <v/>
      </c>
      <c r="G1652" s="63"/>
      <c r="H1652" s="63"/>
      <c r="I1652" s="63"/>
      <c r="J1652" s="64" t="str">
        <f aca="false">IF(OR(A1652="",B1652=""),"",CONCATENATE("https://matarstund.is/serfaedi?id=",LOWER(SUBSTITUTE(B1652,"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64" t="str">
        <f aca="false">IF(OR(A1653="",B1653=""),"",CONCATENATE("https://matarstund.is/serfaedi?id=",LOWER(SUBSTITUTE(B1653," ","-"))))</f>
        <v/>
      </c>
    </row>
    <row r="1654" customFormat="false" ht="15" hidden="false" customHeight="true" outlineLevel="0" collapsed="false">
      <c r="A1654" s="63"/>
      <c r="B1654" s="63"/>
      <c r="C1654" s="63"/>
      <c r="D1654" s="63"/>
      <c r="E1654" s="63"/>
      <c r="F1654" s="28" t="str">
        <f aca="false">IF(C1654="","",IF(OR(C1654="1. bekkur",C1654="2. bekkur",C1654="3. bekkur",C1654="4. bekkur"),"Já",IF(C1654="Starfsmaður","Nei","Nei")))</f>
        <v/>
      </c>
      <c r="G1654" s="63"/>
      <c r="H1654" s="63"/>
      <c r="I1654" s="63"/>
      <c r="J1654" s="64" t="str">
        <f aca="false">IF(OR(A1654="",B1654=""),"",CONCATENATE("https://matarstund.is/serfaedi?id=",LOWER(SUBSTITUTE(B1654,"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64" t="str">
        <f aca="false">IF(OR(A1655="",B1655=""),"",CONCATENATE("https://matarstund.is/serfaedi?id=",LOWER(SUBSTITUTE(B1655," ","-"))))</f>
        <v/>
      </c>
    </row>
    <row r="1656" customFormat="false" ht="15" hidden="false" customHeight="true" outlineLevel="0" collapsed="false">
      <c r="A1656" s="63"/>
      <c r="B1656" s="63"/>
      <c r="C1656" s="63"/>
      <c r="D1656" s="63"/>
      <c r="E1656" s="63"/>
      <c r="F1656" s="28" t="str">
        <f aca="false">IF(C1656="","",IF(OR(C1656="1. bekkur",C1656="2. bekkur",C1656="3. bekkur",C1656="4. bekkur"),"Já",IF(C1656="Starfsmaður","Nei","Nei")))</f>
        <v/>
      </c>
      <c r="G1656" s="63"/>
      <c r="H1656" s="63"/>
      <c r="I1656" s="63"/>
      <c r="J1656" s="64" t="str">
        <f aca="false">IF(OR(A1656="",B1656=""),"",CONCATENATE("https://matarstund.is/serfaedi?id=",LOWER(SUBSTITUTE(B1656,"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64" t="str">
        <f aca="false">IF(OR(A1657="",B1657=""),"",CONCATENATE("https://matarstund.is/serfaedi?id=",LOWER(SUBSTITUTE(B1657," ","-"))))</f>
        <v/>
      </c>
    </row>
    <row r="1658" customFormat="false" ht="15" hidden="false" customHeight="true" outlineLevel="0" collapsed="false">
      <c r="A1658" s="63"/>
      <c r="B1658" s="63"/>
      <c r="C1658" s="63"/>
      <c r="D1658" s="63"/>
      <c r="E1658" s="63"/>
      <c r="F1658" s="28" t="str">
        <f aca="false">IF(C1658="","",IF(OR(C1658="1. bekkur",C1658="2. bekkur",C1658="3. bekkur",C1658="4. bekkur"),"Já",IF(C1658="Starfsmaður","Nei","Nei")))</f>
        <v/>
      </c>
      <c r="G1658" s="63"/>
      <c r="H1658" s="63"/>
      <c r="I1658" s="63"/>
      <c r="J1658" s="64" t="str">
        <f aca="false">IF(OR(A1658="",B1658=""),"",CONCATENATE("https://matarstund.is/serfaedi?id=",LOWER(SUBSTITUTE(B1658,"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64" t="str">
        <f aca="false">IF(OR(A1659="",B1659=""),"",CONCATENATE("https://matarstund.is/serfaedi?id=",LOWER(SUBSTITUTE(B1659," ","-"))))</f>
        <v/>
      </c>
    </row>
    <row r="1660" customFormat="false" ht="15" hidden="false" customHeight="true" outlineLevel="0" collapsed="false">
      <c r="A1660" s="63"/>
      <c r="B1660" s="63"/>
      <c r="C1660" s="63"/>
      <c r="D1660" s="63"/>
      <c r="E1660" s="63"/>
      <c r="F1660" s="28" t="str">
        <f aca="false">IF(C1660="","",IF(OR(C1660="1. bekkur",C1660="2. bekkur",C1660="3. bekkur",C1660="4. bekkur"),"Já",IF(C1660="Starfsmaður","Nei","Nei")))</f>
        <v/>
      </c>
      <c r="G1660" s="63"/>
      <c r="H1660" s="63"/>
      <c r="I1660" s="63"/>
      <c r="J1660" s="64" t="str">
        <f aca="false">IF(OR(A1660="",B1660=""),"",CONCATENATE("https://matarstund.is/serfaedi?id=",LOWER(SUBSTITUTE(B1660,"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64" t="str">
        <f aca="false">IF(OR(A1661="",B1661=""),"",CONCATENATE("https://matarstund.is/serfaedi?id=",LOWER(SUBSTITUTE(B1661," ","-"))))</f>
        <v/>
      </c>
    </row>
    <row r="1662" customFormat="false" ht="15" hidden="false" customHeight="true" outlineLevel="0" collapsed="false">
      <c r="A1662" s="63"/>
      <c r="B1662" s="63"/>
      <c r="C1662" s="63"/>
      <c r="D1662" s="63"/>
      <c r="E1662" s="63"/>
      <c r="F1662" s="28" t="str">
        <f aca="false">IF(C1662="","",IF(OR(C1662="1. bekkur",C1662="2. bekkur",C1662="3. bekkur",C1662="4. bekkur"),"Já",IF(C1662="Starfsmaður","Nei","Nei")))</f>
        <v/>
      </c>
      <c r="G1662" s="63"/>
      <c r="H1662" s="63"/>
      <c r="I1662" s="63"/>
      <c r="J1662" s="64" t="str">
        <f aca="false">IF(OR(A1662="",B1662=""),"",CONCATENATE("https://matarstund.is/serfaedi?id=",LOWER(SUBSTITUTE(B1662,"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64" t="str">
        <f aca="false">IF(OR(A1663="",B1663=""),"",CONCATENATE("https://matarstund.is/serfaedi?id=",LOWER(SUBSTITUTE(B1663," ","-"))))</f>
        <v/>
      </c>
    </row>
    <row r="1664" customFormat="false" ht="15" hidden="false" customHeight="true" outlineLevel="0" collapsed="false">
      <c r="A1664" s="63"/>
      <c r="B1664" s="63"/>
      <c r="C1664" s="63"/>
      <c r="D1664" s="63"/>
      <c r="E1664" s="63"/>
      <c r="F1664" s="28" t="str">
        <f aca="false">IF(C1664="","",IF(OR(C1664="1. bekkur",C1664="2. bekkur",C1664="3. bekkur",C1664="4. bekkur"),"Já",IF(C1664="Starfsmaður","Nei","Nei")))</f>
        <v/>
      </c>
      <c r="G1664" s="63"/>
      <c r="H1664" s="63"/>
      <c r="I1664" s="63"/>
      <c r="J1664" s="64" t="str">
        <f aca="false">IF(OR(A1664="",B1664=""),"",CONCATENATE("https://matarstund.is/serfaedi?id=",LOWER(SUBSTITUTE(B1664,"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64" t="str">
        <f aca="false">IF(OR(A1665="",B1665=""),"",CONCATENATE("https://matarstund.is/serfaedi?id=",LOWER(SUBSTITUTE(B1665," ","-"))))</f>
        <v/>
      </c>
    </row>
    <row r="1666" customFormat="false" ht="15" hidden="false" customHeight="true" outlineLevel="0" collapsed="false">
      <c r="A1666" s="63"/>
      <c r="B1666" s="63"/>
      <c r="C1666" s="63"/>
      <c r="D1666" s="63"/>
      <c r="E1666" s="63"/>
      <c r="F1666" s="28" t="str">
        <f aca="false">IF(C1666="","",IF(OR(C1666="1. bekkur",C1666="2. bekkur",C1666="3. bekkur",C1666="4. bekkur"),"Já",IF(C1666="Starfsmaður","Nei","Nei")))</f>
        <v/>
      </c>
      <c r="G1666" s="63"/>
      <c r="H1666" s="63"/>
      <c r="I1666" s="63"/>
      <c r="J1666" s="64" t="str">
        <f aca="false">IF(OR(A1666="",B1666=""),"",CONCATENATE("https://matarstund.is/serfaedi?id=",LOWER(SUBSTITUTE(B1666,"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64" t="str">
        <f aca="false">IF(OR(A1667="",B1667=""),"",CONCATENATE("https://matarstund.is/serfaedi?id=",LOWER(SUBSTITUTE(B1667," ","-"))))</f>
        <v/>
      </c>
    </row>
    <row r="1668" customFormat="false" ht="15" hidden="false" customHeight="true" outlineLevel="0" collapsed="false">
      <c r="A1668" s="63"/>
      <c r="B1668" s="63"/>
      <c r="C1668" s="63"/>
      <c r="D1668" s="63"/>
      <c r="E1668" s="63"/>
      <c r="F1668" s="28" t="str">
        <f aca="false">IF(C1668="","",IF(OR(C1668="1. bekkur",C1668="2. bekkur",C1668="3. bekkur",C1668="4. bekkur"),"Já",IF(C1668="Starfsmaður","Nei","Nei")))</f>
        <v/>
      </c>
      <c r="G1668" s="63"/>
      <c r="H1668" s="63"/>
      <c r="I1668" s="63"/>
      <c r="J1668" s="64" t="str">
        <f aca="false">IF(OR(A1668="",B1668=""),"",CONCATENATE("https://matarstund.is/serfaedi?id=",LOWER(SUBSTITUTE(B1668,"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64" t="str">
        <f aca="false">IF(OR(A1669="",B1669=""),"",CONCATENATE("https://matarstund.is/serfaedi?id=",LOWER(SUBSTITUTE(B1669," ","-"))))</f>
        <v/>
      </c>
    </row>
    <row r="1670" customFormat="false" ht="15" hidden="false" customHeight="true" outlineLevel="0" collapsed="false">
      <c r="A1670" s="63"/>
      <c r="B1670" s="63"/>
      <c r="C1670" s="63"/>
      <c r="D1670" s="63"/>
      <c r="E1670" s="63"/>
      <c r="F1670" s="28" t="str">
        <f aca="false">IF(C1670="","",IF(OR(C1670="1. bekkur",C1670="2. bekkur",C1670="3. bekkur",C1670="4. bekkur"),"Já",IF(C1670="Starfsmaður","Nei","Nei")))</f>
        <v/>
      </c>
      <c r="G1670" s="63"/>
      <c r="H1670" s="63"/>
      <c r="I1670" s="63"/>
      <c r="J1670" s="64" t="str">
        <f aca="false">IF(OR(A1670="",B1670=""),"",CONCATENATE("https://matarstund.is/serfaedi?id=",LOWER(SUBSTITUTE(B1670,"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64" t="str">
        <f aca="false">IF(OR(A1671="",B1671=""),"",CONCATENATE("https://matarstund.is/serfaedi?id=",LOWER(SUBSTITUTE(B1671," ","-"))))</f>
        <v/>
      </c>
    </row>
    <row r="1672" customFormat="false" ht="15" hidden="false" customHeight="true" outlineLevel="0" collapsed="false">
      <c r="A1672" s="63"/>
      <c r="B1672" s="63"/>
      <c r="C1672" s="63"/>
      <c r="D1672" s="63"/>
      <c r="E1672" s="63"/>
      <c r="F1672" s="28" t="str">
        <f aca="false">IF(C1672="","",IF(OR(C1672="1. bekkur",C1672="2. bekkur",C1672="3. bekkur",C1672="4. bekkur"),"Já",IF(C1672="Starfsmaður","Nei","Nei")))</f>
        <v/>
      </c>
      <c r="G1672" s="63"/>
      <c r="H1672" s="63"/>
      <c r="I1672" s="63"/>
      <c r="J1672" s="64" t="str">
        <f aca="false">IF(OR(A1672="",B1672=""),"",CONCATENATE("https://matarstund.is/serfaedi?id=",LOWER(SUBSTITUTE(B1672,"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64" t="str">
        <f aca="false">IF(OR(A1673="",B1673=""),"",CONCATENATE("https://matarstund.is/serfaedi?id=",LOWER(SUBSTITUTE(B1673," ","-"))))</f>
        <v/>
      </c>
    </row>
    <row r="1674" customFormat="false" ht="15" hidden="false" customHeight="true" outlineLevel="0" collapsed="false">
      <c r="A1674" s="63"/>
      <c r="B1674" s="63"/>
      <c r="C1674" s="63"/>
      <c r="D1674" s="63"/>
      <c r="E1674" s="63"/>
      <c r="F1674" s="28" t="str">
        <f aca="false">IF(C1674="","",IF(OR(C1674="1. bekkur",C1674="2. bekkur",C1674="3. bekkur",C1674="4. bekkur"),"Já",IF(C1674="Starfsmaður","Nei","Nei")))</f>
        <v/>
      </c>
      <c r="G1674" s="63"/>
      <c r="H1674" s="63"/>
      <c r="I1674" s="63"/>
      <c r="J1674" s="64" t="str">
        <f aca="false">IF(OR(A1674="",B1674=""),"",CONCATENATE("https://matarstund.is/serfaedi?id=",LOWER(SUBSTITUTE(B1674,"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64" t="str">
        <f aca="false">IF(OR(A1675="",B1675=""),"",CONCATENATE("https://matarstund.is/serfaedi?id=",LOWER(SUBSTITUTE(B1675," ","-"))))</f>
        <v/>
      </c>
    </row>
    <row r="1676" customFormat="false" ht="15" hidden="false" customHeight="true" outlineLevel="0" collapsed="false">
      <c r="A1676" s="63"/>
      <c r="B1676" s="63"/>
      <c r="C1676" s="63"/>
      <c r="D1676" s="63"/>
      <c r="E1676" s="63"/>
      <c r="F1676" s="28" t="str">
        <f aca="false">IF(C1676="","",IF(OR(C1676="1. bekkur",C1676="2. bekkur",C1676="3. bekkur",C1676="4. bekkur"),"Já",IF(C1676="Starfsmaður","Nei","Nei")))</f>
        <v/>
      </c>
      <c r="G1676" s="63"/>
      <c r="H1676" s="63"/>
      <c r="I1676" s="63"/>
      <c r="J1676" s="64" t="str">
        <f aca="false">IF(OR(A1676="",B1676=""),"",CONCATENATE("https://matarstund.is/serfaedi?id=",LOWER(SUBSTITUTE(B1676,"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64" t="str">
        <f aca="false">IF(OR(A1677="",B1677=""),"",CONCATENATE("https://matarstund.is/serfaedi?id=",LOWER(SUBSTITUTE(B1677," ","-"))))</f>
        <v/>
      </c>
    </row>
    <row r="1678" customFormat="false" ht="15" hidden="false" customHeight="true" outlineLevel="0" collapsed="false">
      <c r="A1678" s="63"/>
      <c r="B1678" s="63"/>
      <c r="C1678" s="63"/>
      <c r="D1678" s="63"/>
      <c r="E1678" s="63"/>
      <c r="F1678" s="28" t="str">
        <f aca="false">IF(C1678="","",IF(OR(C1678="1. bekkur",C1678="2. bekkur",C1678="3. bekkur",C1678="4. bekkur"),"Já",IF(C1678="Starfsmaður","Nei","Nei")))</f>
        <v/>
      </c>
      <c r="G1678" s="63"/>
      <c r="H1678" s="63"/>
      <c r="I1678" s="63"/>
      <c r="J1678" s="64" t="str">
        <f aca="false">IF(OR(A1678="",B1678=""),"",CONCATENATE("https://matarstund.is/serfaedi?id=",LOWER(SUBSTITUTE(B1678,"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64" t="str">
        <f aca="false">IF(OR(A1679="",B1679=""),"",CONCATENATE("https://matarstund.is/serfaedi?id=",LOWER(SUBSTITUTE(B1679," ","-"))))</f>
        <v/>
      </c>
    </row>
    <row r="1680" customFormat="false" ht="15" hidden="false" customHeight="true" outlineLevel="0" collapsed="false">
      <c r="A1680" s="63"/>
      <c r="B1680" s="63"/>
      <c r="C1680" s="63"/>
      <c r="D1680" s="63"/>
      <c r="E1680" s="63"/>
      <c r="F1680" s="28" t="str">
        <f aca="false">IF(C1680="","",IF(OR(C1680="1. bekkur",C1680="2. bekkur",C1680="3. bekkur",C1680="4. bekkur"),"Já",IF(C1680="Starfsmaður","Nei","Nei")))</f>
        <v/>
      </c>
      <c r="G1680" s="63"/>
      <c r="H1680" s="63"/>
      <c r="I1680" s="63"/>
      <c r="J1680" s="64" t="str">
        <f aca="false">IF(OR(A1680="",B1680=""),"",CONCATENATE("https://matarstund.is/serfaedi?id=",LOWER(SUBSTITUTE(B1680,"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64" t="str">
        <f aca="false">IF(OR(A1681="",B1681=""),"",CONCATENATE("https://matarstund.is/serfaedi?id=",LOWER(SUBSTITUTE(B1681," ","-"))))</f>
        <v/>
      </c>
    </row>
    <row r="1682" customFormat="false" ht="15" hidden="false" customHeight="true" outlineLevel="0" collapsed="false">
      <c r="A1682" s="63"/>
      <c r="B1682" s="63"/>
      <c r="C1682" s="63"/>
      <c r="D1682" s="63"/>
      <c r="E1682" s="63"/>
      <c r="F1682" s="28" t="str">
        <f aca="false">IF(C1682="","",IF(OR(C1682="1. bekkur",C1682="2. bekkur",C1682="3. bekkur",C1682="4. bekkur"),"Já",IF(C1682="Starfsmaður","Nei","Nei")))</f>
        <v/>
      </c>
      <c r="G1682" s="63"/>
      <c r="H1682" s="63"/>
      <c r="I1682" s="63"/>
      <c r="J1682" s="64" t="str">
        <f aca="false">IF(OR(A1682="",B1682=""),"",CONCATENATE("https://matarstund.is/serfaedi?id=",LOWER(SUBSTITUTE(B1682,"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64" t="str">
        <f aca="false">IF(OR(A1683="",B1683=""),"",CONCATENATE("https://matarstund.is/serfaedi?id=",LOWER(SUBSTITUTE(B1683," ","-"))))</f>
        <v/>
      </c>
    </row>
    <row r="1684" customFormat="false" ht="15" hidden="false" customHeight="true" outlineLevel="0" collapsed="false">
      <c r="A1684" s="63"/>
      <c r="B1684" s="63"/>
      <c r="C1684" s="63"/>
      <c r="D1684" s="63"/>
      <c r="E1684" s="63"/>
      <c r="F1684" s="28" t="str">
        <f aca="false">IF(C1684="","",IF(OR(C1684="1. bekkur",C1684="2. bekkur",C1684="3. bekkur",C1684="4. bekkur"),"Já",IF(C1684="Starfsmaður","Nei","Nei")))</f>
        <v/>
      </c>
      <c r="G1684" s="63"/>
      <c r="H1684" s="63"/>
      <c r="I1684" s="63"/>
      <c r="J1684" s="64" t="str">
        <f aca="false">IF(OR(A1684="",B1684=""),"",CONCATENATE("https://matarstund.is/serfaedi?id=",LOWER(SUBSTITUTE(B1684,"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64" t="str">
        <f aca="false">IF(OR(A1685="",B1685=""),"",CONCATENATE("https://matarstund.is/serfaedi?id=",LOWER(SUBSTITUTE(B1685," ","-"))))</f>
        <v/>
      </c>
    </row>
    <row r="1686" customFormat="false" ht="15" hidden="false" customHeight="true" outlineLevel="0" collapsed="false">
      <c r="A1686" s="63"/>
      <c r="B1686" s="63"/>
      <c r="C1686" s="63"/>
      <c r="D1686" s="63"/>
      <c r="E1686" s="63"/>
      <c r="F1686" s="28" t="str">
        <f aca="false">IF(C1686="","",IF(OR(C1686="1. bekkur",C1686="2. bekkur",C1686="3. bekkur",C1686="4. bekkur"),"Já",IF(C1686="Starfsmaður","Nei","Nei")))</f>
        <v/>
      </c>
      <c r="G1686" s="63"/>
      <c r="H1686" s="63"/>
      <c r="I1686" s="63"/>
      <c r="J1686" s="64" t="str">
        <f aca="false">IF(OR(A1686="",B1686=""),"",CONCATENATE("https://matarstund.is/serfaedi?id=",LOWER(SUBSTITUTE(B1686,"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64" t="str">
        <f aca="false">IF(OR(A1687="",B1687=""),"",CONCATENATE("https://matarstund.is/serfaedi?id=",LOWER(SUBSTITUTE(B1687," ","-"))))</f>
        <v/>
      </c>
    </row>
    <row r="1688" customFormat="false" ht="15" hidden="false" customHeight="true" outlineLevel="0" collapsed="false">
      <c r="A1688" s="63"/>
      <c r="B1688" s="63"/>
      <c r="C1688" s="63"/>
      <c r="D1688" s="63"/>
      <c r="E1688" s="63"/>
      <c r="F1688" s="28" t="str">
        <f aca="false">IF(C1688="","",IF(OR(C1688="1. bekkur",C1688="2. bekkur",C1688="3. bekkur",C1688="4. bekkur"),"Já",IF(C1688="Starfsmaður","Nei","Nei")))</f>
        <v/>
      </c>
      <c r="G1688" s="63"/>
      <c r="H1688" s="63"/>
      <c r="I1688" s="63"/>
      <c r="J1688" s="64" t="str">
        <f aca="false">IF(OR(A1688="",B1688=""),"",CONCATENATE("https://matarstund.is/serfaedi?id=",LOWER(SUBSTITUTE(B1688,"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64" t="str">
        <f aca="false">IF(OR(A1689="",B1689=""),"",CONCATENATE("https://matarstund.is/serfaedi?id=",LOWER(SUBSTITUTE(B1689," ","-"))))</f>
        <v/>
      </c>
    </row>
    <row r="1690" customFormat="false" ht="15" hidden="false" customHeight="true" outlineLevel="0" collapsed="false">
      <c r="A1690" s="63"/>
      <c r="B1690" s="63"/>
      <c r="C1690" s="63"/>
      <c r="D1690" s="63"/>
      <c r="E1690" s="63"/>
      <c r="F1690" s="28" t="str">
        <f aca="false">IF(C1690="","",IF(OR(C1690="1. bekkur",C1690="2. bekkur",C1690="3. bekkur",C1690="4. bekkur"),"Já",IF(C1690="Starfsmaður","Nei","Nei")))</f>
        <v/>
      </c>
      <c r="G1690" s="63"/>
      <c r="H1690" s="63"/>
      <c r="I1690" s="63"/>
      <c r="J1690" s="64" t="str">
        <f aca="false">IF(OR(A1690="",B1690=""),"",CONCATENATE("https://matarstund.is/serfaedi?id=",LOWER(SUBSTITUTE(B1690,"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64" t="str">
        <f aca="false">IF(OR(A1691="",B1691=""),"",CONCATENATE("https://matarstund.is/serfaedi?id=",LOWER(SUBSTITUTE(B1691," ","-"))))</f>
        <v/>
      </c>
    </row>
    <row r="1692" customFormat="false" ht="15" hidden="false" customHeight="true" outlineLevel="0" collapsed="false">
      <c r="A1692" s="63"/>
      <c r="B1692" s="63"/>
      <c r="C1692" s="63"/>
      <c r="D1692" s="63"/>
      <c r="E1692" s="63"/>
      <c r="F1692" s="28" t="str">
        <f aca="false">IF(C1692="","",IF(OR(C1692="1. bekkur",C1692="2. bekkur",C1692="3. bekkur",C1692="4. bekkur"),"Já",IF(C1692="Starfsmaður","Nei","Nei")))</f>
        <v/>
      </c>
      <c r="G1692" s="63"/>
      <c r="H1692" s="63"/>
      <c r="I1692" s="63"/>
      <c r="J1692" s="64" t="str">
        <f aca="false">IF(OR(A1692="",B1692=""),"",CONCATENATE("https://matarstund.is/serfaedi?id=",LOWER(SUBSTITUTE(B1692,"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64" t="str">
        <f aca="false">IF(OR(A1693="",B1693=""),"",CONCATENATE("https://matarstund.is/serfaedi?id=",LOWER(SUBSTITUTE(B1693," ","-"))))</f>
        <v/>
      </c>
    </row>
    <row r="1694" customFormat="false" ht="15" hidden="false" customHeight="true" outlineLevel="0" collapsed="false">
      <c r="A1694" s="63"/>
      <c r="B1694" s="63"/>
      <c r="C1694" s="63"/>
      <c r="D1694" s="63"/>
      <c r="E1694" s="63"/>
      <c r="F1694" s="28" t="str">
        <f aca="false">IF(C1694="","",IF(OR(C1694="1. bekkur",C1694="2. bekkur",C1694="3. bekkur",C1694="4. bekkur"),"Já",IF(C1694="Starfsmaður","Nei","Nei")))</f>
        <v/>
      </c>
      <c r="G1694" s="63"/>
      <c r="H1694" s="63"/>
      <c r="I1694" s="63"/>
      <c r="J1694" s="64" t="str">
        <f aca="false">IF(OR(A1694="",B1694=""),"",CONCATENATE("https://matarstund.is/serfaedi?id=",LOWER(SUBSTITUTE(B1694,"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64" t="str">
        <f aca="false">IF(OR(A1695="",B1695=""),"",CONCATENATE("https://matarstund.is/serfaedi?id=",LOWER(SUBSTITUTE(B1695," ","-"))))</f>
        <v/>
      </c>
    </row>
    <row r="1696" customFormat="false" ht="15" hidden="false" customHeight="true" outlineLevel="0" collapsed="false">
      <c r="A1696" s="63"/>
      <c r="B1696" s="63"/>
      <c r="C1696" s="63"/>
      <c r="D1696" s="63"/>
      <c r="E1696" s="63"/>
      <c r="F1696" s="28" t="str">
        <f aca="false">IF(C1696="","",IF(OR(C1696="1. bekkur",C1696="2. bekkur",C1696="3. bekkur",C1696="4. bekkur"),"Já",IF(C1696="Starfsmaður","Nei","Nei")))</f>
        <v/>
      </c>
      <c r="G1696" s="63"/>
      <c r="H1696" s="63"/>
      <c r="I1696" s="63"/>
      <c r="J1696" s="64" t="str">
        <f aca="false">IF(OR(A1696="",B1696=""),"",CONCATENATE("https://matarstund.is/serfaedi?id=",LOWER(SUBSTITUTE(B1696,"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64" t="str">
        <f aca="false">IF(OR(A1697="",B1697=""),"",CONCATENATE("https://matarstund.is/serfaedi?id=",LOWER(SUBSTITUTE(B1697," ","-"))))</f>
        <v/>
      </c>
    </row>
    <row r="1698" customFormat="false" ht="15" hidden="false" customHeight="true" outlineLevel="0" collapsed="false">
      <c r="A1698" s="63"/>
      <c r="B1698" s="63"/>
      <c r="C1698" s="63"/>
      <c r="D1698" s="63"/>
      <c r="E1698" s="63"/>
      <c r="F1698" s="28" t="str">
        <f aca="false">IF(C1698="","",IF(OR(C1698="1. bekkur",C1698="2. bekkur",C1698="3. bekkur",C1698="4. bekkur"),"Já",IF(C1698="Starfsmaður","Nei","Nei")))</f>
        <v/>
      </c>
      <c r="G1698" s="63"/>
      <c r="H1698" s="63"/>
      <c r="I1698" s="63"/>
      <c r="J1698" s="64" t="str">
        <f aca="false">IF(OR(A1698="",B1698=""),"",CONCATENATE("https://matarstund.is/serfaedi?id=",LOWER(SUBSTITUTE(B1698,"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64" t="str">
        <f aca="false">IF(OR(A1699="",B1699=""),"",CONCATENATE("https://matarstund.is/serfaedi?id=",LOWER(SUBSTITUTE(B1699," ","-"))))</f>
        <v/>
      </c>
    </row>
    <row r="1700" customFormat="false" ht="15" hidden="false" customHeight="true" outlineLevel="0" collapsed="false">
      <c r="A1700" s="63"/>
      <c r="B1700" s="63"/>
      <c r="C1700" s="63"/>
      <c r="D1700" s="63"/>
      <c r="E1700" s="63"/>
      <c r="F1700" s="28" t="str">
        <f aca="false">IF(C1700="","",IF(OR(C1700="1. bekkur",C1700="2. bekkur",C1700="3. bekkur",C1700="4. bekkur"),"Já",IF(C1700="Starfsmaður","Nei","Nei")))</f>
        <v/>
      </c>
      <c r="G1700" s="63"/>
      <c r="H1700" s="63"/>
      <c r="I1700" s="63"/>
      <c r="J1700" s="64" t="str">
        <f aca="false">IF(OR(A1700="",B1700=""),"",CONCATENATE("https://matarstund.is/serfaedi?id=",LOWER(SUBSTITUTE(B1700,"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64" t="str">
        <f aca="false">IF(OR(A1701="",B1701=""),"",CONCATENATE("https://matarstund.is/serfaedi?id=",LOWER(SUBSTITUTE(B1701," ","-"))))</f>
        <v/>
      </c>
    </row>
    <row r="1702" customFormat="false" ht="15" hidden="false" customHeight="true" outlineLevel="0" collapsed="false">
      <c r="A1702" s="63"/>
      <c r="B1702" s="63"/>
      <c r="C1702" s="63"/>
      <c r="D1702" s="63"/>
      <c r="E1702" s="63"/>
      <c r="F1702" s="28" t="str">
        <f aca="false">IF(C1702="","",IF(OR(C1702="1. bekkur",C1702="2. bekkur",C1702="3. bekkur",C1702="4. bekkur"),"Já",IF(C1702="Starfsmaður","Nei","Nei")))</f>
        <v/>
      </c>
      <c r="G1702" s="63"/>
      <c r="H1702" s="63"/>
      <c r="I1702" s="63"/>
      <c r="J1702" s="64" t="str">
        <f aca="false">IF(OR(A1702="",B1702=""),"",CONCATENATE("https://matarstund.is/serfaedi?id=",LOWER(SUBSTITUTE(B1702,"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64" t="str">
        <f aca="false">IF(OR(A1703="",B1703=""),"",CONCATENATE("https://matarstund.is/serfaedi?id=",LOWER(SUBSTITUTE(B1703," ","-"))))</f>
        <v/>
      </c>
    </row>
    <row r="1704" customFormat="false" ht="15" hidden="false" customHeight="true" outlineLevel="0" collapsed="false">
      <c r="A1704" s="63"/>
      <c r="B1704" s="63"/>
      <c r="C1704" s="63"/>
      <c r="D1704" s="63"/>
      <c r="E1704" s="63"/>
      <c r="F1704" s="28" t="str">
        <f aca="false">IF(C1704="","",IF(OR(C1704="1. bekkur",C1704="2. bekkur",C1704="3. bekkur",C1704="4. bekkur"),"Já",IF(C1704="Starfsmaður","Nei","Nei")))</f>
        <v/>
      </c>
      <c r="G1704" s="63"/>
      <c r="H1704" s="63"/>
      <c r="I1704" s="63"/>
      <c r="J1704" s="64" t="str">
        <f aca="false">IF(OR(A1704="",B1704=""),"",CONCATENATE("https://matarstund.is/serfaedi?id=",LOWER(SUBSTITUTE(B1704,"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64" t="str">
        <f aca="false">IF(OR(A1705="",B1705=""),"",CONCATENATE("https://matarstund.is/serfaedi?id=",LOWER(SUBSTITUTE(B1705," ","-"))))</f>
        <v/>
      </c>
    </row>
    <row r="1706" customFormat="false" ht="15" hidden="false" customHeight="true" outlineLevel="0" collapsed="false">
      <c r="A1706" s="63"/>
      <c r="B1706" s="63"/>
      <c r="C1706" s="63"/>
      <c r="D1706" s="63"/>
      <c r="E1706" s="63"/>
      <c r="F1706" s="28" t="str">
        <f aca="false">IF(C1706="","",IF(OR(C1706="1. bekkur",C1706="2. bekkur",C1706="3. bekkur",C1706="4. bekkur"),"Já",IF(C1706="Starfsmaður","Nei","Nei")))</f>
        <v/>
      </c>
      <c r="G1706" s="63"/>
      <c r="H1706" s="63"/>
      <c r="I1706" s="63"/>
      <c r="J1706" s="64" t="str">
        <f aca="false">IF(OR(A1706="",B1706=""),"",CONCATENATE("https://matarstund.is/serfaedi?id=",LOWER(SUBSTITUTE(B1706,"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64" t="str">
        <f aca="false">IF(OR(A1707="",B1707=""),"",CONCATENATE("https://matarstund.is/serfaedi?id=",LOWER(SUBSTITUTE(B1707," ","-"))))</f>
        <v/>
      </c>
    </row>
    <row r="1708" customFormat="false" ht="15" hidden="false" customHeight="true" outlineLevel="0" collapsed="false">
      <c r="A1708" s="63"/>
      <c r="B1708" s="63"/>
      <c r="C1708" s="63"/>
      <c r="D1708" s="63"/>
      <c r="E1708" s="63"/>
      <c r="F1708" s="28" t="str">
        <f aca="false">IF(C1708="","",IF(OR(C1708="1. bekkur",C1708="2. bekkur",C1708="3. bekkur",C1708="4. bekkur"),"Já",IF(C1708="Starfsmaður","Nei","Nei")))</f>
        <v/>
      </c>
      <c r="G1708" s="63"/>
      <c r="H1708" s="63"/>
      <c r="I1708" s="63"/>
      <c r="J1708" s="64" t="str">
        <f aca="false">IF(OR(A1708="",B1708=""),"",CONCATENATE("https://matarstund.is/serfaedi?id=",LOWER(SUBSTITUTE(B1708,"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64" t="str">
        <f aca="false">IF(OR(A1709="",B1709=""),"",CONCATENATE("https://matarstund.is/serfaedi?id=",LOWER(SUBSTITUTE(B1709," ","-"))))</f>
        <v/>
      </c>
    </row>
    <row r="1710" customFormat="false" ht="15" hidden="false" customHeight="true" outlineLevel="0" collapsed="false">
      <c r="A1710" s="63"/>
      <c r="B1710" s="63"/>
      <c r="C1710" s="63"/>
      <c r="D1710" s="63"/>
      <c r="E1710" s="63"/>
      <c r="F1710" s="28" t="str">
        <f aca="false">IF(C1710="","",IF(OR(C1710="1. bekkur",C1710="2. bekkur",C1710="3. bekkur",C1710="4. bekkur"),"Já",IF(C1710="Starfsmaður","Nei","Nei")))</f>
        <v/>
      </c>
      <c r="G1710" s="63"/>
      <c r="H1710" s="63"/>
      <c r="I1710" s="63"/>
      <c r="J1710" s="64" t="str">
        <f aca="false">IF(OR(A1710="",B1710=""),"",CONCATENATE("https://matarstund.is/serfaedi?id=",LOWER(SUBSTITUTE(B1710,"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64" t="str">
        <f aca="false">IF(OR(A1711="",B1711=""),"",CONCATENATE("https://matarstund.is/serfaedi?id=",LOWER(SUBSTITUTE(B1711," ","-"))))</f>
        <v/>
      </c>
    </row>
    <row r="1712" customFormat="false" ht="15" hidden="false" customHeight="true" outlineLevel="0" collapsed="false">
      <c r="A1712" s="63"/>
      <c r="B1712" s="63"/>
      <c r="C1712" s="63"/>
      <c r="D1712" s="63"/>
      <c r="E1712" s="63"/>
      <c r="F1712" s="28" t="str">
        <f aca="false">IF(C1712="","",IF(OR(C1712="1. bekkur",C1712="2. bekkur",C1712="3. bekkur",C1712="4. bekkur"),"Já",IF(C1712="Starfsmaður","Nei","Nei")))</f>
        <v/>
      </c>
      <c r="G1712" s="63"/>
      <c r="H1712" s="63"/>
      <c r="I1712" s="63"/>
      <c r="J1712" s="64" t="str">
        <f aca="false">IF(OR(A1712="",B1712=""),"",CONCATENATE("https://matarstund.is/serfaedi?id=",LOWER(SUBSTITUTE(B1712,"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64" t="str">
        <f aca="false">IF(OR(A1713="",B1713=""),"",CONCATENATE("https://matarstund.is/serfaedi?id=",LOWER(SUBSTITUTE(B1713," ","-"))))</f>
        <v/>
      </c>
    </row>
    <row r="1714" customFormat="false" ht="15" hidden="false" customHeight="true" outlineLevel="0" collapsed="false">
      <c r="A1714" s="63"/>
      <c r="B1714" s="63"/>
      <c r="C1714" s="63"/>
      <c r="D1714" s="63"/>
      <c r="E1714" s="63"/>
      <c r="F1714" s="28" t="str">
        <f aca="false">IF(C1714="","",IF(OR(C1714="1. bekkur",C1714="2. bekkur",C1714="3. bekkur",C1714="4. bekkur"),"Já",IF(C1714="Starfsmaður","Nei","Nei")))</f>
        <v/>
      </c>
      <c r="G1714" s="63"/>
      <c r="H1714" s="63"/>
      <c r="I1714" s="63"/>
      <c r="J1714" s="64" t="str">
        <f aca="false">IF(OR(A1714="",B1714=""),"",CONCATENATE("https://matarstund.is/serfaedi?id=",LOWER(SUBSTITUTE(B1714,"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64" t="str">
        <f aca="false">IF(OR(A1715="",B1715=""),"",CONCATENATE("https://matarstund.is/serfaedi?id=",LOWER(SUBSTITUTE(B1715," ","-"))))</f>
        <v/>
      </c>
    </row>
    <row r="1716" customFormat="false" ht="15" hidden="false" customHeight="true" outlineLevel="0" collapsed="false">
      <c r="A1716" s="63"/>
      <c r="B1716" s="63"/>
      <c r="C1716" s="63"/>
      <c r="D1716" s="63"/>
      <c r="E1716" s="63"/>
      <c r="F1716" s="28" t="str">
        <f aca="false">IF(C1716="","",IF(OR(C1716="1. bekkur",C1716="2. bekkur",C1716="3. bekkur",C1716="4. bekkur"),"Já",IF(C1716="Starfsmaður","Nei","Nei")))</f>
        <v/>
      </c>
      <c r="G1716" s="63"/>
      <c r="H1716" s="63"/>
      <c r="I1716" s="63"/>
      <c r="J1716" s="64" t="str">
        <f aca="false">IF(OR(A1716="",B1716=""),"",CONCATENATE("https://matarstund.is/serfaedi?id=",LOWER(SUBSTITUTE(B1716,"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64" t="str">
        <f aca="false">IF(OR(A1717="",B1717=""),"",CONCATENATE("https://matarstund.is/serfaedi?id=",LOWER(SUBSTITUTE(B1717," ","-"))))</f>
        <v/>
      </c>
    </row>
    <row r="1718" customFormat="false" ht="15" hidden="false" customHeight="true" outlineLevel="0" collapsed="false">
      <c r="A1718" s="63"/>
      <c r="B1718" s="63"/>
      <c r="C1718" s="63"/>
      <c r="D1718" s="63"/>
      <c r="E1718" s="63"/>
      <c r="F1718" s="28" t="str">
        <f aca="false">IF(C1718="","",IF(OR(C1718="1. bekkur",C1718="2. bekkur",C1718="3. bekkur",C1718="4. bekkur"),"Já",IF(C1718="Starfsmaður","Nei","Nei")))</f>
        <v/>
      </c>
      <c r="G1718" s="63"/>
      <c r="H1718" s="63"/>
      <c r="I1718" s="63"/>
      <c r="J1718" s="64" t="str">
        <f aca="false">IF(OR(A1718="",B1718=""),"",CONCATENATE("https://matarstund.is/serfaedi?id=",LOWER(SUBSTITUTE(B1718,"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64" t="str">
        <f aca="false">IF(OR(A1719="",B1719=""),"",CONCATENATE("https://matarstund.is/serfaedi?id=",LOWER(SUBSTITUTE(B1719," ","-"))))</f>
        <v/>
      </c>
    </row>
    <row r="1720" customFormat="false" ht="15" hidden="false" customHeight="true" outlineLevel="0" collapsed="false">
      <c r="A1720" s="63"/>
      <c r="B1720" s="63"/>
      <c r="C1720" s="63"/>
      <c r="D1720" s="63"/>
      <c r="E1720" s="63"/>
      <c r="F1720" s="28" t="str">
        <f aca="false">IF(C1720="","",IF(OR(C1720="1. bekkur",C1720="2. bekkur",C1720="3. bekkur",C1720="4. bekkur"),"Já",IF(C1720="Starfsmaður","Nei","Nei")))</f>
        <v/>
      </c>
      <c r="G1720" s="63"/>
      <c r="H1720" s="63"/>
      <c r="I1720" s="63"/>
      <c r="J1720" s="64" t="str">
        <f aca="false">IF(OR(A1720="",B1720=""),"",CONCATENATE("https://matarstund.is/serfaedi?id=",LOWER(SUBSTITUTE(B1720,"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64" t="str">
        <f aca="false">IF(OR(A1721="",B1721=""),"",CONCATENATE("https://matarstund.is/serfaedi?id=",LOWER(SUBSTITUTE(B1721," ","-"))))</f>
        <v/>
      </c>
    </row>
    <row r="1722" customFormat="false" ht="15" hidden="false" customHeight="true" outlineLevel="0" collapsed="false">
      <c r="A1722" s="63"/>
      <c r="B1722" s="63"/>
      <c r="C1722" s="63"/>
      <c r="D1722" s="63"/>
      <c r="E1722" s="63"/>
      <c r="F1722" s="28" t="str">
        <f aca="false">IF(C1722="","",IF(OR(C1722="1. bekkur",C1722="2. bekkur",C1722="3. bekkur",C1722="4. bekkur"),"Já",IF(C1722="Starfsmaður","Nei","Nei")))</f>
        <v/>
      </c>
      <c r="G1722" s="63"/>
      <c r="H1722" s="63"/>
      <c r="I1722" s="63"/>
      <c r="J1722" s="64" t="str">
        <f aca="false">IF(OR(A1722="",B1722=""),"",CONCATENATE("https://matarstund.is/serfaedi?id=",LOWER(SUBSTITUTE(B1722,"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64" t="str">
        <f aca="false">IF(OR(A1723="",B1723=""),"",CONCATENATE("https://matarstund.is/serfaedi?id=",LOWER(SUBSTITUTE(B1723," ","-"))))</f>
        <v/>
      </c>
    </row>
    <row r="1724" customFormat="false" ht="15" hidden="false" customHeight="true" outlineLevel="0" collapsed="false">
      <c r="A1724" s="63"/>
      <c r="B1724" s="63"/>
      <c r="C1724" s="63"/>
      <c r="D1724" s="63"/>
      <c r="E1724" s="63"/>
      <c r="F1724" s="28" t="str">
        <f aca="false">IF(C1724="","",IF(OR(C1724="1. bekkur",C1724="2. bekkur",C1724="3. bekkur",C1724="4. bekkur"),"Já",IF(C1724="Starfsmaður","Nei","Nei")))</f>
        <v/>
      </c>
      <c r="G1724" s="63"/>
      <c r="H1724" s="63"/>
      <c r="I1724" s="63"/>
      <c r="J1724" s="64" t="str">
        <f aca="false">IF(OR(A1724="",B1724=""),"",CONCATENATE("https://matarstund.is/serfaedi?id=",LOWER(SUBSTITUTE(B1724,"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64" t="str">
        <f aca="false">IF(OR(A1725="",B1725=""),"",CONCATENATE("https://matarstund.is/serfaedi?id=",LOWER(SUBSTITUTE(B1725," ","-"))))</f>
        <v/>
      </c>
    </row>
    <row r="1726" customFormat="false" ht="15" hidden="false" customHeight="true" outlineLevel="0" collapsed="false">
      <c r="A1726" s="63"/>
      <c r="B1726" s="63"/>
      <c r="C1726" s="63"/>
      <c r="D1726" s="63"/>
      <c r="E1726" s="63"/>
      <c r="F1726" s="28" t="str">
        <f aca="false">IF(C1726="","",IF(OR(C1726="1. bekkur",C1726="2. bekkur",C1726="3. bekkur",C1726="4. bekkur"),"Já",IF(C1726="Starfsmaður","Nei","Nei")))</f>
        <v/>
      </c>
      <c r="G1726" s="63"/>
      <c r="H1726" s="63"/>
      <c r="I1726" s="63"/>
      <c r="J1726" s="64" t="str">
        <f aca="false">IF(OR(A1726="",B1726=""),"",CONCATENATE("https://matarstund.is/serfaedi?id=",LOWER(SUBSTITUTE(B1726,"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64" t="str">
        <f aca="false">IF(OR(A1727="",B1727=""),"",CONCATENATE("https://matarstund.is/serfaedi?id=",LOWER(SUBSTITUTE(B1727," ","-"))))</f>
        <v/>
      </c>
    </row>
    <row r="1728" customFormat="false" ht="15" hidden="false" customHeight="true" outlineLevel="0" collapsed="false">
      <c r="A1728" s="63"/>
      <c r="B1728" s="63"/>
      <c r="C1728" s="63"/>
      <c r="D1728" s="63"/>
      <c r="E1728" s="63"/>
      <c r="F1728" s="28" t="str">
        <f aca="false">IF(C1728="","",IF(OR(C1728="1. bekkur",C1728="2. bekkur",C1728="3. bekkur",C1728="4. bekkur"),"Já",IF(C1728="Starfsmaður","Nei","Nei")))</f>
        <v/>
      </c>
      <c r="G1728" s="63"/>
      <c r="H1728" s="63"/>
      <c r="I1728" s="63"/>
      <c r="J1728" s="64" t="str">
        <f aca="false">IF(OR(A1728="",B1728=""),"",CONCATENATE("https://matarstund.is/serfaedi?id=",LOWER(SUBSTITUTE(B1728,"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64" t="str">
        <f aca="false">IF(OR(A1729="",B1729=""),"",CONCATENATE("https://matarstund.is/serfaedi?id=",LOWER(SUBSTITUTE(B1729," ","-"))))</f>
        <v/>
      </c>
    </row>
    <row r="1730" customFormat="false" ht="15" hidden="false" customHeight="true" outlineLevel="0" collapsed="false">
      <c r="A1730" s="63"/>
      <c r="B1730" s="63"/>
      <c r="C1730" s="63"/>
      <c r="D1730" s="63"/>
      <c r="E1730" s="63"/>
      <c r="F1730" s="28" t="str">
        <f aca="false">IF(C1730="","",IF(OR(C1730="1. bekkur",C1730="2. bekkur",C1730="3. bekkur",C1730="4. bekkur"),"Já",IF(C1730="Starfsmaður","Nei","Nei")))</f>
        <v/>
      </c>
      <c r="G1730" s="63"/>
      <c r="H1730" s="63"/>
      <c r="I1730" s="63"/>
      <c r="J1730" s="64" t="str">
        <f aca="false">IF(OR(A1730="",B1730=""),"",CONCATENATE("https://matarstund.is/serfaedi?id=",LOWER(SUBSTITUTE(B1730,"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64" t="str">
        <f aca="false">IF(OR(A1731="",B1731=""),"",CONCATENATE("https://matarstund.is/serfaedi?id=",LOWER(SUBSTITUTE(B1731," ","-"))))</f>
        <v/>
      </c>
    </row>
    <row r="1732" customFormat="false" ht="15" hidden="false" customHeight="true" outlineLevel="0" collapsed="false">
      <c r="A1732" s="63"/>
      <c r="B1732" s="63"/>
      <c r="C1732" s="63"/>
      <c r="D1732" s="63"/>
      <c r="E1732" s="63"/>
      <c r="F1732" s="28" t="str">
        <f aca="false">IF(C1732="","",IF(OR(C1732="1. bekkur",C1732="2. bekkur",C1732="3. bekkur",C1732="4. bekkur"),"Já",IF(C1732="Starfsmaður","Nei","Nei")))</f>
        <v/>
      </c>
      <c r="G1732" s="63"/>
      <c r="H1732" s="63"/>
      <c r="I1732" s="63"/>
      <c r="J1732" s="64" t="str">
        <f aca="false">IF(OR(A1732="",B1732=""),"",CONCATENATE("https://matarstund.is/serfaedi?id=",LOWER(SUBSTITUTE(B1732,"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64" t="str">
        <f aca="false">IF(OR(A1733="",B1733=""),"",CONCATENATE("https://matarstund.is/serfaedi?id=",LOWER(SUBSTITUTE(B1733," ","-"))))</f>
        <v/>
      </c>
    </row>
    <row r="1734" customFormat="false" ht="15" hidden="false" customHeight="true" outlineLevel="0" collapsed="false">
      <c r="A1734" s="63"/>
      <c r="B1734" s="63"/>
      <c r="C1734" s="63"/>
      <c r="D1734" s="63"/>
      <c r="E1734" s="63"/>
      <c r="F1734" s="28" t="str">
        <f aca="false">IF(C1734="","",IF(OR(C1734="1. bekkur",C1734="2. bekkur",C1734="3. bekkur",C1734="4. bekkur"),"Já",IF(C1734="Starfsmaður","Nei","Nei")))</f>
        <v/>
      </c>
      <c r="G1734" s="63"/>
      <c r="H1734" s="63"/>
      <c r="I1734" s="63"/>
      <c r="J1734" s="64" t="str">
        <f aca="false">IF(OR(A1734="",B1734=""),"",CONCATENATE("https://matarstund.is/serfaedi?id=",LOWER(SUBSTITUTE(B1734,"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64" t="str">
        <f aca="false">IF(OR(A1735="",B1735=""),"",CONCATENATE("https://matarstund.is/serfaedi?id=",LOWER(SUBSTITUTE(B1735," ","-"))))</f>
        <v/>
      </c>
    </row>
    <row r="1736" customFormat="false" ht="15" hidden="false" customHeight="true" outlineLevel="0" collapsed="false">
      <c r="A1736" s="63"/>
      <c r="B1736" s="63"/>
      <c r="C1736" s="63"/>
      <c r="D1736" s="63"/>
      <c r="E1736" s="63"/>
      <c r="F1736" s="28" t="str">
        <f aca="false">IF(C1736="","",IF(OR(C1736="1. bekkur",C1736="2. bekkur",C1736="3. bekkur",C1736="4. bekkur"),"Já",IF(C1736="Starfsmaður","Nei","Nei")))</f>
        <v/>
      </c>
      <c r="G1736" s="63"/>
      <c r="H1736" s="63"/>
      <c r="I1736" s="63"/>
      <c r="J1736" s="64" t="str">
        <f aca="false">IF(OR(A1736="",B1736=""),"",CONCATENATE("https://matarstund.is/serfaedi?id=",LOWER(SUBSTITUTE(B1736,"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64" t="str">
        <f aca="false">IF(OR(A1737="",B1737=""),"",CONCATENATE("https://matarstund.is/serfaedi?id=",LOWER(SUBSTITUTE(B1737," ","-"))))</f>
        <v/>
      </c>
    </row>
    <row r="1738" customFormat="false" ht="15" hidden="false" customHeight="true" outlineLevel="0" collapsed="false">
      <c r="A1738" s="63"/>
      <c r="B1738" s="63"/>
      <c r="C1738" s="63"/>
      <c r="D1738" s="63"/>
      <c r="E1738" s="63"/>
      <c r="F1738" s="28" t="str">
        <f aca="false">IF(C1738="","",IF(OR(C1738="1. bekkur",C1738="2. bekkur",C1738="3. bekkur",C1738="4. bekkur"),"Já",IF(C1738="Starfsmaður","Nei","Nei")))</f>
        <v/>
      </c>
      <c r="G1738" s="63"/>
      <c r="H1738" s="63"/>
      <c r="I1738" s="63"/>
      <c r="J1738" s="64" t="str">
        <f aca="false">IF(OR(A1738="",B1738=""),"",CONCATENATE("https://matarstund.is/serfaedi?id=",LOWER(SUBSTITUTE(B1738,"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64" t="str">
        <f aca="false">IF(OR(A1739="",B1739=""),"",CONCATENATE("https://matarstund.is/serfaedi?id=",LOWER(SUBSTITUTE(B1739," ","-"))))</f>
        <v/>
      </c>
    </row>
    <row r="1740" customFormat="false" ht="15" hidden="false" customHeight="true" outlineLevel="0" collapsed="false">
      <c r="A1740" s="63"/>
      <c r="B1740" s="63"/>
      <c r="C1740" s="63"/>
      <c r="D1740" s="63"/>
      <c r="E1740" s="63"/>
      <c r="F1740" s="28" t="str">
        <f aca="false">IF(C1740="","",IF(OR(C1740="1. bekkur",C1740="2. bekkur",C1740="3. bekkur",C1740="4. bekkur"),"Já",IF(C1740="Starfsmaður","Nei","Nei")))</f>
        <v/>
      </c>
      <c r="G1740" s="63"/>
      <c r="H1740" s="63"/>
      <c r="I1740" s="63"/>
      <c r="J1740" s="64" t="str">
        <f aca="false">IF(OR(A1740="",B1740=""),"",CONCATENATE("https://matarstund.is/serfaedi?id=",LOWER(SUBSTITUTE(B1740,"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64" t="str">
        <f aca="false">IF(OR(A1741="",B1741=""),"",CONCATENATE("https://matarstund.is/serfaedi?id=",LOWER(SUBSTITUTE(B1741," ","-"))))</f>
        <v/>
      </c>
    </row>
    <row r="1742" customFormat="false" ht="15" hidden="false" customHeight="true" outlineLevel="0" collapsed="false">
      <c r="A1742" s="63"/>
      <c r="B1742" s="63"/>
      <c r="C1742" s="63"/>
      <c r="D1742" s="63"/>
      <c r="E1742" s="63"/>
      <c r="F1742" s="28" t="str">
        <f aca="false">IF(C1742="","",IF(OR(C1742="1. bekkur",C1742="2. bekkur",C1742="3. bekkur",C1742="4. bekkur"),"Já",IF(C1742="Starfsmaður","Nei","Nei")))</f>
        <v/>
      </c>
      <c r="G1742" s="63"/>
      <c r="H1742" s="63"/>
      <c r="I1742" s="63"/>
      <c r="J1742" s="64" t="str">
        <f aca="false">IF(OR(A1742="",B1742=""),"",CONCATENATE("https://matarstund.is/serfaedi?id=",LOWER(SUBSTITUTE(B1742,"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64" t="str">
        <f aca="false">IF(OR(A1743="",B1743=""),"",CONCATENATE("https://matarstund.is/serfaedi?id=",LOWER(SUBSTITUTE(B1743," ","-"))))</f>
        <v/>
      </c>
    </row>
    <row r="1744" customFormat="false" ht="15" hidden="false" customHeight="true" outlineLevel="0" collapsed="false">
      <c r="A1744" s="63"/>
      <c r="B1744" s="63"/>
      <c r="C1744" s="63"/>
      <c r="D1744" s="63"/>
      <c r="E1744" s="63"/>
      <c r="F1744" s="28" t="str">
        <f aca="false">IF(C1744="","",IF(OR(C1744="1. bekkur",C1744="2. bekkur",C1744="3. bekkur",C1744="4. bekkur"),"Já",IF(C1744="Starfsmaður","Nei","Nei")))</f>
        <v/>
      </c>
      <c r="G1744" s="63"/>
      <c r="H1744" s="63"/>
      <c r="I1744" s="63"/>
      <c r="J1744" s="64" t="str">
        <f aca="false">IF(OR(A1744="",B1744=""),"",CONCATENATE("https://matarstund.is/serfaedi?id=",LOWER(SUBSTITUTE(B1744,"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64" t="str">
        <f aca="false">IF(OR(A1745="",B1745=""),"",CONCATENATE("https://matarstund.is/serfaedi?id=",LOWER(SUBSTITUTE(B1745," ","-"))))</f>
        <v/>
      </c>
    </row>
    <row r="1746" customFormat="false" ht="15" hidden="false" customHeight="true" outlineLevel="0" collapsed="false">
      <c r="A1746" s="63"/>
      <c r="B1746" s="63"/>
      <c r="C1746" s="63"/>
      <c r="D1746" s="63"/>
      <c r="E1746" s="63"/>
      <c r="F1746" s="28" t="str">
        <f aca="false">IF(C1746="","",IF(OR(C1746="1. bekkur",C1746="2. bekkur",C1746="3. bekkur",C1746="4. bekkur"),"Já",IF(C1746="Starfsmaður","Nei","Nei")))</f>
        <v/>
      </c>
      <c r="G1746" s="63"/>
      <c r="H1746" s="63"/>
      <c r="I1746" s="63"/>
      <c r="J1746" s="64" t="str">
        <f aca="false">IF(OR(A1746="",B1746=""),"",CONCATENATE("https://matarstund.is/serfaedi?id=",LOWER(SUBSTITUTE(B1746,"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64" t="str">
        <f aca="false">IF(OR(A1747="",B1747=""),"",CONCATENATE("https://matarstund.is/serfaedi?id=",LOWER(SUBSTITUTE(B1747," ","-"))))</f>
        <v/>
      </c>
    </row>
    <row r="1748" customFormat="false" ht="15" hidden="false" customHeight="true" outlineLevel="0" collapsed="false">
      <c r="A1748" s="63"/>
      <c r="B1748" s="63"/>
      <c r="C1748" s="63"/>
      <c r="D1748" s="63"/>
      <c r="E1748" s="63"/>
      <c r="F1748" s="28" t="str">
        <f aca="false">IF(C1748="","",IF(OR(C1748="1. bekkur",C1748="2. bekkur",C1748="3. bekkur",C1748="4. bekkur"),"Já",IF(C1748="Starfsmaður","Nei","Nei")))</f>
        <v/>
      </c>
      <c r="G1748" s="63"/>
      <c r="H1748" s="63"/>
      <c r="I1748" s="63"/>
      <c r="J1748" s="64" t="str">
        <f aca="false">IF(OR(A1748="",B1748=""),"",CONCATENATE("https://matarstund.is/serfaedi?id=",LOWER(SUBSTITUTE(B1748,"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64" t="str">
        <f aca="false">IF(OR(A1749="",B1749=""),"",CONCATENATE("https://matarstund.is/serfaedi?id=",LOWER(SUBSTITUTE(B1749," ","-"))))</f>
        <v/>
      </c>
    </row>
    <row r="1750" customFormat="false" ht="15" hidden="false" customHeight="true" outlineLevel="0" collapsed="false">
      <c r="A1750" s="63"/>
      <c r="B1750" s="63"/>
      <c r="C1750" s="63"/>
      <c r="D1750" s="63"/>
      <c r="E1750" s="63"/>
      <c r="F1750" s="28" t="str">
        <f aca="false">IF(C1750="","",IF(OR(C1750="1. bekkur",C1750="2. bekkur",C1750="3. bekkur",C1750="4. bekkur"),"Já",IF(C1750="Starfsmaður","Nei","Nei")))</f>
        <v/>
      </c>
      <c r="G1750" s="63"/>
      <c r="H1750" s="63"/>
      <c r="I1750" s="63"/>
      <c r="J1750" s="64" t="str">
        <f aca="false">IF(OR(A1750="",B1750=""),"",CONCATENATE("https://matarstund.is/serfaedi?id=",LOWER(SUBSTITUTE(B1750,"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64" t="str">
        <f aca="false">IF(OR(A1751="",B1751=""),"",CONCATENATE("https://matarstund.is/serfaedi?id=",LOWER(SUBSTITUTE(B1751," ","-"))))</f>
        <v/>
      </c>
    </row>
    <row r="1752" customFormat="false" ht="15" hidden="false" customHeight="true" outlineLevel="0" collapsed="false">
      <c r="A1752" s="63"/>
      <c r="B1752" s="63"/>
      <c r="C1752" s="63"/>
      <c r="D1752" s="63"/>
      <c r="E1752" s="63"/>
      <c r="F1752" s="28" t="str">
        <f aca="false">IF(C1752="","",IF(OR(C1752="1. bekkur",C1752="2. bekkur",C1752="3. bekkur",C1752="4. bekkur"),"Já",IF(C1752="Starfsmaður","Nei","Nei")))</f>
        <v/>
      </c>
      <c r="G1752" s="63"/>
      <c r="H1752" s="63"/>
      <c r="I1752" s="63"/>
      <c r="J1752" s="64" t="str">
        <f aca="false">IF(OR(A1752="",B1752=""),"",CONCATENATE("https://matarstund.is/serfaedi?id=",LOWER(SUBSTITUTE(B1752,"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64" t="str">
        <f aca="false">IF(OR(A1753="",B1753=""),"",CONCATENATE("https://matarstund.is/serfaedi?id=",LOWER(SUBSTITUTE(B1753," ","-"))))</f>
        <v/>
      </c>
    </row>
    <row r="1754" customFormat="false" ht="15" hidden="false" customHeight="true" outlineLevel="0" collapsed="false">
      <c r="A1754" s="63"/>
      <c r="B1754" s="63"/>
      <c r="C1754" s="63"/>
      <c r="D1754" s="63"/>
      <c r="E1754" s="63"/>
      <c r="F1754" s="28" t="str">
        <f aca="false">IF(C1754="","",IF(OR(C1754="1. bekkur",C1754="2. bekkur",C1754="3. bekkur",C1754="4. bekkur"),"Já",IF(C1754="Starfsmaður","Nei","Nei")))</f>
        <v/>
      </c>
      <c r="G1754" s="63"/>
      <c r="H1754" s="63"/>
      <c r="I1754" s="63"/>
      <c r="J1754" s="64" t="str">
        <f aca="false">IF(OR(A1754="",B1754=""),"",CONCATENATE("https://matarstund.is/serfaedi?id=",LOWER(SUBSTITUTE(B1754,"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64" t="str">
        <f aca="false">IF(OR(A1755="",B1755=""),"",CONCATENATE("https://matarstund.is/serfaedi?id=",LOWER(SUBSTITUTE(B1755," ","-"))))</f>
        <v/>
      </c>
    </row>
    <row r="1756" customFormat="false" ht="15" hidden="false" customHeight="true" outlineLevel="0" collapsed="false">
      <c r="A1756" s="63"/>
      <c r="B1756" s="63"/>
      <c r="C1756" s="63"/>
      <c r="D1756" s="63"/>
      <c r="E1756" s="63"/>
      <c r="F1756" s="28" t="str">
        <f aca="false">IF(C1756="","",IF(OR(C1756="1. bekkur",C1756="2. bekkur",C1756="3. bekkur",C1756="4. bekkur"),"Já",IF(C1756="Starfsmaður","Nei","Nei")))</f>
        <v/>
      </c>
      <c r="G1756" s="63"/>
      <c r="H1756" s="63"/>
      <c r="I1756" s="63"/>
      <c r="J1756" s="64" t="str">
        <f aca="false">IF(OR(A1756="",B1756=""),"",CONCATENATE("https://matarstund.is/serfaedi?id=",LOWER(SUBSTITUTE(B1756,"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64" t="str">
        <f aca="false">IF(OR(A1757="",B1757=""),"",CONCATENATE("https://matarstund.is/serfaedi?id=",LOWER(SUBSTITUTE(B1757," ","-"))))</f>
        <v/>
      </c>
    </row>
    <row r="1758" customFormat="false" ht="15" hidden="false" customHeight="true" outlineLevel="0" collapsed="false">
      <c r="A1758" s="63"/>
      <c r="B1758" s="63"/>
      <c r="C1758" s="63"/>
      <c r="D1758" s="63"/>
      <c r="E1758" s="63"/>
      <c r="F1758" s="28" t="str">
        <f aca="false">IF(C1758="","",IF(OR(C1758="1. bekkur",C1758="2. bekkur",C1758="3. bekkur",C1758="4. bekkur"),"Já",IF(C1758="Starfsmaður","Nei","Nei")))</f>
        <v/>
      </c>
      <c r="G1758" s="63"/>
      <c r="H1758" s="63"/>
      <c r="I1758" s="63"/>
      <c r="J1758" s="64" t="str">
        <f aca="false">IF(OR(A1758="",B1758=""),"",CONCATENATE("https://matarstund.is/serfaedi?id=",LOWER(SUBSTITUTE(B1758,"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64" t="str">
        <f aca="false">IF(OR(A1759="",B1759=""),"",CONCATENATE("https://matarstund.is/serfaedi?id=",LOWER(SUBSTITUTE(B1759," ","-"))))</f>
        <v/>
      </c>
    </row>
    <row r="1760" customFormat="false" ht="15" hidden="false" customHeight="true" outlineLevel="0" collapsed="false">
      <c r="A1760" s="63"/>
      <c r="B1760" s="63"/>
      <c r="C1760" s="63"/>
      <c r="D1760" s="63"/>
      <c r="E1760" s="63"/>
      <c r="F1760" s="28" t="str">
        <f aca="false">IF(C1760="","",IF(OR(C1760="1. bekkur",C1760="2. bekkur",C1760="3. bekkur",C1760="4. bekkur"),"Já",IF(C1760="Starfsmaður","Nei","Nei")))</f>
        <v/>
      </c>
      <c r="G1760" s="63"/>
      <c r="H1760" s="63"/>
      <c r="I1760" s="63"/>
      <c r="J1760" s="64" t="str">
        <f aca="false">IF(OR(A1760="",B1760=""),"",CONCATENATE("https://matarstund.is/serfaedi?id=",LOWER(SUBSTITUTE(B1760,"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64" t="str">
        <f aca="false">IF(OR(A1761="",B1761=""),"",CONCATENATE("https://matarstund.is/serfaedi?id=",LOWER(SUBSTITUTE(B1761," ","-"))))</f>
        <v/>
      </c>
    </row>
    <row r="1762" customFormat="false" ht="15" hidden="false" customHeight="true" outlineLevel="0" collapsed="false">
      <c r="A1762" s="63"/>
      <c r="B1762" s="63"/>
      <c r="C1762" s="63"/>
      <c r="D1762" s="63"/>
      <c r="E1762" s="63"/>
      <c r="F1762" s="28" t="str">
        <f aca="false">IF(C1762="","",IF(OR(C1762="1. bekkur",C1762="2. bekkur",C1762="3. bekkur",C1762="4. bekkur"),"Já",IF(C1762="Starfsmaður","Nei","Nei")))</f>
        <v/>
      </c>
      <c r="G1762" s="63"/>
      <c r="H1762" s="63"/>
      <c r="I1762" s="63"/>
      <c r="J1762" s="64" t="str">
        <f aca="false">IF(OR(A1762="",B1762=""),"",CONCATENATE("https://matarstund.is/serfaedi?id=",LOWER(SUBSTITUTE(B1762,"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64" t="str">
        <f aca="false">IF(OR(A1763="",B1763=""),"",CONCATENATE("https://matarstund.is/serfaedi?id=",LOWER(SUBSTITUTE(B1763," ","-"))))</f>
        <v/>
      </c>
    </row>
    <row r="1764" customFormat="false" ht="15" hidden="false" customHeight="true" outlineLevel="0" collapsed="false">
      <c r="A1764" s="63"/>
      <c r="B1764" s="63"/>
      <c r="C1764" s="63"/>
      <c r="D1764" s="63"/>
      <c r="E1764" s="63"/>
      <c r="F1764" s="28" t="str">
        <f aca="false">IF(C1764="","",IF(OR(C1764="1. bekkur",C1764="2. bekkur",C1764="3. bekkur",C1764="4. bekkur"),"Já",IF(C1764="Starfsmaður","Nei","Nei")))</f>
        <v/>
      </c>
      <c r="G1764" s="63"/>
      <c r="H1764" s="63"/>
      <c r="I1764" s="63"/>
      <c r="J1764" s="64" t="str">
        <f aca="false">IF(OR(A1764="",B1764=""),"",CONCATENATE("https://matarstund.is/serfaedi?id=",LOWER(SUBSTITUTE(B1764,"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64" t="str">
        <f aca="false">IF(OR(A1765="",B1765=""),"",CONCATENATE("https://matarstund.is/serfaedi?id=",LOWER(SUBSTITUTE(B1765," ","-"))))</f>
        <v/>
      </c>
    </row>
    <row r="1766" customFormat="false" ht="15" hidden="false" customHeight="true" outlineLevel="0" collapsed="false">
      <c r="A1766" s="63"/>
      <c r="B1766" s="63"/>
      <c r="C1766" s="63"/>
      <c r="D1766" s="63"/>
      <c r="E1766" s="63"/>
      <c r="F1766" s="28" t="str">
        <f aca="false">IF(C1766="","",IF(OR(C1766="1. bekkur",C1766="2. bekkur",C1766="3. bekkur",C1766="4. bekkur"),"Já",IF(C1766="Starfsmaður","Nei","Nei")))</f>
        <v/>
      </c>
      <c r="G1766" s="63"/>
      <c r="H1766" s="63"/>
      <c r="I1766" s="63"/>
      <c r="J1766" s="64" t="str">
        <f aca="false">IF(OR(A1766="",B1766=""),"",CONCATENATE("https://matarstund.is/serfaedi?id=",LOWER(SUBSTITUTE(B1766,"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64" t="str">
        <f aca="false">IF(OR(A1767="",B1767=""),"",CONCATENATE("https://matarstund.is/serfaedi?id=",LOWER(SUBSTITUTE(B1767," ","-"))))</f>
        <v/>
      </c>
    </row>
    <row r="1768" customFormat="false" ht="15" hidden="false" customHeight="true" outlineLevel="0" collapsed="false">
      <c r="A1768" s="63"/>
      <c r="B1768" s="63"/>
      <c r="C1768" s="63"/>
      <c r="D1768" s="63"/>
      <c r="E1768" s="63"/>
      <c r="F1768" s="28" t="str">
        <f aca="false">IF(C1768="","",IF(OR(C1768="1. bekkur",C1768="2. bekkur",C1768="3. bekkur",C1768="4. bekkur"),"Já",IF(C1768="Starfsmaður","Nei","Nei")))</f>
        <v/>
      </c>
      <c r="G1768" s="63"/>
      <c r="H1768" s="63"/>
      <c r="I1768" s="63"/>
      <c r="J1768" s="64" t="str">
        <f aca="false">IF(OR(A1768="",B1768=""),"",CONCATENATE("https://matarstund.is/serfaedi?id=",LOWER(SUBSTITUTE(B1768,"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64" t="str">
        <f aca="false">IF(OR(A1769="",B1769=""),"",CONCATENATE("https://matarstund.is/serfaedi?id=",LOWER(SUBSTITUTE(B1769," ","-"))))</f>
        <v/>
      </c>
    </row>
    <row r="1770" customFormat="false" ht="15" hidden="false" customHeight="true" outlineLevel="0" collapsed="false">
      <c r="A1770" s="63"/>
      <c r="B1770" s="63"/>
      <c r="C1770" s="63"/>
      <c r="D1770" s="63"/>
      <c r="E1770" s="63"/>
      <c r="F1770" s="28" t="str">
        <f aca="false">IF(C1770="","",IF(OR(C1770="1. bekkur",C1770="2. bekkur",C1770="3. bekkur",C1770="4. bekkur"),"Já",IF(C1770="Starfsmaður","Nei","Nei")))</f>
        <v/>
      </c>
      <c r="G1770" s="63"/>
      <c r="H1770" s="63"/>
      <c r="I1770" s="63"/>
      <c r="J1770" s="64" t="str">
        <f aca="false">IF(OR(A1770="",B1770=""),"",CONCATENATE("https://matarstund.is/serfaedi?id=",LOWER(SUBSTITUTE(B1770,"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64" t="str">
        <f aca="false">IF(OR(A1771="",B1771=""),"",CONCATENATE("https://matarstund.is/serfaedi?id=",LOWER(SUBSTITUTE(B1771," ","-"))))</f>
        <v/>
      </c>
    </row>
    <row r="1772" customFormat="false" ht="15" hidden="false" customHeight="true" outlineLevel="0" collapsed="false">
      <c r="A1772" s="63"/>
      <c r="B1772" s="63"/>
      <c r="C1772" s="63"/>
      <c r="D1772" s="63"/>
      <c r="E1772" s="63"/>
      <c r="F1772" s="28" t="str">
        <f aca="false">IF(C1772="","",IF(OR(C1772="1. bekkur",C1772="2. bekkur",C1772="3. bekkur",C1772="4. bekkur"),"Já",IF(C1772="Starfsmaður","Nei","Nei")))</f>
        <v/>
      </c>
      <c r="G1772" s="63"/>
      <c r="H1772" s="63"/>
      <c r="I1772" s="63"/>
      <c r="J1772" s="64" t="str">
        <f aca="false">IF(OR(A1772="",B1772=""),"",CONCATENATE("https://matarstund.is/serfaedi?id=",LOWER(SUBSTITUTE(B1772,"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64" t="str">
        <f aca="false">IF(OR(A1773="",B1773=""),"",CONCATENATE("https://matarstund.is/serfaedi?id=",LOWER(SUBSTITUTE(B1773," ","-"))))</f>
        <v/>
      </c>
    </row>
    <row r="1774" customFormat="false" ht="15" hidden="false" customHeight="true" outlineLevel="0" collapsed="false">
      <c r="A1774" s="63"/>
      <c r="B1774" s="63"/>
      <c r="C1774" s="63"/>
      <c r="D1774" s="63"/>
      <c r="E1774" s="63"/>
      <c r="F1774" s="28" t="str">
        <f aca="false">IF(C1774="","",IF(OR(C1774="1. bekkur",C1774="2. bekkur",C1774="3. bekkur",C1774="4. bekkur"),"Já",IF(C1774="Starfsmaður","Nei","Nei")))</f>
        <v/>
      </c>
      <c r="G1774" s="63"/>
      <c r="H1774" s="63"/>
      <c r="I1774" s="63"/>
      <c r="J1774" s="64" t="str">
        <f aca="false">IF(OR(A1774="",B1774=""),"",CONCATENATE("https://matarstund.is/serfaedi?id=",LOWER(SUBSTITUTE(B1774,"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64" t="str">
        <f aca="false">IF(OR(A1775="",B1775=""),"",CONCATENATE("https://matarstund.is/serfaedi?id=",LOWER(SUBSTITUTE(B1775," ","-"))))</f>
        <v/>
      </c>
    </row>
    <row r="1776" customFormat="false" ht="15" hidden="false" customHeight="true" outlineLevel="0" collapsed="false">
      <c r="A1776" s="63"/>
      <c r="B1776" s="63"/>
      <c r="C1776" s="63"/>
      <c r="D1776" s="63"/>
      <c r="E1776" s="63"/>
      <c r="F1776" s="28" t="str">
        <f aca="false">IF(C1776="","",IF(OR(C1776="1. bekkur",C1776="2. bekkur",C1776="3. bekkur",C1776="4. bekkur"),"Já",IF(C1776="Starfsmaður","Nei","Nei")))</f>
        <v/>
      </c>
      <c r="G1776" s="63"/>
      <c r="H1776" s="63"/>
      <c r="I1776" s="63"/>
      <c r="J1776" s="64" t="str">
        <f aca="false">IF(OR(A1776="",B1776=""),"",CONCATENATE("https://matarstund.is/serfaedi?id=",LOWER(SUBSTITUTE(B1776,"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64" t="str">
        <f aca="false">IF(OR(A1777="",B1777=""),"",CONCATENATE("https://matarstund.is/serfaedi?id=",LOWER(SUBSTITUTE(B1777," ","-"))))</f>
        <v/>
      </c>
    </row>
    <row r="1778" customFormat="false" ht="15" hidden="false" customHeight="true" outlineLevel="0" collapsed="false">
      <c r="A1778" s="63"/>
      <c r="B1778" s="63"/>
      <c r="C1778" s="63"/>
      <c r="D1778" s="63"/>
      <c r="E1778" s="63"/>
      <c r="F1778" s="28" t="str">
        <f aca="false">IF(C1778="","",IF(OR(C1778="1. bekkur",C1778="2. bekkur",C1778="3. bekkur",C1778="4. bekkur"),"Já",IF(C1778="Starfsmaður","Nei","Nei")))</f>
        <v/>
      </c>
      <c r="G1778" s="63"/>
      <c r="H1778" s="63"/>
      <c r="I1778" s="63"/>
      <c r="J1778" s="64" t="str">
        <f aca="false">IF(OR(A1778="",B1778=""),"",CONCATENATE("https://matarstund.is/serfaedi?id=",LOWER(SUBSTITUTE(B1778,"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64" t="str">
        <f aca="false">IF(OR(A1779="",B1779=""),"",CONCATENATE("https://matarstund.is/serfaedi?id=",LOWER(SUBSTITUTE(B1779," ","-"))))</f>
        <v/>
      </c>
    </row>
    <row r="1780" customFormat="false" ht="15" hidden="false" customHeight="true" outlineLevel="0" collapsed="false">
      <c r="A1780" s="63"/>
      <c r="B1780" s="63"/>
      <c r="C1780" s="63"/>
      <c r="D1780" s="63"/>
      <c r="E1780" s="63"/>
      <c r="F1780" s="28" t="str">
        <f aca="false">IF(C1780="","",IF(OR(C1780="1. bekkur",C1780="2. bekkur",C1780="3. bekkur",C1780="4. bekkur"),"Já",IF(C1780="Starfsmaður","Nei","Nei")))</f>
        <v/>
      </c>
      <c r="G1780" s="63"/>
      <c r="H1780" s="63"/>
      <c r="I1780" s="63"/>
      <c r="J1780" s="64" t="str">
        <f aca="false">IF(OR(A1780="",B1780=""),"",CONCATENATE("https://matarstund.is/serfaedi?id=",LOWER(SUBSTITUTE(B1780,"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64" t="str">
        <f aca="false">IF(OR(A1781="",B1781=""),"",CONCATENATE("https://matarstund.is/serfaedi?id=",LOWER(SUBSTITUTE(B1781," ","-"))))</f>
        <v/>
      </c>
    </row>
    <row r="1782" customFormat="false" ht="15" hidden="false" customHeight="true" outlineLevel="0" collapsed="false">
      <c r="A1782" s="63"/>
      <c r="B1782" s="63"/>
      <c r="C1782" s="63"/>
      <c r="D1782" s="63"/>
      <c r="E1782" s="63"/>
      <c r="F1782" s="28" t="str">
        <f aca="false">IF(C1782="","",IF(OR(C1782="1. bekkur",C1782="2. bekkur",C1782="3. bekkur",C1782="4. bekkur"),"Já",IF(C1782="Starfsmaður","Nei","Nei")))</f>
        <v/>
      </c>
      <c r="G1782" s="63"/>
      <c r="H1782" s="63"/>
      <c r="I1782" s="63"/>
      <c r="J1782" s="64" t="str">
        <f aca="false">IF(OR(A1782="",B1782=""),"",CONCATENATE("https://matarstund.is/serfaedi?id=",LOWER(SUBSTITUTE(B1782,"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64" t="str">
        <f aca="false">IF(OR(A1783="",B1783=""),"",CONCATENATE("https://matarstund.is/serfaedi?id=",LOWER(SUBSTITUTE(B1783," ","-"))))</f>
        <v/>
      </c>
    </row>
    <row r="1784" customFormat="false" ht="15" hidden="false" customHeight="true" outlineLevel="0" collapsed="false">
      <c r="A1784" s="63"/>
      <c r="B1784" s="63"/>
      <c r="C1784" s="63"/>
      <c r="D1784" s="63"/>
      <c r="E1784" s="63"/>
      <c r="F1784" s="28" t="str">
        <f aca="false">IF(C1784="","",IF(OR(C1784="1. bekkur",C1784="2. bekkur",C1784="3. bekkur",C1784="4. bekkur"),"Já",IF(C1784="Starfsmaður","Nei","Nei")))</f>
        <v/>
      </c>
      <c r="G1784" s="63"/>
      <c r="H1784" s="63"/>
      <c r="I1784" s="63"/>
      <c r="J1784" s="64" t="str">
        <f aca="false">IF(OR(A1784="",B1784=""),"",CONCATENATE("https://matarstund.is/serfaedi?id=",LOWER(SUBSTITUTE(B1784,"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64" t="str">
        <f aca="false">IF(OR(A1785="",B1785=""),"",CONCATENATE("https://matarstund.is/serfaedi?id=",LOWER(SUBSTITUTE(B1785," ","-"))))</f>
        <v/>
      </c>
    </row>
    <row r="1786" customFormat="false" ht="15" hidden="false" customHeight="true" outlineLevel="0" collapsed="false">
      <c r="A1786" s="63"/>
      <c r="B1786" s="63"/>
      <c r="C1786" s="63"/>
      <c r="D1786" s="63"/>
      <c r="E1786" s="63"/>
      <c r="F1786" s="28" t="str">
        <f aca="false">IF(C1786="","",IF(OR(C1786="1. bekkur",C1786="2. bekkur",C1786="3. bekkur",C1786="4. bekkur"),"Já",IF(C1786="Starfsmaður","Nei","Nei")))</f>
        <v/>
      </c>
      <c r="G1786" s="63"/>
      <c r="H1786" s="63"/>
      <c r="I1786" s="63"/>
      <c r="J1786" s="64" t="str">
        <f aca="false">IF(OR(A1786="",B1786=""),"",CONCATENATE("https://matarstund.is/serfaedi?id=",LOWER(SUBSTITUTE(B1786,"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64" t="str">
        <f aca="false">IF(OR(A1787="",B1787=""),"",CONCATENATE("https://matarstund.is/serfaedi?id=",LOWER(SUBSTITUTE(B1787," ","-"))))</f>
        <v/>
      </c>
    </row>
    <row r="1788" customFormat="false" ht="15" hidden="false" customHeight="true" outlineLevel="0" collapsed="false">
      <c r="A1788" s="63"/>
      <c r="B1788" s="63"/>
      <c r="C1788" s="63"/>
      <c r="D1788" s="63"/>
      <c r="E1788" s="63"/>
      <c r="F1788" s="28" t="str">
        <f aca="false">IF(C1788="","",IF(OR(C1788="1. bekkur",C1788="2. bekkur",C1788="3. bekkur",C1788="4. bekkur"),"Já",IF(C1788="Starfsmaður","Nei","Nei")))</f>
        <v/>
      </c>
      <c r="G1788" s="63"/>
      <c r="H1788" s="63"/>
      <c r="I1788" s="63"/>
      <c r="J1788" s="64" t="str">
        <f aca="false">IF(OR(A1788="",B1788=""),"",CONCATENATE("https://matarstund.is/serfaedi?id=",LOWER(SUBSTITUTE(B1788,"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64" t="str">
        <f aca="false">IF(OR(A1789="",B1789=""),"",CONCATENATE("https://matarstund.is/serfaedi?id=",LOWER(SUBSTITUTE(B1789," ","-"))))</f>
        <v/>
      </c>
    </row>
    <row r="1790" customFormat="false" ht="15" hidden="false" customHeight="true" outlineLevel="0" collapsed="false">
      <c r="A1790" s="63"/>
      <c r="B1790" s="63"/>
      <c r="C1790" s="63"/>
      <c r="D1790" s="63"/>
      <c r="E1790" s="63"/>
      <c r="F1790" s="28" t="str">
        <f aca="false">IF(C1790="","",IF(OR(C1790="1. bekkur",C1790="2. bekkur",C1790="3. bekkur",C1790="4. bekkur"),"Já",IF(C1790="Starfsmaður","Nei","Nei")))</f>
        <v/>
      </c>
      <c r="G1790" s="63"/>
      <c r="H1790" s="63"/>
      <c r="I1790" s="63"/>
      <c r="J1790" s="64" t="str">
        <f aca="false">IF(OR(A1790="",B1790=""),"",CONCATENATE("https://matarstund.is/serfaedi?id=",LOWER(SUBSTITUTE(B1790,"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64" t="str">
        <f aca="false">IF(OR(A1791="",B1791=""),"",CONCATENATE("https://matarstund.is/serfaedi?id=",LOWER(SUBSTITUTE(B1791," ","-"))))</f>
        <v/>
      </c>
    </row>
    <row r="1792" customFormat="false" ht="15" hidden="false" customHeight="true" outlineLevel="0" collapsed="false">
      <c r="A1792" s="63"/>
      <c r="B1792" s="63"/>
      <c r="C1792" s="63"/>
      <c r="D1792" s="63"/>
      <c r="E1792" s="63"/>
      <c r="F1792" s="28" t="str">
        <f aca="false">IF(C1792="","",IF(OR(C1792="1. bekkur",C1792="2. bekkur",C1792="3. bekkur",C1792="4. bekkur"),"Já",IF(C1792="Starfsmaður","Nei","Nei")))</f>
        <v/>
      </c>
      <c r="G1792" s="63"/>
      <c r="H1792" s="63"/>
      <c r="I1792" s="63"/>
      <c r="J1792" s="64" t="str">
        <f aca="false">IF(OR(A1792="",B1792=""),"",CONCATENATE("https://matarstund.is/serfaedi?id=",LOWER(SUBSTITUTE(B1792,"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64" t="str">
        <f aca="false">IF(OR(A1793="",B1793=""),"",CONCATENATE("https://matarstund.is/serfaedi?id=",LOWER(SUBSTITUTE(B1793," ","-"))))</f>
        <v/>
      </c>
    </row>
    <row r="1794" customFormat="false" ht="15" hidden="false" customHeight="true" outlineLevel="0" collapsed="false">
      <c r="A1794" s="63"/>
      <c r="B1794" s="63"/>
      <c r="C1794" s="63"/>
      <c r="D1794" s="63"/>
      <c r="E1794" s="63"/>
      <c r="F1794" s="28" t="str">
        <f aca="false">IF(C1794="","",IF(OR(C1794="1. bekkur",C1794="2. bekkur",C1794="3. bekkur",C1794="4. bekkur"),"Já",IF(C1794="Starfsmaður","Nei","Nei")))</f>
        <v/>
      </c>
      <c r="G1794" s="63"/>
      <c r="H1794" s="63"/>
      <c r="I1794" s="63"/>
      <c r="J1794" s="64" t="str">
        <f aca="false">IF(OR(A1794="",B1794=""),"",CONCATENATE("https://matarstund.is/serfaedi?id=",LOWER(SUBSTITUTE(B1794,"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64" t="str">
        <f aca="false">IF(OR(A1795="",B1795=""),"",CONCATENATE("https://matarstund.is/serfaedi?id=",LOWER(SUBSTITUTE(B1795," ","-"))))</f>
        <v/>
      </c>
    </row>
    <row r="1796" customFormat="false" ht="15" hidden="false" customHeight="true" outlineLevel="0" collapsed="false">
      <c r="A1796" s="63"/>
      <c r="B1796" s="63"/>
      <c r="C1796" s="63"/>
      <c r="D1796" s="63"/>
      <c r="E1796" s="63"/>
      <c r="F1796" s="28" t="str">
        <f aca="false">IF(C1796="","",IF(OR(C1796="1. bekkur",C1796="2. bekkur",C1796="3. bekkur",C1796="4. bekkur"),"Já",IF(C1796="Starfsmaður","Nei","Nei")))</f>
        <v/>
      </c>
      <c r="G1796" s="63"/>
      <c r="H1796" s="63"/>
      <c r="I1796" s="63"/>
      <c r="J1796" s="64" t="str">
        <f aca="false">IF(OR(A1796="",B1796=""),"",CONCATENATE("https://matarstund.is/serfaedi?id=",LOWER(SUBSTITUTE(B1796,"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64" t="str">
        <f aca="false">IF(OR(A1797="",B1797=""),"",CONCATENATE("https://matarstund.is/serfaedi?id=",LOWER(SUBSTITUTE(B1797," ","-"))))</f>
        <v/>
      </c>
    </row>
    <row r="1798" customFormat="false" ht="15" hidden="false" customHeight="true" outlineLevel="0" collapsed="false">
      <c r="A1798" s="63"/>
      <c r="B1798" s="63"/>
      <c r="C1798" s="63"/>
      <c r="D1798" s="63"/>
      <c r="E1798" s="63"/>
      <c r="F1798" s="28" t="str">
        <f aca="false">IF(C1798="","",IF(OR(C1798="1. bekkur",C1798="2. bekkur",C1798="3. bekkur",C1798="4. bekkur"),"Já",IF(C1798="Starfsmaður","Nei","Nei")))</f>
        <v/>
      </c>
      <c r="G1798" s="63"/>
      <c r="H1798" s="63"/>
      <c r="I1798" s="63"/>
      <c r="J1798" s="64" t="str">
        <f aca="false">IF(OR(A1798="",B1798=""),"",CONCATENATE("https://matarstund.is/serfaedi?id=",LOWER(SUBSTITUTE(B1798,"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64" t="str">
        <f aca="false">IF(OR(A1799="",B1799=""),"",CONCATENATE("https://matarstund.is/serfaedi?id=",LOWER(SUBSTITUTE(B1799," ","-"))))</f>
        <v/>
      </c>
    </row>
    <row r="1800" customFormat="false" ht="15" hidden="false" customHeight="true" outlineLevel="0" collapsed="false">
      <c r="A1800" s="63"/>
      <c r="B1800" s="63"/>
      <c r="C1800" s="63"/>
      <c r="D1800" s="63"/>
      <c r="E1800" s="63"/>
      <c r="F1800" s="28" t="str">
        <f aca="false">IF(C1800="","",IF(OR(C1800="1. bekkur",C1800="2. bekkur",C1800="3. bekkur",C1800="4. bekkur"),"Já",IF(C1800="Starfsmaður","Nei","Nei")))</f>
        <v/>
      </c>
      <c r="G1800" s="63"/>
      <c r="H1800" s="63"/>
      <c r="I1800" s="63"/>
      <c r="J1800" s="64" t="str">
        <f aca="false">IF(OR(A1800="",B1800=""),"",CONCATENATE("https://matarstund.is/serfaedi?id=",LOWER(SUBSTITUTE(B1800,"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64" t="str">
        <f aca="false">IF(OR(A1801="",B1801=""),"",CONCATENATE("https://matarstund.is/serfaedi?id=",LOWER(SUBSTITUTE(B1801," ","-"))))</f>
        <v/>
      </c>
    </row>
    <row r="1802" customFormat="false" ht="15" hidden="false" customHeight="true" outlineLevel="0" collapsed="false">
      <c r="A1802" s="63"/>
      <c r="B1802" s="63"/>
      <c r="C1802" s="63"/>
      <c r="D1802" s="63"/>
      <c r="E1802" s="63"/>
      <c r="F1802" s="28" t="str">
        <f aca="false">IF(C1802="","",IF(OR(C1802="1. bekkur",C1802="2. bekkur",C1802="3. bekkur",C1802="4. bekkur"),"Já",IF(C1802="Starfsmaður","Nei","Nei")))</f>
        <v/>
      </c>
      <c r="G1802" s="63"/>
      <c r="H1802" s="63"/>
      <c r="I1802" s="63"/>
      <c r="J1802" s="64" t="str">
        <f aca="false">IF(OR(A1802="",B1802=""),"",CONCATENATE("https://matarstund.is/serfaedi?id=",LOWER(SUBSTITUTE(B1802,"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64" t="str">
        <f aca="false">IF(OR(A1803="",B1803=""),"",CONCATENATE("https://matarstund.is/serfaedi?id=",LOWER(SUBSTITUTE(B1803," ","-"))))</f>
        <v/>
      </c>
    </row>
    <row r="1804" customFormat="false" ht="15" hidden="false" customHeight="true" outlineLevel="0" collapsed="false">
      <c r="A1804" s="63"/>
      <c r="B1804" s="63"/>
      <c r="C1804" s="63"/>
      <c r="D1804" s="63"/>
      <c r="E1804" s="63"/>
      <c r="F1804" s="28" t="str">
        <f aca="false">IF(C1804="","",IF(OR(C1804="1. bekkur",C1804="2. bekkur",C1804="3. bekkur",C1804="4. bekkur"),"Já",IF(C1804="Starfsmaður","Nei","Nei")))</f>
        <v/>
      </c>
      <c r="G1804" s="63"/>
      <c r="H1804" s="63"/>
      <c r="I1804" s="63"/>
      <c r="J1804" s="64" t="str">
        <f aca="false">IF(OR(A1804="",B1804=""),"",CONCATENATE("https://matarstund.is/serfaedi?id=",LOWER(SUBSTITUTE(B1804,"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64" t="str">
        <f aca="false">IF(OR(A1805="",B1805=""),"",CONCATENATE("https://matarstund.is/serfaedi?id=",LOWER(SUBSTITUTE(B1805," ","-"))))</f>
        <v/>
      </c>
    </row>
    <row r="1806" customFormat="false" ht="15" hidden="false" customHeight="true" outlineLevel="0" collapsed="false">
      <c r="A1806" s="63"/>
      <c r="B1806" s="63"/>
      <c r="C1806" s="63"/>
      <c r="D1806" s="63"/>
      <c r="E1806" s="63"/>
      <c r="F1806" s="28" t="str">
        <f aca="false">IF(C1806="","",IF(OR(C1806="1. bekkur",C1806="2. bekkur",C1806="3. bekkur",C1806="4. bekkur"),"Já",IF(C1806="Starfsmaður","Nei","Nei")))</f>
        <v/>
      </c>
      <c r="G1806" s="63"/>
      <c r="H1806" s="63"/>
      <c r="I1806" s="63"/>
      <c r="J1806" s="64" t="str">
        <f aca="false">IF(OR(A1806="",B1806=""),"",CONCATENATE("https://matarstund.is/serfaedi?id=",LOWER(SUBSTITUTE(B1806,"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64" t="str">
        <f aca="false">IF(OR(A1807="",B1807=""),"",CONCATENATE("https://matarstund.is/serfaedi?id=",LOWER(SUBSTITUTE(B1807," ","-"))))</f>
        <v/>
      </c>
    </row>
    <row r="1808" customFormat="false" ht="15" hidden="false" customHeight="true" outlineLevel="0" collapsed="false">
      <c r="A1808" s="63"/>
      <c r="B1808" s="63"/>
      <c r="C1808" s="63"/>
      <c r="D1808" s="63"/>
      <c r="E1808" s="63"/>
      <c r="F1808" s="28" t="str">
        <f aca="false">IF(C1808="","",IF(OR(C1808="1. bekkur",C1808="2. bekkur",C1808="3. bekkur",C1808="4. bekkur"),"Já",IF(C1808="Starfsmaður","Nei","Nei")))</f>
        <v/>
      </c>
      <c r="G1808" s="63"/>
      <c r="H1808" s="63"/>
      <c r="I1808" s="63"/>
      <c r="J1808" s="64" t="str">
        <f aca="false">IF(OR(A1808="",B1808=""),"",CONCATENATE("https://matarstund.is/serfaedi?id=",LOWER(SUBSTITUTE(B1808,"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64" t="str">
        <f aca="false">IF(OR(A1809="",B1809=""),"",CONCATENATE("https://matarstund.is/serfaedi?id=",LOWER(SUBSTITUTE(B1809," ","-"))))</f>
        <v/>
      </c>
    </row>
    <row r="1810" customFormat="false" ht="15" hidden="false" customHeight="true" outlineLevel="0" collapsed="false">
      <c r="A1810" s="63"/>
      <c r="B1810" s="63"/>
      <c r="C1810" s="63"/>
      <c r="D1810" s="63"/>
      <c r="E1810" s="63"/>
      <c r="F1810" s="28" t="str">
        <f aca="false">IF(C1810="","",IF(OR(C1810="1. bekkur",C1810="2. bekkur",C1810="3. bekkur",C1810="4. bekkur"),"Já",IF(C1810="Starfsmaður","Nei","Nei")))</f>
        <v/>
      </c>
      <c r="G1810" s="63"/>
      <c r="H1810" s="63"/>
      <c r="I1810" s="63"/>
      <c r="J1810" s="64" t="str">
        <f aca="false">IF(OR(A1810="",B1810=""),"",CONCATENATE("https://matarstund.is/serfaedi?id=",LOWER(SUBSTITUTE(B1810,"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64" t="str">
        <f aca="false">IF(OR(A1811="",B1811=""),"",CONCATENATE("https://matarstund.is/serfaedi?id=",LOWER(SUBSTITUTE(B1811," ","-"))))</f>
        <v/>
      </c>
    </row>
    <row r="1812" customFormat="false" ht="15" hidden="false" customHeight="true" outlineLevel="0" collapsed="false">
      <c r="A1812" s="63"/>
      <c r="B1812" s="63"/>
      <c r="C1812" s="63"/>
      <c r="D1812" s="63"/>
      <c r="E1812" s="63"/>
      <c r="F1812" s="28" t="str">
        <f aca="false">IF(C1812="","",IF(OR(C1812="1. bekkur",C1812="2. bekkur",C1812="3. bekkur",C1812="4. bekkur"),"Já",IF(C1812="Starfsmaður","Nei","Nei")))</f>
        <v/>
      </c>
      <c r="G1812" s="63"/>
      <c r="H1812" s="63"/>
      <c r="I1812" s="63"/>
      <c r="J1812" s="64" t="str">
        <f aca="false">IF(OR(A1812="",B1812=""),"",CONCATENATE("https://matarstund.is/serfaedi?id=",LOWER(SUBSTITUTE(B1812,"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64" t="str">
        <f aca="false">IF(OR(A1813="",B1813=""),"",CONCATENATE("https://matarstund.is/serfaedi?id=",LOWER(SUBSTITUTE(B1813," ","-"))))</f>
        <v/>
      </c>
    </row>
    <row r="1814" customFormat="false" ht="15" hidden="false" customHeight="true" outlineLevel="0" collapsed="false">
      <c r="A1814" s="63"/>
      <c r="B1814" s="63"/>
      <c r="C1814" s="63"/>
      <c r="D1814" s="63"/>
      <c r="E1814" s="63"/>
      <c r="F1814" s="28" t="str">
        <f aca="false">IF(C1814="","",IF(OR(C1814="1. bekkur",C1814="2. bekkur",C1814="3. bekkur",C1814="4. bekkur"),"Já",IF(C1814="Starfsmaður","Nei","Nei")))</f>
        <v/>
      </c>
      <c r="G1814" s="63"/>
      <c r="H1814" s="63"/>
      <c r="I1814" s="63"/>
      <c r="J1814" s="64" t="str">
        <f aca="false">IF(OR(A1814="",B1814=""),"",CONCATENATE("https://matarstund.is/serfaedi?id=",LOWER(SUBSTITUTE(B1814,"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64" t="str">
        <f aca="false">IF(OR(A1815="",B1815=""),"",CONCATENATE("https://matarstund.is/serfaedi?id=",LOWER(SUBSTITUTE(B1815," ","-"))))</f>
        <v/>
      </c>
    </row>
    <row r="1816" customFormat="false" ht="15" hidden="false" customHeight="true" outlineLevel="0" collapsed="false">
      <c r="A1816" s="63"/>
      <c r="B1816" s="63"/>
      <c r="C1816" s="63"/>
      <c r="D1816" s="63"/>
      <c r="E1816" s="63"/>
      <c r="F1816" s="28" t="str">
        <f aca="false">IF(C1816="","",IF(OR(C1816="1. bekkur",C1816="2. bekkur",C1816="3. bekkur",C1816="4. bekkur"),"Já",IF(C1816="Starfsmaður","Nei","Nei")))</f>
        <v/>
      </c>
      <c r="G1816" s="63"/>
      <c r="H1816" s="63"/>
      <c r="I1816" s="63"/>
      <c r="J1816" s="64" t="str">
        <f aca="false">IF(OR(A1816="",B1816=""),"",CONCATENATE("https://matarstund.is/serfaedi?id=",LOWER(SUBSTITUTE(B1816,"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64" t="str">
        <f aca="false">IF(OR(A1817="",B1817=""),"",CONCATENATE("https://matarstund.is/serfaedi?id=",LOWER(SUBSTITUTE(B1817," ","-"))))</f>
        <v/>
      </c>
    </row>
    <row r="1818" customFormat="false" ht="15" hidden="false" customHeight="true" outlineLevel="0" collapsed="false">
      <c r="A1818" s="63"/>
      <c r="B1818" s="63"/>
      <c r="C1818" s="63"/>
      <c r="D1818" s="63"/>
      <c r="E1818" s="63"/>
      <c r="F1818" s="28" t="str">
        <f aca="false">IF(C1818="","",IF(OR(C1818="1. bekkur",C1818="2. bekkur",C1818="3. bekkur",C1818="4. bekkur"),"Já",IF(C1818="Starfsmaður","Nei","Nei")))</f>
        <v/>
      </c>
      <c r="G1818" s="63"/>
      <c r="H1818" s="63"/>
      <c r="I1818" s="63"/>
      <c r="J1818" s="64" t="str">
        <f aca="false">IF(OR(A1818="",B1818=""),"",CONCATENATE("https://matarstund.is/serfaedi?id=",LOWER(SUBSTITUTE(B1818,"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64" t="str">
        <f aca="false">IF(OR(A1819="",B1819=""),"",CONCATENATE("https://matarstund.is/serfaedi?id=",LOWER(SUBSTITUTE(B1819," ","-"))))</f>
        <v/>
      </c>
    </row>
    <row r="1820" customFormat="false" ht="15" hidden="false" customHeight="true" outlineLevel="0" collapsed="false">
      <c r="A1820" s="63"/>
      <c r="B1820" s="63"/>
      <c r="C1820" s="63"/>
      <c r="D1820" s="63"/>
      <c r="E1820" s="63"/>
      <c r="F1820" s="28" t="str">
        <f aca="false">IF(C1820="","",IF(OR(C1820="1. bekkur",C1820="2. bekkur",C1820="3. bekkur",C1820="4. bekkur"),"Já",IF(C1820="Starfsmaður","Nei","Nei")))</f>
        <v/>
      </c>
      <c r="G1820" s="63"/>
      <c r="H1820" s="63"/>
      <c r="I1820" s="63"/>
      <c r="J1820" s="64" t="str">
        <f aca="false">IF(OR(A1820="",B1820=""),"",CONCATENATE("https://matarstund.is/serfaedi?id=",LOWER(SUBSTITUTE(B1820,"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64" t="str">
        <f aca="false">IF(OR(A1821="",B1821=""),"",CONCATENATE("https://matarstund.is/serfaedi?id=",LOWER(SUBSTITUTE(B1821," ","-"))))</f>
        <v/>
      </c>
    </row>
    <row r="1822" customFormat="false" ht="15" hidden="false" customHeight="true" outlineLevel="0" collapsed="false">
      <c r="A1822" s="63"/>
      <c r="B1822" s="63"/>
      <c r="C1822" s="63"/>
      <c r="D1822" s="63"/>
      <c r="E1822" s="63"/>
      <c r="F1822" s="28" t="str">
        <f aca="false">IF(C1822="","",IF(OR(C1822="1. bekkur",C1822="2. bekkur",C1822="3. bekkur",C1822="4. bekkur"),"Já",IF(C1822="Starfsmaður","Nei","Nei")))</f>
        <v/>
      </c>
      <c r="G1822" s="63"/>
      <c r="H1822" s="63"/>
      <c r="I1822" s="63"/>
      <c r="J1822" s="64" t="str">
        <f aca="false">IF(OR(A1822="",B1822=""),"",CONCATENATE("https://matarstund.is/serfaedi?id=",LOWER(SUBSTITUTE(B1822,"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64" t="str">
        <f aca="false">IF(OR(A1823="",B1823=""),"",CONCATENATE("https://matarstund.is/serfaedi?id=",LOWER(SUBSTITUTE(B1823," ","-"))))</f>
        <v/>
      </c>
    </row>
    <row r="1824" customFormat="false" ht="15" hidden="false" customHeight="true" outlineLevel="0" collapsed="false">
      <c r="A1824" s="63"/>
      <c r="B1824" s="63"/>
      <c r="C1824" s="63"/>
      <c r="D1824" s="63"/>
      <c r="E1824" s="63"/>
      <c r="F1824" s="28" t="str">
        <f aca="false">IF(C1824="","",IF(OR(C1824="1. bekkur",C1824="2. bekkur",C1824="3. bekkur",C1824="4. bekkur"),"Já",IF(C1824="Starfsmaður","Nei","Nei")))</f>
        <v/>
      </c>
      <c r="G1824" s="63"/>
      <c r="H1824" s="63"/>
      <c r="I1824" s="63"/>
      <c r="J1824" s="64" t="str">
        <f aca="false">IF(OR(A1824="",B1824=""),"",CONCATENATE("https://matarstund.is/serfaedi?id=",LOWER(SUBSTITUTE(B1824,"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64" t="str">
        <f aca="false">IF(OR(A1825="",B1825=""),"",CONCATENATE("https://matarstund.is/serfaedi?id=",LOWER(SUBSTITUTE(B1825," ","-"))))</f>
        <v/>
      </c>
    </row>
    <row r="1826" customFormat="false" ht="15" hidden="false" customHeight="true" outlineLevel="0" collapsed="false">
      <c r="A1826" s="63"/>
      <c r="B1826" s="63"/>
      <c r="C1826" s="63"/>
      <c r="D1826" s="63"/>
      <c r="E1826" s="63"/>
      <c r="F1826" s="28" t="str">
        <f aca="false">IF(C1826="","",IF(OR(C1826="1. bekkur",C1826="2. bekkur",C1826="3. bekkur",C1826="4. bekkur"),"Já",IF(C1826="Starfsmaður","Nei","Nei")))</f>
        <v/>
      </c>
      <c r="G1826" s="63"/>
      <c r="H1826" s="63"/>
      <c r="I1826" s="63"/>
      <c r="J1826" s="64" t="str">
        <f aca="false">IF(OR(A1826="",B1826=""),"",CONCATENATE("https://matarstund.is/serfaedi?id=",LOWER(SUBSTITUTE(B1826,"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64" t="str">
        <f aca="false">IF(OR(A1827="",B1827=""),"",CONCATENATE("https://matarstund.is/serfaedi?id=",LOWER(SUBSTITUTE(B1827," ","-"))))</f>
        <v/>
      </c>
    </row>
    <row r="1828" customFormat="false" ht="15" hidden="false" customHeight="true" outlineLevel="0" collapsed="false">
      <c r="A1828" s="63"/>
      <c r="B1828" s="63"/>
      <c r="C1828" s="63"/>
      <c r="D1828" s="63"/>
      <c r="E1828" s="63"/>
      <c r="F1828" s="28" t="str">
        <f aca="false">IF(C1828="","",IF(OR(C1828="1. bekkur",C1828="2. bekkur",C1828="3. bekkur",C1828="4. bekkur"),"Já",IF(C1828="Starfsmaður","Nei","Nei")))</f>
        <v/>
      </c>
      <c r="G1828" s="63"/>
      <c r="H1828" s="63"/>
      <c r="I1828" s="63"/>
      <c r="J1828" s="64" t="str">
        <f aca="false">IF(OR(A1828="",B1828=""),"",CONCATENATE("https://matarstund.is/serfaedi?id=",LOWER(SUBSTITUTE(B1828,"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64" t="str">
        <f aca="false">IF(OR(A1829="",B1829=""),"",CONCATENATE("https://matarstund.is/serfaedi?id=",LOWER(SUBSTITUTE(B1829," ","-"))))</f>
        <v/>
      </c>
    </row>
    <row r="1830" customFormat="false" ht="15" hidden="false" customHeight="true" outlineLevel="0" collapsed="false">
      <c r="A1830" s="63"/>
      <c r="B1830" s="63"/>
      <c r="C1830" s="63"/>
      <c r="D1830" s="63"/>
      <c r="E1830" s="63"/>
      <c r="F1830" s="28" t="str">
        <f aca="false">IF(C1830="","",IF(OR(C1830="1. bekkur",C1830="2. bekkur",C1830="3. bekkur",C1830="4. bekkur"),"Já",IF(C1830="Starfsmaður","Nei","Nei")))</f>
        <v/>
      </c>
      <c r="G1830" s="63"/>
      <c r="H1830" s="63"/>
      <c r="I1830" s="63"/>
      <c r="J1830" s="64" t="str">
        <f aca="false">IF(OR(A1830="",B1830=""),"",CONCATENATE("https://matarstund.is/serfaedi?id=",LOWER(SUBSTITUTE(B1830,"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64" t="str">
        <f aca="false">IF(OR(A1831="",B1831=""),"",CONCATENATE("https://matarstund.is/serfaedi?id=",LOWER(SUBSTITUTE(B1831," ","-"))))</f>
        <v/>
      </c>
    </row>
    <row r="1832" customFormat="false" ht="15" hidden="false" customHeight="true" outlineLevel="0" collapsed="false">
      <c r="A1832" s="63"/>
      <c r="B1832" s="63"/>
      <c r="C1832" s="63"/>
      <c r="D1832" s="63"/>
      <c r="E1832" s="63"/>
      <c r="F1832" s="28" t="str">
        <f aca="false">IF(C1832="","",IF(OR(C1832="1. bekkur",C1832="2. bekkur",C1832="3. bekkur",C1832="4. bekkur"),"Já",IF(C1832="Starfsmaður","Nei","Nei")))</f>
        <v/>
      </c>
      <c r="G1832" s="63"/>
      <c r="H1832" s="63"/>
      <c r="I1832" s="63"/>
      <c r="J1832" s="64" t="str">
        <f aca="false">IF(OR(A1832="",B1832=""),"",CONCATENATE("https://matarstund.is/serfaedi?id=",LOWER(SUBSTITUTE(B1832,"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64" t="str">
        <f aca="false">IF(OR(A1833="",B1833=""),"",CONCATENATE("https://matarstund.is/serfaedi?id=",LOWER(SUBSTITUTE(B1833," ","-"))))</f>
        <v/>
      </c>
    </row>
    <row r="1834" customFormat="false" ht="15" hidden="false" customHeight="true" outlineLevel="0" collapsed="false">
      <c r="A1834" s="63"/>
      <c r="B1834" s="63"/>
      <c r="C1834" s="63"/>
      <c r="D1834" s="63"/>
      <c r="E1834" s="63"/>
      <c r="F1834" s="28" t="str">
        <f aca="false">IF(C1834="","",IF(OR(C1834="1. bekkur",C1834="2. bekkur",C1834="3. bekkur",C1834="4. bekkur"),"Já",IF(C1834="Starfsmaður","Nei","Nei")))</f>
        <v/>
      </c>
      <c r="G1834" s="63"/>
      <c r="H1834" s="63"/>
      <c r="I1834" s="63"/>
      <c r="J1834" s="64" t="str">
        <f aca="false">IF(OR(A1834="",B1834=""),"",CONCATENATE("https://matarstund.is/serfaedi?id=",LOWER(SUBSTITUTE(B1834,"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64" t="str">
        <f aca="false">IF(OR(A1835="",B1835=""),"",CONCATENATE("https://matarstund.is/serfaedi?id=",LOWER(SUBSTITUTE(B1835," ","-"))))</f>
        <v/>
      </c>
    </row>
    <row r="1836" customFormat="false" ht="15" hidden="false" customHeight="true" outlineLevel="0" collapsed="false">
      <c r="A1836" s="63"/>
      <c r="B1836" s="63"/>
      <c r="C1836" s="63"/>
      <c r="D1836" s="63"/>
      <c r="E1836" s="63"/>
      <c r="F1836" s="28" t="str">
        <f aca="false">IF(C1836="","",IF(OR(C1836="1. bekkur",C1836="2. bekkur",C1836="3. bekkur",C1836="4. bekkur"),"Já",IF(C1836="Starfsmaður","Nei","Nei")))</f>
        <v/>
      </c>
      <c r="G1836" s="63"/>
      <c r="H1836" s="63"/>
      <c r="I1836" s="63"/>
      <c r="J1836" s="64" t="str">
        <f aca="false">IF(OR(A1836="",B1836=""),"",CONCATENATE("https://matarstund.is/serfaedi?id=",LOWER(SUBSTITUTE(B1836,"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64" t="str">
        <f aca="false">IF(OR(A1837="",B1837=""),"",CONCATENATE("https://matarstund.is/serfaedi?id=",LOWER(SUBSTITUTE(B1837," ","-"))))</f>
        <v/>
      </c>
    </row>
    <row r="1838" customFormat="false" ht="15" hidden="false" customHeight="true" outlineLevel="0" collapsed="false">
      <c r="A1838" s="63"/>
      <c r="B1838" s="63"/>
      <c r="C1838" s="63"/>
      <c r="D1838" s="63"/>
      <c r="E1838" s="63"/>
      <c r="F1838" s="28" t="str">
        <f aca="false">IF(C1838="","",IF(OR(C1838="1. bekkur",C1838="2. bekkur",C1838="3. bekkur",C1838="4. bekkur"),"Já",IF(C1838="Starfsmaður","Nei","Nei")))</f>
        <v/>
      </c>
      <c r="G1838" s="63"/>
      <c r="H1838" s="63"/>
      <c r="I1838" s="63"/>
      <c r="J1838" s="64" t="str">
        <f aca="false">IF(OR(A1838="",B1838=""),"",CONCATENATE("https://matarstund.is/serfaedi?id=",LOWER(SUBSTITUTE(B1838,"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64" t="str">
        <f aca="false">IF(OR(A1839="",B1839=""),"",CONCATENATE("https://matarstund.is/serfaedi?id=",LOWER(SUBSTITUTE(B1839," ","-"))))</f>
        <v/>
      </c>
    </row>
    <row r="1840" customFormat="false" ht="15" hidden="false" customHeight="true" outlineLevel="0" collapsed="false">
      <c r="A1840" s="63"/>
      <c r="B1840" s="63"/>
      <c r="C1840" s="63"/>
      <c r="D1840" s="63"/>
      <c r="E1840" s="63"/>
      <c r="F1840" s="28" t="str">
        <f aca="false">IF(C1840="","",IF(OR(C1840="1. bekkur",C1840="2. bekkur",C1840="3. bekkur",C1840="4. bekkur"),"Já",IF(C1840="Starfsmaður","Nei","Nei")))</f>
        <v/>
      </c>
      <c r="G1840" s="63"/>
      <c r="H1840" s="63"/>
      <c r="I1840" s="63"/>
      <c r="J1840" s="64" t="str">
        <f aca="false">IF(OR(A1840="",B1840=""),"",CONCATENATE("https://matarstund.is/serfaedi?id=",LOWER(SUBSTITUTE(B1840,"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64" t="str">
        <f aca="false">IF(OR(A1841="",B1841=""),"",CONCATENATE("https://matarstund.is/serfaedi?id=",LOWER(SUBSTITUTE(B1841," ","-"))))</f>
        <v/>
      </c>
    </row>
    <row r="1842" customFormat="false" ht="15" hidden="false" customHeight="true" outlineLevel="0" collapsed="false">
      <c r="A1842" s="63"/>
      <c r="B1842" s="63"/>
      <c r="C1842" s="63"/>
      <c r="D1842" s="63"/>
      <c r="E1842" s="63"/>
      <c r="F1842" s="28" t="str">
        <f aca="false">IF(C1842="","",IF(OR(C1842="1. bekkur",C1842="2. bekkur",C1842="3. bekkur",C1842="4. bekkur"),"Já",IF(C1842="Starfsmaður","Nei","Nei")))</f>
        <v/>
      </c>
      <c r="G1842" s="63"/>
      <c r="H1842" s="63"/>
      <c r="I1842" s="63"/>
      <c r="J1842" s="64" t="str">
        <f aca="false">IF(OR(A1842="",B1842=""),"",CONCATENATE("https://matarstund.is/serfaedi?id=",LOWER(SUBSTITUTE(B1842,"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64" t="str">
        <f aca="false">IF(OR(A1843="",B1843=""),"",CONCATENATE("https://matarstund.is/serfaedi?id=",LOWER(SUBSTITUTE(B1843," ","-"))))</f>
        <v/>
      </c>
    </row>
    <row r="1844" customFormat="false" ht="15" hidden="false" customHeight="true" outlineLevel="0" collapsed="false">
      <c r="A1844" s="63"/>
      <c r="B1844" s="63"/>
      <c r="C1844" s="63"/>
      <c r="D1844" s="63"/>
      <c r="E1844" s="63"/>
      <c r="F1844" s="28" t="str">
        <f aca="false">IF(C1844="","",IF(OR(C1844="1. bekkur",C1844="2. bekkur",C1844="3. bekkur",C1844="4. bekkur"),"Já",IF(C1844="Starfsmaður","Nei","Nei")))</f>
        <v/>
      </c>
      <c r="G1844" s="63"/>
      <c r="H1844" s="63"/>
      <c r="I1844" s="63"/>
      <c r="J1844" s="64" t="str">
        <f aca="false">IF(OR(A1844="",B1844=""),"",CONCATENATE("https://matarstund.is/serfaedi?id=",LOWER(SUBSTITUTE(B1844,"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64" t="str">
        <f aca="false">IF(OR(A1845="",B1845=""),"",CONCATENATE("https://matarstund.is/serfaedi?id=",LOWER(SUBSTITUTE(B1845," ","-"))))</f>
        <v/>
      </c>
    </row>
    <row r="1846" customFormat="false" ht="15" hidden="false" customHeight="true" outlineLevel="0" collapsed="false">
      <c r="A1846" s="63"/>
      <c r="B1846" s="63"/>
      <c r="C1846" s="63"/>
      <c r="D1846" s="63"/>
      <c r="E1846" s="63"/>
      <c r="F1846" s="28" t="str">
        <f aca="false">IF(C1846="","",IF(OR(C1846="1. bekkur",C1846="2. bekkur",C1846="3. bekkur",C1846="4. bekkur"),"Já",IF(C1846="Starfsmaður","Nei","Nei")))</f>
        <v/>
      </c>
      <c r="G1846" s="63"/>
      <c r="H1846" s="63"/>
      <c r="I1846" s="63"/>
      <c r="J1846" s="64" t="str">
        <f aca="false">IF(OR(A1846="",B1846=""),"",CONCATENATE("https://matarstund.is/serfaedi?id=",LOWER(SUBSTITUTE(B1846,"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64" t="str">
        <f aca="false">IF(OR(A1847="",B1847=""),"",CONCATENATE("https://matarstund.is/serfaedi?id=",LOWER(SUBSTITUTE(B1847," ","-"))))</f>
        <v/>
      </c>
    </row>
    <row r="1848" customFormat="false" ht="15" hidden="false" customHeight="true" outlineLevel="0" collapsed="false">
      <c r="A1848" s="63"/>
      <c r="B1848" s="63"/>
      <c r="C1848" s="63"/>
      <c r="D1848" s="63"/>
      <c r="E1848" s="63"/>
      <c r="F1848" s="28" t="str">
        <f aca="false">IF(C1848="","",IF(OR(C1848="1. bekkur",C1848="2. bekkur",C1848="3. bekkur",C1848="4. bekkur"),"Já",IF(C1848="Starfsmaður","Nei","Nei")))</f>
        <v/>
      </c>
      <c r="G1848" s="63"/>
      <c r="H1848" s="63"/>
      <c r="I1848" s="63"/>
      <c r="J1848" s="64" t="str">
        <f aca="false">IF(OR(A1848="",B1848=""),"",CONCATENATE("https://matarstund.is/serfaedi?id=",LOWER(SUBSTITUTE(B1848,"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64" t="str">
        <f aca="false">IF(OR(A1849="",B1849=""),"",CONCATENATE("https://matarstund.is/serfaedi?id=",LOWER(SUBSTITUTE(B1849," ","-"))))</f>
        <v/>
      </c>
    </row>
    <row r="1850" customFormat="false" ht="15" hidden="false" customHeight="true" outlineLevel="0" collapsed="false">
      <c r="A1850" s="63"/>
      <c r="B1850" s="63"/>
      <c r="C1850" s="63"/>
      <c r="D1850" s="63"/>
      <c r="E1850" s="63"/>
      <c r="F1850" s="28" t="str">
        <f aca="false">IF(C1850="","",IF(OR(C1850="1. bekkur",C1850="2. bekkur",C1850="3. bekkur",C1850="4. bekkur"),"Já",IF(C1850="Starfsmaður","Nei","Nei")))</f>
        <v/>
      </c>
      <c r="G1850" s="63"/>
      <c r="H1850" s="63"/>
      <c r="I1850" s="63"/>
      <c r="J1850" s="64" t="str">
        <f aca="false">IF(OR(A1850="",B1850=""),"",CONCATENATE("https://matarstund.is/serfaedi?id=",LOWER(SUBSTITUTE(B1850,"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64" t="str">
        <f aca="false">IF(OR(A1851="",B1851=""),"",CONCATENATE("https://matarstund.is/serfaedi?id=",LOWER(SUBSTITUTE(B1851," ","-"))))</f>
        <v/>
      </c>
    </row>
    <row r="1852" customFormat="false" ht="15" hidden="false" customHeight="true" outlineLevel="0" collapsed="false">
      <c r="A1852" s="63"/>
      <c r="B1852" s="63"/>
      <c r="C1852" s="63"/>
      <c r="D1852" s="63"/>
      <c r="E1852" s="63"/>
      <c r="F1852" s="28" t="str">
        <f aca="false">IF(C1852="","",IF(OR(C1852="1. bekkur",C1852="2. bekkur",C1852="3. bekkur",C1852="4. bekkur"),"Já",IF(C1852="Starfsmaður","Nei","Nei")))</f>
        <v/>
      </c>
      <c r="G1852" s="63"/>
      <c r="H1852" s="63"/>
      <c r="I1852" s="63"/>
      <c r="J1852" s="64" t="str">
        <f aca="false">IF(OR(A1852="",B1852=""),"",CONCATENATE("https://matarstund.is/serfaedi?id=",LOWER(SUBSTITUTE(B1852,"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64" t="str">
        <f aca="false">IF(OR(A1853="",B1853=""),"",CONCATENATE("https://matarstund.is/serfaedi?id=",LOWER(SUBSTITUTE(B1853," ","-"))))</f>
        <v/>
      </c>
    </row>
    <row r="1854" customFormat="false" ht="15" hidden="false" customHeight="true" outlineLevel="0" collapsed="false">
      <c r="A1854" s="63"/>
      <c r="B1854" s="63"/>
      <c r="C1854" s="63"/>
      <c r="D1854" s="63"/>
      <c r="E1854" s="63"/>
      <c r="F1854" s="28" t="str">
        <f aca="false">IF(C1854="","",IF(OR(C1854="1. bekkur",C1854="2. bekkur",C1854="3. bekkur",C1854="4. bekkur"),"Já",IF(C1854="Starfsmaður","Nei","Nei")))</f>
        <v/>
      </c>
      <c r="G1854" s="63"/>
      <c r="H1854" s="63"/>
      <c r="I1854" s="63"/>
      <c r="J1854" s="64" t="str">
        <f aca="false">IF(OR(A1854="",B1854=""),"",CONCATENATE("https://matarstund.is/serfaedi?id=",LOWER(SUBSTITUTE(B1854,"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64" t="str">
        <f aca="false">IF(OR(A1855="",B1855=""),"",CONCATENATE("https://matarstund.is/serfaedi?id=",LOWER(SUBSTITUTE(B1855," ","-"))))</f>
        <v/>
      </c>
    </row>
    <row r="1856" customFormat="false" ht="15" hidden="false" customHeight="true" outlineLevel="0" collapsed="false">
      <c r="A1856" s="63"/>
      <c r="B1856" s="63"/>
      <c r="C1856" s="63"/>
      <c r="D1856" s="63"/>
      <c r="E1856" s="63"/>
      <c r="F1856" s="28" t="str">
        <f aca="false">IF(C1856="","",IF(OR(C1856="1. bekkur",C1856="2. bekkur",C1856="3. bekkur",C1856="4. bekkur"),"Já",IF(C1856="Starfsmaður","Nei","Nei")))</f>
        <v/>
      </c>
      <c r="G1856" s="63"/>
      <c r="H1856" s="63"/>
      <c r="I1856" s="63"/>
      <c r="J1856" s="64" t="str">
        <f aca="false">IF(OR(A1856="",B1856=""),"",CONCATENATE("https://matarstund.is/serfaedi?id=",LOWER(SUBSTITUTE(B1856,"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64" t="str">
        <f aca="false">IF(OR(A1857="",B1857=""),"",CONCATENATE("https://matarstund.is/serfaedi?id=",LOWER(SUBSTITUTE(B1857," ","-"))))</f>
        <v/>
      </c>
    </row>
    <row r="1858" customFormat="false" ht="15" hidden="false" customHeight="true" outlineLevel="0" collapsed="false">
      <c r="A1858" s="63"/>
      <c r="B1858" s="63"/>
      <c r="C1858" s="63"/>
      <c r="D1858" s="63"/>
      <c r="E1858" s="63"/>
      <c r="F1858" s="28" t="str">
        <f aca="false">IF(C1858="","",IF(OR(C1858="1. bekkur",C1858="2. bekkur",C1858="3. bekkur",C1858="4. bekkur"),"Já",IF(C1858="Starfsmaður","Nei","Nei")))</f>
        <v/>
      </c>
      <c r="G1858" s="63"/>
      <c r="H1858" s="63"/>
      <c r="I1858" s="63"/>
      <c r="J1858" s="64" t="str">
        <f aca="false">IF(OR(A1858="",B1858=""),"",CONCATENATE("https://matarstund.is/serfaedi?id=",LOWER(SUBSTITUTE(B1858,"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64" t="str">
        <f aca="false">IF(OR(A1859="",B1859=""),"",CONCATENATE("https://matarstund.is/serfaedi?id=",LOWER(SUBSTITUTE(B1859," ","-"))))</f>
        <v/>
      </c>
    </row>
    <row r="1860" customFormat="false" ht="15" hidden="false" customHeight="true" outlineLevel="0" collapsed="false">
      <c r="A1860" s="63"/>
      <c r="B1860" s="63"/>
      <c r="C1860" s="63"/>
      <c r="D1860" s="63"/>
      <c r="E1860" s="63"/>
      <c r="F1860" s="28" t="str">
        <f aca="false">IF(C1860="","",IF(OR(C1860="1. bekkur",C1860="2. bekkur",C1860="3. bekkur",C1860="4. bekkur"),"Já",IF(C1860="Starfsmaður","Nei","Nei")))</f>
        <v/>
      </c>
      <c r="G1860" s="63"/>
      <c r="H1860" s="63"/>
      <c r="I1860" s="63"/>
      <c r="J1860" s="64" t="str">
        <f aca="false">IF(OR(A1860="",B1860=""),"",CONCATENATE("https://matarstund.is/serfaedi?id=",LOWER(SUBSTITUTE(B1860,"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64" t="str">
        <f aca="false">IF(OR(A1861="",B1861=""),"",CONCATENATE("https://matarstund.is/serfaedi?id=",LOWER(SUBSTITUTE(B1861," ","-"))))</f>
        <v/>
      </c>
    </row>
    <row r="1862" customFormat="false" ht="15" hidden="false" customHeight="true" outlineLevel="0" collapsed="false">
      <c r="A1862" s="63"/>
      <c r="B1862" s="63"/>
      <c r="C1862" s="63"/>
      <c r="D1862" s="63"/>
      <c r="E1862" s="63"/>
      <c r="F1862" s="28" t="str">
        <f aca="false">IF(C1862="","",IF(OR(C1862="1. bekkur",C1862="2. bekkur",C1862="3. bekkur",C1862="4. bekkur"),"Já",IF(C1862="Starfsmaður","Nei","Nei")))</f>
        <v/>
      </c>
      <c r="G1862" s="63"/>
      <c r="H1862" s="63"/>
      <c r="I1862" s="63"/>
      <c r="J1862" s="64" t="str">
        <f aca="false">IF(OR(A1862="",B1862=""),"",CONCATENATE("https://matarstund.is/serfaedi?id=",LOWER(SUBSTITUTE(B1862,"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64" t="str">
        <f aca="false">IF(OR(A1863="",B1863=""),"",CONCATENATE("https://matarstund.is/serfaedi?id=",LOWER(SUBSTITUTE(B1863," ","-"))))</f>
        <v/>
      </c>
    </row>
    <row r="1864" customFormat="false" ht="15" hidden="false" customHeight="true" outlineLevel="0" collapsed="false">
      <c r="A1864" s="63"/>
      <c r="B1864" s="63"/>
      <c r="C1864" s="63"/>
      <c r="D1864" s="63"/>
      <c r="E1864" s="63"/>
      <c r="F1864" s="28" t="str">
        <f aca="false">IF(C1864="","",IF(OR(C1864="1. bekkur",C1864="2. bekkur",C1864="3. bekkur",C1864="4. bekkur"),"Já",IF(C1864="Starfsmaður","Nei","Nei")))</f>
        <v/>
      </c>
      <c r="G1864" s="63"/>
      <c r="H1864" s="63"/>
      <c r="I1864" s="63"/>
      <c r="J1864" s="64" t="str">
        <f aca="false">IF(OR(A1864="",B1864=""),"",CONCATENATE("https://matarstund.is/serfaedi?id=",LOWER(SUBSTITUTE(B1864,"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64" t="str">
        <f aca="false">IF(OR(A1865="",B1865=""),"",CONCATENATE("https://matarstund.is/serfaedi?id=",LOWER(SUBSTITUTE(B1865," ","-"))))</f>
        <v/>
      </c>
    </row>
    <row r="1866" customFormat="false" ht="15" hidden="false" customHeight="true" outlineLevel="0" collapsed="false">
      <c r="A1866" s="63"/>
      <c r="B1866" s="63"/>
      <c r="C1866" s="63"/>
      <c r="D1866" s="63"/>
      <c r="E1866" s="63"/>
      <c r="F1866" s="28" t="str">
        <f aca="false">IF(C1866="","",IF(OR(C1866="1. bekkur",C1866="2. bekkur",C1866="3. bekkur",C1866="4. bekkur"),"Já",IF(C1866="Starfsmaður","Nei","Nei")))</f>
        <v/>
      </c>
      <c r="G1866" s="63"/>
      <c r="H1866" s="63"/>
      <c r="I1866" s="63"/>
      <c r="J1866" s="64" t="str">
        <f aca="false">IF(OR(A1866="",B1866=""),"",CONCATENATE("https://matarstund.is/serfaedi?id=",LOWER(SUBSTITUTE(B1866,"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64" t="str">
        <f aca="false">IF(OR(A1867="",B1867=""),"",CONCATENATE("https://matarstund.is/serfaedi?id=",LOWER(SUBSTITUTE(B1867," ","-"))))</f>
        <v/>
      </c>
    </row>
    <row r="1868" customFormat="false" ht="15" hidden="false" customHeight="true" outlineLevel="0" collapsed="false">
      <c r="A1868" s="63"/>
      <c r="B1868" s="63"/>
      <c r="C1868" s="63"/>
      <c r="D1868" s="63"/>
      <c r="E1868" s="63"/>
      <c r="F1868" s="28" t="str">
        <f aca="false">IF(C1868="","",IF(OR(C1868="1. bekkur",C1868="2. bekkur",C1868="3. bekkur",C1868="4. bekkur"),"Já",IF(C1868="Starfsmaður","Nei","Nei")))</f>
        <v/>
      </c>
      <c r="G1868" s="63"/>
      <c r="H1868" s="63"/>
      <c r="I1868" s="63"/>
      <c r="J1868" s="64" t="str">
        <f aca="false">IF(OR(A1868="",B1868=""),"",CONCATENATE("https://matarstund.is/serfaedi?id=",LOWER(SUBSTITUTE(B1868,"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64" t="str">
        <f aca="false">IF(OR(A1869="",B1869=""),"",CONCATENATE("https://matarstund.is/serfaedi?id=",LOWER(SUBSTITUTE(B1869," ","-"))))</f>
        <v/>
      </c>
    </row>
    <row r="1870" customFormat="false" ht="15" hidden="false" customHeight="true" outlineLevel="0" collapsed="false">
      <c r="A1870" s="63"/>
      <c r="B1870" s="63"/>
      <c r="C1870" s="63"/>
      <c r="D1870" s="63"/>
      <c r="E1870" s="63"/>
      <c r="F1870" s="28" t="str">
        <f aca="false">IF(C1870="","",IF(OR(C1870="1. bekkur",C1870="2. bekkur",C1870="3. bekkur",C1870="4. bekkur"),"Já",IF(C1870="Starfsmaður","Nei","Nei")))</f>
        <v/>
      </c>
      <c r="G1870" s="63"/>
      <c r="H1870" s="63"/>
      <c r="I1870" s="63"/>
      <c r="J1870" s="64" t="str">
        <f aca="false">IF(OR(A1870="",B1870=""),"",CONCATENATE("https://matarstund.is/serfaedi?id=",LOWER(SUBSTITUTE(B1870,"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64" t="str">
        <f aca="false">IF(OR(A1871="",B1871=""),"",CONCATENATE("https://matarstund.is/serfaedi?id=",LOWER(SUBSTITUTE(B1871," ","-"))))</f>
        <v/>
      </c>
    </row>
    <row r="1872" customFormat="false" ht="15" hidden="false" customHeight="true" outlineLevel="0" collapsed="false">
      <c r="A1872" s="63"/>
      <c r="B1872" s="63"/>
      <c r="C1872" s="63"/>
      <c r="D1872" s="63"/>
      <c r="E1872" s="63"/>
      <c r="F1872" s="28" t="str">
        <f aca="false">IF(C1872="","",IF(OR(C1872="1. bekkur",C1872="2. bekkur",C1872="3. bekkur",C1872="4. bekkur"),"Já",IF(C1872="Starfsmaður","Nei","Nei")))</f>
        <v/>
      </c>
      <c r="G1872" s="63"/>
      <c r="H1872" s="63"/>
      <c r="I1872" s="63"/>
      <c r="J1872" s="64" t="str">
        <f aca="false">IF(OR(A1872="",B1872=""),"",CONCATENATE("https://matarstund.is/serfaedi?id=",LOWER(SUBSTITUTE(B1872,"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64" t="str">
        <f aca="false">IF(OR(A1873="",B1873=""),"",CONCATENATE("https://matarstund.is/serfaedi?id=",LOWER(SUBSTITUTE(B1873," ","-"))))</f>
        <v/>
      </c>
    </row>
    <row r="1874" customFormat="false" ht="15" hidden="false" customHeight="true" outlineLevel="0" collapsed="false">
      <c r="A1874" s="63"/>
      <c r="B1874" s="63"/>
      <c r="C1874" s="63"/>
      <c r="D1874" s="63"/>
      <c r="E1874" s="63"/>
      <c r="F1874" s="28" t="str">
        <f aca="false">IF(C1874="","",IF(OR(C1874="1. bekkur",C1874="2. bekkur",C1874="3. bekkur",C1874="4. bekkur"),"Já",IF(C1874="Starfsmaður","Nei","Nei")))</f>
        <v/>
      </c>
      <c r="G1874" s="63"/>
      <c r="H1874" s="63"/>
      <c r="I1874" s="63"/>
      <c r="J1874" s="64" t="str">
        <f aca="false">IF(OR(A1874="",B1874=""),"",CONCATENATE("https://matarstund.is/serfaedi?id=",LOWER(SUBSTITUTE(B1874,"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64" t="str">
        <f aca="false">IF(OR(A1875="",B1875=""),"",CONCATENATE("https://matarstund.is/serfaedi?id=",LOWER(SUBSTITUTE(B1875," ","-"))))</f>
        <v/>
      </c>
    </row>
    <row r="1876" customFormat="false" ht="15" hidden="false" customHeight="true" outlineLevel="0" collapsed="false">
      <c r="A1876" s="63"/>
      <c r="B1876" s="63"/>
      <c r="C1876" s="63"/>
      <c r="D1876" s="63"/>
      <c r="E1876" s="63"/>
      <c r="F1876" s="28" t="str">
        <f aca="false">IF(C1876="","",IF(OR(C1876="1. bekkur",C1876="2. bekkur",C1876="3. bekkur",C1876="4. bekkur"),"Já",IF(C1876="Starfsmaður","Nei","Nei")))</f>
        <v/>
      </c>
      <c r="G1876" s="63"/>
      <c r="H1876" s="63"/>
      <c r="I1876" s="63"/>
      <c r="J1876" s="64" t="str">
        <f aca="false">IF(OR(A1876="",B1876=""),"",CONCATENATE("https://matarstund.is/serfaedi?id=",LOWER(SUBSTITUTE(B1876,"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64" t="str">
        <f aca="false">IF(OR(A1877="",B1877=""),"",CONCATENATE("https://matarstund.is/serfaedi?id=",LOWER(SUBSTITUTE(B1877," ","-"))))</f>
        <v/>
      </c>
    </row>
    <row r="1878" customFormat="false" ht="15" hidden="false" customHeight="true" outlineLevel="0" collapsed="false">
      <c r="A1878" s="63"/>
      <c r="B1878" s="63"/>
      <c r="C1878" s="63"/>
      <c r="D1878" s="63"/>
      <c r="E1878" s="63"/>
      <c r="F1878" s="28" t="str">
        <f aca="false">IF(C1878="","",IF(OR(C1878="1. bekkur",C1878="2. bekkur",C1878="3. bekkur",C1878="4. bekkur"),"Já",IF(C1878="Starfsmaður","Nei","Nei")))</f>
        <v/>
      </c>
      <c r="G1878" s="63"/>
      <c r="H1878" s="63"/>
      <c r="I1878" s="63"/>
      <c r="J1878" s="64" t="str">
        <f aca="false">IF(OR(A1878="",B1878=""),"",CONCATENATE("https://matarstund.is/serfaedi?id=",LOWER(SUBSTITUTE(B1878,"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64" t="str">
        <f aca="false">IF(OR(A1879="",B1879=""),"",CONCATENATE("https://matarstund.is/serfaedi?id=",LOWER(SUBSTITUTE(B1879," ","-"))))</f>
        <v/>
      </c>
    </row>
    <row r="1880" customFormat="false" ht="15" hidden="false" customHeight="true" outlineLevel="0" collapsed="false">
      <c r="A1880" s="63"/>
      <c r="B1880" s="63"/>
      <c r="C1880" s="63"/>
      <c r="D1880" s="63"/>
      <c r="E1880" s="63"/>
      <c r="F1880" s="28" t="str">
        <f aca="false">IF(C1880="","",IF(OR(C1880="1. bekkur",C1880="2. bekkur",C1880="3. bekkur",C1880="4. bekkur"),"Já",IF(C1880="Starfsmaður","Nei","Nei")))</f>
        <v/>
      </c>
      <c r="G1880" s="63"/>
      <c r="H1880" s="63"/>
      <c r="I1880" s="63"/>
      <c r="J1880" s="64" t="str">
        <f aca="false">IF(OR(A1880="",B1880=""),"",CONCATENATE("https://matarstund.is/serfaedi?id=",LOWER(SUBSTITUTE(B1880,"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64" t="str">
        <f aca="false">IF(OR(A1881="",B1881=""),"",CONCATENATE("https://matarstund.is/serfaedi?id=",LOWER(SUBSTITUTE(B1881," ","-"))))</f>
        <v/>
      </c>
    </row>
    <row r="1882" customFormat="false" ht="15" hidden="false" customHeight="true" outlineLevel="0" collapsed="false">
      <c r="A1882" s="63"/>
      <c r="B1882" s="63"/>
      <c r="C1882" s="63"/>
      <c r="D1882" s="63"/>
      <c r="E1882" s="63"/>
      <c r="F1882" s="28" t="str">
        <f aca="false">IF(C1882="","",IF(OR(C1882="1. bekkur",C1882="2. bekkur",C1882="3. bekkur",C1882="4. bekkur"),"Já",IF(C1882="Starfsmaður","Nei","Nei")))</f>
        <v/>
      </c>
      <c r="G1882" s="63"/>
      <c r="H1882" s="63"/>
      <c r="I1882" s="63"/>
      <c r="J1882" s="64" t="str">
        <f aca="false">IF(OR(A1882="",B1882=""),"",CONCATENATE("https://matarstund.is/serfaedi?id=",LOWER(SUBSTITUTE(B1882,"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64" t="str">
        <f aca="false">IF(OR(A1883="",B1883=""),"",CONCATENATE("https://matarstund.is/serfaedi?id=",LOWER(SUBSTITUTE(B1883," ","-"))))</f>
        <v/>
      </c>
    </row>
    <row r="1884" customFormat="false" ht="15" hidden="false" customHeight="true" outlineLevel="0" collapsed="false">
      <c r="A1884" s="63"/>
      <c r="B1884" s="63"/>
      <c r="C1884" s="63"/>
      <c r="D1884" s="63"/>
      <c r="E1884" s="63"/>
      <c r="F1884" s="28" t="str">
        <f aca="false">IF(C1884="","",IF(OR(C1884="1. bekkur",C1884="2. bekkur",C1884="3. bekkur",C1884="4. bekkur"),"Já",IF(C1884="Starfsmaður","Nei","Nei")))</f>
        <v/>
      </c>
      <c r="G1884" s="63"/>
      <c r="H1884" s="63"/>
      <c r="I1884" s="63"/>
      <c r="J1884" s="64" t="str">
        <f aca="false">IF(OR(A1884="",B1884=""),"",CONCATENATE("https://matarstund.is/serfaedi?id=",LOWER(SUBSTITUTE(B1884,"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64" t="str">
        <f aca="false">IF(OR(A1885="",B1885=""),"",CONCATENATE("https://matarstund.is/serfaedi?id=",LOWER(SUBSTITUTE(B1885," ","-"))))</f>
        <v/>
      </c>
    </row>
    <row r="1886" customFormat="false" ht="15" hidden="false" customHeight="true" outlineLevel="0" collapsed="false">
      <c r="A1886" s="63"/>
      <c r="B1886" s="63"/>
      <c r="C1886" s="63"/>
      <c r="D1886" s="63"/>
      <c r="E1886" s="63"/>
      <c r="F1886" s="28" t="str">
        <f aca="false">IF(C1886="","",IF(OR(C1886="1. bekkur",C1886="2. bekkur",C1886="3. bekkur",C1886="4. bekkur"),"Já",IF(C1886="Starfsmaður","Nei","Nei")))</f>
        <v/>
      </c>
      <c r="G1886" s="63"/>
      <c r="H1886" s="63"/>
      <c r="I1886" s="63"/>
      <c r="J1886" s="64" t="str">
        <f aca="false">IF(OR(A1886="",B1886=""),"",CONCATENATE("https://matarstund.is/serfaedi?id=",LOWER(SUBSTITUTE(B1886,"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64" t="str">
        <f aca="false">IF(OR(A1887="",B1887=""),"",CONCATENATE("https://matarstund.is/serfaedi?id=",LOWER(SUBSTITUTE(B1887," ","-"))))</f>
        <v/>
      </c>
    </row>
    <row r="1888" customFormat="false" ht="15" hidden="false" customHeight="true" outlineLevel="0" collapsed="false">
      <c r="A1888" s="63"/>
      <c r="B1888" s="63"/>
      <c r="C1888" s="63"/>
      <c r="D1888" s="63"/>
      <c r="E1888" s="63"/>
      <c r="F1888" s="28" t="str">
        <f aca="false">IF(C1888="","",IF(OR(C1888="1. bekkur",C1888="2. bekkur",C1888="3. bekkur",C1888="4. bekkur"),"Já",IF(C1888="Starfsmaður","Nei","Nei")))</f>
        <v/>
      </c>
      <c r="G1888" s="63"/>
      <c r="H1888" s="63"/>
      <c r="I1888" s="63"/>
      <c r="J1888" s="64" t="str">
        <f aca="false">IF(OR(A1888="",B1888=""),"",CONCATENATE("https://matarstund.is/serfaedi?id=",LOWER(SUBSTITUTE(B1888,"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64" t="str">
        <f aca="false">IF(OR(A1889="",B1889=""),"",CONCATENATE("https://matarstund.is/serfaedi?id=",LOWER(SUBSTITUTE(B1889," ","-"))))</f>
        <v/>
      </c>
    </row>
    <row r="1890" customFormat="false" ht="15" hidden="false" customHeight="true" outlineLevel="0" collapsed="false">
      <c r="A1890" s="63"/>
      <c r="B1890" s="63"/>
      <c r="C1890" s="63"/>
      <c r="D1890" s="63"/>
      <c r="E1890" s="63"/>
      <c r="F1890" s="28" t="str">
        <f aca="false">IF(C1890="","",IF(OR(C1890="1. bekkur",C1890="2. bekkur",C1890="3. bekkur",C1890="4. bekkur"),"Já",IF(C1890="Starfsmaður","Nei","Nei")))</f>
        <v/>
      </c>
      <c r="G1890" s="63"/>
      <c r="H1890" s="63"/>
      <c r="I1890" s="63"/>
      <c r="J1890" s="64" t="str">
        <f aca="false">IF(OR(A1890="",B1890=""),"",CONCATENATE("https://matarstund.is/serfaedi?id=",LOWER(SUBSTITUTE(B1890,"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64" t="str">
        <f aca="false">IF(OR(A1891="",B1891=""),"",CONCATENATE("https://matarstund.is/serfaedi?id=",LOWER(SUBSTITUTE(B1891," ","-"))))</f>
        <v/>
      </c>
    </row>
    <row r="1892" customFormat="false" ht="15" hidden="false" customHeight="true" outlineLevel="0" collapsed="false">
      <c r="A1892" s="63"/>
      <c r="B1892" s="63"/>
      <c r="C1892" s="63"/>
      <c r="D1892" s="63"/>
      <c r="E1892" s="63"/>
      <c r="F1892" s="28" t="str">
        <f aca="false">IF(C1892="","",IF(OR(C1892="1. bekkur",C1892="2. bekkur",C1892="3. bekkur",C1892="4. bekkur"),"Já",IF(C1892="Starfsmaður","Nei","Nei")))</f>
        <v/>
      </c>
      <c r="G1892" s="63"/>
      <c r="H1892" s="63"/>
      <c r="I1892" s="63"/>
      <c r="J1892" s="64" t="str">
        <f aca="false">IF(OR(A1892="",B1892=""),"",CONCATENATE("https://matarstund.is/serfaedi?id=",LOWER(SUBSTITUTE(B1892,"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64" t="str">
        <f aca="false">IF(OR(A1893="",B1893=""),"",CONCATENATE("https://matarstund.is/serfaedi?id=",LOWER(SUBSTITUTE(B1893," ","-"))))</f>
        <v/>
      </c>
    </row>
    <row r="1894" customFormat="false" ht="15" hidden="false" customHeight="true" outlineLevel="0" collapsed="false">
      <c r="A1894" s="63"/>
      <c r="B1894" s="63"/>
      <c r="C1894" s="63"/>
      <c r="D1894" s="63"/>
      <c r="E1894" s="63"/>
      <c r="F1894" s="28" t="str">
        <f aca="false">IF(C1894="","",IF(OR(C1894="1. bekkur",C1894="2. bekkur",C1894="3. bekkur",C1894="4. bekkur"),"Já",IF(C1894="Starfsmaður","Nei","Nei")))</f>
        <v/>
      </c>
      <c r="G1894" s="63"/>
      <c r="H1894" s="63"/>
      <c r="I1894" s="63"/>
      <c r="J1894" s="64" t="str">
        <f aca="false">IF(OR(A1894="",B1894=""),"",CONCATENATE("https://matarstund.is/serfaedi?id=",LOWER(SUBSTITUTE(B1894,"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64" t="str">
        <f aca="false">IF(OR(A1895="",B1895=""),"",CONCATENATE("https://matarstund.is/serfaedi?id=",LOWER(SUBSTITUTE(B1895," ","-"))))</f>
        <v/>
      </c>
    </row>
    <row r="1896" customFormat="false" ht="15" hidden="false" customHeight="true" outlineLevel="0" collapsed="false">
      <c r="A1896" s="63"/>
      <c r="B1896" s="63"/>
      <c r="C1896" s="63"/>
      <c r="D1896" s="63"/>
      <c r="E1896" s="63"/>
      <c r="F1896" s="28" t="str">
        <f aca="false">IF(C1896="","",IF(OR(C1896="1. bekkur",C1896="2. bekkur",C1896="3. bekkur",C1896="4. bekkur"),"Já",IF(C1896="Starfsmaður","Nei","Nei")))</f>
        <v/>
      </c>
      <c r="G1896" s="63"/>
      <c r="H1896" s="63"/>
      <c r="I1896" s="63"/>
      <c r="J1896" s="64" t="str">
        <f aca="false">IF(OR(A1896="",B1896=""),"",CONCATENATE("https://matarstund.is/serfaedi?id=",LOWER(SUBSTITUTE(B1896,"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64" t="str">
        <f aca="false">IF(OR(A1897="",B1897=""),"",CONCATENATE("https://matarstund.is/serfaedi?id=",LOWER(SUBSTITUTE(B1897," ","-"))))</f>
        <v/>
      </c>
    </row>
    <row r="1898" customFormat="false" ht="15" hidden="false" customHeight="true" outlineLevel="0" collapsed="false">
      <c r="A1898" s="63"/>
      <c r="B1898" s="63"/>
      <c r="C1898" s="63"/>
      <c r="D1898" s="63"/>
      <c r="E1898" s="63"/>
      <c r="F1898" s="28" t="str">
        <f aca="false">IF(C1898="","",IF(OR(C1898="1. bekkur",C1898="2. bekkur",C1898="3. bekkur",C1898="4. bekkur"),"Já",IF(C1898="Starfsmaður","Nei","Nei")))</f>
        <v/>
      </c>
      <c r="G1898" s="63"/>
      <c r="H1898" s="63"/>
      <c r="I1898" s="63"/>
      <c r="J1898" s="64" t="str">
        <f aca="false">IF(OR(A1898="",B1898=""),"",CONCATENATE("https://matarstund.is/serfaedi?id=",LOWER(SUBSTITUTE(B1898,"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64" t="str">
        <f aca="false">IF(OR(A1899="",B1899=""),"",CONCATENATE("https://matarstund.is/serfaedi?id=",LOWER(SUBSTITUTE(B1899," ","-"))))</f>
        <v/>
      </c>
    </row>
    <row r="1900" customFormat="false" ht="15" hidden="false" customHeight="true" outlineLevel="0" collapsed="false">
      <c r="A1900" s="63"/>
      <c r="B1900" s="63"/>
      <c r="C1900" s="63"/>
      <c r="D1900" s="63"/>
      <c r="E1900" s="63"/>
      <c r="F1900" s="28" t="str">
        <f aca="false">IF(C1900="","",IF(OR(C1900="1. bekkur",C1900="2. bekkur",C1900="3. bekkur",C1900="4. bekkur"),"Já",IF(C1900="Starfsmaður","Nei","Nei")))</f>
        <v/>
      </c>
      <c r="G1900" s="63"/>
      <c r="H1900" s="63"/>
      <c r="I1900" s="63"/>
      <c r="J1900" s="64" t="str">
        <f aca="false">IF(OR(A1900="",B1900=""),"",CONCATENATE("https://matarstund.is/serfaedi?id=",LOWER(SUBSTITUTE(B1900,"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64" t="str">
        <f aca="false">IF(OR(A1901="",B1901=""),"",CONCATENATE("https://matarstund.is/serfaedi?id=",LOWER(SUBSTITUTE(B1901," ","-"))))</f>
        <v/>
      </c>
    </row>
    <row r="1902" customFormat="false" ht="15" hidden="false" customHeight="true" outlineLevel="0" collapsed="false">
      <c r="A1902" s="63"/>
      <c r="B1902" s="63"/>
      <c r="C1902" s="63"/>
      <c r="D1902" s="63"/>
      <c r="E1902" s="63"/>
      <c r="F1902" s="28" t="str">
        <f aca="false">IF(C1902="","",IF(OR(C1902="1. bekkur",C1902="2. bekkur",C1902="3. bekkur",C1902="4. bekkur"),"Já",IF(C1902="Starfsmaður","Nei","Nei")))</f>
        <v/>
      </c>
      <c r="G1902" s="63"/>
      <c r="H1902" s="63"/>
      <c r="I1902" s="63"/>
      <c r="J1902" s="64" t="str">
        <f aca="false">IF(OR(A1902="",B1902=""),"",CONCATENATE("https://matarstund.is/serfaedi?id=",LOWER(SUBSTITUTE(B1902,"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64" t="str">
        <f aca="false">IF(OR(A1903="",B1903=""),"",CONCATENATE("https://matarstund.is/serfaedi?id=",LOWER(SUBSTITUTE(B1903," ","-"))))</f>
        <v/>
      </c>
    </row>
    <row r="1904" customFormat="false" ht="15" hidden="false" customHeight="true" outlineLevel="0" collapsed="false">
      <c r="A1904" s="63"/>
      <c r="B1904" s="63"/>
      <c r="C1904" s="63"/>
      <c r="D1904" s="63"/>
      <c r="E1904" s="63"/>
      <c r="F1904" s="28" t="str">
        <f aca="false">IF(C1904="","",IF(OR(C1904="1. bekkur",C1904="2. bekkur",C1904="3. bekkur",C1904="4. bekkur"),"Já",IF(C1904="Starfsmaður","Nei","Nei")))</f>
        <v/>
      </c>
      <c r="G1904" s="63"/>
      <c r="H1904" s="63"/>
      <c r="I1904" s="63"/>
      <c r="J1904" s="64" t="str">
        <f aca="false">IF(OR(A1904="",B1904=""),"",CONCATENATE("https://matarstund.is/serfaedi?id=",LOWER(SUBSTITUTE(B1904,"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64" t="str">
        <f aca="false">IF(OR(A1905="",B1905=""),"",CONCATENATE("https://matarstund.is/serfaedi?id=",LOWER(SUBSTITUTE(B1905," ","-"))))</f>
        <v/>
      </c>
    </row>
    <row r="1906" customFormat="false" ht="15" hidden="false" customHeight="true" outlineLevel="0" collapsed="false">
      <c r="A1906" s="63"/>
      <c r="B1906" s="63"/>
      <c r="C1906" s="63"/>
      <c r="D1906" s="63"/>
      <c r="E1906" s="63"/>
      <c r="F1906" s="28" t="str">
        <f aca="false">IF(C1906="","",IF(OR(C1906="1. bekkur",C1906="2. bekkur",C1906="3. bekkur",C1906="4. bekkur"),"Já",IF(C1906="Starfsmaður","Nei","Nei")))</f>
        <v/>
      </c>
      <c r="G1906" s="63"/>
      <c r="H1906" s="63"/>
      <c r="I1906" s="63"/>
      <c r="J1906" s="64" t="str">
        <f aca="false">IF(OR(A1906="",B1906=""),"",CONCATENATE("https://matarstund.is/serfaedi?id=",LOWER(SUBSTITUTE(B1906,"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64" t="str">
        <f aca="false">IF(OR(A1907="",B1907=""),"",CONCATENATE("https://matarstund.is/serfaedi?id=",LOWER(SUBSTITUTE(B1907," ","-"))))</f>
        <v/>
      </c>
    </row>
    <row r="1908" customFormat="false" ht="15" hidden="false" customHeight="true" outlineLevel="0" collapsed="false">
      <c r="A1908" s="63"/>
      <c r="B1908" s="63"/>
      <c r="C1908" s="63"/>
      <c r="D1908" s="63"/>
      <c r="E1908" s="63"/>
      <c r="F1908" s="28" t="str">
        <f aca="false">IF(C1908="","",IF(OR(C1908="1. bekkur",C1908="2. bekkur",C1908="3. bekkur",C1908="4. bekkur"),"Já",IF(C1908="Starfsmaður","Nei","Nei")))</f>
        <v/>
      </c>
      <c r="G1908" s="63"/>
      <c r="H1908" s="63"/>
      <c r="I1908" s="63"/>
      <c r="J1908" s="64" t="str">
        <f aca="false">IF(OR(A1908="",B1908=""),"",CONCATENATE("https://matarstund.is/serfaedi?id=",LOWER(SUBSTITUTE(B1908,"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64" t="str">
        <f aca="false">IF(OR(A1909="",B1909=""),"",CONCATENATE("https://matarstund.is/serfaedi?id=",LOWER(SUBSTITUTE(B1909," ","-"))))</f>
        <v/>
      </c>
    </row>
    <row r="1910" customFormat="false" ht="15" hidden="false" customHeight="true" outlineLevel="0" collapsed="false">
      <c r="A1910" s="63"/>
      <c r="B1910" s="63"/>
      <c r="C1910" s="63"/>
      <c r="D1910" s="63"/>
      <c r="E1910" s="63"/>
      <c r="F1910" s="28" t="str">
        <f aca="false">IF(C1910="","",IF(OR(C1910="1. bekkur",C1910="2. bekkur",C1910="3. bekkur",C1910="4. bekkur"),"Já",IF(C1910="Starfsmaður","Nei","Nei")))</f>
        <v/>
      </c>
      <c r="G1910" s="63"/>
      <c r="H1910" s="63"/>
      <c r="I1910" s="63"/>
      <c r="J1910" s="64" t="str">
        <f aca="false">IF(OR(A1910="",B1910=""),"",CONCATENATE("https://matarstund.is/serfaedi?id=",LOWER(SUBSTITUTE(B1910,"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64" t="str">
        <f aca="false">IF(OR(A1911="",B1911=""),"",CONCATENATE("https://matarstund.is/serfaedi?id=",LOWER(SUBSTITUTE(B1911," ","-"))))</f>
        <v/>
      </c>
    </row>
    <row r="1912" customFormat="false" ht="15" hidden="false" customHeight="true" outlineLevel="0" collapsed="false">
      <c r="A1912" s="63"/>
      <c r="B1912" s="63"/>
      <c r="C1912" s="63"/>
      <c r="D1912" s="63"/>
      <c r="E1912" s="63"/>
      <c r="F1912" s="28" t="str">
        <f aca="false">IF(C1912="","",IF(OR(C1912="1. bekkur",C1912="2. bekkur",C1912="3. bekkur",C1912="4. bekkur"),"Já",IF(C1912="Starfsmaður","Nei","Nei")))</f>
        <v/>
      </c>
      <c r="G1912" s="63"/>
      <c r="H1912" s="63"/>
      <c r="I1912" s="63"/>
      <c r="J1912" s="64" t="str">
        <f aca="false">IF(OR(A1912="",B1912=""),"",CONCATENATE("https://matarstund.is/serfaedi?id=",LOWER(SUBSTITUTE(B1912,"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64" t="str">
        <f aca="false">IF(OR(A1913="",B1913=""),"",CONCATENATE("https://matarstund.is/serfaedi?id=",LOWER(SUBSTITUTE(B1913," ","-"))))</f>
        <v/>
      </c>
    </row>
    <row r="1914" customFormat="false" ht="15" hidden="false" customHeight="true" outlineLevel="0" collapsed="false">
      <c r="A1914" s="63"/>
      <c r="B1914" s="63"/>
      <c r="C1914" s="63"/>
      <c r="D1914" s="63"/>
      <c r="E1914" s="63"/>
      <c r="F1914" s="28" t="str">
        <f aca="false">IF(C1914="","",IF(OR(C1914="1. bekkur",C1914="2. bekkur",C1914="3. bekkur",C1914="4. bekkur"),"Já",IF(C1914="Starfsmaður","Nei","Nei")))</f>
        <v/>
      </c>
      <c r="G1914" s="63"/>
      <c r="H1914" s="63"/>
      <c r="I1914" s="63"/>
      <c r="J1914" s="64" t="str">
        <f aca="false">IF(OR(A1914="",B1914=""),"",CONCATENATE("https://matarstund.is/serfaedi?id=",LOWER(SUBSTITUTE(B1914,"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64" t="str">
        <f aca="false">IF(OR(A1915="",B1915=""),"",CONCATENATE("https://matarstund.is/serfaedi?id=",LOWER(SUBSTITUTE(B1915," ","-"))))</f>
        <v/>
      </c>
    </row>
    <row r="1916" customFormat="false" ht="15" hidden="false" customHeight="true" outlineLevel="0" collapsed="false">
      <c r="A1916" s="63"/>
      <c r="B1916" s="63"/>
      <c r="C1916" s="63"/>
      <c r="D1916" s="63"/>
      <c r="E1916" s="63"/>
      <c r="F1916" s="28" t="str">
        <f aca="false">IF(C1916="","",IF(OR(C1916="1. bekkur",C1916="2. bekkur",C1916="3. bekkur",C1916="4. bekkur"),"Já",IF(C1916="Starfsmaður","Nei","Nei")))</f>
        <v/>
      </c>
      <c r="G1916" s="63"/>
      <c r="H1916" s="63"/>
      <c r="I1916" s="63"/>
      <c r="J1916" s="64" t="str">
        <f aca="false">IF(OR(A1916="",B1916=""),"",CONCATENATE("https://matarstund.is/serfaedi?id=",LOWER(SUBSTITUTE(B1916,"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64" t="str">
        <f aca="false">IF(OR(A1917="",B1917=""),"",CONCATENATE("https://matarstund.is/serfaedi?id=",LOWER(SUBSTITUTE(B1917," ","-"))))</f>
        <v/>
      </c>
    </row>
    <row r="1918" customFormat="false" ht="15" hidden="false" customHeight="true" outlineLevel="0" collapsed="false">
      <c r="A1918" s="63"/>
      <c r="B1918" s="63"/>
      <c r="C1918" s="63"/>
      <c r="D1918" s="63"/>
      <c r="E1918" s="63"/>
      <c r="F1918" s="28" t="str">
        <f aca="false">IF(C1918="","",IF(OR(C1918="1. bekkur",C1918="2. bekkur",C1918="3. bekkur",C1918="4. bekkur"),"Já",IF(C1918="Starfsmaður","Nei","Nei")))</f>
        <v/>
      </c>
      <c r="G1918" s="63"/>
      <c r="H1918" s="63"/>
      <c r="I1918" s="63"/>
      <c r="J1918" s="64" t="str">
        <f aca="false">IF(OR(A1918="",B1918=""),"",CONCATENATE("https://matarstund.is/serfaedi?id=",LOWER(SUBSTITUTE(B1918,"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64" t="str">
        <f aca="false">IF(OR(A1919="",B1919=""),"",CONCATENATE("https://matarstund.is/serfaedi?id=",LOWER(SUBSTITUTE(B1919," ","-"))))</f>
        <v/>
      </c>
    </row>
    <row r="1920" customFormat="false" ht="15" hidden="false" customHeight="true" outlineLevel="0" collapsed="false">
      <c r="A1920" s="63"/>
      <c r="B1920" s="63"/>
      <c r="C1920" s="63"/>
      <c r="D1920" s="63"/>
      <c r="E1920" s="63"/>
      <c r="F1920" s="28" t="str">
        <f aca="false">IF(C1920="","",IF(OR(C1920="1. bekkur",C1920="2. bekkur",C1920="3. bekkur",C1920="4. bekkur"),"Já",IF(C1920="Starfsmaður","Nei","Nei")))</f>
        <v/>
      </c>
      <c r="G1920" s="63"/>
      <c r="H1920" s="63"/>
      <c r="I1920" s="63"/>
      <c r="J1920" s="64" t="str">
        <f aca="false">IF(OR(A1920="",B1920=""),"",CONCATENATE("https://matarstund.is/serfaedi?id=",LOWER(SUBSTITUTE(B1920,"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64" t="str">
        <f aca="false">IF(OR(A1921="",B1921=""),"",CONCATENATE("https://matarstund.is/serfaedi?id=",LOWER(SUBSTITUTE(B1921," ","-"))))</f>
        <v/>
      </c>
    </row>
    <row r="1922" customFormat="false" ht="15" hidden="false" customHeight="true" outlineLevel="0" collapsed="false">
      <c r="A1922" s="63"/>
      <c r="B1922" s="63"/>
      <c r="C1922" s="63"/>
      <c r="D1922" s="63"/>
      <c r="E1922" s="63"/>
      <c r="F1922" s="28" t="str">
        <f aca="false">IF(C1922="","",IF(OR(C1922="1. bekkur",C1922="2. bekkur",C1922="3. bekkur",C1922="4. bekkur"),"Já",IF(C1922="Starfsmaður","Nei","Nei")))</f>
        <v/>
      </c>
      <c r="G1922" s="63"/>
      <c r="H1922" s="63"/>
      <c r="I1922" s="63"/>
      <c r="J1922" s="64" t="str">
        <f aca="false">IF(OR(A1922="",B1922=""),"",CONCATENATE("https://matarstund.is/serfaedi?id=",LOWER(SUBSTITUTE(B1922,"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64" t="str">
        <f aca="false">IF(OR(A1923="",B1923=""),"",CONCATENATE("https://matarstund.is/serfaedi?id=",LOWER(SUBSTITUTE(B1923," ","-"))))</f>
        <v/>
      </c>
    </row>
    <row r="1924" customFormat="false" ht="15" hidden="false" customHeight="true" outlineLevel="0" collapsed="false">
      <c r="A1924" s="63"/>
      <c r="B1924" s="63"/>
      <c r="C1924" s="63"/>
      <c r="D1924" s="63"/>
      <c r="E1924" s="63"/>
      <c r="F1924" s="28" t="str">
        <f aca="false">IF(C1924="","",IF(OR(C1924="1. bekkur",C1924="2. bekkur",C1924="3. bekkur",C1924="4. bekkur"),"Já",IF(C1924="Starfsmaður","Nei","Nei")))</f>
        <v/>
      </c>
      <c r="G1924" s="63"/>
      <c r="H1924" s="63"/>
      <c r="I1924" s="63"/>
      <c r="J1924" s="64" t="str">
        <f aca="false">IF(OR(A1924="",B1924=""),"",CONCATENATE("https://matarstund.is/serfaedi?id=",LOWER(SUBSTITUTE(B1924,"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64" t="str">
        <f aca="false">IF(OR(A1925="",B1925=""),"",CONCATENATE("https://matarstund.is/serfaedi?id=",LOWER(SUBSTITUTE(B1925," ","-"))))</f>
        <v/>
      </c>
    </row>
    <row r="1926" customFormat="false" ht="15" hidden="false" customHeight="true" outlineLevel="0" collapsed="false">
      <c r="A1926" s="63"/>
      <c r="B1926" s="63"/>
      <c r="C1926" s="63"/>
      <c r="D1926" s="63"/>
      <c r="E1926" s="63"/>
      <c r="F1926" s="28" t="str">
        <f aca="false">IF(C1926="","",IF(OR(C1926="1. bekkur",C1926="2. bekkur",C1926="3. bekkur",C1926="4. bekkur"),"Já",IF(C1926="Starfsmaður","Nei","Nei")))</f>
        <v/>
      </c>
      <c r="G1926" s="63"/>
      <c r="H1926" s="63"/>
      <c r="I1926" s="63"/>
      <c r="J1926" s="64" t="str">
        <f aca="false">IF(OR(A1926="",B1926=""),"",CONCATENATE("https://matarstund.is/serfaedi?id=",LOWER(SUBSTITUTE(B1926,"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64" t="str">
        <f aca="false">IF(OR(A1927="",B1927=""),"",CONCATENATE("https://matarstund.is/serfaedi?id=",LOWER(SUBSTITUTE(B1927," ","-"))))</f>
        <v/>
      </c>
    </row>
    <row r="1928" customFormat="false" ht="15" hidden="false" customHeight="true" outlineLevel="0" collapsed="false">
      <c r="A1928" s="63"/>
      <c r="B1928" s="63"/>
      <c r="C1928" s="63"/>
      <c r="D1928" s="63"/>
      <c r="E1928" s="63"/>
      <c r="F1928" s="28" t="str">
        <f aca="false">IF(C1928="","",IF(OR(C1928="1. bekkur",C1928="2. bekkur",C1928="3. bekkur",C1928="4. bekkur"),"Já",IF(C1928="Starfsmaður","Nei","Nei")))</f>
        <v/>
      </c>
      <c r="G1928" s="63"/>
      <c r="H1928" s="63"/>
      <c r="I1928" s="63"/>
      <c r="J1928" s="64" t="str">
        <f aca="false">IF(OR(A1928="",B1928=""),"",CONCATENATE("https://matarstund.is/serfaedi?id=",LOWER(SUBSTITUTE(B1928,"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64" t="str">
        <f aca="false">IF(OR(A1929="",B1929=""),"",CONCATENATE("https://matarstund.is/serfaedi?id=",LOWER(SUBSTITUTE(B1929," ","-"))))</f>
        <v/>
      </c>
    </row>
    <row r="1930" customFormat="false" ht="15" hidden="false" customHeight="true" outlineLevel="0" collapsed="false">
      <c r="A1930" s="63"/>
      <c r="B1930" s="63"/>
      <c r="C1930" s="63"/>
      <c r="D1930" s="63"/>
      <c r="E1930" s="63"/>
      <c r="F1930" s="28" t="str">
        <f aca="false">IF(C1930="","",IF(OR(C1930="1. bekkur",C1930="2. bekkur",C1930="3. bekkur",C1930="4. bekkur"),"Já",IF(C1930="Starfsmaður","Nei","Nei")))</f>
        <v/>
      </c>
      <c r="G1930" s="63"/>
      <c r="H1930" s="63"/>
      <c r="I1930" s="63"/>
      <c r="J1930" s="64" t="str">
        <f aca="false">IF(OR(A1930="",B1930=""),"",CONCATENATE("https://matarstund.is/serfaedi?id=",LOWER(SUBSTITUTE(B1930,"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64" t="str">
        <f aca="false">IF(OR(A1931="",B1931=""),"",CONCATENATE("https://matarstund.is/serfaedi?id=",LOWER(SUBSTITUTE(B1931," ","-"))))</f>
        <v/>
      </c>
    </row>
    <row r="1932" customFormat="false" ht="15" hidden="false" customHeight="true" outlineLevel="0" collapsed="false">
      <c r="A1932" s="63"/>
      <c r="B1932" s="63"/>
      <c r="C1932" s="63"/>
      <c r="D1932" s="63"/>
      <c r="E1932" s="63"/>
      <c r="F1932" s="28" t="str">
        <f aca="false">IF(C1932="","",IF(OR(C1932="1. bekkur",C1932="2. bekkur",C1932="3. bekkur",C1932="4. bekkur"),"Já",IF(C1932="Starfsmaður","Nei","Nei")))</f>
        <v/>
      </c>
      <c r="G1932" s="63"/>
      <c r="H1932" s="63"/>
      <c r="I1932" s="63"/>
      <c r="J1932" s="64" t="str">
        <f aca="false">IF(OR(A1932="",B1932=""),"",CONCATENATE("https://matarstund.is/serfaedi?id=",LOWER(SUBSTITUTE(B1932,"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64" t="str">
        <f aca="false">IF(OR(A1933="",B1933=""),"",CONCATENATE("https://matarstund.is/serfaedi?id=",LOWER(SUBSTITUTE(B1933," ","-"))))</f>
        <v/>
      </c>
    </row>
    <row r="1934" customFormat="false" ht="15" hidden="false" customHeight="true" outlineLevel="0" collapsed="false">
      <c r="A1934" s="63"/>
      <c r="B1934" s="63"/>
      <c r="C1934" s="63"/>
      <c r="D1934" s="63"/>
      <c r="E1934" s="63"/>
      <c r="F1934" s="28" t="str">
        <f aca="false">IF(C1934="","",IF(OR(C1934="1. bekkur",C1934="2. bekkur",C1934="3. bekkur",C1934="4. bekkur"),"Já",IF(C1934="Starfsmaður","Nei","Nei")))</f>
        <v/>
      </c>
      <c r="G1934" s="63"/>
      <c r="H1934" s="63"/>
      <c r="I1934" s="63"/>
      <c r="J1934" s="64" t="str">
        <f aca="false">IF(OR(A1934="",B1934=""),"",CONCATENATE("https://matarstund.is/serfaedi?id=",LOWER(SUBSTITUTE(B1934,"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64" t="str">
        <f aca="false">IF(OR(A1935="",B1935=""),"",CONCATENATE("https://matarstund.is/serfaedi?id=",LOWER(SUBSTITUTE(B1935," ","-"))))</f>
        <v/>
      </c>
    </row>
    <row r="1936" customFormat="false" ht="15" hidden="false" customHeight="true" outlineLevel="0" collapsed="false">
      <c r="A1936" s="63"/>
      <c r="B1936" s="63"/>
      <c r="C1936" s="63"/>
      <c r="D1936" s="63"/>
      <c r="E1936" s="63"/>
      <c r="F1936" s="28" t="str">
        <f aca="false">IF(C1936="","",IF(OR(C1936="1. bekkur",C1936="2. bekkur",C1936="3. bekkur",C1936="4. bekkur"),"Já",IF(C1936="Starfsmaður","Nei","Nei")))</f>
        <v/>
      </c>
      <c r="G1936" s="63"/>
      <c r="H1936" s="63"/>
      <c r="I1936" s="63"/>
      <c r="J1936" s="64" t="str">
        <f aca="false">IF(OR(A1936="",B1936=""),"",CONCATENATE("https://matarstund.is/serfaedi?id=",LOWER(SUBSTITUTE(B1936,"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64" t="str">
        <f aca="false">IF(OR(A1937="",B1937=""),"",CONCATENATE("https://matarstund.is/serfaedi?id=",LOWER(SUBSTITUTE(B1937," ","-"))))</f>
        <v/>
      </c>
    </row>
    <row r="1938" customFormat="false" ht="15" hidden="false" customHeight="true" outlineLevel="0" collapsed="false">
      <c r="A1938" s="63"/>
      <c r="B1938" s="63"/>
      <c r="C1938" s="63"/>
      <c r="D1938" s="63"/>
      <c r="E1938" s="63"/>
      <c r="F1938" s="28" t="str">
        <f aca="false">IF(C1938="","",IF(OR(C1938="1. bekkur",C1938="2. bekkur",C1938="3. bekkur",C1938="4. bekkur"),"Já",IF(C1938="Starfsmaður","Nei","Nei")))</f>
        <v/>
      </c>
      <c r="G1938" s="63"/>
      <c r="H1938" s="63"/>
      <c r="I1938" s="63"/>
      <c r="J1938" s="64" t="str">
        <f aca="false">IF(OR(A1938="",B1938=""),"",CONCATENATE("https://matarstund.is/serfaedi?id=",LOWER(SUBSTITUTE(B1938,"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64" t="str">
        <f aca="false">IF(OR(A1939="",B1939=""),"",CONCATENATE("https://matarstund.is/serfaedi?id=",LOWER(SUBSTITUTE(B1939," ","-"))))</f>
        <v/>
      </c>
    </row>
    <row r="1940" customFormat="false" ht="15" hidden="false" customHeight="true" outlineLevel="0" collapsed="false">
      <c r="A1940" s="63"/>
      <c r="B1940" s="63"/>
      <c r="C1940" s="63"/>
      <c r="D1940" s="63"/>
      <c r="E1940" s="63"/>
      <c r="F1940" s="28" t="str">
        <f aca="false">IF(C1940="","",IF(OR(C1940="1. bekkur",C1940="2. bekkur",C1940="3. bekkur",C1940="4. bekkur"),"Já",IF(C1940="Starfsmaður","Nei","Nei")))</f>
        <v/>
      </c>
      <c r="G1940" s="63"/>
      <c r="H1940" s="63"/>
      <c r="I1940" s="63"/>
      <c r="J1940" s="64" t="str">
        <f aca="false">IF(OR(A1940="",B1940=""),"",CONCATENATE("https://matarstund.is/serfaedi?id=",LOWER(SUBSTITUTE(B1940,"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64" t="str">
        <f aca="false">IF(OR(A1941="",B1941=""),"",CONCATENATE("https://matarstund.is/serfaedi?id=",LOWER(SUBSTITUTE(B1941," ","-"))))</f>
        <v/>
      </c>
    </row>
    <row r="1942" customFormat="false" ht="15" hidden="false" customHeight="true" outlineLevel="0" collapsed="false">
      <c r="A1942" s="63"/>
      <c r="B1942" s="63"/>
      <c r="C1942" s="63"/>
      <c r="D1942" s="63"/>
      <c r="E1942" s="63"/>
      <c r="F1942" s="28" t="str">
        <f aca="false">IF(C1942="","",IF(OR(C1942="1. bekkur",C1942="2. bekkur",C1942="3. bekkur",C1942="4. bekkur"),"Já",IF(C1942="Starfsmaður","Nei","Nei")))</f>
        <v/>
      </c>
      <c r="G1942" s="63"/>
      <c r="H1942" s="63"/>
      <c r="I1942" s="63"/>
      <c r="J1942" s="64" t="str">
        <f aca="false">IF(OR(A1942="",B1942=""),"",CONCATENATE("https://matarstund.is/serfaedi?id=",LOWER(SUBSTITUTE(B1942,"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64" t="str">
        <f aca="false">IF(OR(A1943="",B1943=""),"",CONCATENATE("https://matarstund.is/serfaedi?id=",LOWER(SUBSTITUTE(B1943," ","-"))))</f>
        <v/>
      </c>
    </row>
    <row r="1944" customFormat="false" ht="15" hidden="false" customHeight="true" outlineLevel="0" collapsed="false">
      <c r="A1944" s="63"/>
      <c r="B1944" s="63"/>
      <c r="C1944" s="63"/>
      <c r="D1944" s="63"/>
      <c r="E1944" s="63"/>
      <c r="F1944" s="28" t="str">
        <f aca="false">IF(C1944="","",IF(OR(C1944="1. bekkur",C1944="2. bekkur",C1944="3. bekkur",C1944="4. bekkur"),"Já",IF(C1944="Starfsmaður","Nei","Nei")))</f>
        <v/>
      </c>
      <c r="G1944" s="63"/>
      <c r="H1944" s="63"/>
      <c r="I1944" s="63"/>
      <c r="J1944" s="64" t="str">
        <f aca="false">IF(OR(A1944="",B1944=""),"",CONCATENATE("https://matarstund.is/serfaedi?id=",LOWER(SUBSTITUTE(B1944,"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64" t="str">
        <f aca="false">IF(OR(A1945="",B1945=""),"",CONCATENATE("https://matarstund.is/serfaedi?id=",LOWER(SUBSTITUTE(B1945," ","-"))))</f>
        <v/>
      </c>
    </row>
    <row r="1946" customFormat="false" ht="15" hidden="false" customHeight="true" outlineLevel="0" collapsed="false">
      <c r="A1946" s="63"/>
      <c r="B1946" s="63"/>
      <c r="C1946" s="63"/>
      <c r="D1946" s="63"/>
      <c r="E1946" s="63"/>
      <c r="F1946" s="28" t="str">
        <f aca="false">IF(C1946="","",IF(OR(C1946="1. bekkur",C1946="2. bekkur",C1946="3. bekkur",C1946="4. bekkur"),"Já",IF(C1946="Starfsmaður","Nei","Nei")))</f>
        <v/>
      </c>
      <c r="G1946" s="63"/>
      <c r="H1946" s="63"/>
      <c r="I1946" s="63"/>
      <c r="J1946" s="64" t="str">
        <f aca="false">IF(OR(A1946="",B1946=""),"",CONCATENATE("https://matarstund.is/serfaedi?id=",LOWER(SUBSTITUTE(B1946,"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64" t="str">
        <f aca="false">IF(OR(A1947="",B1947=""),"",CONCATENATE("https://matarstund.is/serfaedi?id=",LOWER(SUBSTITUTE(B1947," ","-"))))</f>
        <v/>
      </c>
    </row>
    <row r="1948" customFormat="false" ht="15" hidden="false" customHeight="true" outlineLevel="0" collapsed="false">
      <c r="A1948" s="63"/>
      <c r="B1948" s="63"/>
      <c r="C1948" s="63"/>
      <c r="D1948" s="63"/>
      <c r="E1948" s="63"/>
      <c r="F1948" s="28" t="str">
        <f aca="false">IF(C1948="","",IF(OR(C1948="1. bekkur",C1948="2. bekkur",C1948="3. bekkur",C1948="4. bekkur"),"Já",IF(C1948="Starfsmaður","Nei","Nei")))</f>
        <v/>
      </c>
      <c r="G1948" s="63"/>
      <c r="H1948" s="63"/>
      <c r="I1948" s="63"/>
      <c r="J1948" s="64" t="str">
        <f aca="false">IF(OR(A1948="",B1948=""),"",CONCATENATE("https://matarstund.is/serfaedi?id=",LOWER(SUBSTITUTE(B1948,"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64" t="str">
        <f aca="false">IF(OR(A1949="",B1949=""),"",CONCATENATE("https://matarstund.is/serfaedi?id=",LOWER(SUBSTITUTE(B1949," ","-"))))</f>
        <v/>
      </c>
    </row>
    <row r="1950" customFormat="false" ht="15" hidden="false" customHeight="true" outlineLevel="0" collapsed="false">
      <c r="A1950" s="63"/>
      <c r="B1950" s="63"/>
      <c r="C1950" s="63"/>
      <c r="D1950" s="63"/>
      <c r="E1950" s="63"/>
      <c r="F1950" s="28" t="str">
        <f aca="false">IF(C1950="","",IF(OR(C1950="1. bekkur",C1950="2. bekkur",C1950="3. bekkur",C1950="4. bekkur"),"Já",IF(C1950="Starfsmaður","Nei","Nei")))</f>
        <v/>
      </c>
      <c r="G1950" s="63"/>
      <c r="H1950" s="63"/>
      <c r="I1950" s="63"/>
      <c r="J1950" s="64" t="str">
        <f aca="false">IF(OR(A1950="",B1950=""),"",CONCATENATE("https://matarstund.is/serfaedi?id=",LOWER(SUBSTITUTE(B1950,"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64" t="str">
        <f aca="false">IF(OR(A1951="",B1951=""),"",CONCATENATE("https://matarstund.is/serfaedi?id=",LOWER(SUBSTITUTE(B1951," ","-"))))</f>
        <v/>
      </c>
    </row>
    <row r="1952" customFormat="false" ht="15" hidden="false" customHeight="true" outlineLevel="0" collapsed="false">
      <c r="A1952" s="63"/>
      <c r="B1952" s="63"/>
      <c r="C1952" s="63"/>
      <c r="D1952" s="63"/>
      <c r="E1952" s="63"/>
      <c r="F1952" s="28" t="str">
        <f aca="false">IF(C1952="","",IF(OR(C1952="1. bekkur",C1952="2. bekkur",C1952="3. bekkur",C1952="4. bekkur"),"Já",IF(C1952="Starfsmaður","Nei","Nei")))</f>
        <v/>
      </c>
      <c r="G1952" s="63"/>
      <c r="H1952" s="63"/>
      <c r="I1952" s="63"/>
      <c r="J1952" s="64" t="str">
        <f aca="false">IF(OR(A1952="",B1952=""),"",CONCATENATE("https://matarstund.is/serfaedi?id=",LOWER(SUBSTITUTE(B1952,"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64" t="str">
        <f aca="false">IF(OR(A1953="",B1953=""),"",CONCATENATE("https://matarstund.is/serfaedi?id=",LOWER(SUBSTITUTE(B1953," ","-"))))</f>
        <v/>
      </c>
    </row>
    <row r="1954" customFormat="false" ht="15" hidden="false" customHeight="true" outlineLevel="0" collapsed="false">
      <c r="A1954" s="63"/>
      <c r="B1954" s="63"/>
      <c r="C1954" s="63"/>
      <c r="D1954" s="63"/>
      <c r="E1954" s="63"/>
      <c r="F1954" s="28" t="str">
        <f aca="false">IF(C1954="","",IF(OR(C1954="1. bekkur",C1954="2. bekkur",C1954="3. bekkur",C1954="4. bekkur"),"Já",IF(C1954="Starfsmaður","Nei","Nei")))</f>
        <v/>
      </c>
      <c r="G1954" s="63"/>
      <c r="H1954" s="63"/>
      <c r="I1954" s="63"/>
      <c r="J1954" s="64" t="str">
        <f aca="false">IF(OR(A1954="",B1954=""),"",CONCATENATE("https://matarstund.is/serfaedi?id=",LOWER(SUBSTITUTE(B1954,"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64" t="str">
        <f aca="false">IF(OR(A1955="",B1955=""),"",CONCATENATE("https://matarstund.is/serfaedi?id=",LOWER(SUBSTITUTE(B1955," ","-"))))</f>
        <v/>
      </c>
    </row>
    <row r="1956" customFormat="false" ht="15" hidden="false" customHeight="true" outlineLevel="0" collapsed="false">
      <c r="A1956" s="63"/>
      <c r="B1956" s="63"/>
      <c r="C1956" s="63"/>
      <c r="D1956" s="63"/>
      <c r="E1956" s="63"/>
      <c r="F1956" s="28" t="str">
        <f aca="false">IF(C1956="","",IF(OR(C1956="1. bekkur",C1956="2. bekkur",C1956="3. bekkur",C1956="4. bekkur"),"Já",IF(C1956="Starfsmaður","Nei","Nei")))</f>
        <v/>
      </c>
      <c r="G1956" s="63"/>
      <c r="H1956" s="63"/>
      <c r="I1956" s="63"/>
      <c r="J1956" s="64" t="str">
        <f aca="false">IF(OR(A1956="",B1956=""),"",CONCATENATE("https://matarstund.is/serfaedi?id=",LOWER(SUBSTITUTE(B1956,"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64" t="str">
        <f aca="false">IF(OR(A1957="",B1957=""),"",CONCATENATE("https://matarstund.is/serfaedi?id=",LOWER(SUBSTITUTE(B1957," ","-"))))</f>
        <v/>
      </c>
    </row>
    <row r="1958" customFormat="false" ht="15" hidden="false" customHeight="true" outlineLevel="0" collapsed="false">
      <c r="A1958" s="63"/>
      <c r="B1958" s="63"/>
      <c r="C1958" s="63"/>
      <c r="D1958" s="63"/>
      <c r="E1958" s="63"/>
      <c r="F1958" s="28" t="str">
        <f aca="false">IF(C1958="","",IF(OR(C1958="1. bekkur",C1958="2. bekkur",C1958="3. bekkur",C1958="4. bekkur"),"Já",IF(C1958="Starfsmaður","Nei","Nei")))</f>
        <v/>
      </c>
      <c r="G1958" s="63"/>
      <c r="H1958" s="63"/>
      <c r="I1958" s="63"/>
      <c r="J1958" s="64" t="str">
        <f aca="false">IF(OR(A1958="",B1958=""),"",CONCATENATE("https://matarstund.is/serfaedi?id=",LOWER(SUBSTITUTE(B1958,"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64" t="str">
        <f aca="false">IF(OR(A1959="",B1959=""),"",CONCATENATE("https://matarstund.is/serfaedi?id=",LOWER(SUBSTITUTE(B1959," ","-"))))</f>
        <v/>
      </c>
    </row>
    <row r="1960" customFormat="false" ht="15" hidden="false" customHeight="true" outlineLevel="0" collapsed="false">
      <c r="A1960" s="63"/>
      <c r="B1960" s="63"/>
      <c r="C1960" s="63"/>
      <c r="D1960" s="63"/>
      <c r="E1960" s="63"/>
      <c r="F1960" s="28" t="str">
        <f aca="false">IF(C1960="","",IF(OR(C1960="1. bekkur",C1960="2. bekkur",C1960="3. bekkur",C1960="4. bekkur"),"Já",IF(C1960="Starfsmaður","Nei","Nei")))</f>
        <v/>
      </c>
      <c r="G1960" s="63"/>
      <c r="H1960" s="63"/>
      <c r="I1960" s="63"/>
      <c r="J1960" s="64" t="str">
        <f aca="false">IF(OR(A1960="",B1960=""),"",CONCATENATE("https://matarstund.is/serfaedi?id=",LOWER(SUBSTITUTE(B1960,"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64" t="str">
        <f aca="false">IF(OR(A1961="",B1961=""),"",CONCATENATE("https://matarstund.is/serfaedi?id=",LOWER(SUBSTITUTE(B1961," ","-"))))</f>
        <v/>
      </c>
    </row>
    <row r="1962" customFormat="false" ht="15" hidden="false" customHeight="true" outlineLevel="0" collapsed="false">
      <c r="A1962" s="63"/>
      <c r="B1962" s="63"/>
      <c r="C1962" s="63"/>
      <c r="D1962" s="63"/>
      <c r="E1962" s="63"/>
      <c r="F1962" s="28" t="str">
        <f aca="false">IF(C1962="","",IF(OR(C1962="1. bekkur",C1962="2. bekkur",C1962="3. bekkur",C1962="4. bekkur"),"Já",IF(C1962="Starfsmaður","Nei","Nei")))</f>
        <v/>
      </c>
      <c r="G1962" s="63"/>
      <c r="H1962" s="63"/>
      <c r="I1962" s="63"/>
      <c r="J1962" s="64" t="str">
        <f aca="false">IF(OR(A1962="",B1962=""),"",CONCATENATE("https://matarstund.is/serfaedi?id=",LOWER(SUBSTITUTE(B1962,"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64" t="str">
        <f aca="false">IF(OR(A1963="",B1963=""),"",CONCATENATE("https://matarstund.is/serfaedi?id=",LOWER(SUBSTITUTE(B1963," ","-"))))</f>
        <v/>
      </c>
    </row>
    <row r="1964" customFormat="false" ht="15" hidden="false" customHeight="true" outlineLevel="0" collapsed="false">
      <c r="A1964" s="63"/>
      <c r="B1964" s="63"/>
      <c r="C1964" s="63"/>
      <c r="D1964" s="63"/>
      <c r="E1964" s="63"/>
      <c r="F1964" s="28" t="str">
        <f aca="false">IF(C1964="","",IF(OR(C1964="1. bekkur",C1964="2. bekkur",C1964="3. bekkur",C1964="4. bekkur"),"Já",IF(C1964="Starfsmaður","Nei","Nei")))</f>
        <v/>
      </c>
      <c r="G1964" s="63"/>
      <c r="H1964" s="63"/>
      <c r="I1964" s="63"/>
      <c r="J1964" s="64" t="str">
        <f aca="false">IF(OR(A1964="",B1964=""),"",CONCATENATE("https://matarstund.is/serfaedi?id=",LOWER(SUBSTITUTE(B1964,"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64" t="str">
        <f aca="false">IF(OR(A1965="",B1965=""),"",CONCATENATE("https://matarstund.is/serfaedi?id=",LOWER(SUBSTITUTE(B1965," ","-"))))</f>
        <v/>
      </c>
    </row>
    <row r="1966" customFormat="false" ht="15" hidden="false" customHeight="true" outlineLevel="0" collapsed="false">
      <c r="A1966" s="63"/>
      <c r="B1966" s="63"/>
      <c r="C1966" s="63"/>
      <c r="D1966" s="63"/>
      <c r="E1966" s="63"/>
      <c r="F1966" s="28" t="str">
        <f aca="false">IF(C1966="","",IF(OR(C1966="1. bekkur",C1966="2. bekkur",C1966="3. bekkur",C1966="4. bekkur"),"Já",IF(C1966="Starfsmaður","Nei","Nei")))</f>
        <v/>
      </c>
      <c r="G1966" s="63"/>
      <c r="H1966" s="63"/>
      <c r="I1966" s="63"/>
      <c r="J1966" s="64" t="str">
        <f aca="false">IF(OR(A1966="",B1966=""),"",CONCATENATE("https://matarstund.is/serfaedi?id=",LOWER(SUBSTITUTE(B1966,"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64" t="str">
        <f aca="false">IF(OR(A1967="",B1967=""),"",CONCATENATE("https://matarstund.is/serfaedi?id=",LOWER(SUBSTITUTE(B1967," ","-"))))</f>
        <v/>
      </c>
    </row>
    <row r="1968" customFormat="false" ht="15" hidden="false" customHeight="true" outlineLevel="0" collapsed="false">
      <c r="A1968" s="63"/>
      <c r="B1968" s="63"/>
      <c r="C1968" s="63"/>
      <c r="D1968" s="63"/>
      <c r="E1968" s="63"/>
      <c r="F1968" s="28" t="str">
        <f aca="false">IF(C1968="","",IF(OR(C1968="1. bekkur",C1968="2. bekkur",C1968="3. bekkur",C1968="4. bekkur"),"Já",IF(C1968="Starfsmaður","Nei","Nei")))</f>
        <v/>
      </c>
      <c r="G1968" s="63"/>
      <c r="H1968" s="63"/>
      <c r="I1968" s="63"/>
      <c r="J1968" s="64" t="str">
        <f aca="false">IF(OR(A1968="",B1968=""),"",CONCATENATE("https://matarstund.is/serfaedi?id=",LOWER(SUBSTITUTE(B1968,"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64" t="str">
        <f aca="false">IF(OR(A1969="",B1969=""),"",CONCATENATE("https://matarstund.is/serfaedi?id=",LOWER(SUBSTITUTE(B1969," ","-"))))</f>
        <v/>
      </c>
    </row>
    <row r="1970" customFormat="false" ht="15" hidden="false" customHeight="true" outlineLevel="0" collapsed="false">
      <c r="A1970" s="63"/>
      <c r="B1970" s="63"/>
      <c r="C1970" s="63"/>
      <c r="D1970" s="63"/>
      <c r="E1970" s="63"/>
      <c r="F1970" s="28" t="str">
        <f aca="false">IF(C1970="","",IF(OR(C1970="1. bekkur",C1970="2. bekkur",C1970="3. bekkur",C1970="4. bekkur"),"Já",IF(C1970="Starfsmaður","Nei","Nei")))</f>
        <v/>
      </c>
      <c r="G1970" s="63"/>
      <c r="H1970" s="63"/>
      <c r="I1970" s="63"/>
      <c r="J1970" s="64" t="str">
        <f aca="false">IF(OR(A1970="",B1970=""),"",CONCATENATE("https://matarstund.is/serfaedi?id=",LOWER(SUBSTITUTE(B1970,"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64" t="str">
        <f aca="false">IF(OR(A1971="",B1971=""),"",CONCATENATE("https://matarstund.is/serfaedi?id=",LOWER(SUBSTITUTE(B1971," ","-"))))</f>
        <v/>
      </c>
    </row>
    <row r="1972" customFormat="false" ht="15" hidden="false" customHeight="true" outlineLevel="0" collapsed="false">
      <c r="A1972" s="63"/>
      <c r="B1972" s="63"/>
      <c r="C1972" s="63"/>
      <c r="D1972" s="63"/>
      <c r="E1972" s="63"/>
      <c r="F1972" s="28" t="str">
        <f aca="false">IF(C1972="","",IF(OR(C1972="1. bekkur",C1972="2. bekkur",C1972="3. bekkur",C1972="4. bekkur"),"Já",IF(C1972="Starfsmaður","Nei","Nei")))</f>
        <v/>
      </c>
      <c r="G1972" s="63"/>
      <c r="H1972" s="63"/>
      <c r="I1972" s="63"/>
      <c r="J1972" s="64" t="str">
        <f aca="false">IF(OR(A1972="",B1972=""),"",CONCATENATE("https://matarstund.is/serfaedi?id=",LOWER(SUBSTITUTE(B1972,"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64" t="str">
        <f aca="false">IF(OR(A1973="",B1973=""),"",CONCATENATE("https://matarstund.is/serfaedi?id=",LOWER(SUBSTITUTE(B1973," ","-"))))</f>
        <v/>
      </c>
    </row>
    <row r="1974" customFormat="false" ht="15" hidden="false" customHeight="true" outlineLevel="0" collapsed="false">
      <c r="A1974" s="63"/>
      <c r="B1974" s="63"/>
      <c r="C1974" s="63"/>
      <c r="D1974" s="63"/>
      <c r="E1974" s="63"/>
      <c r="F1974" s="28" t="str">
        <f aca="false">IF(C1974="","",IF(OR(C1974="1. bekkur",C1974="2. bekkur",C1974="3. bekkur",C1974="4. bekkur"),"Já",IF(C1974="Starfsmaður","Nei","Nei")))</f>
        <v/>
      </c>
      <c r="G1974" s="63"/>
      <c r="H1974" s="63"/>
      <c r="I1974" s="63"/>
      <c r="J1974" s="64" t="str">
        <f aca="false">IF(OR(A1974="",B1974=""),"",CONCATENATE("https://matarstund.is/serfaedi?id=",LOWER(SUBSTITUTE(B1974,"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64" t="str">
        <f aca="false">IF(OR(A1975="",B1975=""),"",CONCATENATE("https://matarstund.is/serfaedi?id=",LOWER(SUBSTITUTE(B1975," ","-"))))</f>
        <v/>
      </c>
    </row>
    <row r="1976" customFormat="false" ht="15" hidden="false" customHeight="true" outlineLevel="0" collapsed="false">
      <c r="A1976" s="63"/>
      <c r="B1976" s="63"/>
      <c r="C1976" s="63"/>
      <c r="D1976" s="63"/>
      <c r="E1976" s="63"/>
      <c r="F1976" s="28" t="str">
        <f aca="false">IF(C1976="","",IF(OR(C1976="1. bekkur",C1976="2. bekkur",C1976="3. bekkur",C1976="4. bekkur"),"Já",IF(C1976="Starfsmaður","Nei","Nei")))</f>
        <v/>
      </c>
      <c r="G1976" s="63"/>
      <c r="H1976" s="63"/>
      <c r="I1976" s="63"/>
      <c r="J1976" s="64" t="str">
        <f aca="false">IF(OR(A1976="",B1976=""),"",CONCATENATE("https://matarstund.is/serfaedi?id=",LOWER(SUBSTITUTE(B1976,"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64" t="str">
        <f aca="false">IF(OR(A1977="",B1977=""),"",CONCATENATE("https://matarstund.is/serfaedi?id=",LOWER(SUBSTITUTE(B1977," ","-"))))</f>
        <v/>
      </c>
    </row>
    <row r="1978" customFormat="false" ht="15" hidden="false" customHeight="true" outlineLevel="0" collapsed="false">
      <c r="A1978" s="63"/>
      <c r="B1978" s="63"/>
      <c r="C1978" s="63"/>
      <c r="D1978" s="63"/>
      <c r="E1978" s="63"/>
      <c r="F1978" s="28" t="str">
        <f aca="false">IF(C1978="","",IF(OR(C1978="1. bekkur",C1978="2. bekkur",C1978="3. bekkur",C1978="4. bekkur"),"Já",IF(C1978="Starfsmaður","Nei","Nei")))</f>
        <v/>
      </c>
      <c r="G1978" s="63"/>
      <c r="H1978" s="63"/>
      <c r="I1978" s="63"/>
      <c r="J1978" s="64" t="str">
        <f aca="false">IF(OR(A1978="",B1978=""),"",CONCATENATE("https://matarstund.is/serfaedi?id=",LOWER(SUBSTITUTE(B1978,"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64" t="str">
        <f aca="false">IF(OR(A1979="",B1979=""),"",CONCATENATE("https://matarstund.is/serfaedi?id=",LOWER(SUBSTITUTE(B1979," ","-"))))</f>
        <v/>
      </c>
    </row>
    <row r="1980" customFormat="false" ht="15" hidden="false" customHeight="true" outlineLevel="0" collapsed="false">
      <c r="A1980" s="63"/>
      <c r="B1980" s="63"/>
      <c r="C1980" s="63"/>
      <c r="D1980" s="63"/>
      <c r="E1980" s="63"/>
      <c r="F1980" s="28" t="str">
        <f aca="false">IF(C1980="","",IF(OR(C1980="1. bekkur",C1980="2. bekkur",C1980="3. bekkur",C1980="4. bekkur"),"Já",IF(C1980="Starfsmaður","Nei","Nei")))</f>
        <v/>
      </c>
      <c r="G1980" s="63"/>
      <c r="H1980" s="63"/>
      <c r="I1980" s="63"/>
      <c r="J1980" s="64" t="str">
        <f aca="false">IF(OR(A1980="",B1980=""),"",CONCATENATE("https://matarstund.is/serfaedi?id=",LOWER(SUBSTITUTE(B1980,"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64" t="str">
        <f aca="false">IF(OR(A1981="",B1981=""),"",CONCATENATE("https://matarstund.is/serfaedi?id=",LOWER(SUBSTITUTE(B1981," ","-"))))</f>
        <v/>
      </c>
    </row>
    <row r="1982" customFormat="false" ht="15" hidden="false" customHeight="true" outlineLevel="0" collapsed="false">
      <c r="A1982" s="63"/>
      <c r="B1982" s="63"/>
      <c r="C1982" s="63"/>
      <c r="D1982" s="63"/>
      <c r="E1982" s="63"/>
      <c r="F1982" s="28" t="str">
        <f aca="false">IF(C1982="","",IF(OR(C1982="1. bekkur",C1982="2. bekkur",C1982="3. bekkur",C1982="4. bekkur"),"Já",IF(C1982="Starfsmaður","Nei","Nei")))</f>
        <v/>
      </c>
      <c r="G1982" s="63"/>
      <c r="H1982" s="63"/>
      <c r="I1982" s="63"/>
      <c r="J1982" s="64" t="str">
        <f aca="false">IF(OR(A1982="",B1982=""),"",CONCATENATE("https://matarstund.is/serfaedi?id=",LOWER(SUBSTITUTE(B1982,"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64" t="str">
        <f aca="false">IF(OR(A1983="",B1983=""),"",CONCATENATE("https://matarstund.is/serfaedi?id=",LOWER(SUBSTITUTE(B1983," ","-"))))</f>
        <v/>
      </c>
    </row>
    <row r="1984" customFormat="false" ht="15" hidden="false" customHeight="true" outlineLevel="0" collapsed="false">
      <c r="A1984" s="63"/>
      <c r="B1984" s="63"/>
      <c r="C1984" s="63"/>
      <c r="D1984" s="63"/>
      <c r="E1984" s="63"/>
      <c r="F1984" s="28" t="str">
        <f aca="false">IF(C1984="","",IF(OR(C1984="1. bekkur",C1984="2. bekkur",C1984="3. bekkur",C1984="4. bekkur"),"Já",IF(C1984="Starfsmaður","Nei","Nei")))</f>
        <v/>
      </c>
      <c r="G1984" s="63"/>
      <c r="H1984" s="63"/>
      <c r="I1984" s="63"/>
      <c r="J1984" s="64" t="str">
        <f aca="false">IF(OR(A1984="",B1984=""),"",CONCATENATE("https://matarstund.is/serfaedi?id=",LOWER(SUBSTITUTE(B1984,"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64" t="str">
        <f aca="false">IF(OR(A1985="",B1985=""),"",CONCATENATE("https://matarstund.is/serfaedi?id=",LOWER(SUBSTITUTE(B1985," ","-"))))</f>
        <v/>
      </c>
    </row>
    <row r="1986" customFormat="false" ht="15" hidden="false" customHeight="true" outlineLevel="0" collapsed="false">
      <c r="A1986" s="63"/>
      <c r="B1986" s="63"/>
      <c r="C1986" s="63"/>
      <c r="D1986" s="63"/>
      <c r="E1986" s="63"/>
      <c r="F1986" s="28" t="str">
        <f aca="false">IF(C1986="","",IF(OR(C1986="1. bekkur",C1986="2. bekkur",C1986="3. bekkur",C1986="4. bekkur"),"Já",IF(C1986="Starfsmaður","Nei","Nei")))</f>
        <v/>
      </c>
      <c r="G1986" s="63"/>
      <c r="H1986" s="63"/>
      <c r="I1986" s="63"/>
      <c r="J1986" s="64" t="str">
        <f aca="false">IF(OR(A1986="",B1986=""),"",CONCATENATE("https://matarstund.is/serfaedi?id=",LOWER(SUBSTITUTE(B1986,"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64" t="str">
        <f aca="false">IF(OR(A1987="",B1987=""),"",CONCATENATE("https://matarstund.is/serfaedi?id=",LOWER(SUBSTITUTE(B1987," ","-"))))</f>
        <v/>
      </c>
    </row>
    <row r="1988" customFormat="false" ht="15" hidden="false" customHeight="true" outlineLevel="0" collapsed="false">
      <c r="A1988" s="63"/>
      <c r="B1988" s="63"/>
      <c r="C1988" s="63"/>
      <c r="D1988" s="63"/>
      <c r="E1988" s="63"/>
      <c r="F1988" s="28" t="str">
        <f aca="false">IF(C1988="","",IF(OR(C1988="1. bekkur",C1988="2. bekkur",C1988="3. bekkur",C1988="4. bekkur"),"Já",IF(C1988="Starfsmaður","Nei","Nei")))</f>
        <v/>
      </c>
      <c r="G1988" s="63"/>
      <c r="H1988" s="63"/>
      <c r="I1988" s="63"/>
      <c r="J1988" s="64" t="str">
        <f aca="false">IF(OR(A1988="",B1988=""),"",CONCATENATE("https://matarstund.is/serfaedi?id=",LOWER(SUBSTITUTE(B1988,"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64" t="str">
        <f aca="false">IF(OR(A1989="",B1989=""),"",CONCATENATE("https://matarstund.is/serfaedi?id=",LOWER(SUBSTITUTE(B1989," ","-"))))</f>
        <v/>
      </c>
    </row>
    <row r="1990" customFormat="false" ht="15" hidden="false" customHeight="true" outlineLevel="0" collapsed="false">
      <c r="A1990" s="63"/>
      <c r="B1990" s="63"/>
      <c r="C1990" s="63"/>
      <c r="D1990" s="63"/>
      <c r="E1990" s="63"/>
      <c r="F1990" s="28" t="str">
        <f aca="false">IF(C1990="","",IF(OR(C1990="1. bekkur",C1990="2. bekkur",C1990="3. bekkur",C1990="4. bekkur"),"Já",IF(C1990="Starfsmaður","Nei","Nei")))</f>
        <v/>
      </c>
      <c r="G1990" s="63"/>
      <c r="H1990" s="63"/>
      <c r="I1990" s="63"/>
      <c r="J1990" s="64" t="str">
        <f aca="false">IF(OR(A1990="",B1990=""),"",CONCATENATE("https://matarstund.is/serfaedi?id=",LOWER(SUBSTITUTE(B1990,"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64" t="str">
        <f aca="false">IF(OR(A1991="",B1991=""),"",CONCATENATE("https://matarstund.is/serfaedi?id=",LOWER(SUBSTITUTE(B1991," ","-"))))</f>
        <v/>
      </c>
    </row>
    <row r="1992" customFormat="false" ht="15" hidden="false" customHeight="true" outlineLevel="0" collapsed="false">
      <c r="A1992" s="63"/>
      <c r="B1992" s="63"/>
      <c r="C1992" s="63"/>
      <c r="D1992" s="63"/>
      <c r="E1992" s="63"/>
      <c r="F1992" s="28" t="str">
        <f aca="false">IF(C1992="","",IF(OR(C1992="1. bekkur",C1992="2. bekkur",C1992="3. bekkur",C1992="4. bekkur"),"Já",IF(C1992="Starfsmaður","Nei","Nei")))</f>
        <v/>
      </c>
      <c r="G1992" s="63"/>
      <c r="H1992" s="63"/>
      <c r="I1992" s="63"/>
      <c r="J1992" s="64" t="str">
        <f aca="false">IF(OR(A1992="",B1992=""),"",CONCATENATE("https://matarstund.is/serfaedi?id=",LOWER(SUBSTITUTE(B1992,"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64" t="str">
        <f aca="false">IF(OR(A1993="",B1993=""),"",CONCATENATE("https://matarstund.is/serfaedi?id=",LOWER(SUBSTITUTE(B1993," ","-"))))</f>
        <v/>
      </c>
    </row>
    <row r="1994" customFormat="false" ht="15" hidden="false" customHeight="true" outlineLevel="0" collapsed="false">
      <c r="A1994" s="63"/>
      <c r="B1994" s="63"/>
      <c r="C1994" s="63"/>
      <c r="D1994" s="63"/>
      <c r="E1994" s="63"/>
      <c r="F1994" s="28" t="str">
        <f aca="false">IF(C1994="","",IF(OR(C1994="1. bekkur",C1994="2. bekkur",C1994="3. bekkur",C1994="4. bekkur"),"Já",IF(C1994="Starfsmaður","Nei","Nei")))</f>
        <v/>
      </c>
      <c r="G1994" s="63"/>
      <c r="H1994" s="63"/>
      <c r="I1994" s="63"/>
      <c r="J1994" s="64" t="str">
        <f aca="false">IF(OR(A1994="",B1994=""),"",CONCATENATE("https://matarstund.is/serfaedi?id=",LOWER(SUBSTITUTE(B1994,"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64" t="str">
        <f aca="false">IF(OR(A1995="",B1995=""),"",CONCATENATE("https://matarstund.is/serfaedi?id=",LOWER(SUBSTITUTE(B1995," ","-"))))</f>
        <v/>
      </c>
    </row>
    <row r="1996" customFormat="false" ht="15" hidden="false" customHeight="true" outlineLevel="0" collapsed="false">
      <c r="A1996" s="63"/>
      <c r="B1996" s="63"/>
      <c r="C1996" s="63"/>
      <c r="D1996" s="63"/>
      <c r="E1996" s="63"/>
      <c r="F1996" s="28" t="str">
        <f aca="false">IF(C1996="","",IF(OR(C1996="1. bekkur",C1996="2. bekkur",C1996="3. bekkur",C1996="4. bekkur"),"Já",IF(C1996="Starfsmaður","Nei","Nei")))</f>
        <v/>
      </c>
      <c r="G1996" s="63"/>
      <c r="H1996" s="63"/>
      <c r="I1996" s="63"/>
      <c r="J1996" s="64" t="str">
        <f aca="false">IF(OR(A1996="",B1996=""),"",CONCATENATE("https://matarstund.is/serfaedi?id=",LOWER(SUBSTITUTE(B1996,"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64" t="str">
        <f aca="false">IF(OR(A1997="",B1997=""),"",CONCATENATE("https://matarstund.is/serfaedi?id=",LOWER(SUBSTITUTE(B1997," ","-"))))</f>
        <v/>
      </c>
    </row>
    <row r="1998" customFormat="false" ht="15" hidden="false" customHeight="true" outlineLevel="0" collapsed="false">
      <c r="A1998" s="63"/>
      <c r="B1998" s="63"/>
      <c r="C1998" s="63"/>
      <c r="D1998" s="63"/>
      <c r="E1998" s="63"/>
      <c r="F1998" s="28" t="str">
        <f aca="false">IF(C1998="","",IF(OR(C1998="1. bekkur",C1998="2. bekkur",C1998="3. bekkur",C1998="4. bekkur"),"Já",IF(C1998="Starfsmaður","Nei","Nei")))</f>
        <v/>
      </c>
      <c r="G1998" s="63"/>
      <c r="H1998" s="63"/>
      <c r="I1998" s="63"/>
      <c r="J1998" s="64" t="str">
        <f aca="false">IF(OR(A1998="",B1998=""),"",CONCATENATE("https://matarstund.is/serfaedi?id=",LOWER(SUBSTITUTE(B1998,"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64" t="str">
        <f aca="false">IF(OR(A1999="",B1999=""),"",CONCATENATE("https://matarstund.is/serfaedi?id=",LOWER(SUBSTITUTE(B1999," ","-"))))</f>
        <v/>
      </c>
    </row>
    <row r="2000" customFormat="false" ht="15" hidden="false" customHeight="true" outlineLevel="0" collapsed="false">
      <c r="A2000" s="63"/>
      <c r="B2000" s="63"/>
      <c r="C2000" s="63"/>
      <c r="D2000" s="63"/>
      <c r="E2000" s="63"/>
      <c r="F2000" s="28" t="str">
        <f aca="false">IF(C2000="","",IF(OR(C2000="1. bekkur",C2000="2. bekkur",C2000="3. bekkur",C2000="4. bekkur"),"Já",IF(C2000="Starfsmaður","Nei","Nei")))</f>
        <v/>
      </c>
      <c r="G2000" s="63"/>
      <c r="H2000" s="63"/>
      <c r="I2000" s="63"/>
      <c r="J2000" s="64" t="str">
        <f aca="false">IF(OR(A2000="",B2000=""),"",CONCATENATE("https://matarstund.is/serfaedi?id=",LOWER(SUBSTITUTE(B2000,"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64" t="str">
        <f aca="false">IF(OR(A2001="",B2001=""),"",CONCATENATE("https://matarstund.is/serfaedi?id=",LOWER(SUBSTITUTE(B2001," ","-"))))</f>
        <v/>
      </c>
    </row>
    <row r="2002" customFormat="false" ht="15" hidden="false" customHeight="true" outlineLevel="0" collapsed="false">
      <c r="A2002" s="63"/>
      <c r="B2002" s="63"/>
      <c r="C2002" s="63"/>
      <c r="D2002" s="63"/>
      <c r="E2002" s="63"/>
      <c r="F2002" s="28" t="str">
        <f aca="false">IF(C2002="","",IF(OR(C2002="1. bekkur",C2002="2. bekkur",C2002="3. bekkur",C2002="4. bekkur"),"Já",IF(C2002="Starfsmaður","Nei","Nei")))</f>
        <v/>
      </c>
      <c r="G2002" s="63"/>
      <c r="H2002" s="63"/>
      <c r="I2002" s="63"/>
      <c r="J2002" s="64" t="str">
        <f aca="false">IF(OR(A2002="",B2002=""),"",CONCATENATE("https://matarstund.is/serfaedi?id=",LOWER(SUBSTITUTE(B2002,"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64" t="str">
        <f aca="false">IF(OR(A2003="",B2003=""),"",CONCATENATE("https://matarstund.is/serfaedi?id=",LOWER(SUBSTITUTE(B2003," ","-"))))</f>
        <v/>
      </c>
    </row>
    <row r="2004" customFormat="false" ht="15" hidden="false" customHeight="true" outlineLevel="0" collapsed="false">
      <c r="A2004" s="63"/>
      <c r="B2004" s="63"/>
      <c r="C2004" s="63"/>
      <c r="D2004" s="63"/>
      <c r="E2004" s="63"/>
      <c r="F2004" s="28" t="str">
        <f aca="false">IF(C2004="","",IF(OR(C2004="1. bekkur",C2004="2. bekkur",C2004="3. bekkur",C2004="4. bekkur"),"Já",IF(C2004="Starfsmaður","Nei","Nei")))</f>
        <v/>
      </c>
      <c r="G2004" s="63"/>
      <c r="H2004" s="63"/>
      <c r="I2004" s="63"/>
      <c r="J2004" s="64" t="str">
        <f aca="false">IF(OR(A2004="",B2004=""),"",CONCATENATE("https://matarstund.is/serfaedi?id=",LOWER(SUBSTITUTE(B2004,"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64" t="str">
        <f aca="false">IF(OR(A2005="",B2005=""),"",CONCATENATE("https://matarstund.is/serfaedi?id=",LOWER(SUBSTITUTE(B2005," ","-"))))</f>
        <v/>
      </c>
    </row>
    <row r="2006" customFormat="false" ht="15" hidden="false" customHeight="true" outlineLevel="0" collapsed="false">
      <c r="A2006" s="63"/>
      <c r="B2006" s="63"/>
      <c r="C2006" s="63"/>
      <c r="D2006" s="63"/>
      <c r="E2006" s="63"/>
      <c r="F2006" s="28" t="str">
        <f aca="false">IF(C2006="","",IF(OR(C2006="1. bekkur",C2006="2. bekkur",C2006="3. bekkur",C2006="4. bekkur"),"Já",IF(C2006="Starfsmaður","Nei","Nei")))</f>
        <v/>
      </c>
      <c r="G2006" s="63"/>
      <c r="H2006" s="63"/>
      <c r="I2006" s="63"/>
      <c r="J2006" s="64" t="str">
        <f aca="false">IF(OR(A2006="",B2006=""),"",CONCATENATE("https://matarstund.is/serfaedi?id=",LOWER(SUBSTITUTE(B2006,"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64" t="str">
        <f aca="false">IF(OR(A2007="",B2007=""),"",CONCATENATE("https://matarstund.is/serfaedi?id=",LOWER(SUBSTITUTE(B2007," ","-"))))</f>
        <v/>
      </c>
    </row>
    <row r="2008" customFormat="false" ht="15" hidden="false" customHeight="true" outlineLevel="0" collapsed="false">
      <c r="A2008" s="63"/>
      <c r="B2008" s="63"/>
      <c r="C2008" s="63"/>
      <c r="D2008" s="63"/>
      <c r="E2008" s="63"/>
      <c r="F2008" s="28" t="str">
        <f aca="false">IF(C2008="","",IF(OR(C2008="1. bekkur",C2008="2. bekkur",C2008="3. bekkur",C2008="4. bekkur"),"Já",IF(C2008="Starfsmaður","Nei","Nei")))</f>
        <v/>
      </c>
      <c r="G2008" s="63"/>
      <c r="H2008" s="63"/>
      <c r="I2008" s="63"/>
      <c r="J2008" s="64" t="str">
        <f aca="false">IF(OR(A2008="",B2008=""),"",CONCATENATE("https://matarstund.is/serfaedi?id=",LOWER(SUBSTITUTE(B2008,"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64" t="str">
        <f aca="false">IF(OR(A2009="",B2009=""),"",CONCATENATE("https://matarstund.is/serfaedi?id=",LOWER(SUBSTITUTE(B2009," ","-"))))</f>
        <v/>
      </c>
    </row>
    <row r="2010" customFormat="false" ht="15" hidden="false" customHeight="true" outlineLevel="0" collapsed="false">
      <c r="A2010" s="63"/>
      <c r="B2010" s="63"/>
      <c r="C2010" s="63"/>
      <c r="D2010" s="63"/>
      <c r="E2010" s="63"/>
      <c r="F2010" s="28" t="str">
        <f aca="false">IF(C2010="","",IF(OR(C2010="1. bekkur",C2010="2. bekkur",C2010="3. bekkur",C2010="4. bekkur"),"Já",IF(C2010="Starfsmaður","Nei","Nei")))</f>
        <v/>
      </c>
      <c r="G2010" s="63"/>
      <c r="H2010" s="63"/>
      <c r="I2010" s="63"/>
      <c r="J2010" s="64" t="str">
        <f aca="false">IF(OR(A2010="",B2010=""),"",CONCATENATE("https://matarstund.is/serfaedi?id=",LOWER(SUBSTITUTE(B2010,"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64" t="str">
        <f aca="false">IF(OR(A2011="",B2011=""),"",CONCATENATE("https://matarstund.is/serfaedi?id=",LOWER(SUBSTITUTE(B2011," ","-"))))</f>
        <v/>
      </c>
    </row>
    <row r="2012" customFormat="false" ht="15" hidden="false" customHeight="true" outlineLevel="0" collapsed="false">
      <c r="A2012" s="63"/>
      <c r="B2012" s="63"/>
      <c r="C2012" s="63"/>
      <c r="D2012" s="63"/>
      <c r="E2012" s="63"/>
      <c r="F2012" s="28" t="str">
        <f aca="false">IF(C2012="","",IF(OR(C2012="1. bekkur",C2012="2. bekkur",C2012="3. bekkur",C2012="4. bekkur"),"Já",IF(C2012="Starfsmaður","Nei","Nei")))</f>
        <v/>
      </c>
      <c r="G2012" s="63"/>
      <c r="H2012" s="63"/>
      <c r="I2012" s="63"/>
      <c r="J2012" s="64" t="str">
        <f aca="false">IF(OR(A2012="",B2012=""),"",CONCATENATE("https://matarstund.is/serfaedi?id=",LOWER(SUBSTITUTE(B2012,"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64" t="str">
        <f aca="false">IF(OR(A2013="",B2013=""),"",CONCATENATE("https://matarstund.is/serfaedi?id=",LOWER(SUBSTITUTE(B2013," ","-"))))</f>
        <v/>
      </c>
    </row>
    <row r="2014" customFormat="false" ht="15" hidden="false" customHeight="true" outlineLevel="0" collapsed="false">
      <c r="A2014" s="63"/>
      <c r="B2014" s="63"/>
      <c r="C2014" s="63"/>
      <c r="D2014" s="63"/>
      <c r="E2014" s="63"/>
      <c r="F2014" s="28" t="str">
        <f aca="false">IF(C2014="","",IF(OR(C2014="1. bekkur",C2014="2. bekkur",C2014="3. bekkur",C2014="4. bekkur"),"Já",IF(C2014="Starfsmaður","Nei","Nei")))</f>
        <v/>
      </c>
      <c r="G2014" s="63"/>
      <c r="H2014" s="63"/>
      <c r="I2014" s="63"/>
      <c r="J2014" s="64" t="str">
        <f aca="false">IF(OR(A2014="",B2014=""),"",CONCATENATE("https://matarstund.is/serfaedi?id=",LOWER(SUBSTITUTE(B2014,"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64" t="str">
        <f aca="false">IF(OR(A2015="",B2015=""),"",CONCATENATE("https://matarstund.is/serfaedi?id=",LOWER(SUBSTITUTE(B2015," ","-"))))</f>
        <v/>
      </c>
    </row>
    <row r="2016" customFormat="false" ht="15" hidden="false" customHeight="true" outlineLevel="0" collapsed="false">
      <c r="A2016" s="63"/>
      <c r="B2016" s="63"/>
      <c r="C2016" s="63"/>
      <c r="D2016" s="63"/>
      <c r="E2016" s="63"/>
      <c r="F2016" s="28" t="str">
        <f aca="false">IF(C2016="","",IF(OR(C2016="1. bekkur",C2016="2. bekkur",C2016="3. bekkur",C2016="4. bekkur"),"Já",IF(C2016="Starfsmaður","Nei","Nei")))</f>
        <v/>
      </c>
      <c r="G2016" s="63"/>
      <c r="H2016" s="63"/>
      <c r="I2016" s="63"/>
      <c r="J2016" s="64" t="str">
        <f aca="false">IF(OR(A2016="",B2016=""),"",CONCATENATE("https://matarstund.is/serfaedi?id=",LOWER(SUBSTITUTE(B2016,"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64" t="str">
        <f aca="false">IF(OR(A2017="",B2017=""),"",CONCATENATE("https://matarstund.is/serfaedi?id=",LOWER(SUBSTITUTE(B2017," ","-"))))</f>
        <v/>
      </c>
    </row>
    <row r="2018" customFormat="false" ht="15" hidden="false" customHeight="true" outlineLevel="0" collapsed="false">
      <c r="A2018" s="63"/>
      <c r="B2018" s="63"/>
      <c r="C2018" s="63"/>
      <c r="D2018" s="63"/>
      <c r="E2018" s="63"/>
      <c r="F2018" s="28" t="str">
        <f aca="false">IF(C2018="","",IF(OR(C2018="1. bekkur",C2018="2. bekkur",C2018="3. bekkur",C2018="4. bekkur"),"Já",IF(C2018="Starfsmaður","Nei","Nei")))</f>
        <v/>
      </c>
      <c r="G2018" s="63"/>
      <c r="H2018" s="63"/>
      <c r="I2018" s="63"/>
      <c r="J2018" s="64" t="str">
        <f aca="false">IF(OR(A2018="",B2018=""),"",CONCATENATE("https://matarstund.is/serfaedi?id=",LOWER(SUBSTITUTE(B2018,"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64" t="str">
        <f aca="false">IF(OR(A2019="",B2019=""),"",CONCATENATE("https://matarstund.is/serfaedi?id=",LOWER(SUBSTITUTE(B2019," ","-"))))</f>
        <v/>
      </c>
    </row>
    <row r="2020" customFormat="false" ht="15" hidden="false" customHeight="true" outlineLevel="0" collapsed="false">
      <c r="A2020" s="63"/>
      <c r="B2020" s="63"/>
      <c r="C2020" s="63"/>
      <c r="D2020" s="63"/>
      <c r="E2020" s="63"/>
      <c r="F2020" s="28" t="str">
        <f aca="false">IF(C2020="","",IF(OR(C2020="1. bekkur",C2020="2. bekkur",C2020="3. bekkur",C2020="4. bekkur"),"Já",IF(C2020="Starfsmaður","Nei","Nei")))</f>
        <v/>
      </c>
      <c r="G2020" s="63"/>
      <c r="H2020" s="63"/>
      <c r="I2020" s="63"/>
      <c r="J2020" s="64" t="str">
        <f aca="false">IF(OR(A2020="",B2020=""),"",CONCATENATE("https://matarstund.is/serfaedi?id=",LOWER(SUBSTITUTE(B2020,"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64" t="str">
        <f aca="false">IF(OR(A2021="",B2021=""),"",CONCATENATE("https://matarstund.is/serfaedi?id=",LOWER(SUBSTITUTE(B2021," ","-"))))</f>
        <v/>
      </c>
    </row>
    <row r="2022" customFormat="false" ht="15" hidden="false" customHeight="true" outlineLevel="0" collapsed="false">
      <c r="A2022" s="63"/>
      <c r="B2022" s="63"/>
      <c r="C2022" s="63"/>
      <c r="D2022" s="63"/>
      <c r="E2022" s="63"/>
      <c r="F2022" s="28" t="str">
        <f aca="false">IF(C2022="","",IF(OR(C2022="1. bekkur",C2022="2. bekkur",C2022="3. bekkur",C2022="4. bekkur"),"Já",IF(C2022="Starfsmaður","Nei","Nei")))</f>
        <v/>
      </c>
      <c r="G2022" s="63"/>
      <c r="H2022" s="63"/>
      <c r="I2022" s="63"/>
      <c r="J2022" s="64" t="str">
        <f aca="false">IF(OR(A2022="",B2022=""),"",CONCATENATE("https://matarstund.is/serfaedi?id=",LOWER(SUBSTITUTE(B2022,"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64" t="str">
        <f aca="false">IF(OR(A2023="",B2023=""),"",CONCATENATE("https://matarstund.is/serfaedi?id=",LOWER(SUBSTITUTE(B2023," ","-"))))</f>
        <v/>
      </c>
    </row>
    <row r="2024" customFormat="false" ht="15" hidden="false" customHeight="true" outlineLevel="0" collapsed="false">
      <c r="A2024" s="63"/>
      <c r="B2024" s="63"/>
      <c r="C2024" s="63"/>
      <c r="D2024" s="63"/>
      <c r="E2024" s="63"/>
      <c r="F2024" s="28" t="str">
        <f aca="false">IF(C2024="","",IF(OR(C2024="1. bekkur",C2024="2. bekkur",C2024="3. bekkur",C2024="4. bekkur"),"Já",IF(C2024="Starfsmaður","Nei","Nei")))</f>
        <v/>
      </c>
      <c r="G2024" s="63"/>
      <c r="H2024" s="63"/>
      <c r="I2024" s="63"/>
      <c r="J2024" s="64" t="str">
        <f aca="false">IF(OR(A2024="",B2024=""),"",CONCATENATE("https://matarstund.is/serfaedi?id=",LOWER(SUBSTITUTE(B2024,"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64" t="str">
        <f aca="false">IF(OR(A2025="",B2025=""),"",CONCATENATE("https://matarstund.is/serfaedi?id=",LOWER(SUBSTITUTE(B2025," ","-"))))</f>
        <v/>
      </c>
    </row>
    <row r="2026" customFormat="false" ht="15" hidden="false" customHeight="true" outlineLevel="0" collapsed="false">
      <c r="A2026" s="63"/>
      <c r="B2026" s="63"/>
      <c r="C2026" s="63"/>
      <c r="D2026" s="63"/>
      <c r="E2026" s="63"/>
      <c r="F2026" s="28" t="str">
        <f aca="false">IF(C2026="","",IF(OR(C2026="1. bekkur",C2026="2. bekkur",C2026="3. bekkur",C2026="4. bekkur"),"Já",IF(C2026="Starfsmaður","Nei","Nei")))</f>
        <v/>
      </c>
      <c r="G2026" s="63"/>
      <c r="H2026" s="63"/>
      <c r="I2026" s="63"/>
      <c r="J2026" s="64" t="str">
        <f aca="false">IF(OR(A2026="",B2026=""),"",CONCATENATE("https://matarstund.is/serfaedi?id=",LOWER(SUBSTITUTE(B2026,"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64" t="str">
        <f aca="false">IF(OR(A2027="",B2027=""),"",CONCATENATE("https://matarstund.is/serfaedi?id=",LOWER(SUBSTITUTE(B2027," ","-"))))</f>
        <v/>
      </c>
    </row>
    <row r="2028" customFormat="false" ht="15" hidden="false" customHeight="true" outlineLevel="0" collapsed="false">
      <c r="A2028" s="63"/>
      <c r="B2028" s="63"/>
      <c r="C2028" s="63"/>
      <c r="D2028" s="63"/>
      <c r="E2028" s="63"/>
      <c r="F2028" s="28" t="str">
        <f aca="false">IF(C2028="","",IF(OR(C2028="1. bekkur",C2028="2. bekkur",C2028="3. bekkur",C2028="4. bekkur"),"Já",IF(C2028="Starfsmaður","Nei","Nei")))</f>
        <v/>
      </c>
      <c r="G2028" s="63"/>
      <c r="H2028" s="63"/>
      <c r="I2028" s="63"/>
      <c r="J2028" s="64" t="str">
        <f aca="false">IF(OR(A2028="",B2028=""),"",CONCATENATE("https://matarstund.is/serfaedi?id=",LOWER(SUBSTITUTE(B2028,"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64" t="str">
        <f aca="false">IF(OR(A2029="",B2029=""),"",CONCATENATE("https://matarstund.is/serfaedi?id=",LOWER(SUBSTITUTE(B2029," ","-"))))</f>
        <v/>
      </c>
    </row>
    <row r="2030" customFormat="false" ht="15" hidden="false" customHeight="true" outlineLevel="0" collapsed="false">
      <c r="A2030" s="63"/>
      <c r="B2030" s="63"/>
      <c r="C2030" s="63"/>
      <c r="D2030" s="63"/>
      <c r="E2030" s="63"/>
      <c r="F2030" s="28" t="str">
        <f aca="false">IF(C2030="","",IF(OR(C2030="1. bekkur",C2030="2. bekkur",C2030="3. bekkur",C2030="4. bekkur"),"Já",IF(C2030="Starfsmaður","Nei","Nei")))</f>
        <v/>
      </c>
      <c r="G2030" s="63"/>
      <c r="H2030" s="63"/>
      <c r="I2030" s="63"/>
      <c r="J2030" s="64" t="str">
        <f aca="false">IF(OR(A2030="",B2030=""),"",CONCATENATE("https://matarstund.is/serfaedi?id=",LOWER(SUBSTITUTE(B2030,"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64" t="str">
        <f aca="false">IF(OR(A2031="",B2031=""),"",CONCATENATE("https://matarstund.is/serfaedi?id=",LOWER(SUBSTITUTE(B2031," ","-"))))</f>
        <v/>
      </c>
    </row>
    <row r="2032" customFormat="false" ht="15" hidden="false" customHeight="true" outlineLevel="0" collapsed="false">
      <c r="A2032" s="63"/>
      <c r="B2032" s="63"/>
      <c r="C2032" s="63"/>
      <c r="D2032" s="63"/>
      <c r="E2032" s="63"/>
      <c r="F2032" s="28" t="str">
        <f aca="false">IF(C2032="","",IF(OR(C2032="1. bekkur",C2032="2. bekkur",C2032="3. bekkur",C2032="4. bekkur"),"Já",IF(C2032="Starfsmaður","Nei","Nei")))</f>
        <v/>
      </c>
      <c r="G2032" s="63"/>
      <c r="H2032" s="63"/>
      <c r="I2032" s="63"/>
      <c r="J2032" s="64" t="str">
        <f aca="false">IF(OR(A2032="",B2032=""),"",CONCATENATE("https://matarstund.is/serfaedi?id=",LOWER(SUBSTITUTE(B2032,"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64" t="str">
        <f aca="false">IF(OR(A2033="",B2033=""),"",CONCATENATE("https://matarstund.is/serfaedi?id=",LOWER(SUBSTITUTE(B2033," ","-"))))</f>
        <v/>
      </c>
    </row>
    <row r="2034" customFormat="false" ht="15" hidden="false" customHeight="true" outlineLevel="0" collapsed="false">
      <c r="A2034" s="63"/>
      <c r="B2034" s="63"/>
      <c r="C2034" s="63"/>
      <c r="D2034" s="63"/>
      <c r="E2034" s="63"/>
      <c r="F2034" s="28" t="str">
        <f aca="false">IF(C2034="","",IF(OR(C2034="1. bekkur",C2034="2. bekkur",C2034="3. bekkur",C2034="4. bekkur"),"Já",IF(C2034="Starfsmaður","Nei","Nei")))</f>
        <v/>
      </c>
      <c r="G2034" s="63"/>
      <c r="H2034" s="63"/>
      <c r="I2034" s="63"/>
      <c r="J2034" s="64" t="str">
        <f aca="false">IF(OR(A2034="",B2034=""),"",CONCATENATE("https://matarstund.is/serfaedi?id=",LOWER(SUBSTITUTE(B2034,"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64" t="str">
        <f aca="false">IF(OR(A2035="",B2035=""),"",CONCATENATE("https://matarstund.is/serfaedi?id=",LOWER(SUBSTITUTE(B2035," ","-"))))</f>
        <v/>
      </c>
    </row>
    <row r="2036" customFormat="false" ht="15" hidden="false" customHeight="true" outlineLevel="0" collapsed="false">
      <c r="A2036" s="63"/>
      <c r="B2036" s="63"/>
      <c r="C2036" s="63"/>
      <c r="D2036" s="63"/>
      <c r="E2036" s="63"/>
      <c r="F2036" s="28" t="str">
        <f aca="false">IF(C2036="","",IF(OR(C2036="1. bekkur",C2036="2. bekkur",C2036="3. bekkur",C2036="4. bekkur"),"Já",IF(C2036="Starfsmaður","Nei","Nei")))</f>
        <v/>
      </c>
      <c r="G2036" s="63"/>
      <c r="H2036" s="63"/>
      <c r="I2036" s="63"/>
      <c r="J2036" s="64" t="str">
        <f aca="false">IF(OR(A2036="",B2036=""),"",CONCATENATE("https://matarstund.is/serfaedi?id=",LOWER(SUBSTITUTE(B2036,"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64" t="str">
        <f aca="false">IF(OR(A2037="",B2037=""),"",CONCATENATE("https://matarstund.is/serfaedi?id=",LOWER(SUBSTITUTE(B2037," ","-"))))</f>
        <v/>
      </c>
    </row>
    <row r="2038" customFormat="false" ht="15" hidden="false" customHeight="true" outlineLevel="0" collapsed="false">
      <c r="A2038" s="63"/>
      <c r="B2038" s="63"/>
      <c r="C2038" s="63"/>
      <c r="D2038" s="63"/>
      <c r="E2038" s="63"/>
      <c r="F2038" s="28" t="str">
        <f aca="false">IF(C2038="","",IF(OR(C2038="1. bekkur",C2038="2. bekkur",C2038="3. bekkur",C2038="4. bekkur"),"Já",IF(C2038="Starfsmaður","Nei","Nei")))</f>
        <v/>
      </c>
      <c r="G2038" s="63"/>
      <c r="H2038" s="63"/>
      <c r="I2038" s="63"/>
      <c r="J2038" s="64" t="str">
        <f aca="false">IF(OR(A2038="",B2038=""),"",CONCATENATE("https://matarstund.is/serfaedi?id=",LOWER(SUBSTITUTE(B2038,"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64" t="str">
        <f aca="false">IF(OR(A2039="",B2039=""),"",CONCATENATE("https://matarstund.is/serfaedi?id=",LOWER(SUBSTITUTE(B2039," ","-"))))</f>
        <v/>
      </c>
    </row>
    <row r="2040" customFormat="false" ht="15" hidden="false" customHeight="true" outlineLevel="0" collapsed="false">
      <c r="A2040" s="63"/>
      <c r="B2040" s="63"/>
      <c r="C2040" s="63"/>
      <c r="D2040" s="63"/>
      <c r="E2040" s="63"/>
      <c r="F2040" s="28" t="str">
        <f aca="false">IF(C2040="","",IF(OR(C2040="1. bekkur",C2040="2. bekkur",C2040="3. bekkur",C2040="4. bekkur"),"Já",IF(C2040="Starfsmaður","Nei","Nei")))</f>
        <v/>
      </c>
      <c r="G2040" s="63"/>
      <c r="H2040" s="63"/>
      <c r="I2040" s="63"/>
      <c r="J2040" s="64" t="str">
        <f aca="false">IF(OR(A2040="",B2040=""),"",CONCATENATE("https://matarstund.is/serfaedi?id=",LOWER(SUBSTITUTE(B2040,"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64" t="str">
        <f aca="false">IF(OR(A2041="",B2041=""),"",CONCATENATE("https://matarstund.is/serfaedi?id=",LOWER(SUBSTITUTE(B2041," ","-"))))</f>
        <v/>
      </c>
    </row>
    <row r="2042" customFormat="false" ht="15" hidden="false" customHeight="true" outlineLevel="0" collapsed="false">
      <c r="A2042" s="63"/>
      <c r="B2042" s="63"/>
      <c r="C2042" s="63"/>
      <c r="D2042" s="63"/>
      <c r="E2042" s="63"/>
      <c r="F2042" s="28" t="str">
        <f aca="false">IF(C2042="","",IF(OR(C2042="1. bekkur",C2042="2. bekkur",C2042="3. bekkur",C2042="4. bekkur"),"Já",IF(C2042="Starfsmaður","Nei","Nei")))</f>
        <v/>
      </c>
      <c r="G2042" s="63"/>
      <c r="H2042" s="63"/>
      <c r="I2042" s="63"/>
      <c r="J2042" s="64" t="str">
        <f aca="false">IF(OR(A2042="",B2042=""),"",CONCATENATE("https://matarstund.is/serfaedi?id=",LOWER(SUBSTITUTE(B2042,"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64" t="str">
        <f aca="false">IF(OR(A2043="",B2043=""),"",CONCATENATE("https://matarstund.is/serfaedi?id=",LOWER(SUBSTITUTE(B2043," ","-"))))</f>
        <v/>
      </c>
    </row>
    <row r="2044" customFormat="false" ht="15" hidden="false" customHeight="true" outlineLevel="0" collapsed="false">
      <c r="A2044" s="63"/>
      <c r="B2044" s="63"/>
      <c r="C2044" s="63"/>
      <c r="D2044" s="63"/>
      <c r="E2044" s="63"/>
      <c r="F2044" s="28" t="str">
        <f aca="false">IF(C2044="","",IF(OR(C2044="1. bekkur",C2044="2. bekkur",C2044="3. bekkur",C2044="4. bekkur"),"Já",IF(C2044="Starfsmaður","Nei","Nei")))</f>
        <v/>
      </c>
      <c r="G2044" s="63"/>
      <c r="H2044" s="63"/>
      <c r="I2044" s="63"/>
      <c r="J2044" s="64" t="str">
        <f aca="false">IF(OR(A2044="",B2044=""),"",CONCATENATE("https://matarstund.is/serfaedi?id=",LOWER(SUBSTITUTE(B2044,"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64" t="str">
        <f aca="false">IF(OR(A2045="",B2045=""),"",CONCATENATE("https://matarstund.is/serfaedi?id=",LOWER(SUBSTITUTE(B2045," ","-"))))</f>
        <v/>
      </c>
    </row>
    <row r="2046" customFormat="false" ht="15" hidden="false" customHeight="true" outlineLevel="0" collapsed="false">
      <c r="A2046" s="63"/>
      <c r="B2046" s="63"/>
      <c r="C2046" s="63"/>
      <c r="D2046" s="63"/>
      <c r="E2046" s="63"/>
      <c r="F2046" s="28" t="str">
        <f aca="false">IF(C2046="","",IF(OR(C2046="1. bekkur",C2046="2. bekkur",C2046="3. bekkur",C2046="4. bekkur"),"Já",IF(C2046="Starfsmaður","Nei","Nei")))</f>
        <v/>
      </c>
      <c r="G2046" s="63"/>
      <c r="H2046" s="63"/>
      <c r="I2046" s="63"/>
      <c r="J2046" s="64" t="str">
        <f aca="false">IF(OR(A2046="",B2046=""),"",CONCATENATE("https://matarstund.is/serfaedi?id=",LOWER(SUBSTITUTE(B2046,"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64" t="str">
        <f aca="false">IF(OR(A2047="",B2047=""),"",CONCATENATE("https://matarstund.is/serfaedi?id=",LOWER(SUBSTITUTE(B2047," ","-"))))</f>
        <v/>
      </c>
    </row>
    <row r="2048" customFormat="false" ht="15" hidden="false" customHeight="true" outlineLevel="0" collapsed="false">
      <c r="A2048" s="63"/>
      <c r="B2048" s="63"/>
      <c r="C2048" s="63"/>
      <c r="D2048" s="63"/>
      <c r="E2048" s="63"/>
      <c r="F2048" s="28" t="str">
        <f aca="false">IF(C2048="","",IF(OR(C2048="1. bekkur",C2048="2. bekkur",C2048="3. bekkur",C2048="4. bekkur"),"Já",IF(C2048="Starfsmaður","Nei","Nei")))</f>
        <v/>
      </c>
      <c r="G2048" s="63"/>
      <c r="H2048" s="63"/>
      <c r="I2048" s="63"/>
      <c r="J2048" s="64" t="str">
        <f aca="false">IF(OR(A2048="",B2048=""),"",CONCATENATE("https://matarstund.is/serfaedi?id=",LOWER(SUBSTITUTE(B2048,"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64" t="str">
        <f aca="false">IF(OR(A2049="",B2049=""),"",CONCATENATE("https://matarstund.is/serfaedi?id=",LOWER(SUBSTITUTE(B2049," ","-"))))</f>
        <v/>
      </c>
    </row>
    <row r="2050" customFormat="false" ht="15" hidden="false" customHeight="true" outlineLevel="0" collapsed="false">
      <c r="A2050" s="63"/>
      <c r="B2050" s="63"/>
      <c r="C2050" s="63"/>
      <c r="D2050" s="63"/>
      <c r="E2050" s="63"/>
      <c r="F2050" s="28" t="str">
        <f aca="false">IF(C2050="","",IF(OR(C2050="1. bekkur",C2050="2. bekkur",C2050="3. bekkur",C2050="4. bekkur"),"Já",IF(C2050="Starfsmaður","Nei","Nei")))</f>
        <v/>
      </c>
      <c r="G2050" s="63"/>
      <c r="H2050" s="63"/>
      <c r="I2050" s="63"/>
      <c r="J2050" s="64" t="str">
        <f aca="false">IF(OR(A2050="",B2050=""),"",CONCATENATE("https://matarstund.is/serfaedi?id=",LOWER(SUBSTITUTE(B2050,"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64" t="str">
        <f aca="false">IF(OR(A2051="",B2051=""),"",CONCATENATE("https://matarstund.is/serfaedi?id=",LOWER(SUBSTITUTE(B2051," ","-"))))</f>
        <v/>
      </c>
    </row>
    <row r="2052" customFormat="false" ht="15" hidden="false" customHeight="true" outlineLevel="0" collapsed="false">
      <c r="A2052" s="63"/>
      <c r="B2052" s="63"/>
      <c r="C2052" s="63"/>
      <c r="D2052" s="63"/>
      <c r="E2052" s="63"/>
      <c r="F2052" s="28" t="str">
        <f aca="false">IF(C2052="","",IF(OR(C2052="1. bekkur",C2052="2. bekkur",C2052="3. bekkur",C2052="4. bekkur"),"Já",IF(C2052="Starfsmaður","Nei","Nei")))</f>
        <v/>
      </c>
      <c r="G2052" s="63"/>
      <c r="H2052" s="63"/>
      <c r="I2052" s="63"/>
      <c r="J2052" s="64" t="str">
        <f aca="false">IF(OR(A2052="",B2052=""),"",CONCATENATE("https://matarstund.is/serfaedi?id=",LOWER(SUBSTITUTE(B2052,"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64" t="str">
        <f aca="false">IF(OR(A2053="",B2053=""),"",CONCATENATE("https://matarstund.is/serfaedi?id=",LOWER(SUBSTITUTE(B2053," ","-"))))</f>
        <v/>
      </c>
    </row>
    <row r="2054" customFormat="false" ht="15" hidden="false" customHeight="true" outlineLevel="0" collapsed="false">
      <c r="A2054" s="63"/>
      <c r="B2054" s="63"/>
      <c r="C2054" s="63"/>
      <c r="D2054" s="63"/>
      <c r="E2054" s="63"/>
      <c r="F2054" s="28" t="str">
        <f aca="false">IF(C2054="","",IF(OR(C2054="1. bekkur",C2054="2. bekkur",C2054="3. bekkur",C2054="4. bekkur"),"Já",IF(C2054="Starfsmaður","Nei","Nei")))</f>
        <v/>
      </c>
      <c r="G2054" s="63"/>
      <c r="H2054" s="63"/>
      <c r="I2054" s="63"/>
      <c r="J2054" s="64" t="str">
        <f aca="false">IF(OR(A2054="",B2054=""),"",CONCATENATE("https://matarstund.is/serfaedi?id=",LOWER(SUBSTITUTE(B2054,"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64" t="str">
        <f aca="false">IF(OR(A2055="",B2055=""),"",CONCATENATE("https://matarstund.is/serfaedi?id=",LOWER(SUBSTITUTE(B2055," ","-"))))</f>
        <v/>
      </c>
    </row>
    <row r="2056" customFormat="false" ht="15" hidden="false" customHeight="true" outlineLevel="0" collapsed="false">
      <c r="A2056" s="63"/>
      <c r="B2056" s="63"/>
      <c r="C2056" s="63"/>
      <c r="D2056" s="63"/>
      <c r="E2056" s="63"/>
      <c r="F2056" s="28" t="str">
        <f aca="false">IF(C2056="","",IF(OR(C2056="1. bekkur",C2056="2. bekkur",C2056="3. bekkur",C2056="4. bekkur"),"Já",IF(C2056="Starfsmaður","Nei","Nei")))</f>
        <v/>
      </c>
      <c r="G2056" s="63"/>
      <c r="H2056" s="63"/>
      <c r="I2056" s="63"/>
      <c r="J2056" s="64" t="str">
        <f aca="false">IF(OR(A2056="",B2056=""),"",CONCATENATE("https://matarstund.is/serfaedi?id=",LOWER(SUBSTITUTE(B2056,"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64" t="str">
        <f aca="false">IF(OR(A2057="",B2057=""),"",CONCATENATE("https://matarstund.is/serfaedi?id=",LOWER(SUBSTITUTE(B2057," ","-"))))</f>
        <v/>
      </c>
    </row>
    <row r="2058" customFormat="false" ht="15" hidden="false" customHeight="true" outlineLevel="0" collapsed="false">
      <c r="A2058" s="63"/>
      <c r="B2058" s="63"/>
      <c r="C2058" s="63"/>
      <c r="D2058" s="63"/>
      <c r="E2058" s="63"/>
      <c r="F2058" s="28" t="str">
        <f aca="false">IF(C2058="","",IF(OR(C2058="1. bekkur",C2058="2. bekkur",C2058="3. bekkur",C2058="4. bekkur"),"Já",IF(C2058="Starfsmaður","Nei","Nei")))</f>
        <v/>
      </c>
      <c r="G2058" s="63"/>
      <c r="H2058" s="63"/>
      <c r="I2058" s="63"/>
      <c r="J2058" s="64" t="str">
        <f aca="false">IF(OR(A2058="",B2058=""),"",CONCATENATE("https://matarstund.is/serfaedi?id=",LOWER(SUBSTITUTE(B2058,"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64" t="str">
        <f aca="false">IF(OR(A2059="",B2059=""),"",CONCATENATE("https://matarstund.is/serfaedi?id=",LOWER(SUBSTITUTE(B2059," ","-"))))</f>
        <v/>
      </c>
    </row>
    <row r="2060" customFormat="false" ht="15" hidden="false" customHeight="true" outlineLevel="0" collapsed="false">
      <c r="A2060" s="63"/>
      <c r="B2060" s="63"/>
      <c r="C2060" s="63"/>
      <c r="D2060" s="63"/>
      <c r="E2060" s="63"/>
      <c r="F2060" s="28" t="str">
        <f aca="false">IF(C2060="","",IF(OR(C2060="1. bekkur",C2060="2. bekkur",C2060="3. bekkur",C2060="4. bekkur"),"Já",IF(C2060="Starfsmaður","Nei","Nei")))</f>
        <v/>
      </c>
      <c r="G2060" s="63"/>
      <c r="H2060" s="63"/>
      <c r="I2060" s="63"/>
      <c r="J2060" s="64" t="str">
        <f aca="false">IF(OR(A2060="",B2060=""),"",CONCATENATE("https://matarstund.is/serfaedi?id=",LOWER(SUBSTITUTE(B2060,"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64" t="str">
        <f aca="false">IF(OR(A2061="",B2061=""),"",CONCATENATE("https://matarstund.is/serfaedi?id=",LOWER(SUBSTITUTE(B2061," ","-"))))</f>
        <v/>
      </c>
    </row>
    <row r="2062" customFormat="false" ht="15" hidden="false" customHeight="true" outlineLevel="0" collapsed="false">
      <c r="A2062" s="63"/>
      <c r="B2062" s="63"/>
      <c r="C2062" s="63"/>
      <c r="D2062" s="63"/>
      <c r="E2062" s="63"/>
      <c r="F2062" s="28" t="str">
        <f aca="false">IF(C2062="","",IF(OR(C2062="1. bekkur",C2062="2. bekkur",C2062="3. bekkur",C2062="4. bekkur"),"Já",IF(C2062="Starfsmaður","Nei","Nei")))</f>
        <v/>
      </c>
      <c r="G2062" s="63"/>
      <c r="H2062" s="63"/>
      <c r="I2062" s="63"/>
      <c r="J2062" s="64" t="str">
        <f aca="false">IF(OR(A2062="",B2062=""),"",CONCATENATE("https://matarstund.is/serfaedi?id=",LOWER(SUBSTITUTE(B2062,"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64" t="str">
        <f aca="false">IF(OR(A2063="",B2063=""),"",CONCATENATE("https://matarstund.is/serfaedi?id=",LOWER(SUBSTITUTE(B2063," ","-"))))</f>
        <v/>
      </c>
    </row>
    <row r="2064" customFormat="false" ht="15" hidden="false" customHeight="true" outlineLevel="0" collapsed="false">
      <c r="A2064" s="63"/>
      <c r="B2064" s="63"/>
      <c r="C2064" s="63"/>
      <c r="D2064" s="63"/>
      <c r="E2064" s="63"/>
      <c r="F2064" s="28" t="str">
        <f aca="false">IF(C2064="","",IF(OR(C2064="1. bekkur",C2064="2. bekkur",C2064="3. bekkur",C2064="4. bekkur"),"Já",IF(C2064="Starfsmaður","Nei","Nei")))</f>
        <v/>
      </c>
      <c r="G2064" s="63"/>
      <c r="H2064" s="63"/>
      <c r="I2064" s="63"/>
      <c r="J2064" s="64" t="str">
        <f aca="false">IF(OR(A2064="",B2064=""),"",CONCATENATE("https://matarstund.is/serfaedi?id=",LOWER(SUBSTITUTE(B2064,"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64" t="str">
        <f aca="false">IF(OR(A2065="",B2065=""),"",CONCATENATE("https://matarstund.is/serfaedi?id=",LOWER(SUBSTITUTE(B2065," ","-"))))</f>
        <v/>
      </c>
    </row>
    <row r="2066" customFormat="false" ht="15" hidden="false" customHeight="true" outlineLevel="0" collapsed="false">
      <c r="A2066" s="63"/>
      <c r="B2066" s="63"/>
      <c r="C2066" s="63"/>
      <c r="D2066" s="63"/>
      <c r="E2066" s="63"/>
      <c r="F2066" s="28" t="str">
        <f aca="false">IF(C2066="","",IF(OR(C2066="1. bekkur",C2066="2. bekkur",C2066="3. bekkur",C2066="4. bekkur"),"Já",IF(C2066="Starfsmaður","Nei","Nei")))</f>
        <v/>
      </c>
      <c r="G2066" s="63"/>
      <c r="H2066" s="63"/>
      <c r="I2066" s="63"/>
      <c r="J2066" s="64" t="str">
        <f aca="false">IF(OR(A2066="",B2066=""),"",CONCATENATE("https://matarstund.is/serfaedi?id=",LOWER(SUBSTITUTE(B2066,"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64" t="str">
        <f aca="false">IF(OR(A2067="",B2067=""),"",CONCATENATE("https://matarstund.is/serfaedi?id=",LOWER(SUBSTITUTE(B2067," ","-"))))</f>
        <v/>
      </c>
    </row>
    <row r="2068" customFormat="false" ht="15" hidden="false" customHeight="true" outlineLevel="0" collapsed="false">
      <c r="A2068" s="63"/>
      <c r="B2068" s="63"/>
      <c r="C2068" s="63"/>
      <c r="D2068" s="63"/>
      <c r="E2068" s="63"/>
      <c r="F2068" s="28" t="str">
        <f aca="false">IF(C2068="","",IF(OR(C2068="1. bekkur",C2068="2. bekkur",C2068="3. bekkur",C2068="4. bekkur"),"Já",IF(C2068="Starfsmaður","Nei","Nei")))</f>
        <v/>
      </c>
      <c r="G2068" s="63"/>
      <c r="H2068" s="63"/>
      <c r="I2068" s="63"/>
      <c r="J2068" s="64" t="str">
        <f aca="false">IF(OR(A2068="",B2068=""),"",CONCATENATE("https://matarstund.is/serfaedi?id=",LOWER(SUBSTITUTE(B2068,"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64" t="str">
        <f aca="false">IF(OR(A2069="",B2069=""),"",CONCATENATE("https://matarstund.is/serfaedi?id=",LOWER(SUBSTITUTE(B2069," ","-"))))</f>
        <v/>
      </c>
    </row>
    <row r="2070" customFormat="false" ht="15" hidden="false" customHeight="true" outlineLevel="0" collapsed="false">
      <c r="A2070" s="63"/>
      <c r="B2070" s="63"/>
      <c r="C2070" s="63"/>
      <c r="D2070" s="63"/>
      <c r="E2070" s="63"/>
      <c r="F2070" s="28" t="str">
        <f aca="false">IF(C2070="","",IF(OR(C2070="1. bekkur",C2070="2. bekkur",C2070="3. bekkur",C2070="4. bekkur"),"Já",IF(C2070="Starfsmaður","Nei","Nei")))</f>
        <v/>
      </c>
      <c r="G2070" s="63"/>
      <c r="H2070" s="63"/>
      <c r="I2070" s="63"/>
      <c r="J2070" s="64" t="str">
        <f aca="false">IF(OR(A2070="",B2070=""),"",CONCATENATE("https://matarstund.is/serfaedi?id=",LOWER(SUBSTITUTE(B2070,"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64" t="str">
        <f aca="false">IF(OR(A2071="",B2071=""),"",CONCATENATE("https://matarstund.is/serfaedi?id=",LOWER(SUBSTITUTE(B2071," ","-"))))</f>
        <v/>
      </c>
    </row>
    <row r="2072" customFormat="false" ht="15" hidden="false" customHeight="true" outlineLevel="0" collapsed="false">
      <c r="A2072" s="63"/>
      <c r="B2072" s="63"/>
      <c r="C2072" s="63"/>
      <c r="D2072" s="63"/>
      <c r="E2072" s="63"/>
      <c r="F2072" s="28" t="str">
        <f aca="false">IF(C2072="","",IF(OR(C2072="1. bekkur",C2072="2. bekkur",C2072="3. bekkur",C2072="4. bekkur"),"Já",IF(C2072="Starfsmaður","Nei","Nei")))</f>
        <v/>
      </c>
      <c r="G2072" s="63"/>
      <c r="H2072" s="63"/>
      <c r="I2072" s="63"/>
      <c r="J2072" s="64" t="str">
        <f aca="false">IF(OR(A2072="",B2072=""),"",CONCATENATE("https://matarstund.is/serfaedi?id=",LOWER(SUBSTITUTE(B2072,"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64" t="str">
        <f aca="false">IF(OR(A2073="",B2073=""),"",CONCATENATE("https://matarstund.is/serfaedi?id=",LOWER(SUBSTITUTE(B2073," ","-"))))</f>
        <v/>
      </c>
    </row>
    <row r="2074" customFormat="false" ht="15" hidden="false" customHeight="true" outlineLevel="0" collapsed="false">
      <c r="A2074" s="63"/>
      <c r="B2074" s="63"/>
      <c r="C2074" s="63"/>
      <c r="D2074" s="63"/>
      <c r="E2074" s="63"/>
      <c r="F2074" s="28" t="str">
        <f aca="false">IF(C2074="","",IF(OR(C2074="1. bekkur",C2074="2. bekkur",C2074="3. bekkur",C2074="4. bekkur"),"Já",IF(C2074="Starfsmaður","Nei","Nei")))</f>
        <v/>
      </c>
      <c r="G2074" s="63"/>
      <c r="H2074" s="63"/>
      <c r="I2074" s="63"/>
      <c r="J2074" s="64" t="str">
        <f aca="false">IF(OR(A2074="",B2074=""),"",CONCATENATE("https://matarstund.is/serfaedi?id=",LOWER(SUBSTITUTE(B2074,"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64" t="str">
        <f aca="false">IF(OR(A2075="",B2075=""),"",CONCATENATE("https://matarstund.is/serfaedi?id=",LOWER(SUBSTITUTE(B2075," ","-"))))</f>
        <v/>
      </c>
    </row>
    <row r="2076" customFormat="false" ht="15" hidden="false" customHeight="true" outlineLevel="0" collapsed="false">
      <c r="A2076" s="63"/>
      <c r="B2076" s="63"/>
      <c r="C2076" s="63"/>
      <c r="D2076" s="63"/>
      <c r="E2076" s="63"/>
      <c r="F2076" s="28" t="str">
        <f aca="false">IF(C2076="","",IF(OR(C2076="1. bekkur",C2076="2. bekkur",C2076="3. bekkur",C2076="4. bekkur"),"Já",IF(C2076="Starfsmaður","Nei","Nei")))</f>
        <v/>
      </c>
      <c r="G2076" s="63"/>
      <c r="H2076" s="63"/>
      <c r="I2076" s="63"/>
      <c r="J2076" s="64" t="str">
        <f aca="false">IF(OR(A2076="",B2076=""),"",CONCATENATE("https://matarstund.is/serfaedi?id=",LOWER(SUBSTITUTE(B2076,"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64" t="str">
        <f aca="false">IF(OR(A2077="",B2077=""),"",CONCATENATE("https://matarstund.is/serfaedi?id=",LOWER(SUBSTITUTE(B2077," ","-"))))</f>
        <v/>
      </c>
    </row>
    <row r="2078" customFormat="false" ht="15" hidden="false" customHeight="true" outlineLevel="0" collapsed="false">
      <c r="A2078" s="63"/>
      <c r="B2078" s="63"/>
      <c r="C2078" s="63"/>
      <c r="D2078" s="63"/>
      <c r="E2078" s="63"/>
      <c r="F2078" s="28" t="str">
        <f aca="false">IF(C2078="","",IF(OR(C2078="1. bekkur",C2078="2. bekkur",C2078="3. bekkur",C2078="4. bekkur"),"Já",IF(C2078="Starfsmaður","Nei","Nei")))</f>
        <v/>
      </c>
      <c r="G2078" s="63"/>
      <c r="H2078" s="63"/>
      <c r="I2078" s="63"/>
      <c r="J2078" s="64" t="str">
        <f aca="false">IF(OR(A2078="",B2078=""),"",CONCATENATE("https://matarstund.is/serfaedi?id=",LOWER(SUBSTITUTE(B2078,"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64" t="str">
        <f aca="false">IF(OR(A2079="",B2079=""),"",CONCATENATE("https://matarstund.is/serfaedi?id=",LOWER(SUBSTITUTE(B2079," ","-"))))</f>
        <v/>
      </c>
    </row>
    <row r="2080" customFormat="false" ht="15" hidden="false" customHeight="true" outlineLevel="0" collapsed="false">
      <c r="A2080" s="63"/>
      <c r="B2080" s="63"/>
      <c r="C2080" s="63"/>
      <c r="D2080" s="63"/>
      <c r="E2080" s="63"/>
      <c r="F2080" s="28" t="str">
        <f aca="false">IF(C2080="","",IF(OR(C2080="1. bekkur",C2080="2. bekkur",C2080="3. bekkur",C2080="4. bekkur"),"Já",IF(C2080="Starfsmaður","Nei","Nei")))</f>
        <v/>
      </c>
      <c r="G2080" s="63"/>
      <c r="H2080" s="63"/>
      <c r="I2080" s="63"/>
      <c r="J2080" s="64" t="str">
        <f aca="false">IF(OR(A2080="",B2080=""),"",CONCATENATE("https://matarstund.is/serfaedi?id=",LOWER(SUBSTITUTE(B2080,"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64" t="str">
        <f aca="false">IF(OR(A2081="",B2081=""),"",CONCATENATE("https://matarstund.is/serfaedi?id=",LOWER(SUBSTITUTE(B2081," ","-"))))</f>
        <v/>
      </c>
    </row>
    <row r="2082" customFormat="false" ht="15" hidden="false" customHeight="true" outlineLevel="0" collapsed="false">
      <c r="A2082" s="63"/>
      <c r="B2082" s="63"/>
      <c r="C2082" s="63"/>
      <c r="D2082" s="63"/>
      <c r="E2082" s="63"/>
      <c r="F2082" s="28" t="str">
        <f aca="false">IF(C2082="","",IF(OR(C2082="1. bekkur",C2082="2. bekkur",C2082="3. bekkur",C2082="4. bekkur"),"Já",IF(C2082="Starfsmaður","Nei","Nei")))</f>
        <v/>
      </c>
      <c r="G2082" s="63"/>
      <c r="H2082" s="63"/>
      <c r="I2082" s="63"/>
      <c r="J2082" s="64" t="str">
        <f aca="false">IF(OR(A2082="",B2082=""),"",CONCATENATE("https://matarstund.is/serfaedi?id=",LOWER(SUBSTITUTE(B2082,"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64" t="str">
        <f aca="false">IF(OR(A2083="",B2083=""),"",CONCATENATE("https://matarstund.is/serfaedi?id=",LOWER(SUBSTITUTE(B2083," ","-"))))</f>
        <v/>
      </c>
    </row>
    <row r="2084" customFormat="false" ht="15" hidden="false" customHeight="true" outlineLevel="0" collapsed="false">
      <c r="A2084" s="63"/>
      <c r="B2084" s="63"/>
      <c r="C2084" s="63"/>
      <c r="D2084" s="63"/>
      <c r="E2084" s="63"/>
      <c r="F2084" s="28" t="str">
        <f aca="false">IF(C2084="","",IF(OR(C2084="1. bekkur",C2084="2. bekkur",C2084="3. bekkur",C2084="4. bekkur"),"Já",IF(C2084="Starfsmaður","Nei","Nei")))</f>
        <v/>
      </c>
      <c r="G2084" s="63"/>
      <c r="H2084" s="63"/>
      <c r="I2084" s="63"/>
      <c r="J2084" s="64" t="str">
        <f aca="false">IF(OR(A2084="",B2084=""),"",CONCATENATE("https://matarstund.is/serfaedi?id=",LOWER(SUBSTITUTE(B2084,"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64" t="str">
        <f aca="false">IF(OR(A2085="",B2085=""),"",CONCATENATE("https://matarstund.is/serfaedi?id=",LOWER(SUBSTITUTE(B2085," ","-"))))</f>
        <v/>
      </c>
    </row>
    <row r="2086" customFormat="false" ht="15" hidden="false" customHeight="true" outlineLevel="0" collapsed="false">
      <c r="A2086" s="63"/>
      <c r="B2086" s="63"/>
      <c r="C2086" s="63"/>
      <c r="D2086" s="63"/>
      <c r="E2086" s="63"/>
      <c r="F2086" s="28" t="str">
        <f aca="false">IF(C2086="","",IF(OR(C2086="1. bekkur",C2086="2. bekkur",C2086="3. bekkur",C2086="4. bekkur"),"Já",IF(C2086="Starfsmaður","Nei","Nei")))</f>
        <v/>
      </c>
      <c r="G2086" s="63"/>
      <c r="H2086" s="63"/>
      <c r="I2086" s="63"/>
      <c r="J2086" s="64" t="str">
        <f aca="false">IF(OR(A2086="",B2086=""),"",CONCATENATE("https://matarstund.is/serfaedi?id=",LOWER(SUBSTITUTE(B2086,"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64" t="str">
        <f aca="false">IF(OR(A2087="",B2087=""),"",CONCATENATE("https://matarstund.is/serfaedi?id=",LOWER(SUBSTITUTE(B2087," ","-"))))</f>
        <v/>
      </c>
    </row>
    <row r="2088" customFormat="false" ht="15" hidden="false" customHeight="true" outlineLevel="0" collapsed="false">
      <c r="A2088" s="63"/>
      <c r="B2088" s="63"/>
      <c r="C2088" s="63"/>
      <c r="D2088" s="63"/>
      <c r="E2088" s="63"/>
      <c r="F2088" s="28" t="str">
        <f aca="false">IF(C2088="","",IF(OR(C2088="1. bekkur",C2088="2. bekkur",C2088="3. bekkur",C2088="4. bekkur"),"Já",IF(C2088="Starfsmaður","Nei","Nei")))</f>
        <v/>
      </c>
      <c r="G2088" s="63"/>
      <c r="H2088" s="63"/>
      <c r="I2088" s="63"/>
      <c r="J2088" s="64" t="str">
        <f aca="false">IF(OR(A2088="",B2088=""),"",CONCATENATE("https://matarstund.is/serfaedi?id=",LOWER(SUBSTITUTE(B2088,"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64" t="str">
        <f aca="false">IF(OR(A2089="",B2089=""),"",CONCATENATE("https://matarstund.is/serfaedi?id=",LOWER(SUBSTITUTE(B2089," ","-"))))</f>
        <v/>
      </c>
    </row>
    <row r="2090" customFormat="false" ht="15" hidden="false" customHeight="true" outlineLevel="0" collapsed="false">
      <c r="A2090" s="63"/>
      <c r="B2090" s="63"/>
      <c r="C2090" s="63"/>
      <c r="D2090" s="63"/>
      <c r="E2090" s="63"/>
      <c r="F2090" s="28" t="str">
        <f aca="false">IF(C2090="","",IF(OR(C2090="1. bekkur",C2090="2. bekkur",C2090="3. bekkur",C2090="4. bekkur"),"Já",IF(C2090="Starfsmaður","Nei","Nei")))</f>
        <v/>
      </c>
      <c r="G2090" s="63"/>
      <c r="H2090" s="63"/>
      <c r="I2090" s="63"/>
      <c r="J2090" s="64" t="str">
        <f aca="false">IF(OR(A2090="",B2090=""),"",CONCATENATE("https://matarstund.is/serfaedi?id=",LOWER(SUBSTITUTE(B2090,"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64" t="str">
        <f aca="false">IF(OR(A2091="",B2091=""),"",CONCATENATE("https://matarstund.is/serfaedi?id=",LOWER(SUBSTITUTE(B2091," ","-"))))</f>
        <v/>
      </c>
    </row>
    <row r="2092" customFormat="false" ht="15" hidden="false" customHeight="true" outlineLevel="0" collapsed="false">
      <c r="A2092" s="63"/>
      <c r="B2092" s="63"/>
      <c r="C2092" s="63"/>
      <c r="D2092" s="63"/>
      <c r="E2092" s="63"/>
      <c r="F2092" s="28" t="str">
        <f aca="false">IF(C2092="","",IF(OR(C2092="1. bekkur",C2092="2. bekkur",C2092="3. bekkur",C2092="4. bekkur"),"Já",IF(C2092="Starfsmaður","Nei","Nei")))</f>
        <v/>
      </c>
      <c r="G2092" s="63"/>
      <c r="H2092" s="63"/>
      <c r="I2092" s="63"/>
      <c r="J2092" s="64" t="str">
        <f aca="false">IF(OR(A2092="",B2092=""),"",CONCATENATE("https://matarstund.is/serfaedi?id=",LOWER(SUBSTITUTE(B2092,"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64" t="str">
        <f aca="false">IF(OR(A2093="",B2093=""),"",CONCATENATE("https://matarstund.is/serfaedi?id=",LOWER(SUBSTITUTE(B2093," ","-"))))</f>
        <v/>
      </c>
    </row>
    <row r="2094" customFormat="false" ht="15" hidden="false" customHeight="true" outlineLevel="0" collapsed="false">
      <c r="A2094" s="63"/>
      <c r="B2094" s="63"/>
      <c r="C2094" s="63"/>
      <c r="D2094" s="63"/>
      <c r="E2094" s="63"/>
      <c r="F2094" s="28" t="str">
        <f aca="false">IF(C2094="","",IF(OR(C2094="1. bekkur",C2094="2. bekkur",C2094="3. bekkur",C2094="4. bekkur"),"Já",IF(C2094="Starfsmaður","Nei","Nei")))</f>
        <v/>
      </c>
      <c r="G2094" s="63"/>
      <c r="H2094" s="63"/>
      <c r="I2094" s="63"/>
      <c r="J2094" s="64" t="str">
        <f aca="false">IF(OR(A2094="",B2094=""),"",CONCATENATE("https://matarstund.is/serfaedi?id=",LOWER(SUBSTITUTE(B2094,"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64" t="str">
        <f aca="false">IF(OR(A2095="",B2095=""),"",CONCATENATE("https://matarstund.is/serfaedi?id=",LOWER(SUBSTITUTE(B2095," ","-"))))</f>
        <v/>
      </c>
    </row>
    <row r="2096" customFormat="false" ht="15" hidden="false" customHeight="true" outlineLevel="0" collapsed="false">
      <c r="A2096" s="63"/>
      <c r="B2096" s="63"/>
      <c r="C2096" s="63"/>
      <c r="D2096" s="63"/>
      <c r="E2096" s="63"/>
      <c r="F2096" s="28" t="str">
        <f aca="false">IF(C2096="","",IF(OR(C2096="1. bekkur",C2096="2. bekkur",C2096="3. bekkur",C2096="4. bekkur"),"Já",IF(C2096="Starfsmaður","Nei","Nei")))</f>
        <v/>
      </c>
      <c r="G2096" s="63"/>
      <c r="H2096" s="63"/>
      <c r="I2096" s="63"/>
      <c r="J2096" s="64" t="str">
        <f aca="false">IF(OR(A2096="",B2096=""),"",CONCATENATE("https://matarstund.is/serfaedi?id=",LOWER(SUBSTITUTE(B2096,"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64" t="str">
        <f aca="false">IF(OR(A2097="",B2097=""),"",CONCATENATE("https://matarstund.is/serfaedi?id=",LOWER(SUBSTITUTE(B2097," ","-"))))</f>
        <v/>
      </c>
    </row>
    <row r="2098" customFormat="false" ht="15" hidden="false" customHeight="true" outlineLevel="0" collapsed="false">
      <c r="A2098" s="63"/>
      <c r="B2098" s="63"/>
      <c r="C2098" s="63"/>
      <c r="D2098" s="63"/>
      <c r="E2098" s="63"/>
      <c r="F2098" s="28" t="str">
        <f aca="false">IF(C2098="","",IF(OR(C2098="1. bekkur",C2098="2. bekkur",C2098="3. bekkur",C2098="4. bekkur"),"Já",IF(C2098="Starfsmaður","Nei","Nei")))</f>
        <v/>
      </c>
      <c r="G2098" s="63"/>
      <c r="H2098" s="63"/>
      <c r="I2098" s="63"/>
      <c r="J2098" s="64" t="str">
        <f aca="false">IF(OR(A2098="",B2098=""),"",CONCATENATE("https://matarstund.is/serfaedi?id=",LOWER(SUBSTITUTE(B2098,"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64" t="str">
        <f aca="false">IF(OR(A2099="",B2099=""),"",CONCATENATE("https://matarstund.is/serfaedi?id=",LOWER(SUBSTITUTE(B2099," ","-"))))</f>
        <v/>
      </c>
    </row>
    <row r="2100" customFormat="false" ht="15" hidden="false" customHeight="true" outlineLevel="0" collapsed="false">
      <c r="A2100" s="63"/>
      <c r="B2100" s="63"/>
      <c r="C2100" s="63"/>
      <c r="D2100" s="63"/>
      <c r="E2100" s="63"/>
      <c r="F2100" s="28" t="str">
        <f aca="false">IF(C2100="","",IF(OR(C2100="1. bekkur",C2100="2. bekkur",C2100="3. bekkur",C2100="4. bekkur"),"Já",IF(C2100="Starfsmaður","Nei","Nei")))</f>
        <v/>
      </c>
      <c r="G2100" s="63"/>
      <c r="H2100" s="63"/>
      <c r="I2100" s="63"/>
      <c r="J2100" s="64" t="str">
        <f aca="false">IF(OR(A2100="",B2100=""),"",CONCATENATE("https://matarstund.is/serfaedi?id=",LOWER(SUBSTITUTE(B2100,"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64" t="str">
        <f aca="false">IF(OR(A2101="",B2101=""),"",CONCATENATE("https://matarstund.is/serfaedi?id=",LOWER(SUBSTITUTE(B2101," ","-"))))</f>
        <v/>
      </c>
    </row>
    <row r="2102" customFormat="false" ht="15" hidden="false" customHeight="true" outlineLevel="0" collapsed="false">
      <c r="A2102" s="63"/>
      <c r="B2102" s="63"/>
      <c r="C2102" s="63"/>
      <c r="D2102" s="63"/>
      <c r="E2102" s="63"/>
      <c r="F2102" s="28" t="str">
        <f aca="false">IF(C2102="","",IF(OR(C2102="1. bekkur",C2102="2. bekkur",C2102="3. bekkur",C2102="4. bekkur"),"Já",IF(C2102="Starfsmaður","Nei","Nei")))</f>
        <v/>
      </c>
      <c r="G2102" s="63"/>
      <c r="H2102" s="63"/>
      <c r="I2102" s="63"/>
      <c r="J2102" s="64" t="str">
        <f aca="false">IF(OR(A2102="",B2102=""),"",CONCATENATE("https://matarstund.is/serfaedi?id=",LOWER(SUBSTITUTE(B2102,"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64" t="str">
        <f aca="false">IF(OR(A2103="",B2103=""),"",CONCATENATE("https://matarstund.is/serfaedi?id=",LOWER(SUBSTITUTE(B2103," ","-"))))</f>
        <v/>
      </c>
    </row>
    <row r="2104" customFormat="false" ht="15" hidden="false" customHeight="true" outlineLevel="0" collapsed="false">
      <c r="A2104" s="63"/>
      <c r="B2104" s="63"/>
      <c r="C2104" s="63"/>
      <c r="D2104" s="63"/>
      <c r="E2104" s="63"/>
      <c r="F2104" s="28" t="str">
        <f aca="false">IF(C2104="","",IF(OR(C2104="1. bekkur",C2104="2. bekkur",C2104="3. bekkur",C2104="4. bekkur"),"Já",IF(C2104="Starfsmaður","Nei","Nei")))</f>
        <v/>
      </c>
      <c r="G2104" s="63"/>
      <c r="H2104" s="63"/>
      <c r="I2104" s="63"/>
      <c r="J2104" s="64" t="str">
        <f aca="false">IF(OR(A2104="",B2104=""),"",CONCATENATE("https://matarstund.is/serfaedi?id=",LOWER(SUBSTITUTE(B2104,"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64" t="str">
        <f aca="false">IF(OR(A2105="",B2105=""),"",CONCATENATE("https://matarstund.is/serfaedi?id=",LOWER(SUBSTITUTE(B2105," ","-"))))</f>
        <v/>
      </c>
    </row>
    <row r="2106" customFormat="false" ht="15" hidden="false" customHeight="true" outlineLevel="0" collapsed="false">
      <c r="A2106" s="63"/>
      <c r="B2106" s="63"/>
      <c r="C2106" s="63"/>
      <c r="D2106" s="63"/>
      <c r="E2106" s="63"/>
      <c r="F2106" s="28" t="str">
        <f aca="false">IF(C2106="","",IF(OR(C2106="1. bekkur",C2106="2. bekkur",C2106="3. bekkur",C2106="4. bekkur"),"Já",IF(C2106="Starfsmaður","Nei","Nei")))</f>
        <v/>
      </c>
      <c r="G2106" s="63"/>
      <c r="H2106" s="63"/>
      <c r="I2106" s="63"/>
      <c r="J2106" s="64" t="str">
        <f aca="false">IF(OR(A2106="",B2106=""),"",CONCATENATE("https://matarstund.is/serfaedi?id=",LOWER(SUBSTITUTE(B2106,"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64" t="str">
        <f aca="false">IF(OR(A2107="",B2107=""),"",CONCATENATE("https://matarstund.is/serfaedi?id=",LOWER(SUBSTITUTE(B2107," ","-"))))</f>
        <v/>
      </c>
    </row>
    <row r="2108" customFormat="false" ht="15" hidden="false" customHeight="true" outlineLevel="0" collapsed="false">
      <c r="A2108" s="63"/>
      <c r="B2108" s="63"/>
      <c r="C2108" s="63"/>
      <c r="D2108" s="63"/>
      <c r="E2108" s="63"/>
      <c r="F2108" s="28" t="str">
        <f aca="false">IF(C2108="","",IF(OR(C2108="1. bekkur",C2108="2. bekkur",C2108="3. bekkur",C2108="4. bekkur"),"Já",IF(C2108="Starfsmaður","Nei","Nei")))</f>
        <v/>
      </c>
      <c r="G2108" s="63"/>
      <c r="H2108" s="63"/>
      <c r="I2108" s="63"/>
      <c r="J2108" s="64" t="str">
        <f aca="false">IF(OR(A2108="",B2108=""),"",CONCATENATE("https://matarstund.is/serfaedi?id=",LOWER(SUBSTITUTE(B2108,"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64" t="str">
        <f aca="false">IF(OR(A2109="",B2109=""),"",CONCATENATE("https://matarstund.is/serfaedi?id=",LOWER(SUBSTITUTE(B2109," ","-"))))</f>
        <v/>
      </c>
    </row>
    <row r="2110" customFormat="false" ht="15" hidden="false" customHeight="true" outlineLevel="0" collapsed="false">
      <c r="A2110" s="63"/>
      <c r="B2110" s="63"/>
      <c r="C2110" s="63"/>
      <c r="D2110" s="63"/>
      <c r="E2110" s="63"/>
      <c r="F2110" s="28" t="str">
        <f aca="false">IF(C2110="","",IF(OR(C2110="1. bekkur",C2110="2. bekkur",C2110="3. bekkur",C2110="4. bekkur"),"Já",IF(C2110="Starfsmaður","Nei","Nei")))</f>
        <v/>
      </c>
      <c r="G2110" s="63"/>
      <c r="H2110" s="63"/>
      <c r="I2110" s="63"/>
      <c r="J2110" s="64" t="str">
        <f aca="false">IF(OR(A2110="",B2110=""),"",CONCATENATE("https://matarstund.is/serfaedi?id=",LOWER(SUBSTITUTE(B2110,"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64" t="str">
        <f aca="false">IF(OR(A2111="",B2111=""),"",CONCATENATE("https://matarstund.is/serfaedi?id=",LOWER(SUBSTITUTE(B2111," ","-"))))</f>
        <v/>
      </c>
    </row>
    <row r="2112" customFormat="false" ht="15" hidden="false" customHeight="true" outlineLevel="0" collapsed="false">
      <c r="A2112" s="63"/>
      <c r="B2112" s="63"/>
      <c r="C2112" s="63"/>
      <c r="D2112" s="63"/>
      <c r="E2112" s="63"/>
      <c r="F2112" s="28" t="str">
        <f aca="false">IF(C2112="","",IF(OR(C2112="1. bekkur",C2112="2. bekkur",C2112="3. bekkur",C2112="4. bekkur"),"Já",IF(C2112="Starfsmaður","Nei","Nei")))</f>
        <v/>
      </c>
      <c r="G2112" s="63"/>
      <c r="H2112" s="63"/>
      <c r="I2112" s="63"/>
      <c r="J2112" s="64" t="str">
        <f aca="false">IF(OR(A2112="",B2112=""),"",CONCATENATE("https://matarstund.is/serfaedi?id=",LOWER(SUBSTITUTE(B2112,"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64" t="str">
        <f aca="false">IF(OR(A2113="",B2113=""),"",CONCATENATE("https://matarstund.is/serfaedi?id=",LOWER(SUBSTITUTE(B2113," ","-"))))</f>
        <v/>
      </c>
    </row>
    <row r="2114" customFormat="false" ht="15" hidden="false" customHeight="true" outlineLevel="0" collapsed="false">
      <c r="A2114" s="63"/>
      <c r="B2114" s="63"/>
      <c r="C2114" s="63"/>
      <c r="D2114" s="63"/>
      <c r="E2114" s="63"/>
      <c r="F2114" s="28" t="str">
        <f aca="false">IF(C2114="","",IF(OR(C2114="1. bekkur",C2114="2. bekkur",C2114="3. bekkur",C2114="4. bekkur"),"Já",IF(C2114="Starfsmaður","Nei","Nei")))</f>
        <v/>
      </c>
      <c r="G2114" s="63"/>
      <c r="H2114" s="63"/>
      <c r="I2114" s="63"/>
      <c r="J2114" s="64" t="str">
        <f aca="false">IF(OR(A2114="",B2114=""),"",CONCATENATE("https://matarstund.is/serfaedi?id=",LOWER(SUBSTITUTE(B2114,"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64" t="str">
        <f aca="false">IF(OR(A2115="",B2115=""),"",CONCATENATE("https://matarstund.is/serfaedi?id=",LOWER(SUBSTITUTE(B2115," ","-"))))</f>
        <v/>
      </c>
    </row>
    <row r="2116" customFormat="false" ht="15" hidden="false" customHeight="true" outlineLevel="0" collapsed="false">
      <c r="A2116" s="63"/>
      <c r="B2116" s="63"/>
      <c r="C2116" s="63"/>
      <c r="D2116" s="63"/>
      <c r="E2116" s="63"/>
      <c r="F2116" s="28" t="str">
        <f aca="false">IF(C2116="","",IF(OR(C2116="1. bekkur",C2116="2. bekkur",C2116="3. bekkur",C2116="4. bekkur"),"Já",IF(C2116="Starfsmaður","Nei","Nei")))</f>
        <v/>
      </c>
      <c r="G2116" s="63"/>
      <c r="H2116" s="63"/>
      <c r="I2116" s="63"/>
      <c r="J2116" s="64" t="str">
        <f aca="false">IF(OR(A2116="",B2116=""),"",CONCATENATE("https://matarstund.is/serfaedi?id=",LOWER(SUBSTITUTE(B2116,"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64" t="str">
        <f aca="false">IF(OR(A2117="",B2117=""),"",CONCATENATE("https://matarstund.is/serfaedi?id=",LOWER(SUBSTITUTE(B2117," ","-"))))</f>
        <v/>
      </c>
    </row>
    <row r="2118" customFormat="false" ht="15" hidden="false" customHeight="true" outlineLevel="0" collapsed="false">
      <c r="A2118" s="63"/>
      <c r="B2118" s="63"/>
      <c r="C2118" s="63"/>
      <c r="D2118" s="63"/>
      <c r="E2118" s="63"/>
      <c r="F2118" s="28" t="str">
        <f aca="false">IF(C2118="","",IF(OR(C2118="1. bekkur",C2118="2. bekkur",C2118="3. bekkur",C2118="4. bekkur"),"Já",IF(C2118="Starfsmaður","Nei","Nei")))</f>
        <v/>
      </c>
      <c r="G2118" s="63"/>
      <c r="H2118" s="63"/>
      <c r="I2118" s="63"/>
      <c r="J2118" s="64" t="str">
        <f aca="false">IF(OR(A2118="",B2118=""),"",CONCATENATE("https://matarstund.is/serfaedi?id=",LOWER(SUBSTITUTE(B2118,"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64" t="str">
        <f aca="false">IF(OR(A2119="",B2119=""),"",CONCATENATE("https://matarstund.is/serfaedi?id=",LOWER(SUBSTITUTE(B2119," ","-"))))</f>
        <v/>
      </c>
    </row>
    <row r="2120" customFormat="false" ht="15" hidden="false" customHeight="true" outlineLevel="0" collapsed="false">
      <c r="A2120" s="63"/>
      <c r="B2120" s="63"/>
      <c r="C2120" s="63"/>
      <c r="D2120" s="63"/>
      <c r="E2120" s="63"/>
      <c r="F2120" s="28" t="str">
        <f aca="false">IF(C2120="","",IF(OR(C2120="1. bekkur",C2120="2. bekkur",C2120="3. bekkur",C2120="4. bekkur"),"Já",IF(C2120="Starfsmaður","Nei","Nei")))</f>
        <v/>
      </c>
      <c r="G2120" s="63"/>
      <c r="H2120" s="63"/>
      <c r="I2120" s="63"/>
      <c r="J2120" s="64" t="str">
        <f aca="false">IF(OR(A2120="",B2120=""),"",CONCATENATE("https://matarstund.is/serfaedi?id=",LOWER(SUBSTITUTE(B2120,"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64" t="str">
        <f aca="false">IF(OR(A2121="",B2121=""),"",CONCATENATE("https://matarstund.is/serfaedi?id=",LOWER(SUBSTITUTE(B2121," ","-"))))</f>
        <v/>
      </c>
    </row>
    <row r="2122" customFormat="false" ht="15" hidden="false" customHeight="true" outlineLevel="0" collapsed="false">
      <c r="A2122" s="63"/>
      <c r="B2122" s="63"/>
      <c r="C2122" s="63"/>
      <c r="D2122" s="63"/>
      <c r="E2122" s="63"/>
      <c r="F2122" s="28" t="str">
        <f aca="false">IF(C2122="","",IF(OR(C2122="1. bekkur",C2122="2. bekkur",C2122="3. bekkur",C2122="4. bekkur"),"Já",IF(C2122="Starfsmaður","Nei","Nei")))</f>
        <v/>
      </c>
      <c r="G2122" s="63"/>
      <c r="H2122" s="63"/>
      <c r="I2122" s="63"/>
      <c r="J2122" s="64" t="str">
        <f aca="false">IF(OR(A2122="",B2122=""),"",CONCATENATE("https://matarstund.is/serfaedi?id=",LOWER(SUBSTITUTE(B2122,"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64" t="str">
        <f aca="false">IF(OR(A2123="",B2123=""),"",CONCATENATE("https://matarstund.is/serfaedi?id=",LOWER(SUBSTITUTE(B2123," ","-"))))</f>
        <v/>
      </c>
    </row>
    <row r="2124" customFormat="false" ht="15" hidden="false" customHeight="true" outlineLevel="0" collapsed="false">
      <c r="A2124" s="63"/>
      <c r="B2124" s="63"/>
      <c r="C2124" s="63"/>
      <c r="D2124" s="63"/>
      <c r="E2124" s="63"/>
      <c r="F2124" s="28" t="str">
        <f aca="false">IF(C2124="","",IF(OR(C2124="1. bekkur",C2124="2. bekkur",C2124="3. bekkur",C2124="4. bekkur"),"Já",IF(C2124="Starfsmaður","Nei","Nei")))</f>
        <v/>
      </c>
      <c r="G2124" s="63"/>
      <c r="H2124" s="63"/>
      <c r="I2124" s="63"/>
      <c r="J2124" s="64" t="str">
        <f aca="false">IF(OR(A2124="",B2124=""),"",CONCATENATE("https://matarstund.is/serfaedi?id=",LOWER(SUBSTITUTE(B2124,"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64" t="str">
        <f aca="false">IF(OR(A2125="",B2125=""),"",CONCATENATE("https://matarstund.is/serfaedi?id=",LOWER(SUBSTITUTE(B2125," ","-"))))</f>
        <v/>
      </c>
    </row>
    <row r="2126" customFormat="false" ht="15" hidden="false" customHeight="true" outlineLevel="0" collapsed="false">
      <c r="A2126" s="63"/>
      <c r="B2126" s="63"/>
      <c r="C2126" s="63"/>
      <c r="D2126" s="63"/>
      <c r="E2126" s="63"/>
      <c r="F2126" s="28" t="str">
        <f aca="false">IF(C2126="","",IF(OR(C2126="1. bekkur",C2126="2. bekkur",C2126="3. bekkur",C2126="4. bekkur"),"Já",IF(C2126="Starfsmaður","Nei","Nei")))</f>
        <v/>
      </c>
      <c r="G2126" s="63"/>
      <c r="H2126" s="63"/>
      <c r="I2126" s="63"/>
      <c r="J2126" s="64" t="str">
        <f aca="false">IF(OR(A2126="",B2126=""),"",CONCATENATE("https://matarstund.is/serfaedi?id=",LOWER(SUBSTITUTE(B2126,"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64" t="str">
        <f aca="false">IF(OR(A2127="",B2127=""),"",CONCATENATE("https://matarstund.is/serfaedi?id=",LOWER(SUBSTITUTE(B2127," ","-"))))</f>
        <v/>
      </c>
    </row>
    <row r="2128" customFormat="false" ht="15" hidden="false" customHeight="true" outlineLevel="0" collapsed="false">
      <c r="A2128" s="63"/>
      <c r="B2128" s="63"/>
      <c r="C2128" s="63"/>
      <c r="D2128" s="63"/>
      <c r="E2128" s="63"/>
      <c r="F2128" s="28" t="str">
        <f aca="false">IF(C2128="","",IF(OR(C2128="1. bekkur",C2128="2. bekkur",C2128="3. bekkur",C2128="4. bekkur"),"Já",IF(C2128="Starfsmaður","Nei","Nei")))</f>
        <v/>
      </c>
      <c r="G2128" s="63"/>
      <c r="H2128" s="63"/>
      <c r="I2128" s="63"/>
      <c r="J2128" s="64" t="str">
        <f aca="false">IF(OR(A2128="",B2128=""),"",CONCATENATE("https://matarstund.is/serfaedi?id=",LOWER(SUBSTITUTE(B2128,"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64" t="str">
        <f aca="false">IF(OR(A2129="",B2129=""),"",CONCATENATE("https://matarstund.is/serfaedi?id=",LOWER(SUBSTITUTE(B2129," ","-"))))</f>
        <v/>
      </c>
    </row>
    <row r="2130" customFormat="false" ht="15" hidden="false" customHeight="true" outlineLevel="0" collapsed="false">
      <c r="A2130" s="63"/>
      <c r="B2130" s="63"/>
      <c r="C2130" s="63"/>
      <c r="D2130" s="63"/>
      <c r="E2130" s="63"/>
      <c r="F2130" s="28" t="str">
        <f aca="false">IF(C2130="","",IF(OR(C2130="1. bekkur",C2130="2. bekkur",C2130="3. bekkur",C2130="4. bekkur"),"Já",IF(C2130="Starfsmaður","Nei","Nei")))</f>
        <v/>
      </c>
      <c r="G2130" s="63"/>
      <c r="H2130" s="63"/>
      <c r="I2130" s="63"/>
      <c r="J2130" s="64" t="str">
        <f aca="false">IF(OR(A2130="",B2130=""),"",CONCATENATE("https://matarstund.is/serfaedi?id=",LOWER(SUBSTITUTE(B2130,"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64" t="str">
        <f aca="false">IF(OR(A2131="",B2131=""),"",CONCATENATE("https://matarstund.is/serfaedi?id=",LOWER(SUBSTITUTE(B2131," ","-"))))</f>
        <v/>
      </c>
    </row>
    <row r="2132" customFormat="false" ht="15" hidden="false" customHeight="true" outlineLevel="0" collapsed="false">
      <c r="A2132" s="63"/>
      <c r="B2132" s="63"/>
      <c r="C2132" s="63"/>
      <c r="D2132" s="63"/>
      <c r="E2132" s="63"/>
      <c r="F2132" s="28" t="str">
        <f aca="false">IF(C2132="","",IF(OR(C2132="1. bekkur",C2132="2. bekkur",C2132="3. bekkur",C2132="4. bekkur"),"Já",IF(C2132="Starfsmaður","Nei","Nei")))</f>
        <v/>
      </c>
      <c r="G2132" s="63"/>
      <c r="H2132" s="63"/>
      <c r="I2132" s="63"/>
      <c r="J2132" s="64" t="str">
        <f aca="false">IF(OR(A2132="",B2132=""),"",CONCATENATE("https://matarstund.is/serfaedi?id=",LOWER(SUBSTITUTE(B2132,"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64" t="str">
        <f aca="false">IF(OR(A2133="",B2133=""),"",CONCATENATE("https://matarstund.is/serfaedi?id=",LOWER(SUBSTITUTE(B2133," ","-"))))</f>
        <v/>
      </c>
    </row>
    <row r="2134" customFormat="false" ht="15" hidden="false" customHeight="true" outlineLevel="0" collapsed="false">
      <c r="A2134" s="63"/>
      <c r="B2134" s="63"/>
      <c r="C2134" s="63"/>
      <c r="D2134" s="63"/>
      <c r="E2134" s="63"/>
      <c r="F2134" s="28" t="str">
        <f aca="false">IF(C2134="","",IF(OR(C2134="1. bekkur",C2134="2. bekkur",C2134="3. bekkur",C2134="4. bekkur"),"Já",IF(C2134="Starfsmaður","Nei","Nei")))</f>
        <v/>
      </c>
      <c r="G2134" s="63"/>
      <c r="H2134" s="63"/>
      <c r="I2134" s="63"/>
      <c r="J2134" s="64" t="str">
        <f aca="false">IF(OR(A2134="",B2134=""),"",CONCATENATE("https://matarstund.is/serfaedi?id=",LOWER(SUBSTITUTE(B2134,"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64" t="str">
        <f aca="false">IF(OR(A2135="",B2135=""),"",CONCATENATE("https://matarstund.is/serfaedi?id=",LOWER(SUBSTITUTE(B2135," ","-"))))</f>
        <v/>
      </c>
    </row>
    <row r="2136" customFormat="false" ht="15" hidden="false" customHeight="true" outlineLevel="0" collapsed="false">
      <c r="A2136" s="63"/>
      <c r="B2136" s="63"/>
      <c r="C2136" s="63"/>
      <c r="D2136" s="63"/>
      <c r="E2136" s="63"/>
      <c r="F2136" s="28" t="str">
        <f aca="false">IF(C2136="","",IF(OR(C2136="1. bekkur",C2136="2. bekkur",C2136="3. bekkur",C2136="4. bekkur"),"Já",IF(C2136="Starfsmaður","Nei","Nei")))</f>
        <v/>
      </c>
      <c r="G2136" s="63"/>
      <c r="H2136" s="63"/>
      <c r="I2136" s="63"/>
      <c r="J2136" s="64" t="str">
        <f aca="false">IF(OR(A2136="",B2136=""),"",CONCATENATE("https://matarstund.is/serfaedi?id=",LOWER(SUBSTITUTE(B2136,"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64" t="str">
        <f aca="false">IF(OR(A2137="",B2137=""),"",CONCATENATE("https://matarstund.is/serfaedi?id=",LOWER(SUBSTITUTE(B2137," ","-"))))</f>
        <v/>
      </c>
    </row>
    <row r="2138" customFormat="false" ht="15" hidden="false" customHeight="true" outlineLevel="0" collapsed="false">
      <c r="A2138" s="63"/>
      <c r="B2138" s="63"/>
      <c r="C2138" s="63"/>
      <c r="D2138" s="63"/>
      <c r="E2138" s="63"/>
      <c r="F2138" s="28" t="str">
        <f aca="false">IF(C2138="","",IF(OR(C2138="1. bekkur",C2138="2. bekkur",C2138="3. bekkur",C2138="4. bekkur"),"Já",IF(C2138="Starfsmaður","Nei","Nei")))</f>
        <v/>
      </c>
      <c r="G2138" s="63"/>
      <c r="H2138" s="63"/>
      <c r="I2138" s="63"/>
      <c r="J2138" s="64" t="str">
        <f aca="false">IF(OR(A2138="",B2138=""),"",CONCATENATE("https://matarstund.is/serfaedi?id=",LOWER(SUBSTITUTE(B2138,"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64" t="str">
        <f aca="false">IF(OR(A2139="",B2139=""),"",CONCATENATE("https://matarstund.is/serfaedi?id=",LOWER(SUBSTITUTE(B2139," ","-"))))</f>
        <v/>
      </c>
    </row>
    <row r="2140" customFormat="false" ht="15" hidden="false" customHeight="true" outlineLevel="0" collapsed="false">
      <c r="A2140" s="63"/>
      <c r="B2140" s="63"/>
      <c r="C2140" s="63"/>
      <c r="D2140" s="63"/>
      <c r="E2140" s="63"/>
      <c r="F2140" s="28" t="str">
        <f aca="false">IF(C2140="","",IF(OR(C2140="1. bekkur",C2140="2. bekkur",C2140="3. bekkur",C2140="4. bekkur"),"Já",IF(C2140="Starfsmaður","Nei","Nei")))</f>
        <v/>
      </c>
      <c r="G2140" s="63"/>
      <c r="H2140" s="63"/>
      <c r="I2140" s="63"/>
      <c r="J2140" s="64" t="str">
        <f aca="false">IF(OR(A2140="",B2140=""),"",CONCATENATE("https://matarstund.is/serfaedi?id=",LOWER(SUBSTITUTE(B2140,"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64" t="str">
        <f aca="false">IF(OR(A2141="",B2141=""),"",CONCATENATE("https://matarstund.is/serfaedi?id=",LOWER(SUBSTITUTE(B2141," ","-"))))</f>
        <v/>
      </c>
    </row>
    <row r="2142" customFormat="false" ht="15" hidden="false" customHeight="true" outlineLevel="0" collapsed="false">
      <c r="A2142" s="63"/>
      <c r="B2142" s="63"/>
      <c r="C2142" s="63"/>
      <c r="D2142" s="63"/>
      <c r="E2142" s="63"/>
      <c r="F2142" s="28" t="str">
        <f aca="false">IF(C2142="","",IF(OR(C2142="1. bekkur",C2142="2. bekkur",C2142="3. bekkur",C2142="4. bekkur"),"Já",IF(C2142="Starfsmaður","Nei","Nei")))</f>
        <v/>
      </c>
      <c r="G2142" s="63"/>
      <c r="H2142" s="63"/>
      <c r="I2142" s="63"/>
      <c r="J2142" s="64" t="str">
        <f aca="false">IF(OR(A2142="",B2142=""),"",CONCATENATE("https://matarstund.is/serfaedi?id=",LOWER(SUBSTITUTE(B2142,"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64" t="str">
        <f aca="false">IF(OR(A2143="",B2143=""),"",CONCATENATE("https://matarstund.is/serfaedi?id=",LOWER(SUBSTITUTE(B2143," ","-"))))</f>
        <v/>
      </c>
    </row>
    <row r="2144" customFormat="false" ht="15" hidden="false" customHeight="true" outlineLevel="0" collapsed="false">
      <c r="A2144" s="63"/>
      <c r="B2144" s="63"/>
      <c r="C2144" s="63"/>
      <c r="D2144" s="63"/>
      <c r="E2144" s="63"/>
      <c r="F2144" s="28" t="str">
        <f aca="false">IF(C2144="","",IF(OR(C2144="1. bekkur",C2144="2. bekkur",C2144="3. bekkur",C2144="4. bekkur"),"Já",IF(C2144="Starfsmaður","Nei","Nei")))</f>
        <v/>
      </c>
      <c r="G2144" s="63"/>
      <c r="H2144" s="63"/>
      <c r="I2144" s="63"/>
      <c r="J2144" s="64" t="str">
        <f aca="false">IF(OR(A2144="",B2144=""),"",CONCATENATE("https://matarstund.is/serfaedi?id=",LOWER(SUBSTITUTE(B2144,"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64" t="str">
        <f aca="false">IF(OR(A2145="",B2145=""),"",CONCATENATE("https://matarstund.is/serfaedi?id=",LOWER(SUBSTITUTE(B2145," ","-"))))</f>
        <v/>
      </c>
    </row>
    <row r="2146" customFormat="false" ht="15" hidden="false" customHeight="true" outlineLevel="0" collapsed="false">
      <c r="A2146" s="63"/>
      <c r="B2146" s="63"/>
      <c r="C2146" s="63"/>
      <c r="D2146" s="63"/>
      <c r="E2146" s="63"/>
      <c r="F2146" s="28" t="str">
        <f aca="false">IF(C2146="","",IF(OR(C2146="1. bekkur",C2146="2. bekkur",C2146="3. bekkur",C2146="4. bekkur"),"Já",IF(C2146="Starfsmaður","Nei","Nei")))</f>
        <v/>
      </c>
      <c r="G2146" s="63"/>
      <c r="H2146" s="63"/>
      <c r="I2146" s="63"/>
      <c r="J2146" s="64" t="str">
        <f aca="false">IF(OR(A2146="",B2146=""),"",CONCATENATE("https://matarstund.is/serfaedi?id=",LOWER(SUBSTITUTE(B2146,"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64" t="str">
        <f aca="false">IF(OR(A2147="",B2147=""),"",CONCATENATE("https://matarstund.is/serfaedi?id=",LOWER(SUBSTITUTE(B2147," ","-"))))</f>
        <v/>
      </c>
    </row>
    <row r="2148" customFormat="false" ht="15" hidden="false" customHeight="true" outlineLevel="0" collapsed="false">
      <c r="A2148" s="63"/>
      <c r="B2148" s="63"/>
      <c r="C2148" s="63"/>
      <c r="D2148" s="63"/>
      <c r="E2148" s="63"/>
      <c r="F2148" s="28" t="str">
        <f aca="false">IF(C2148="","",IF(OR(C2148="1. bekkur",C2148="2. bekkur",C2148="3. bekkur",C2148="4. bekkur"),"Já",IF(C2148="Starfsmaður","Nei","Nei")))</f>
        <v/>
      </c>
      <c r="G2148" s="63"/>
      <c r="H2148" s="63"/>
      <c r="I2148" s="63"/>
      <c r="J2148" s="64" t="str">
        <f aca="false">IF(OR(A2148="",B2148=""),"",CONCATENATE("https://matarstund.is/serfaedi?id=",LOWER(SUBSTITUTE(B2148,"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64" t="str">
        <f aca="false">IF(OR(A2149="",B2149=""),"",CONCATENATE("https://matarstund.is/serfaedi?id=",LOWER(SUBSTITUTE(B2149," ","-"))))</f>
        <v/>
      </c>
    </row>
    <row r="2150" customFormat="false" ht="15" hidden="false" customHeight="true" outlineLevel="0" collapsed="false">
      <c r="A2150" s="63"/>
      <c r="B2150" s="63"/>
      <c r="C2150" s="63"/>
      <c r="D2150" s="63"/>
      <c r="E2150" s="63"/>
      <c r="F2150" s="28" t="str">
        <f aca="false">IF(C2150="","",IF(OR(C2150="1. bekkur",C2150="2. bekkur",C2150="3. bekkur",C2150="4. bekkur"),"Já",IF(C2150="Starfsmaður","Nei","Nei")))</f>
        <v/>
      </c>
      <c r="G2150" s="63"/>
      <c r="H2150" s="63"/>
      <c r="I2150" s="63"/>
      <c r="J2150" s="64" t="str">
        <f aca="false">IF(OR(A2150="",B2150=""),"",CONCATENATE("https://matarstund.is/serfaedi?id=",LOWER(SUBSTITUTE(B2150,"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64" t="str">
        <f aca="false">IF(OR(A2151="",B2151=""),"",CONCATENATE("https://matarstund.is/serfaedi?id=",LOWER(SUBSTITUTE(B2151," ","-"))))</f>
        <v/>
      </c>
    </row>
    <row r="2152" customFormat="false" ht="15" hidden="false" customHeight="true" outlineLevel="0" collapsed="false">
      <c r="A2152" s="63"/>
      <c r="B2152" s="63"/>
      <c r="C2152" s="63"/>
      <c r="D2152" s="63"/>
      <c r="E2152" s="63"/>
      <c r="F2152" s="28" t="str">
        <f aca="false">IF(C2152="","",IF(OR(C2152="1. bekkur",C2152="2. bekkur",C2152="3. bekkur",C2152="4. bekkur"),"Já",IF(C2152="Starfsmaður","Nei","Nei")))</f>
        <v/>
      </c>
      <c r="G2152" s="63"/>
      <c r="H2152" s="63"/>
      <c r="I2152" s="63"/>
      <c r="J2152" s="64" t="str">
        <f aca="false">IF(OR(A2152="",B2152=""),"",CONCATENATE("https://matarstund.is/serfaedi?id=",LOWER(SUBSTITUTE(B2152,"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64" t="str">
        <f aca="false">IF(OR(A2153="",B2153=""),"",CONCATENATE("https://matarstund.is/serfaedi?id=",LOWER(SUBSTITUTE(B2153," ","-"))))</f>
        <v/>
      </c>
    </row>
    <row r="2154" customFormat="false" ht="15" hidden="false" customHeight="true" outlineLevel="0" collapsed="false">
      <c r="A2154" s="63"/>
      <c r="B2154" s="63"/>
      <c r="C2154" s="63"/>
      <c r="D2154" s="63"/>
      <c r="E2154" s="63"/>
      <c r="F2154" s="28" t="str">
        <f aca="false">IF(C2154="","",IF(OR(C2154="1. bekkur",C2154="2. bekkur",C2154="3. bekkur",C2154="4. bekkur"),"Já",IF(C2154="Starfsmaður","Nei","Nei")))</f>
        <v/>
      </c>
      <c r="G2154" s="63"/>
      <c r="H2154" s="63"/>
      <c r="I2154" s="63"/>
      <c r="J2154" s="64" t="str">
        <f aca="false">IF(OR(A2154="",B2154=""),"",CONCATENATE("https://matarstund.is/serfaedi?id=",LOWER(SUBSTITUTE(B2154,"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64" t="str">
        <f aca="false">IF(OR(A2155="",B2155=""),"",CONCATENATE("https://matarstund.is/serfaedi?id=",LOWER(SUBSTITUTE(B2155," ","-"))))</f>
        <v/>
      </c>
    </row>
    <row r="2156" customFormat="false" ht="15" hidden="false" customHeight="true" outlineLevel="0" collapsed="false">
      <c r="A2156" s="63"/>
      <c r="B2156" s="63"/>
      <c r="C2156" s="63"/>
      <c r="D2156" s="63"/>
      <c r="E2156" s="63"/>
      <c r="F2156" s="28" t="str">
        <f aca="false">IF(C2156="","",IF(OR(C2156="1. bekkur",C2156="2. bekkur",C2156="3. bekkur",C2156="4. bekkur"),"Já",IF(C2156="Starfsmaður","Nei","Nei")))</f>
        <v/>
      </c>
      <c r="G2156" s="63"/>
      <c r="H2156" s="63"/>
      <c r="I2156" s="63"/>
      <c r="J2156" s="64" t="str">
        <f aca="false">IF(OR(A2156="",B2156=""),"",CONCATENATE("https://matarstund.is/serfaedi?id=",LOWER(SUBSTITUTE(B2156,"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64" t="str">
        <f aca="false">IF(OR(A2157="",B2157=""),"",CONCATENATE("https://matarstund.is/serfaedi?id=",LOWER(SUBSTITUTE(B2157," ","-"))))</f>
        <v/>
      </c>
    </row>
    <row r="2158" customFormat="false" ht="15" hidden="false" customHeight="true" outlineLevel="0" collapsed="false">
      <c r="A2158" s="63"/>
      <c r="B2158" s="63"/>
      <c r="C2158" s="63"/>
      <c r="D2158" s="63"/>
      <c r="E2158" s="63"/>
      <c r="F2158" s="28" t="str">
        <f aca="false">IF(C2158="","",IF(OR(C2158="1. bekkur",C2158="2. bekkur",C2158="3. bekkur",C2158="4. bekkur"),"Já",IF(C2158="Starfsmaður","Nei","Nei")))</f>
        <v/>
      </c>
      <c r="G2158" s="63"/>
      <c r="H2158" s="63"/>
      <c r="I2158" s="63"/>
      <c r="J2158" s="64" t="str">
        <f aca="false">IF(OR(A2158="",B2158=""),"",CONCATENATE("https://matarstund.is/serfaedi?id=",LOWER(SUBSTITUTE(B2158,"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64" t="str">
        <f aca="false">IF(OR(A2159="",B2159=""),"",CONCATENATE("https://matarstund.is/serfaedi?id=",LOWER(SUBSTITUTE(B2159," ","-"))))</f>
        <v/>
      </c>
    </row>
    <row r="2160" customFormat="false" ht="15" hidden="false" customHeight="true" outlineLevel="0" collapsed="false">
      <c r="A2160" s="63"/>
      <c r="B2160" s="63"/>
      <c r="C2160" s="63"/>
      <c r="D2160" s="63"/>
      <c r="E2160" s="63"/>
      <c r="F2160" s="28" t="str">
        <f aca="false">IF(C2160="","",IF(OR(C2160="1. bekkur",C2160="2. bekkur",C2160="3. bekkur",C2160="4. bekkur"),"Já",IF(C2160="Starfsmaður","Nei","Nei")))</f>
        <v/>
      </c>
      <c r="G2160" s="63"/>
      <c r="H2160" s="63"/>
      <c r="I2160" s="63"/>
      <c r="J2160" s="64" t="str">
        <f aca="false">IF(OR(A2160="",B2160=""),"",CONCATENATE("https://matarstund.is/serfaedi?id=",LOWER(SUBSTITUTE(B2160,"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64" t="str">
        <f aca="false">IF(OR(A2161="",B2161=""),"",CONCATENATE("https://matarstund.is/serfaedi?id=",LOWER(SUBSTITUTE(B2161," ","-"))))</f>
        <v/>
      </c>
    </row>
    <row r="2162" customFormat="false" ht="15" hidden="false" customHeight="true" outlineLevel="0" collapsed="false">
      <c r="A2162" s="63"/>
      <c r="B2162" s="63"/>
      <c r="C2162" s="63"/>
      <c r="D2162" s="63"/>
      <c r="E2162" s="63"/>
      <c r="F2162" s="28" t="str">
        <f aca="false">IF(C2162="","",IF(OR(C2162="1. bekkur",C2162="2. bekkur",C2162="3. bekkur",C2162="4. bekkur"),"Já",IF(C2162="Starfsmaður","Nei","Nei")))</f>
        <v/>
      </c>
      <c r="G2162" s="63"/>
      <c r="H2162" s="63"/>
      <c r="I2162" s="63"/>
      <c r="J2162" s="64" t="str">
        <f aca="false">IF(OR(A2162="",B2162=""),"",CONCATENATE("https://matarstund.is/serfaedi?id=",LOWER(SUBSTITUTE(B2162,"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64" t="str">
        <f aca="false">IF(OR(A2163="",B2163=""),"",CONCATENATE("https://matarstund.is/serfaedi?id=",LOWER(SUBSTITUTE(B2163," ","-"))))</f>
        <v/>
      </c>
    </row>
    <row r="2164" customFormat="false" ht="15" hidden="false" customHeight="true" outlineLevel="0" collapsed="false">
      <c r="A2164" s="63"/>
      <c r="B2164" s="63"/>
      <c r="C2164" s="63"/>
      <c r="D2164" s="63"/>
      <c r="E2164" s="63"/>
      <c r="F2164" s="28" t="str">
        <f aca="false">IF(C2164="","",IF(OR(C2164="1. bekkur",C2164="2. bekkur",C2164="3. bekkur",C2164="4. bekkur"),"Já",IF(C2164="Starfsmaður","Nei","Nei")))</f>
        <v/>
      </c>
      <c r="G2164" s="63"/>
      <c r="H2164" s="63"/>
      <c r="I2164" s="63"/>
      <c r="J2164" s="64" t="str">
        <f aca="false">IF(OR(A2164="",B2164=""),"",CONCATENATE("https://matarstund.is/serfaedi?id=",LOWER(SUBSTITUTE(B2164,"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64" t="str">
        <f aca="false">IF(OR(A2165="",B2165=""),"",CONCATENATE("https://matarstund.is/serfaedi?id=",LOWER(SUBSTITUTE(B2165," ","-"))))</f>
        <v/>
      </c>
    </row>
    <row r="2166" customFormat="false" ht="15" hidden="false" customHeight="true" outlineLevel="0" collapsed="false">
      <c r="A2166" s="63"/>
      <c r="B2166" s="63"/>
      <c r="C2166" s="63"/>
      <c r="D2166" s="63"/>
      <c r="E2166" s="63"/>
      <c r="F2166" s="28" t="str">
        <f aca="false">IF(C2166="","",IF(OR(C2166="1. bekkur",C2166="2. bekkur",C2166="3. bekkur",C2166="4. bekkur"),"Já",IF(C2166="Starfsmaður","Nei","Nei")))</f>
        <v/>
      </c>
      <c r="G2166" s="63"/>
      <c r="H2166" s="63"/>
      <c r="I2166" s="63"/>
      <c r="J2166" s="64" t="str">
        <f aca="false">IF(OR(A2166="",B2166=""),"",CONCATENATE("https://matarstund.is/serfaedi?id=",LOWER(SUBSTITUTE(B2166,"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64" t="str">
        <f aca="false">IF(OR(A2167="",B2167=""),"",CONCATENATE("https://matarstund.is/serfaedi?id=",LOWER(SUBSTITUTE(B2167," ","-"))))</f>
        <v/>
      </c>
    </row>
    <row r="2168" customFormat="false" ht="15" hidden="false" customHeight="true" outlineLevel="0" collapsed="false">
      <c r="A2168" s="63"/>
      <c r="B2168" s="63"/>
      <c r="C2168" s="63"/>
      <c r="D2168" s="63"/>
      <c r="E2168" s="63"/>
      <c r="F2168" s="28" t="str">
        <f aca="false">IF(C2168="","",IF(OR(C2168="1. bekkur",C2168="2. bekkur",C2168="3. bekkur",C2168="4. bekkur"),"Já",IF(C2168="Starfsmaður","Nei","Nei")))</f>
        <v/>
      </c>
      <c r="G2168" s="63"/>
      <c r="H2168" s="63"/>
      <c r="I2168" s="63"/>
      <c r="J2168" s="64" t="str">
        <f aca="false">IF(OR(A2168="",B2168=""),"",CONCATENATE("https://matarstund.is/serfaedi?id=",LOWER(SUBSTITUTE(B2168,"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64" t="str">
        <f aca="false">IF(OR(A2169="",B2169=""),"",CONCATENATE("https://matarstund.is/serfaedi?id=",LOWER(SUBSTITUTE(B2169," ","-"))))</f>
        <v/>
      </c>
    </row>
    <row r="2170" customFormat="false" ht="15" hidden="false" customHeight="true" outlineLevel="0" collapsed="false">
      <c r="A2170" s="63"/>
      <c r="B2170" s="63"/>
      <c r="C2170" s="63"/>
      <c r="D2170" s="63"/>
      <c r="E2170" s="63"/>
      <c r="F2170" s="28" t="str">
        <f aca="false">IF(C2170="","",IF(OR(C2170="1. bekkur",C2170="2. bekkur",C2170="3. bekkur",C2170="4. bekkur"),"Já",IF(C2170="Starfsmaður","Nei","Nei")))</f>
        <v/>
      </c>
      <c r="G2170" s="63"/>
      <c r="H2170" s="63"/>
      <c r="I2170" s="63"/>
      <c r="J2170" s="64" t="str">
        <f aca="false">IF(OR(A2170="",B2170=""),"",CONCATENATE("https://matarstund.is/serfaedi?id=",LOWER(SUBSTITUTE(B2170,"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64" t="str">
        <f aca="false">IF(OR(A2171="",B2171=""),"",CONCATENATE("https://matarstund.is/serfaedi?id=",LOWER(SUBSTITUTE(B2171," ","-"))))</f>
        <v/>
      </c>
    </row>
    <row r="2172" customFormat="false" ht="15" hidden="false" customHeight="true" outlineLevel="0" collapsed="false">
      <c r="A2172" s="63"/>
      <c r="B2172" s="63"/>
      <c r="C2172" s="63"/>
      <c r="D2172" s="63"/>
      <c r="E2172" s="63"/>
      <c r="F2172" s="28" t="str">
        <f aca="false">IF(C2172="","",IF(OR(C2172="1. bekkur",C2172="2. bekkur",C2172="3. bekkur",C2172="4. bekkur"),"Já",IF(C2172="Starfsmaður","Nei","Nei")))</f>
        <v/>
      </c>
      <c r="G2172" s="63"/>
      <c r="H2172" s="63"/>
      <c r="I2172" s="63"/>
      <c r="J2172" s="64" t="str">
        <f aca="false">IF(OR(A2172="",B2172=""),"",CONCATENATE("https://matarstund.is/serfaedi?id=",LOWER(SUBSTITUTE(B2172,"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64" t="str">
        <f aca="false">IF(OR(A2173="",B2173=""),"",CONCATENATE("https://matarstund.is/serfaedi?id=",LOWER(SUBSTITUTE(B2173," ","-"))))</f>
        <v/>
      </c>
    </row>
    <row r="2174" customFormat="false" ht="15" hidden="false" customHeight="true" outlineLevel="0" collapsed="false">
      <c r="A2174" s="63"/>
      <c r="B2174" s="63"/>
      <c r="C2174" s="63"/>
      <c r="D2174" s="63"/>
      <c r="E2174" s="63"/>
      <c r="F2174" s="28" t="str">
        <f aca="false">IF(C2174="","",IF(OR(C2174="1. bekkur",C2174="2. bekkur",C2174="3. bekkur",C2174="4. bekkur"),"Já",IF(C2174="Starfsmaður","Nei","Nei")))</f>
        <v/>
      </c>
      <c r="G2174" s="63"/>
      <c r="H2174" s="63"/>
      <c r="I2174" s="63"/>
      <c r="J2174" s="64" t="str">
        <f aca="false">IF(OR(A2174="",B2174=""),"",CONCATENATE("https://matarstund.is/serfaedi?id=",LOWER(SUBSTITUTE(B2174,"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64" t="str">
        <f aca="false">IF(OR(A2175="",B2175=""),"",CONCATENATE("https://matarstund.is/serfaedi?id=",LOWER(SUBSTITUTE(B2175," ","-"))))</f>
        <v/>
      </c>
    </row>
    <row r="2176" customFormat="false" ht="15" hidden="false" customHeight="true" outlineLevel="0" collapsed="false">
      <c r="A2176" s="63"/>
      <c r="B2176" s="63"/>
      <c r="C2176" s="63"/>
      <c r="D2176" s="63"/>
      <c r="E2176" s="63"/>
      <c r="F2176" s="28" t="str">
        <f aca="false">IF(C2176="","",IF(OR(C2176="1. bekkur",C2176="2. bekkur",C2176="3. bekkur",C2176="4. bekkur"),"Já",IF(C2176="Starfsmaður","Nei","Nei")))</f>
        <v/>
      </c>
      <c r="G2176" s="63"/>
      <c r="H2176" s="63"/>
      <c r="I2176" s="63"/>
      <c r="J2176" s="64" t="str">
        <f aca="false">IF(OR(A2176="",B2176=""),"",CONCATENATE("https://matarstund.is/serfaedi?id=",LOWER(SUBSTITUTE(B2176,"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64" t="str">
        <f aca="false">IF(OR(A2177="",B2177=""),"",CONCATENATE("https://matarstund.is/serfaedi?id=",LOWER(SUBSTITUTE(B2177," ","-"))))</f>
        <v/>
      </c>
    </row>
    <row r="2178" customFormat="false" ht="15" hidden="false" customHeight="true" outlineLevel="0" collapsed="false">
      <c r="A2178" s="63"/>
      <c r="B2178" s="63"/>
      <c r="C2178" s="63"/>
      <c r="D2178" s="63"/>
      <c r="E2178" s="63"/>
      <c r="F2178" s="28" t="str">
        <f aca="false">IF(C2178="","",IF(OR(C2178="1. bekkur",C2178="2. bekkur",C2178="3. bekkur",C2178="4. bekkur"),"Já",IF(C2178="Starfsmaður","Nei","Nei")))</f>
        <v/>
      </c>
      <c r="G2178" s="63"/>
      <c r="H2178" s="63"/>
      <c r="I2178" s="63"/>
      <c r="J2178" s="64" t="str">
        <f aca="false">IF(OR(A2178="",B2178=""),"",CONCATENATE("https://matarstund.is/serfaedi?id=",LOWER(SUBSTITUTE(B2178,"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64" t="str">
        <f aca="false">IF(OR(A2179="",B2179=""),"",CONCATENATE("https://matarstund.is/serfaedi?id=",LOWER(SUBSTITUTE(B2179," ","-"))))</f>
        <v/>
      </c>
    </row>
    <row r="2180" customFormat="false" ht="15" hidden="false" customHeight="true" outlineLevel="0" collapsed="false">
      <c r="A2180" s="63"/>
      <c r="B2180" s="63"/>
      <c r="C2180" s="63"/>
      <c r="D2180" s="63"/>
      <c r="E2180" s="63"/>
      <c r="F2180" s="28" t="str">
        <f aca="false">IF(C2180="","",IF(OR(C2180="1. bekkur",C2180="2. bekkur",C2180="3. bekkur",C2180="4. bekkur"),"Já",IF(C2180="Starfsmaður","Nei","Nei")))</f>
        <v/>
      </c>
      <c r="G2180" s="63"/>
      <c r="H2180" s="63"/>
      <c r="I2180" s="63"/>
      <c r="J2180" s="64" t="str">
        <f aca="false">IF(OR(A2180="",B2180=""),"",CONCATENATE("https://matarstund.is/serfaedi?id=",LOWER(SUBSTITUTE(B2180,"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64" t="str">
        <f aca="false">IF(OR(A2181="",B2181=""),"",CONCATENATE("https://matarstund.is/serfaedi?id=",LOWER(SUBSTITUTE(B2181," ","-"))))</f>
        <v/>
      </c>
    </row>
    <row r="2182" customFormat="false" ht="15" hidden="false" customHeight="true" outlineLevel="0" collapsed="false">
      <c r="A2182" s="63"/>
      <c r="B2182" s="63"/>
      <c r="C2182" s="63"/>
      <c r="D2182" s="63"/>
      <c r="E2182" s="63"/>
      <c r="F2182" s="28" t="str">
        <f aca="false">IF(C2182="","",IF(OR(C2182="1. bekkur",C2182="2. bekkur",C2182="3. bekkur",C2182="4. bekkur"),"Já",IF(C2182="Starfsmaður","Nei","Nei")))</f>
        <v/>
      </c>
      <c r="G2182" s="63"/>
      <c r="H2182" s="63"/>
      <c r="I2182" s="63"/>
      <c r="J2182" s="64" t="str">
        <f aca="false">IF(OR(A2182="",B2182=""),"",CONCATENATE("https://matarstund.is/serfaedi?id=",LOWER(SUBSTITUTE(B2182,"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64" t="str">
        <f aca="false">IF(OR(A2183="",B2183=""),"",CONCATENATE("https://matarstund.is/serfaedi?id=",LOWER(SUBSTITUTE(B2183," ","-"))))</f>
        <v/>
      </c>
    </row>
    <row r="2184" customFormat="false" ht="15" hidden="false" customHeight="true" outlineLevel="0" collapsed="false">
      <c r="A2184" s="63"/>
      <c r="B2184" s="63"/>
      <c r="C2184" s="63"/>
      <c r="D2184" s="63"/>
      <c r="E2184" s="63"/>
      <c r="F2184" s="28" t="str">
        <f aca="false">IF(C2184="","",IF(OR(C2184="1. bekkur",C2184="2. bekkur",C2184="3. bekkur",C2184="4. bekkur"),"Já",IF(C2184="Starfsmaður","Nei","Nei")))</f>
        <v/>
      </c>
      <c r="G2184" s="63"/>
      <c r="H2184" s="63"/>
      <c r="I2184" s="63"/>
      <c r="J2184" s="64" t="str">
        <f aca="false">IF(OR(A2184="",B2184=""),"",CONCATENATE("https://matarstund.is/serfaedi?id=",LOWER(SUBSTITUTE(B2184,"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64" t="str">
        <f aca="false">IF(OR(A2185="",B2185=""),"",CONCATENATE("https://matarstund.is/serfaedi?id=",LOWER(SUBSTITUTE(B2185," ","-"))))</f>
        <v/>
      </c>
    </row>
    <row r="2186" customFormat="false" ht="15" hidden="false" customHeight="true" outlineLevel="0" collapsed="false">
      <c r="A2186" s="63"/>
      <c r="B2186" s="63"/>
      <c r="C2186" s="63"/>
      <c r="D2186" s="63"/>
      <c r="E2186" s="63"/>
      <c r="F2186" s="28" t="str">
        <f aca="false">IF(C2186="","",IF(OR(C2186="1. bekkur",C2186="2. bekkur",C2186="3. bekkur",C2186="4. bekkur"),"Já",IF(C2186="Starfsmaður","Nei","Nei")))</f>
        <v/>
      </c>
      <c r="G2186" s="63"/>
      <c r="H2186" s="63"/>
      <c r="I2186" s="63"/>
      <c r="J2186" s="64" t="str">
        <f aca="false">IF(OR(A2186="",B2186=""),"",CONCATENATE("https://matarstund.is/serfaedi?id=",LOWER(SUBSTITUTE(B2186,"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64" t="str">
        <f aca="false">IF(OR(A2187="",B2187=""),"",CONCATENATE("https://matarstund.is/serfaedi?id=",LOWER(SUBSTITUTE(B2187," ","-"))))</f>
        <v/>
      </c>
    </row>
    <row r="2188" customFormat="false" ht="15" hidden="false" customHeight="true" outlineLevel="0" collapsed="false">
      <c r="A2188" s="63"/>
      <c r="B2188" s="63"/>
      <c r="C2188" s="63"/>
      <c r="D2188" s="63"/>
      <c r="E2188" s="63"/>
      <c r="F2188" s="28" t="str">
        <f aca="false">IF(C2188="","",IF(OR(C2188="1. bekkur",C2188="2. bekkur",C2188="3. bekkur",C2188="4. bekkur"),"Já",IF(C2188="Starfsmaður","Nei","Nei")))</f>
        <v/>
      </c>
      <c r="G2188" s="63"/>
      <c r="H2188" s="63"/>
      <c r="I2188" s="63"/>
      <c r="J2188" s="64" t="str">
        <f aca="false">IF(OR(A2188="",B2188=""),"",CONCATENATE("https://matarstund.is/serfaedi?id=",LOWER(SUBSTITUTE(B2188,"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64" t="str">
        <f aca="false">IF(OR(A2189="",B2189=""),"",CONCATENATE("https://matarstund.is/serfaedi?id=",LOWER(SUBSTITUTE(B2189," ","-"))))</f>
        <v/>
      </c>
    </row>
    <row r="2190" customFormat="false" ht="15" hidden="false" customHeight="true" outlineLevel="0" collapsed="false">
      <c r="A2190" s="63"/>
      <c r="B2190" s="63"/>
      <c r="C2190" s="63"/>
      <c r="D2190" s="63"/>
      <c r="E2190" s="63"/>
      <c r="F2190" s="28" t="str">
        <f aca="false">IF(C2190="","",IF(OR(C2190="1. bekkur",C2190="2. bekkur",C2190="3. bekkur",C2190="4. bekkur"),"Já",IF(C2190="Starfsmaður","Nei","Nei")))</f>
        <v/>
      </c>
      <c r="G2190" s="63"/>
      <c r="H2190" s="63"/>
      <c r="I2190" s="63"/>
      <c r="J2190" s="64" t="str">
        <f aca="false">IF(OR(A2190="",B2190=""),"",CONCATENATE("https://matarstund.is/serfaedi?id=",LOWER(SUBSTITUTE(B2190,"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64" t="str">
        <f aca="false">IF(OR(A2191="",B2191=""),"",CONCATENATE("https://matarstund.is/serfaedi?id=",LOWER(SUBSTITUTE(B2191," ","-"))))</f>
        <v/>
      </c>
    </row>
    <row r="2192" customFormat="false" ht="15" hidden="false" customHeight="true" outlineLevel="0" collapsed="false">
      <c r="A2192" s="63"/>
      <c r="B2192" s="63"/>
      <c r="C2192" s="63"/>
      <c r="D2192" s="63"/>
      <c r="E2192" s="63"/>
      <c r="F2192" s="28" t="str">
        <f aca="false">IF(C2192="","",IF(OR(C2192="1. bekkur",C2192="2. bekkur",C2192="3. bekkur",C2192="4. bekkur"),"Já",IF(C2192="Starfsmaður","Nei","Nei")))</f>
        <v/>
      </c>
      <c r="G2192" s="63"/>
      <c r="H2192" s="63"/>
      <c r="I2192" s="63"/>
      <c r="J2192" s="64" t="str">
        <f aca="false">IF(OR(A2192="",B2192=""),"",CONCATENATE("https://matarstund.is/serfaedi?id=",LOWER(SUBSTITUTE(B2192,"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64" t="str">
        <f aca="false">IF(OR(A2193="",B2193=""),"",CONCATENATE("https://matarstund.is/serfaedi?id=",LOWER(SUBSTITUTE(B2193," ","-"))))</f>
        <v/>
      </c>
    </row>
    <row r="2194" customFormat="false" ht="15" hidden="false" customHeight="true" outlineLevel="0" collapsed="false">
      <c r="A2194" s="63"/>
      <c r="B2194" s="63"/>
      <c r="C2194" s="63"/>
      <c r="D2194" s="63"/>
      <c r="E2194" s="63"/>
      <c r="F2194" s="28" t="str">
        <f aca="false">IF(C2194="","",IF(OR(C2194="1. bekkur",C2194="2. bekkur",C2194="3. bekkur",C2194="4. bekkur"),"Já",IF(C2194="Starfsmaður","Nei","Nei")))</f>
        <v/>
      </c>
      <c r="G2194" s="63"/>
      <c r="H2194" s="63"/>
      <c r="I2194" s="63"/>
      <c r="J2194" s="64" t="str">
        <f aca="false">IF(OR(A2194="",B2194=""),"",CONCATENATE("https://matarstund.is/serfaedi?id=",LOWER(SUBSTITUTE(B2194,"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64" t="str">
        <f aca="false">IF(OR(A2195="",B2195=""),"",CONCATENATE("https://matarstund.is/serfaedi?id=",LOWER(SUBSTITUTE(B2195," ","-"))))</f>
        <v/>
      </c>
    </row>
    <row r="2196" customFormat="false" ht="15" hidden="false" customHeight="true" outlineLevel="0" collapsed="false">
      <c r="A2196" s="63"/>
      <c r="B2196" s="63"/>
      <c r="C2196" s="63"/>
      <c r="D2196" s="63"/>
      <c r="E2196" s="63"/>
      <c r="F2196" s="28" t="str">
        <f aca="false">IF(C2196="","",IF(OR(C2196="1. bekkur",C2196="2. bekkur",C2196="3. bekkur",C2196="4. bekkur"),"Já",IF(C2196="Starfsmaður","Nei","Nei")))</f>
        <v/>
      </c>
      <c r="G2196" s="63"/>
      <c r="H2196" s="63"/>
      <c r="I2196" s="63"/>
      <c r="J2196" s="64" t="str">
        <f aca="false">IF(OR(A2196="",B2196=""),"",CONCATENATE("https://matarstund.is/serfaedi?id=",LOWER(SUBSTITUTE(B2196,"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64" t="str">
        <f aca="false">IF(OR(A2197="",B2197=""),"",CONCATENATE("https://matarstund.is/serfaedi?id=",LOWER(SUBSTITUTE(B2197," ","-"))))</f>
        <v/>
      </c>
    </row>
    <row r="2198" customFormat="false" ht="15" hidden="false" customHeight="true" outlineLevel="0" collapsed="false">
      <c r="A2198" s="63"/>
      <c r="B2198" s="63"/>
      <c r="C2198" s="63"/>
      <c r="D2198" s="63"/>
      <c r="E2198" s="63"/>
      <c r="F2198" s="28" t="str">
        <f aca="false">IF(C2198="","",IF(OR(C2198="1. bekkur",C2198="2. bekkur",C2198="3. bekkur",C2198="4. bekkur"),"Já",IF(C2198="Starfsmaður","Nei","Nei")))</f>
        <v/>
      </c>
      <c r="G2198" s="63"/>
      <c r="H2198" s="63"/>
      <c r="I2198" s="63"/>
      <c r="J2198" s="64" t="str">
        <f aca="false">IF(OR(A2198="",B2198=""),"",CONCATENATE("https://matarstund.is/serfaedi?id=",LOWER(SUBSTITUTE(B2198,"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64" t="str">
        <f aca="false">IF(OR(A2199="",B2199=""),"",CONCATENATE("https://matarstund.is/serfaedi?id=",LOWER(SUBSTITUTE(B2199," ","-"))))</f>
        <v/>
      </c>
    </row>
    <row r="2200" customFormat="false" ht="15" hidden="false" customHeight="true" outlineLevel="0" collapsed="false">
      <c r="A2200" s="63"/>
      <c r="B2200" s="63"/>
      <c r="C2200" s="63"/>
      <c r="D2200" s="63"/>
      <c r="E2200" s="63"/>
      <c r="F2200" s="28" t="str">
        <f aca="false">IF(C2200="","",IF(OR(C2200="1. bekkur",C2200="2. bekkur",C2200="3. bekkur",C2200="4. bekkur"),"Já",IF(C2200="Starfsmaður","Nei","Nei")))</f>
        <v/>
      </c>
      <c r="G2200" s="63"/>
      <c r="H2200" s="63"/>
      <c r="I2200" s="63"/>
      <c r="J2200" s="64" t="str">
        <f aca="false">IF(OR(A2200="",B2200=""),"",CONCATENATE("https://matarstund.is/serfaedi?id=",LOWER(SUBSTITUTE(B2200,"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64" t="str">
        <f aca="false">IF(OR(A2201="",B2201=""),"",CONCATENATE("https://matarstund.is/serfaedi?id=",LOWER(SUBSTITUTE(B2201," ","-"))))</f>
        <v/>
      </c>
    </row>
    <row r="2202" customFormat="false" ht="15" hidden="false" customHeight="true" outlineLevel="0" collapsed="false">
      <c r="A2202" s="63"/>
      <c r="B2202" s="63"/>
      <c r="C2202" s="63"/>
      <c r="D2202" s="63"/>
      <c r="E2202" s="63"/>
      <c r="F2202" s="28" t="str">
        <f aca="false">IF(C2202="","",IF(OR(C2202="1. bekkur",C2202="2. bekkur",C2202="3. bekkur",C2202="4. bekkur"),"Já",IF(C2202="Starfsmaður","Nei","Nei")))</f>
        <v/>
      </c>
      <c r="G2202" s="63"/>
      <c r="H2202" s="63"/>
      <c r="I2202" s="63"/>
      <c r="J2202" s="64" t="str">
        <f aca="false">IF(OR(A2202="",B2202=""),"",CONCATENATE("https://matarstund.is/serfaedi?id=",LOWER(SUBSTITUTE(B2202,"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64" t="str">
        <f aca="false">IF(OR(A2203="",B2203=""),"",CONCATENATE("https://matarstund.is/serfaedi?id=",LOWER(SUBSTITUTE(B2203," ","-"))))</f>
        <v/>
      </c>
    </row>
    <row r="2204" customFormat="false" ht="15" hidden="false" customHeight="true" outlineLevel="0" collapsed="false">
      <c r="A2204" s="63"/>
      <c r="B2204" s="63"/>
      <c r="C2204" s="63"/>
      <c r="D2204" s="63"/>
      <c r="E2204" s="63"/>
      <c r="F2204" s="28" t="str">
        <f aca="false">IF(C2204="","",IF(OR(C2204="1. bekkur",C2204="2. bekkur",C2204="3. bekkur",C2204="4. bekkur"),"Já",IF(C2204="Starfsmaður","Nei","Nei")))</f>
        <v/>
      </c>
      <c r="G2204" s="63"/>
      <c r="H2204" s="63"/>
      <c r="I2204" s="63"/>
      <c r="J2204" s="64" t="str">
        <f aca="false">IF(OR(A2204="",B2204=""),"",CONCATENATE("https://matarstund.is/serfaedi?id=",LOWER(SUBSTITUTE(B2204,"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64" t="str">
        <f aca="false">IF(OR(A2205="",B2205=""),"",CONCATENATE("https://matarstund.is/serfaedi?id=",LOWER(SUBSTITUTE(B2205," ","-"))))</f>
        <v/>
      </c>
    </row>
    <row r="2206" customFormat="false" ht="15" hidden="false" customHeight="true" outlineLevel="0" collapsed="false">
      <c r="A2206" s="63"/>
      <c r="B2206" s="63"/>
      <c r="C2206" s="63"/>
      <c r="D2206" s="63"/>
      <c r="E2206" s="63"/>
      <c r="F2206" s="28" t="str">
        <f aca="false">IF(C2206="","",IF(OR(C2206="1. bekkur",C2206="2. bekkur",C2206="3. bekkur",C2206="4. bekkur"),"Já",IF(C2206="Starfsmaður","Nei","Nei")))</f>
        <v/>
      </c>
      <c r="G2206" s="63"/>
      <c r="H2206" s="63"/>
      <c r="I2206" s="63"/>
      <c r="J2206" s="64" t="str">
        <f aca="false">IF(OR(A2206="",B2206=""),"",CONCATENATE("https://matarstund.is/serfaedi?id=",LOWER(SUBSTITUTE(B2206,"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64" t="str">
        <f aca="false">IF(OR(A2207="",B2207=""),"",CONCATENATE("https://matarstund.is/serfaedi?id=",LOWER(SUBSTITUTE(B2207," ","-"))))</f>
        <v/>
      </c>
    </row>
    <row r="2208" customFormat="false" ht="15" hidden="false" customHeight="true" outlineLevel="0" collapsed="false">
      <c r="A2208" s="63"/>
      <c r="B2208" s="63"/>
      <c r="C2208" s="63"/>
      <c r="D2208" s="63"/>
      <c r="E2208" s="63"/>
      <c r="F2208" s="28" t="str">
        <f aca="false">IF(C2208="","",IF(OR(C2208="1. bekkur",C2208="2. bekkur",C2208="3. bekkur",C2208="4. bekkur"),"Já",IF(C2208="Starfsmaður","Nei","Nei")))</f>
        <v/>
      </c>
      <c r="G2208" s="63"/>
      <c r="H2208" s="63"/>
      <c r="I2208" s="63"/>
      <c r="J2208" s="64" t="str">
        <f aca="false">IF(OR(A2208="",B2208=""),"",CONCATENATE("https://matarstund.is/serfaedi?id=",LOWER(SUBSTITUTE(B2208,"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64" t="str">
        <f aca="false">IF(OR(A2209="",B2209=""),"",CONCATENATE("https://matarstund.is/serfaedi?id=",LOWER(SUBSTITUTE(B2209," ","-"))))</f>
        <v/>
      </c>
    </row>
    <row r="2210" customFormat="false" ht="15" hidden="false" customHeight="true" outlineLevel="0" collapsed="false">
      <c r="A2210" s="63"/>
      <c r="B2210" s="63"/>
      <c r="C2210" s="63"/>
      <c r="D2210" s="63"/>
      <c r="E2210" s="63"/>
      <c r="F2210" s="28" t="str">
        <f aca="false">IF(C2210="","",IF(OR(C2210="1. bekkur",C2210="2. bekkur",C2210="3. bekkur",C2210="4. bekkur"),"Já",IF(C2210="Starfsmaður","Nei","Nei")))</f>
        <v/>
      </c>
      <c r="G2210" s="63"/>
      <c r="H2210" s="63"/>
      <c r="I2210" s="63"/>
      <c r="J2210" s="64" t="str">
        <f aca="false">IF(OR(A2210="",B2210=""),"",CONCATENATE("https://matarstund.is/serfaedi?id=",LOWER(SUBSTITUTE(B2210,"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64" t="str">
        <f aca="false">IF(OR(A2211="",B2211=""),"",CONCATENATE("https://matarstund.is/serfaedi?id=",LOWER(SUBSTITUTE(B2211," ","-"))))</f>
        <v/>
      </c>
    </row>
    <row r="2212" customFormat="false" ht="15" hidden="false" customHeight="true" outlineLevel="0" collapsed="false">
      <c r="A2212" s="63"/>
      <c r="B2212" s="63"/>
      <c r="C2212" s="63"/>
      <c r="D2212" s="63"/>
      <c r="E2212" s="63"/>
      <c r="F2212" s="28" t="str">
        <f aca="false">IF(C2212="","",IF(OR(C2212="1. bekkur",C2212="2. bekkur",C2212="3. bekkur",C2212="4. bekkur"),"Já",IF(C2212="Starfsmaður","Nei","Nei")))</f>
        <v/>
      </c>
      <c r="G2212" s="63"/>
      <c r="H2212" s="63"/>
      <c r="I2212" s="63"/>
      <c r="J2212" s="64" t="str">
        <f aca="false">IF(OR(A2212="",B2212=""),"",CONCATENATE("https://matarstund.is/serfaedi?id=",LOWER(SUBSTITUTE(B2212,"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64" t="str">
        <f aca="false">IF(OR(A2213="",B2213=""),"",CONCATENATE("https://matarstund.is/serfaedi?id=",LOWER(SUBSTITUTE(B2213," ","-"))))</f>
        <v/>
      </c>
    </row>
    <row r="2214" customFormat="false" ht="15" hidden="false" customHeight="true" outlineLevel="0" collapsed="false">
      <c r="A2214" s="63"/>
      <c r="B2214" s="63"/>
      <c r="C2214" s="63"/>
      <c r="D2214" s="63"/>
      <c r="E2214" s="63"/>
      <c r="F2214" s="28" t="str">
        <f aca="false">IF(C2214="","",IF(OR(C2214="1. bekkur",C2214="2. bekkur",C2214="3. bekkur",C2214="4. bekkur"),"Já",IF(C2214="Starfsmaður","Nei","Nei")))</f>
        <v/>
      </c>
      <c r="G2214" s="63"/>
      <c r="H2214" s="63"/>
      <c r="I2214" s="63"/>
      <c r="J2214" s="64" t="str">
        <f aca="false">IF(OR(A2214="",B2214=""),"",CONCATENATE("https://matarstund.is/serfaedi?id=",LOWER(SUBSTITUTE(B2214,"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64" t="str">
        <f aca="false">IF(OR(A2215="",B2215=""),"",CONCATENATE("https://matarstund.is/serfaedi?id=",LOWER(SUBSTITUTE(B2215," ","-"))))</f>
        <v/>
      </c>
    </row>
    <row r="2216" customFormat="false" ht="15" hidden="false" customHeight="true" outlineLevel="0" collapsed="false">
      <c r="A2216" s="63"/>
      <c r="B2216" s="63"/>
      <c r="C2216" s="63"/>
      <c r="D2216" s="63"/>
      <c r="E2216" s="63"/>
      <c r="F2216" s="28" t="str">
        <f aca="false">IF(C2216="","",IF(OR(C2216="1. bekkur",C2216="2. bekkur",C2216="3. bekkur",C2216="4. bekkur"),"Já",IF(C2216="Starfsmaður","Nei","Nei")))</f>
        <v/>
      </c>
      <c r="G2216" s="63"/>
      <c r="H2216" s="63"/>
      <c r="I2216" s="63"/>
      <c r="J2216" s="64" t="str">
        <f aca="false">IF(OR(A2216="",B2216=""),"",CONCATENATE("https://matarstund.is/serfaedi?id=",LOWER(SUBSTITUTE(B2216,"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64" t="str">
        <f aca="false">IF(OR(A2217="",B2217=""),"",CONCATENATE("https://matarstund.is/serfaedi?id=",LOWER(SUBSTITUTE(B2217," ","-"))))</f>
        <v/>
      </c>
    </row>
    <row r="2218" customFormat="false" ht="15" hidden="false" customHeight="true" outlineLevel="0" collapsed="false">
      <c r="A2218" s="63"/>
      <c r="B2218" s="63"/>
      <c r="C2218" s="63"/>
      <c r="D2218" s="63"/>
      <c r="E2218" s="63"/>
      <c r="F2218" s="28" t="str">
        <f aca="false">IF(C2218="","",IF(OR(C2218="1. bekkur",C2218="2. bekkur",C2218="3. bekkur",C2218="4. bekkur"),"Já",IF(C2218="Starfsmaður","Nei","Nei")))</f>
        <v/>
      </c>
      <c r="G2218" s="63"/>
      <c r="H2218" s="63"/>
      <c r="I2218" s="63"/>
      <c r="J2218" s="64" t="str">
        <f aca="false">IF(OR(A2218="",B2218=""),"",CONCATENATE("https://matarstund.is/serfaedi?id=",LOWER(SUBSTITUTE(B2218,"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64" t="str">
        <f aca="false">IF(OR(A2219="",B2219=""),"",CONCATENATE("https://matarstund.is/serfaedi?id=",LOWER(SUBSTITUTE(B2219," ","-"))))</f>
        <v/>
      </c>
    </row>
    <row r="2220" customFormat="false" ht="15" hidden="false" customHeight="true" outlineLevel="0" collapsed="false">
      <c r="A2220" s="63"/>
      <c r="B2220" s="63"/>
      <c r="C2220" s="63"/>
      <c r="D2220" s="63"/>
      <c r="E2220" s="63"/>
      <c r="F2220" s="28" t="str">
        <f aca="false">IF(C2220="","",IF(OR(C2220="1. bekkur",C2220="2. bekkur",C2220="3. bekkur",C2220="4. bekkur"),"Já",IF(C2220="Starfsmaður","Nei","Nei")))</f>
        <v/>
      </c>
      <c r="G2220" s="63"/>
      <c r="H2220" s="63"/>
      <c r="I2220" s="63"/>
      <c r="J2220" s="64" t="str">
        <f aca="false">IF(OR(A2220="",B2220=""),"",CONCATENATE("https://matarstund.is/serfaedi?id=",LOWER(SUBSTITUTE(B2220,"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64" t="str">
        <f aca="false">IF(OR(A2221="",B2221=""),"",CONCATENATE("https://matarstund.is/serfaedi?id=",LOWER(SUBSTITUTE(B2221," ","-"))))</f>
        <v/>
      </c>
    </row>
    <row r="2222" customFormat="false" ht="15" hidden="false" customHeight="true" outlineLevel="0" collapsed="false">
      <c r="A2222" s="63"/>
      <c r="B2222" s="63"/>
      <c r="C2222" s="63"/>
      <c r="D2222" s="63"/>
      <c r="E2222" s="63"/>
      <c r="F2222" s="28" t="str">
        <f aca="false">IF(C2222="","",IF(OR(C2222="1. bekkur",C2222="2. bekkur",C2222="3. bekkur",C2222="4. bekkur"),"Já",IF(C2222="Starfsmaður","Nei","Nei")))</f>
        <v/>
      </c>
      <c r="G2222" s="63"/>
      <c r="H2222" s="63"/>
      <c r="I2222" s="63"/>
      <c r="J2222" s="64" t="str">
        <f aca="false">IF(OR(A2222="",B2222=""),"",CONCATENATE("https://matarstund.is/serfaedi?id=",LOWER(SUBSTITUTE(B2222,"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64" t="str">
        <f aca="false">IF(OR(A2223="",B2223=""),"",CONCATENATE("https://matarstund.is/serfaedi?id=",LOWER(SUBSTITUTE(B2223," ","-"))))</f>
        <v/>
      </c>
    </row>
    <row r="2224" customFormat="false" ht="15" hidden="false" customHeight="true" outlineLevel="0" collapsed="false">
      <c r="A2224" s="63"/>
      <c r="B2224" s="63"/>
      <c r="C2224" s="63"/>
      <c r="D2224" s="63"/>
      <c r="E2224" s="63"/>
      <c r="F2224" s="28" t="str">
        <f aca="false">IF(C2224="","",IF(OR(C2224="1. bekkur",C2224="2. bekkur",C2224="3. bekkur",C2224="4. bekkur"),"Já",IF(C2224="Starfsmaður","Nei","Nei")))</f>
        <v/>
      </c>
      <c r="G2224" s="63"/>
      <c r="H2224" s="63"/>
      <c r="I2224" s="63"/>
      <c r="J2224" s="64" t="str">
        <f aca="false">IF(OR(A2224="",B2224=""),"",CONCATENATE("https://matarstund.is/serfaedi?id=",LOWER(SUBSTITUTE(B2224,"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64" t="str">
        <f aca="false">IF(OR(A2225="",B2225=""),"",CONCATENATE("https://matarstund.is/serfaedi?id=",LOWER(SUBSTITUTE(B2225," ","-"))))</f>
        <v/>
      </c>
    </row>
    <row r="2226" customFormat="false" ht="15" hidden="false" customHeight="true" outlineLevel="0" collapsed="false">
      <c r="A2226" s="63"/>
      <c r="B2226" s="63"/>
      <c r="C2226" s="63"/>
      <c r="D2226" s="63"/>
      <c r="E2226" s="63"/>
      <c r="F2226" s="28" t="str">
        <f aca="false">IF(C2226="","",IF(OR(C2226="1. bekkur",C2226="2. bekkur",C2226="3. bekkur",C2226="4. bekkur"),"Já",IF(C2226="Starfsmaður","Nei","Nei")))</f>
        <v/>
      </c>
      <c r="G2226" s="63"/>
      <c r="H2226" s="63"/>
      <c r="I2226" s="63"/>
      <c r="J2226" s="64" t="str">
        <f aca="false">IF(OR(A2226="",B2226=""),"",CONCATENATE("https://matarstund.is/serfaedi?id=",LOWER(SUBSTITUTE(B2226,"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64" t="str">
        <f aca="false">IF(OR(A2227="",B2227=""),"",CONCATENATE("https://matarstund.is/serfaedi?id=",LOWER(SUBSTITUTE(B2227," ","-"))))</f>
        <v/>
      </c>
    </row>
    <row r="2228" customFormat="false" ht="15" hidden="false" customHeight="true" outlineLevel="0" collapsed="false">
      <c r="A2228" s="63"/>
      <c r="B2228" s="63"/>
      <c r="C2228" s="63"/>
      <c r="D2228" s="63"/>
      <c r="E2228" s="63"/>
      <c r="F2228" s="28" t="str">
        <f aca="false">IF(C2228="","",IF(OR(C2228="1. bekkur",C2228="2. bekkur",C2228="3. bekkur",C2228="4. bekkur"),"Já",IF(C2228="Starfsmaður","Nei","Nei")))</f>
        <v/>
      </c>
      <c r="G2228" s="63"/>
      <c r="H2228" s="63"/>
      <c r="I2228" s="63"/>
      <c r="J2228" s="64" t="str">
        <f aca="false">IF(OR(A2228="",B2228=""),"",CONCATENATE("https://matarstund.is/serfaedi?id=",LOWER(SUBSTITUTE(B2228,"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64" t="str">
        <f aca="false">IF(OR(A2229="",B2229=""),"",CONCATENATE("https://matarstund.is/serfaedi?id=",LOWER(SUBSTITUTE(B2229," ","-"))))</f>
        <v/>
      </c>
    </row>
    <row r="2230" customFormat="false" ht="15" hidden="false" customHeight="true" outlineLevel="0" collapsed="false">
      <c r="A2230" s="63"/>
      <c r="B2230" s="63"/>
      <c r="C2230" s="63"/>
      <c r="D2230" s="63"/>
      <c r="E2230" s="63"/>
      <c r="F2230" s="28" t="str">
        <f aca="false">IF(C2230="","",IF(OR(C2230="1. bekkur",C2230="2. bekkur",C2230="3. bekkur",C2230="4. bekkur"),"Já",IF(C2230="Starfsmaður","Nei","Nei")))</f>
        <v/>
      </c>
      <c r="G2230" s="63"/>
      <c r="H2230" s="63"/>
      <c r="I2230" s="63"/>
      <c r="J2230" s="64" t="str">
        <f aca="false">IF(OR(A2230="",B2230=""),"",CONCATENATE("https://matarstund.is/serfaedi?id=",LOWER(SUBSTITUTE(B2230,"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64" t="str">
        <f aca="false">IF(OR(A2231="",B2231=""),"",CONCATENATE("https://matarstund.is/serfaedi?id=",LOWER(SUBSTITUTE(B2231," ","-"))))</f>
        <v/>
      </c>
    </row>
    <row r="2232" customFormat="false" ht="15" hidden="false" customHeight="true" outlineLevel="0" collapsed="false">
      <c r="A2232" s="63"/>
      <c r="B2232" s="63"/>
      <c r="C2232" s="63"/>
      <c r="D2232" s="63"/>
      <c r="E2232" s="63"/>
      <c r="F2232" s="28" t="str">
        <f aca="false">IF(C2232="","",IF(OR(C2232="1. bekkur",C2232="2. bekkur",C2232="3. bekkur",C2232="4. bekkur"),"Já",IF(C2232="Starfsmaður","Nei","Nei")))</f>
        <v/>
      </c>
      <c r="G2232" s="63"/>
      <c r="H2232" s="63"/>
      <c r="I2232" s="63"/>
      <c r="J2232" s="64" t="str">
        <f aca="false">IF(OR(A2232="",B2232=""),"",CONCATENATE("https://matarstund.is/serfaedi?id=",LOWER(SUBSTITUTE(B2232,"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64" t="str">
        <f aca="false">IF(OR(A2233="",B2233=""),"",CONCATENATE("https://matarstund.is/serfaedi?id=",LOWER(SUBSTITUTE(B2233," ","-"))))</f>
        <v/>
      </c>
    </row>
    <row r="2234" customFormat="false" ht="15" hidden="false" customHeight="true" outlineLevel="0" collapsed="false">
      <c r="A2234" s="63"/>
      <c r="B2234" s="63"/>
      <c r="C2234" s="63"/>
      <c r="D2234" s="63"/>
      <c r="E2234" s="63"/>
      <c r="F2234" s="28" t="str">
        <f aca="false">IF(C2234="","",IF(OR(C2234="1. bekkur",C2234="2. bekkur",C2234="3. bekkur",C2234="4. bekkur"),"Já",IF(C2234="Starfsmaður","Nei","Nei")))</f>
        <v/>
      </c>
      <c r="G2234" s="63"/>
      <c r="H2234" s="63"/>
      <c r="I2234" s="63"/>
      <c r="J2234" s="64" t="str">
        <f aca="false">IF(OR(A2234="",B2234=""),"",CONCATENATE("https://matarstund.is/serfaedi?id=",LOWER(SUBSTITUTE(B2234,"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64" t="str">
        <f aca="false">IF(OR(A2235="",B2235=""),"",CONCATENATE("https://matarstund.is/serfaedi?id=",LOWER(SUBSTITUTE(B2235," ","-"))))</f>
        <v/>
      </c>
    </row>
    <row r="2236" customFormat="false" ht="15" hidden="false" customHeight="true" outlineLevel="0" collapsed="false">
      <c r="A2236" s="63"/>
      <c r="B2236" s="63"/>
      <c r="C2236" s="63"/>
      <c r="D2236" s="63"/>
      <c r="E2236" s="63"/>
      <c r="F2236" s="28" t="str">
        <f aca="false">IF(C2236="","",IF(OR(C2236="1. bekkur",C2236="2. bekkur",C2236="3. bekkur",C2236="4. bekkur"),"Já",IF(C2236="Starfsmaður","Nei","Nei")))</f>
        <v/>
      </c>
      <c r="G2236" s="63"/>
      <c r="H2236" s="63"/>
      <c r="I2236" s="63"/>
      <c r="J2236" s="64" t="str">
        <f aca="false">IF(OR(A2236="",B2236=""),"",CONCATENATE("https://matarstund.is/serfaedi?id=",LOWER(SUBSTITUTE(B2236,"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64" t="str">
        <f aca="false">IF(OR(A2237="",B2237=""),"",CONCATENATE("https://matarstund.is/serfaedi?id=",LOWER(SUBSTITUTE(B2237," ","-"))))</f>
        <v/>
      </c>
    </row>
    <row r="2238" customFormat="false" ht="15" hidden="false" customHeight="true" outlineLevel="0" collapsed="false">
      <c r="A2238" s="63"/>
      <c r="B2238" s="63"/>
      <c r="C2238" s="63"/>
      <c r="D2238" s="63"/>
      <c r="E2238" s="63"/>
      <c r="F2238" s="28" t="str">
        <f aca="false">IF(C2238="","",IF(OR(C2238="1. bekkur",C2238="2. bekkur",C2238="3. bekkur",C2238="4. bekkur"),"Já",IF(C2238="Starfsmaður","Nei","Nei")))</f>
        <v/>
      </c>
      <c r="G2238" s="63"/>
      <c r="H2238" s="63"/>
      <c r="I2238" s="63"/>
      <c r="J2238" s="64" t="str">
        <f aca="false">IF(OR(A2238="",B2238=""),"",CONCATENATE("https://matarstund.is/serfaedi?id=",LOWER(SUBSTITUTE(B2238,"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64" t="str">
        <f aca="false">IF(OR(A2239="",B2239=""),"",CONCATENATE("https://matarstund.is/serfaedi?id=",LOWER(SUBSTITUTE(B2239," ","-"))))</f>
        <v/>
      </c>
    </row>
    <row r="2240" customFormat="false" ht="15" hidden="false" customHeight="true" outlineLevel="0" collapsed="false">
      <c r="A2240" s="63"/>
      <c r="B2240" s="63"/>
      <c r="C2240" s="63"/>
      <c r="D2240" s="63"/>
      <c r="E2240" s="63"/>
      <c r="F2240" s="28" t="str">
        <f aca="false">IF(C2240="","",IF(OR(C2240="1. bekkur",C2240="2. bekkur",C2240="3. bekkur",C2240="4. bekkur"),"Já",IF(C2240="Starfsmaður","Nei","Nei")))</f>
        <v/>
      </c>
      <c r="G2240" s="63"/>
      <c r="H2240" s="63"/>
      <c r="I2240" s="63"/>
      <c r="J2240" s="64" t="str">
        <f aca="false">IF(OR(A2240="",B2240=""),"",CONCATENATE("https://matarstund.is/serfaedi?id=",LOWER(SUBSTITUTE(B2240,"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64" t="str">
        <f aca="false">IF(OR(A2241="",B2241=""),"",CONCATENATE("https://matarstund.is/serfaedi?id=",LOWER(SUBSTITUTE(B2241," ","-"))))</f>
        <v/>
      </c>
    </row>
    <row r="2242" customFormat="false" ht="15" hidden="false" customHeight="true" outlineLevel="0" collapsed="false">
      <c r="A2242" s="63"/>
      <c r="B2242" s="63"/>
      <c r="C2242" s="63"/>
      <c r="D2242" s="63"/>
      <c r="E2242" s="63"/>
      <c r="F2242" s="28" t="str">
        <f aca="false">IF(C2242="","",IF(OR(C2242="1. bekkur",C2242="2. bekkur",C2242="3. bekkur",C2242="4. bekkur"),"Já",IF(C2242="Starfsmaður","Nei","Nei")))</f>
        <v/>
      </c>
      <c r="G2242" s="63"/>
      <c r="H2242" s="63"/>
      <c r="I2242" s="63"/>
      <c r="J2242" s="64" t="str">
        <f aca="false">IF(OR(A2242="",B2242=""),"",CONCATENATE("https://matarstund.is/serfaedi?id=",LOWER(SUBSTITUTE(B2242,"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64" t="str">
        <f aca="false">IF(OR(A2243="",B2243=""),"",CONCATENATE("https://matarstund.is/serfaedi?id=",LOWER(SUBSTITUTE(B2243," ","-"))))</f>
        <v/>
      </c>
    </row>
    <row r="2244" customFormat="false" ht="15" hidden="false" customHeight="true" outlineLevel="0" collapsed="false">
      <c r="A2244" s="63"/>
      <c r="B2244" s="63"/>
      <c r="C2244" s="63"/>
      <c r="D2244" s="63"/>
      <c r="E2244" s="63"/>
      <c r="F2244" s="28" t="str">
        <f aca="false">IF(C2244="","",IF(OR(C2244="1. bekkur",C2244="2. bekkur",C2244="3. bekkur",C2244="4. bekkur"),"Já",IF(C2244="Starfsmaður","Nei","Nei")))</f>
        <v/>
      </c>
      <c r="G2244" s="63"/>
      <c r="H2244" s="63"/>
      <c r="I2244" s="63"/>
      <c r="J2244" s="64" t="str">
        <f aca="false">IF(OR(A2244="",B2244=""),"",CONCATENATE("https://matarstund.is/serfaedi?id=",LOWER(SUBSTITUTE(B2244,"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64" t="str">
        <f aca="false">IF(OR(A2245="",B2245=""),"",CONCATENATE("https://matarstund.is/serfaedi?id=",LOWER(SUBSTITUTE(B2245," ","-"))))</f>
        <v/>
      </c>
    </row>
    <row r="2246" customFormat="false" ht="15" hidden="false" customHeight="true" outlineLevel="0" collapsed="false">
      <c r="A2246" s="63"/>
      <c r="B2246" s="63"/>
      <c r="C2246" s="63"/>
      <c r="D2246" s="63"/>
      <c r="E2246" s="63"/>
      <c r="F2246" s="28" t="str">
        <f aca="false">IF(C2246="","",IF(OR(C2246="1. bekkur",C2246="2. bekkur",C2246="3. bekkur",C2246="4. bekkur"),"Já",IF(C2246="Starfsmaður","Nei","Nei")))</f>
        <v/>
      </c>
      <c r="G2246" s="63"/>
      <c r="H2246" s="63"/>
      <c r="I2246" s="63"/>
      <c r="J2246" s="64" t="str">
        <f aca="false">IF(OR(A2246="",B2246=""),"",CONCATENATE("https://matarstund.is/serfaedi?id=",LOWER(SUBSTITUTE(B2246,"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64" t="str">
        <f aca="false">IF(OR(A2247="",B2247=""),"",CONCATENATE("https://matarstund.is/serfaedi?id=",LOWER(SUBSTITUTE(B2247," ","-"))))</f>
        <v/>
      </c>
    </row>
    <row r="2248" customFormat="false" ht="15" hidden="false" customHeight="true" outlineLevel="0" collapsed="false">
      <c r="A2248" s="63"/>
      <c r="B2248" s="63"/>
      <c r="C2248" s="63"/>
      <c r="D2248" s="63"/>
      <c r="E2248" s="63"/>
      <c r="F2248" s="28" t="str">
        <f aca="false">IF(C2248="","",IF(OR(C2248="1. bekkur",C2248="2. bekkur",C2248="3. bekkur",C2248="4. bekkur"),"Já",IF(C2248="Starfsmaður","Nei","Nei")))</f>
        <v/>
      </c>
      <c r="G2248" s="63"/>
      <c r="H2248" s="63"/>
      <c r="I2248" s="63"/>
      <c r="J2248" s="64" t="str">
        <f aca="false">IF(OR(A2248="",B2248=""),"",CONCATENATE("https://matarstund.is/serfaedi?id=",LOWER(SUBSTITUTE(B2248,"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64" t="str">
        <f aca="false">IF(OR(A2249="",B2249=""),"",CONCATENATE("https://matarstund.is/serfaedi?id=",LOWER(SUBSTITUTE(B2249," ","-"))))</f>
        <v/>
      </c>
    </row>
    <row r="2250" customFormat="false" ht="15" hidden="false" customHeight="true" outlineLevel="0" collapsed="false">
      <c r="A2250" s="63"/>
      <c r="B2250" s="63"/>
      <c r="C2250" s="63"/>
      <c r="D2250" s="63"/>
      <c r="E2250" s="63"/>
      <c r="F2250" s="28" t="str">
        <f aca="false">IF(C2250="","",IF(OR(C2250="1. bekkur",C2250="2. bekkur",C2250="3. bekkur",C2250="4. bekkur"),"Já",IF(C2250="Starfsmaður","Nei","Nei")))</f>
        <v/>
      </c>
      <c r="G2250" s="63"/>
      <c r="H2250" s="63"/>
      <c r="I2250" s="63"/>
      <c r="J2250" s="64" t="str">
        <f aca="false">IF(OR(A2250="",B2250=""),"",CONCATENATE("https://matarstund.is/serfaedi?id=",LOWER(SUBSTITUTE(B2250,"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64" t="str">
        <f aca="false">IF(OR(A2251="",B2251=""),"",CONCATENATE("https://matarstund.is/serfaedi?id=",LOWER(SUBSTITUTE(B2251," ","-"))))</f>
        <v/>
      </c>
    </row>
    <row r="2252" customFormat="false" ht="15" hidden="false" customHeight="true" outlineLevel="0" collapsed="false">
      <c r="A2252" s="63"/>
      <c r="B2252" s="63"/>
      <c r="C2252" s="63"/>
      <c r="D2252" s="63"/>
      <c r="E2252" s="63"/>
      <c r="F2252" s="28" t="str">
        <f aca="false">IF(C2252="","",IF(OR(C2252="1. bekkur",C2252="2. bekkur",C2252="3. bekkur",C2252="4. bekkur"),"Já",IF(C2252="Starfsmaður","Nei","Nei")))</f>
        <v/>
      </c>
      <c r="G2252" s="63"/>
      <c r="H2252" s="63"/>
      <c r="I2252" s="63"/>
      <c r="J2252" s="64" t="str">
        <f aca="false">IF(OR(A2252="",B2252=""),"",CONCATENATE("https://matarstund.is/serfaedi?id=",LOWER(SUBSTITUTE(B2252,"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64" t="str">
        <f aca="false">IF(OR(A2253="",B2253=""),"",CONCATENATE("https://matarstund.is/serfaedi?id=",LOWER(SUBSTITUTE(B2253," ","-"))))</f>
        <v/>
      </c>
    </row>
    <row r="2254" customFormat="false" ht="15" hidden="false" customHeight="true" outlineLevel="0" collapsed="false">
      <c r="A2254" s="63"/>
      <c r="B2254" s="63"/>
      <c r="C2254" s="63"/>
      <c r="D2254" s="63"/>
      <c r="E2254" s="63"/>
      <c r="F2254" s="28" t="str">
        <f aca="false">IF(C2254="","",IF(OR(C2254="1. bekkur",C2254="2. bekkur",C2254="3. bekkur",C2254="4. bekkur"),"Já",IF(C2254="Starfsmaður","Nei","Nei")))</f>
        <v/>
      </c>
      <c r="G2254" s="63"/>
      <c r="H2254" s="63"/>
      <c r="I2254" s="63"/>
      <c r="J2254" s="64" t="str">
        <f aca="false">IF(OR(A2254="",B2254=""),"",CONCATENATE("https://matarstund.is/serfaedi?id=",LOWER(SUBSTITUTE(B2254,"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64" t="str">
        <f aca="false">IF(OR(A2255="",B2255=""),"",CONCATENATE("https://matarstund.is/serfaedi?id=",LOWER(SUBSTITUTE(B2255," ","-"))))</f>
        <v/>
      </c>
    </row>
    <row r="2256" customFormat="false" ht="15" hidden="false" customHeight="true" outlineLevel="0" collapsed="false">
      <c r="A2256" s="63"/>
      <c r="B2256" s="63"/>
      <c r="C2256" s="63"/>
      <c r="D2256" s="63"/>
      <c r="E2256" s="63"/>
      <c r="F2256" s="28" t="str">
        <f aca="false">IF(C2256="","",IF(OR(C2256="1. bekkur",C2256="2. bekkur",C2256="3. bekkur",C2256="4. bekkur"),"Já",IF(C2256="Starfsmaður","Nei","Nei")))</f>
        <v/>
      </c>
      <c r="G2256" s="63"/>
      <c r="H2256" s="63"/>
      <c r="I2256" s="63"/>
      <c r="J2256" s="64" t="str">
        <f aca="false">IF(OR(A2256="",B2256=""),"",CONCATENATE("https://matarstund.is/serfaedi?id=",LOWER(SUBSTITUTE(B2256,"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64" t="str">
        <f aca="false">IF(OR(A2257="",B2257=""),"",CONCATENATE("https://matarstund.is/serfaedi?id=",LOWER(SUBSTITUTE(B2257," ","-"))))</f>
        <v/>
      </c>
    </row>
    <row r="2258" customFormat="false" ht="15" hidden="false" customHeight="true" outlineLevel="0" collapsed="false">
      <c r="A2258" s="63"/>
      <c r="B2258" s="63"/>
      <c r="C2258" s="63"/>
      <c r="D2258" s="63"/>
      <c r="E2258" s="63"/>
      <c r="F2258" s="28" t="str">
        <f aca="false">IF(C2258="","",IF(OR(C2258="1. bekkur",C2258="2. bekkur",C2258="3. bekkur",C2258="4. bekkur"),"Já",IF(C2258="Starfsmaður","Nei","Nei")))</f>
        <v/>
      </c>
      <c r="G2258" s="63"/>
      <c r="H2258" s="63"/>
      <c r="I2258" s="63"/>
      <c r="J2258" s="64" t="str">
        <f aca="false">IF(OR(A2258="",B2258=""),"",CONCATENATE("https://matarstund.is/serfaedi?id=",LOWER(SUBSTITUTE(B2258,"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64" t="str">
        <f aca="false">IF(OR(A2259="",B2259=""),"",CONCATENATE("https://matarstund.is/serfaedi?id=",LOWER(SUBSTITUTE(B2259," ","-"))))</f>
        <v/>
      </c>
    </row>
    <row r="2260" customFormat="false" ht="15" hidden="false" customHeight="true" outlineLevel="0" collapsed="false">
      <c r="A2260" s="63"/>
      <c r="B2260" s="63"/>
      <c r="C2260" s="63"/>
      <c r="D2260" s="63"/>
      <c r="E2260" s="63"/>
      <c r="F2260" s="28" t="str">
        <f aca="false">IF(C2260="","",IF(OR(C2260="1. bekkur",C2260="2. bekkur",C2260="3. bekkur",C2260="4. bekkur"),"Já",IF(C2260="Starfsmaður","Nei","Nei")))</f>
        <v/>
      </c>
      <c r="G2260" s="63"/>
      <c r="H2260" s="63"/>
      <c r="I2260" s="63"/>
      <c r="J2260" s="64" t="str">
        <f aca="false">IF(OR(A2260="",B2260=""),"",CONCATENATE("https://matarstund.is/serfaedi?id=",LOWER(SUBSTITUTE(B2260,"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64" t="str">
        <f aca="false">IF(OR(A2261="",B2261=""),"",CONCATENATE("https://matarstund.is/serfaedi?id=",LOWER(SUBSTITUTE(B2261," ","-"))))</f>
        <v/>
      </c>
    </row>
    <row r="2262" customFormat="false" ht="15" hidden="false" customHeight="true" outlineLevel="0" collapsed="false">
      <c r="A2262" s="63"/>
      <c r="B2262" s="63"/>
      <c r="C2262" s="63"/>
      <c r="D2262" s="63"/>
      <c r="E2262" s="63"/>
      <c r="F2262" s="28" t="str">
        <f aca="false">IF(C2262="","",IF(OR(C2262="1. bekkur",C2262="2. bekkur",C2262="3. bekkur",C2262="4. bekkur"),"Já",IF(C2262="Starfsmaður","Nei","Nei")))</f>
        <v/>
      </c>
      <c r="G2262" s="63"/>
      <c r="H2262" s="63"/>
      <c r="I2262" s="63"/>
      <c r="J2262" s="64" t="str">
        <f aca="false">IF(OR(A2262="",B2262=""),"",CONCATENATE("https://matarstund.is/serfaedi?id=",LOWER(SUBSTITUTE(B2262,"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64" t="str">
        <f aca="false">IF(OR(A2263="",B2263=""),"",CONCATENATE("https://matarstund.is/serfaedi?id=",LOWER(SUBSTITUTE(B2263," ","-"))))</f>
        <v/>
      </c>
    </row>
    <row r="2264" customFormat="false" ht="15" hidden="false" customHeight="true" outlineLevel="0" collapsed="false">
      <c r="A2264" s="63"/>
      <c r="B2264" s="63"/>
      <c r="C2264" s="63"/>
      <c r="D2264" s="63"/>
      <c r="E2264" s="63"/>
      <c r="F2264" s="28" t="str">
        <f aca="false">IF(C2264="","",IF(OR(C2264="1. bekkur",C2264="2. bekkur",C2264="3. bekkur",C2264="4. bekkur"),"Já",IF(C2264="Starfsmaður","Nei","Nei")))</f>
        <v/>
      </c>
      <c r="G2264" s="63"/>
      <c r="H2264" s="63"/>
      <c r="I2264" s="63"/>
      <c r="J2264" s="64" t="str">
        <f aca="false">IF(OR(A2264="",B2264=""),"",CONCATENATE("https://matarstund.is/serfaedi?id=",LOWER(SUBSTITUTE(B2264,"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64" t="str">
        <f aca="false">IF(OR(A2265="",B2265=""),"",CONCATENATE("https://matarstund.is/serfaedi?id=",LOWER(SUBSTITUTE(B2265," ","-"))))</f>
        <v/>
      </c>
    </row>
    <row r="2266" customFormat="false" ht="15" hidden="false" customHeight="true" outlineLevel="0" collapsed="false">
      <c r="A2266" s="63"/>
      <c r="B2266" s="63"/>
      <c r="C2266" s="63"/>
      <c r="D2266" s="63"/>
      <c r="E2266" s="63"/>
      <c r="F2266" s="28" t="str">
        <f aca="false">IF(C2266="","",IF(OR(C2266="1. bekkur",C2266="2. bekkur",C2266="3. bekkur",C2266="4. bekkur"),"Já",IF(C2266="Starfsmaður","Nei","Nei")))</f>
        <v/>
      </c>
      <c r="G2266" s="63"/>
      <c r="H2266" s="63"/>
      <c r="I2266" s="63"/>
      <c r="J2266" s="64" t="str">
        <f aca="false">IF(OR(A2266="",B2266=""),"",CONCATENATE("https://matarstund.is/serfaedi?id=",LOWER(SUBSTITUTE(B2266,"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64" t="str">
        <f aca="false">IF(OR(A2267="",B2267=""),"",CONCATENATE("https://matarstund.is/serfaedi?id=",LOWER(SUBSTITUTE(B2267," ","-"))))</f>
        <v/>
      </c>
    </row>
    <row r="2268" customFormat="false" ht="15" hidden="false" customHeight="true" outlineLevel="0" collapsed="false">
      <c r="A2268" s="63"/>
      <c r="B2268" s="63"/>
      <c r="C2268" s="63"/>
      <c r="D2268" s="63"/>
      <c r="E2268" s="63"/>
      <c r="F2268" s="28" t="str">
        <f aca="false">IF(C2268="","",IF(OR(C2268="1. bekkur",C2268="2. bekkur",C2268="3. bekkur",C2268="4. bekkur"),"Já",IF(C2268="Starfsmaður","Nei","Nei")))</f>
        <v/>
      </c>
      <c r="G2268" s="63"/>
      <c r="H2268" s="63"/>
      <c r="I2268" s="63"/>
      <c r="J2268" s="64" t="str">
        <f aca="false">IF(OR(A2268="",B2268=""),"",CONCATENATE("https://matarstund.is/serfaedi?id=",LOWER(SUBSTITUTE(B2268,"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64" t="str">
        <f aca="false">IF(OR(A2269="",B2269=""),"",CONCATENATE("https://matarstund.is/serfaedi?id=",LOWER(SUBSTITUTE(B2269," ","-"))))</f>
        <v/>
      </c>
    </row>
    <row r="2270" customFormat="false" ht="15" hidden="false" customHeight="true" outlineLevel="0" collapsed="false">
      <c r="A2270" s="63"/>
      <c r="B2270" s="63"/>
      <c r="C2270" s="63"/>
      <c r="D2270" s="63"/>
      <c r="E2270" s="63"/>
      <c r="F2270" s="28" t="str">
        <f aca="false">IF(C2270="","",IF(OR(C2270="1. bekkur",C2270="2. bekkur",C2270="3. bekkur",C2270="4. bekkur"),"Já",IF(C2270="Starfsmaður","Nei","Nei")))</f>
        <v/>
      </c>
      <c r="G2270" s="63"/>
      <c r="H2270" s="63"/>
      <c r="I2270" s="63"/>
      <c r="J2270" s="64" t="str">
        <f aca="false">IF(OR(A2270="",B2270=""),"",CONCATENATE("https://matarstund.is/serfaedi?id=",LOWER(SUBSTITUTE(B2270,"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64" t="str">
        <f aca="false">IF(OR(A2271="",B2271=""),"",CONCATENATE("https://matarstund.is/serfaedi?id=",LOWER(SUBSTITUTE(B2271," ","-"))))</f>
        <v/>
      </c>
    </row>
    <row r="2272" customFormat="false" ht="15" hidden="false" customHeight="true" outlineLevel="0" collapsed="false">
      <c r="A2272" s="63"/>
      <c r="B2272" s="63"/>
      <c r="C2272" s="63"/>
      <c r="D2272" s="63"/>
      <c r="E2272" s="63"/>
      <c r="F2272" s="28" t="str">
        <f aca="false">IF(C2272="","",IF(OR(C2272="1. bekkur",C2272="2. bekkur",C2272="3. bekkur",C2272="4. bekkur"),"Já",IF(C2272="Starfsmaður","Nei","Nei")))</f>
        <v/>
      </c>
      <c r="G2272" s="63"/>
      <c r="H2272" s="63"/>
      <c r="I2272" s="63"/>
      <c r="J2272" s="64" t="str">
        <f aca="false">IF(OR(A2272="",B2272=""),"",CONCATENATE("https://matarstund.is/serfaedi?id=",LOWER(SUBSTITUTE(B2272,"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64" t="str">
        <f aca="false">IF(OR(A2273="",B2273=""),"",CONCATENATE("https://matarstund.is/serfaedi?id=",LOWER(SUBSTITUTE(B2273," ","-"))))</f>
        <v/>
      </c>
    </row>
    <row r="2274" customFormat="false" ht="15" hidden="false" customHeight="true" outlineLevel="0" collapsed="false">
      <c r="A2274" s="63"/>
      <c r="B2274" s="63"/>
      <c r="C2274" s="63"/>
      <c r="D2274" s="63"/>
      <c r="E2274" s="63"/>
      <c r="F2274" s="28" t="str">
        <f aca="false">IF(C2274="","",IF(OR(C2274="1. bekkur",C2274="2. bekkur",C2274="3. bekkur",C2274="4. bekkur"),"Já",IF(C2274="Starfsmaður","Nei","Nei")))</f>
        <v/>
      </c>
      <c r="G2274" s="63"/>
      <c r="H2274" s="63"/>
      <c r="I2274" s="63"/>
      <c r="J2274" s="64" t="str">
        <f aca="false">IF(OR(A2274="",B2274=""),"",CONCATENATE("https://matarstund.is/serfaedi?id=",LOWER(SUBSTITUTE(B2274,"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64" t="str">
        <f aca="false">IF(OR(A2275="",B2275=""),"",CONCATENATE("https://matarstund.is/serfaedi?id=",LOWER(SUBSTITUTE(B2275," ","-"))))</f>
        <v/>
      </c>
    </row>
    <row r="2276" customFormat="false" ht="15" hidden="false" customHeight="true" outlineLevel="0" collapsed="false">
      <c r="A2276" s="63"/>
      <c r="B2276" s="63"/>
      <c r="C2276" s="63"/>
      <c r="D2276" s="63"/>
      <c r="E2276" s="63"/>
      <c r="F2276" s="28" t="str">
        <f aca="false">IF(C2276="","",IF(OR(C2276="1. bekkur",C2276="2. bekkur",C2276="3. bekkur",C2276="4. bekkur"),"Já",IF(C2276="Starfsmaður","Nei","Nei")))</f>
        <v/>
      </c>
      <c r="G2276" s="63"/>
      <c r="H2276" s="63"/>
      <c r="I2276" s="63"/>
      <c r="J2276" s="64" t="str">
        <f aca="false">IF(OR(A2276="",B2276=""),"",CONCATENATE("https://matarstund.is/serfaedi?id=",LOWER(SUBSTITUTE(B2276,"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64" t="str">
        <f aca="false">IF(OR(A2277="",B2277=""),"",CONCATENATE("https://matarstund.is/serfaedi?id=",LOWER(SUBSTITUTE(B2277," ","-"))))</f>
        <v/>
      </c>
    </row>
    <row r="2278" customFormat="false" ht="15" hidden="false" customHeight="true" outlineLevel="0" collapsed="false">
      <c r="A2278" s="63"/>
      <c r="B2278" s="63"/>
      <c r="C2278" s="63"/>
      <c r="D2278" s="63"/>
      <c r="E2278" s="63"/>
      <c r="F2278" s="28" t="str">
        <f aca="false">IF(C2278="","",IF(OR(C2278="1. bekkur",C2278="2. bekkur",C2278="3. bekkur",C2278="4. bekkur"),"Já",IF(C2278="Starfsmaður","Nei","Nei")))</f>
        <v/>
      </c>
      <c r="G2278" s="63"/>
      <c r="H2278" s="63"/>
      <c r="I2278" s="63"/>
      <c r="J2278" s="64" t="str">
        <f aca="false">IF(OR(A2278="",B2278=""),"",CONCATENATE("https://matarstund.is/serfaedi?id=",LOWER(SUBSTITUTE(B2278,"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64" t="str">
        <f aca="false">IF(OR(A2279="",B2279=""),"",CONCATENATE("https://matarstund.is/serfaedi?id=",LOWER(SUBSTITUTE(B2279," ","-"))))</f>
        <v/>
      </c>
    </row>
    <row r="2280" customFormat="false" ht="15" hidden="false" customHeight="true" outlineLevel="0" collapsed="false">
      <c r="A2280" s="63"/>
      <c r="B2280" s="63"/>
      <c r="C2280" s="63"/>
      <c r="D2280" s="63"/>
      <c r="E2280" s="63"/>
      <c r="F2280" s="28" t="str">
        <f aca="false">IF(C2280="","",IF(OR(C2280="1. bekkur",C2280="2. bekkur",C2280="3. bekkur",C2280="4. bekkur"),"Já",IF(C2280="Starfsmaður","Nei","Nei")))</f>
        <v/>
      </c>
      <c r="G2280" s="63"/>
      <c r="H2280" s="63"/>
      <c r="I2280" s="63"/>
      <c r="J2280" s="64" t="str">
        <f aca="false">IF(OR(A2280="",B2280=""),"",CONCATENATE("https://matarstund.is/serfaedi?id=",LOWER(SUBSTITUTE(B2280,"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64" t="str">
        <f aca="false">IF(OR(A2281="",B2281=""),"",CONCATENATE("https://matarstund.is/serfaedi?id=",LOWER(SUBSTITUTE(B2281," ","-"))))</f>
        <v/>
      </c>
    </row>
    <row r="2282" customFormat="false" ht="15" hidden="false" customHeight="true" outlineLevel="0" collapsed="false">
      <c r="A2282" s="63"/>
      <c r="B2282" s="63"/>
      <c r="C2282" s="63"/>
      <c r="D2282" s="63"/>
      <c r="E2282" s="63"/>
      <c r="F2282" s="28" t="str">
        <f aca="false">IF(C2282="","",IF(OR(C2282="1. bekkur",C2282="2. bekkur",C2282="3. bekkur",C2282="4. bekkur"),"Já",IF(C2282="Starfsmaður","Nei","Nei")))</f>
        <v/>
      </c>
      <c r="G2282" s="63"/>
      <c r="H2282" s="63"/>
      <c r="I2282" s="63"/>
      <c r="J2282" s="64" t="str">
        <f aca="false">IF(OR(A2282="",B2282=""),"",CONCATENATE("https://matarstund.is/serfaedi?id=",LOWER(SUBSTITUTE(B2282,"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64" t="str">
        <f aca="false">IF(OR(A2283="",B2283=""),"",CONCATENATE("https://matarstund.is/serfaedi?id=",LOWER(SUBSTITUTE(B2283," ","-"))))</f>
        <v/>
      </c>
    </row>
    <row r="2284" customFormat="false" ht="15" hidden="false" customHeight="true" outlineLevel="0" collapsed="false">
      <c r="A2284" s="63"/>
      <c r="B2284" s="63"/>
      <c r="C2284" s="63"/>
      <c r="D2284" s="63"/>
      <c r="E2284" s="63"/>
      <c r="F2284" s="28" t="str">
        <f aca="false">IF(C2284="","",IF(OR(C2284="1. bekkur",C2284="2. bekkur",C2284="3. bekkur",C2284="4. bekkur"),"Já",IF(C2284="Starfsmaður","Nei","Nei")))</f>
        <v/>
      </c>
      <c r="G2284" s="63"/>
      <c r="H2284" s="63"/>
      <c r="I2284" s="63"/>
      <c r="J2284" s="64" t="str">
        <f aca="false">IF(OR(A2284="",B2284=""),"",CONCATENATE("https://matarstund.is/serfaedi?id=",LOWER(SUBSTITUTE(B2284,"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64" t="str">
        <f aca="false">IF(OR(A2285="",B2285=""),"",CONCATENATE("https://matarstund.is/serfaedi?id=",LOWER(SUBSTITUTE(B2285," ","-"))))</f>
        <v/>
      </c>
    </row>
    <row r="2286" customFormat="false" ht="15" hidden="false" customHeight="true" outlineLevel="0" collapsed="false">
      <c r="A2286" s="63"/>
      <c r="B2286" s="63"/>
      <c r="C2286" s="63"/>
      <c r="D2286" s="63"/>
      <c r="E2286" s="63"/>
      <c r="F2286" s="28" t="str">
        <f aca="false">IF(C2286="","",IF(OR(C2286="1. bekkur",C2286="2. bekkur",C2286="3. bekkur",C2286="4. bekkur"),"Já",IF(C2286="Starfsmaður","Nei","Nei")))</f>
        <v/>
      </c>
      <c r="G2286" s="63"/>
      <c r="H2286" s="63"/>
      <c r="I2286" s="63"/>
      <c r="J2286" s="64" t="str">
        <f aca="false">IF(OR(A2286="",B2286=""),"",CONCATENATE("https://matarstund.is/serfaedi?id=",LOWER(SUBSTITUTE(B2286,"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64" t="str">
        <f aca="false">IF(OR(A2287="",B2287=""),"",CONCATENATE("https://matarstund.is/serfaedi?id=",LOWER(SUBSTITUTE(B2287," ","-"))))</f>
        <v/>
      </c>
    </row>
    <row r="2288" customFormat="false" ht="15" hidden="false" customHeight="true" outlineLevel="0" collapsed="false">
      <c r="A2288" s="63"/>
      <c r="B2288" s="63"/>
      <c r="C2288" s="63"/>
      <c r="D2288" s="63"/>
      <c r="E2288" s="63"/>
      <c r="F2288" s="28" t="str">
        <f aca="false">IF(C2288="","",IF(OR(C2288="1. bekkur",C2288="2. bekkur",C2288="3. bekkur",C2288="4. bekkur"),"Já",IF(C2288="Starfsmaður","Nei","Nei")))</f>
        <v/>
      </c>
      <c r="G2288" s="63"/>
      <c r="H2288" s="63"/>
      <c r="I2288" s="63"/>
      <c r="J2288" s="64" t="str">
        <f aca="false">IF(OR(A2288="",B2288=""),"",CONCATENATE("https://matarstund.is/serfaedi?id=",LOWER(SUBSTITUTE(B2288,"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64" t="str">
        <f aca="false">IF(OR(A2289="",B2289=""),"",CONCATENATE("https://matarstund.is/serfaedi?id=",LOWER(SUBSTITUTE(B2289," ","-"))))</f>
        <v/>
      </c>
    </row>
    <row r="2290" customFormat="false" ht="15" hidden="false" customHeight="true" outlineLevel="0" collapsed="false">
      <c r="A2290" s="63"/>
      <c r="B2290" s="63"/>
      <c r="C2290" s="63"/>
      <c r="D2290" s="63"/>
      <c r="E2290" s="63"/>
      <c r="F2290" s="28" t="str">
        <f aca="false">IF(C2290="","",IF(OR(C2290="1. bekkur",C2290="2. bekkur",C2290="3. bekkur",C2290="4. bekkur"),"Já",IF(C2290="Starfsmaður","Nei","Nei")))</f>
        <v/>
      </c>
      <c r="G2290" s="63"/>
      <c r="H2290" s="63"/>
      <c r="I2290" s="63"/>
      <c r="J2290" s="64" t="str">
        <f aca="false">IF(OR(A2290="",B2290=""),"",CONCATENATE("https://matarstund.is/serfaedi?id=",LOWER(SUBSTITUTE(B2290,"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64" t="str">
        <f aca="false">IF(OR(A2291="",B2291=""),"",CONCATENATE("https://matarstund.is/serfaedi?id=",LOWER(SUBSTITUTE(B2291," ","-"))))</f>
        <v/>
      </c>
    </row>
    <row r="2292" customFormat="false" ht="15" hidden="false" customHeight="true" outlineLevel="0" collapsed="false">
      <c r="A2292" s="63"/>
      <c r="B2292" s="63"/>
      <c r="C2292" s="63"/>
      <c r="D2292" s="63"/>
      <c r="E2292" s="63"/>
      <c r="F2292" s="28" t="str">
        <f aca="false">IF(C2292="","",IF(OR(C2292="1. bekkur",C2292="2. bekkur",C2292="3. bekkur",C2292="4. bekkur"),"Já",IF(C2292="Starfsmaður","Nei","Nei")))</f>
        <v/>
      </c>
      <c r="G2292" s="63"/>
      <c r="H2292" s="63"/>
      <c r="I2292" s="63"/>
      <c r="J2292" s="64" t="str">
        <f aca="false">IF(OR(A2292="",B2292=""),"",CONCATENATE("https://matarstund.is/serfaedi?id=",LOWER(SUBSTITUTE(B2292,"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64" t="str">
        <f aca="false">IF(OR(A2293="",B2293=""),"",CONCATENATE("https://matarstund.is/serfaedi?id=",LOWER(SUBSTITUTE(B2293," ","-"))))</f>
        <v/>
      </c>
    </row>
    <row r="2294" customFormat="false" ht="15" hidden="false" customHeight="true" outlineLevel="0" collapsed="false">
      <c r="A2294" s="63"/>
      <c r="B2294" s="63"/>
      <c r="C2294" s="63"/>
      <c r="D2294" s="63"/>
      <c r="E2294" s="63"/>
      <c r="F2294" s="28" t="str">
        <f aca="false">IF(C2294="","",IF(OR(C2294="1. bekkur",C2294="2. bekkur",C2294="3. bekkur",C2294="4. bekkur"),"Já",IF(C2294="Starfsmaður","Nei","Nei")))</f>
        <v/>
      </c>
      <c r="G2294" s="63"/>
      <c r="H2294" s="63"/>
      <c r="I2294" s="63"/>
      <c r="J2294" s="64" t="str">
        <f aca="false">IF(OR(A2294="",B2294=""),"",CONCATENATE("https://matarstund.is/serfaedi?id=",LOWER(SUBSTITUTE(B2294,"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64" t="str">
        <f aca="false">IF(OR(A2295="",B2295=""),"",CONCATENATE("https://matarstund.is/serfaedi?id=",LOWER(SUBSTITUTE(B2295," ","-"))))</f>
        <v/>
      </c>
    </row>
    <row r="2296" customFormat="false" ht="15" hidden="false" customHeight="true" outlineLevel="0" collapsed="false">
      <c r="A2296" s="63"/>
      <c r="B2296" s="63"/>
      <c r="C2296" s="63"/>
      <c r="D2296" s="63"/>
      <c r="E2296" s="63"/>
      <c r="F2296" s="28" t="str">
        <f aca="false">IF(C2296="","",IF(OR(C2296="1. bekkur",C2296="2. bekkur",C2296="3. bekkur",C2296="4. bekkur"),"Já",IF(C2296="Starfsmaður","Nei","Nei")))</f>
        <v/>
      </c>
      <c r="G2296" s="63"/>
      <c r="H2296" s="63"/>
      <c r="I2296" s="63"/>
      <c r="J2296" s="64" t="str">
        <f aca="false">IF(OR(A2296="",B2296=""),"",CONCATENATE("https://matarstund.is/serfaedi?id=",LOWER(SUBSTITUTE(B2296,"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64" t="str">
        <f aca="false">IF(OR(A2297="",B2297=""),"",CONCATENATE("https://matarstund.is/serfaedi?id=",LOWER(SUBSTITUTE(B2297," ","-"))))</f>
        <v/>
      </c>
    </row>
    <row r="2298" customFormat="false" ht="15" hidden="false" customHeight="true" outlineLevel="0" collapsed="false">
      <c r="A2298" s="63"/>
      <c r="B2298" s="63"/>
      <c r="C2298" s="63"/>
      <c r="D2298" s="63"/>
      <c r="E2298" s="63"/>
      <c r="F2298" s="28" t="str">
        <f aca="false">IF(C2298="","",IF(OR(C2298="1. bekkur",C2298="2. bekkur",C2298="3. bekkur",C2298="4. bekkur"),"Já",IF(C2298="Starfsmaður","Nei","Nei")))</f>
        <v/>
      </c>
      <c r="G2298" s="63"/>
      <c r="H2298" s="63"/>
      <c r="I2298" s="63"/>
      <c r="J2298" s="64" t="str">
        <f aca="false">IF(OR(A2298="",B2298=""),"",CONCATENATE("https://matarstund.is/serfaedi?id=",LOWER(SUBSTITUTE(B2298,"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64" t="str">
        <f aca="false">IF(OR(A2299="",B2299=""),"",CONCATENATE("https://matarstund.is/serfaedi?id=",LOWER(SUBSTITUTE(B2299," ","-"))))</f>
        <v/>
      </c>
    </row>
    <row r="2300" customFormat="false" ht="15" hidden="false" customHeight="true" outlineLevel="0" collapsed="false">
      <c r="A2300" s="63"/>
      <c r="B2300" s="63"/>
      <c r="C2300" s="63"/>
      <c r="D2300" s="63"/>
      <c r="E2300" s="63"/>
      <c r="F2300" s="28" t="str">
        <f aca="false">IF(C2300="","",IF(OR(C2300="1. bekkur",C2300="2. bekkur",C2300="3. bekkur",C2300="4. bekkur"),"Já",IF(C2300="Starfsmaður","Nei","Nei")))</f>
        <v/>
      </c>
      <c r="G2300" s="63"/>
      <c r="H2300" s="63"/>
      <c r="I2300" s="63"/>
      <c r="J2300" s="64" t="str">
        <f aca="false">IF(OR(A2300="",B2300=""),"",CONCATENATE("https://matarstund.is/serfaedi?id=",LOWER(SUBSTITUTE(B2300,"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64" t="str">
        <f aca="false">IF(OR(A2301="",B2301=""),"",CONCATENATE("https://matarstund.is/serfaedi?id=",LOWER(SUBSTITUTE(B2301," ","-"))))</f>
        <v/>
      </c>
    </row>
    <row r="2302" customFormat="false" ht="15" hidden="false" customHeight="true" outlineLevel="0" collapsed="false">
      <c r="A2302" s="63"/>
      <c r="B2302" s="63"/>
      <c r="C2302" s="63"/>
      <c r="D2302" s="63"/>
      <c r="E2302" s="63"/>
      <c r="F2302" s="28" t="str">
        <f aca="false">IF(C2302="","",IF(OR(C2302="1. bekkur",C2302="2. bekkur",C2302="3. bekkur",C2302="4. bekkur"),"Já",IF(C2302="Starfsmaður","Nei","Nei")))</f>
        <v/>
      </c>
      <c r="G2302" s="63"/>
      <c r="H2302" s="63"/>
      <c r="I2302" s="63"/>
      <c r="J2302" s="64" t="str">
        <f aca="false">IF(OR(A2302="",B2302=""),"",CONCATENATE("https://matarstund.is/serfaedi?id=",LOWER(SUBSTITUTE(B2302,"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64" t="str">
        <f aca="false">IF(OR(A2303="",B2303=""),"",CONCATENATE("https://matarstund.is/serfaedi?id=",LOWER(SUBSTITUTE(B2303," ","-"))))</f>
        <v/>
      </c>
    </row>
    <row r="2304" customFormat="false" ht="15" hidden="false" customHeight="true" outlineLevel="0" collapsed="false">
      <c r="A2304" s="63"/>
      <c r="B2304" s="63"/>
      <c r="C2304" s="63"/>
      <c r="D2304" s="63"/>
      <c r="E2304" s="63"/>
      <c r="F2304" s="28" t="str">
        <f aca="false">IF(C2304="","",IF(OR(C2304="1. bekkur",C2304="2. bekkur",C2304="3. bekkur",C2304="4. bekkur"),"Já",IF(C2304="Starfsmaður","Nei","Nei")))</f>
        <v/>
      </c>
      <c r="G2304" s="63"/>
      <c r="H2304" s="63"/>
      <c r="I2304" s="63"/>
      <c r="J2304" s="64" t="str">
        <f aca="false">IF(OR(A2304="",B2304=""),"",CONCATENATE("https://matarstund.is/serfaedi?id=",LOWER(SUBSTITUTE(B2304,"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64" t="str">
        <f aca="false">IF(OR(A2305="",B2305=""),"",CONCATENATE("https://matarstund.is/serfaedi?id=",LOWER(SUBSTITUTE(B2305," ","-"))))</f>
        <v/>
      </c>
    </row>
    <row r="2306" customFormat="false" ht="15" hidden="false" customHeight="true" outlineLevel="0" collapsed="false">
      <c r="A2306" s="63"/>
      <c r="B2306" s="63"/>
      <c r="C2306" s="63"/>
      <c r="D2306" s="63"/>
      <c r="E2306" s="63"/>
      <c r="F2306" s="28" t="str">
        <f aca="false">IF(C2306="","",IF(OR(C2306="1. bekkur",C2306="2. bekkur",C2306="3. bekkur",C2306="4. bekkur"),"Já",IF(C2306="Starfsmaður","Nei","Nei")))</f>
        <v/>
      </c>
      <c r="G2306" s="63"/>
      <c r="H2306" s="63"/>
      <c r="I2306" s="63"/>
      <c r="J2306" s="64" t="str">
        <f aca="false">IF(OR(A2306="",B2306=""),"",CONCATENATE("https://matarstund.is/serfaedi?id=",LOWER(SUBSTITUTE(B2306,"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64" t="str">
        <f aca="false">IF(OR(A2307="",B2307=""),"",CONCATENATE("https://matarstund.is/serfaedi?id=",LOWER(SUBSTITUTE(B2307," ","-"))))</f>
        <v/>
      </c>
    </row>
    <row r="2308" customFormat="false" ht="15" hidden="false" customHeight="true" outlineLevel="0" collapsed="false">
      <c r="A2308" s="63"/>
      <c r="B2308" s="63"/>
      <c r="C2308" s="63"/>
      <c r="D2308" s="63"/>
      <c r="E2308" s="63"/>
      <c r="F2308" s="28" t="str">
        <f aca="false">IF(C2308="","",IF(OR(C2308="1. bekkur",C2308="2. bekkur",C2308="3. bekkur",C2308="4. bekkur"),"Já",IF(C2308="Starfsmaður","Nei","Nei")))</f>
        <v/>
      </c>
      <c r="G2308" s="63"/>
      <c r="H2308" s="63"/>
      <c r="I2308" s="63"/>
      <c r="J2308" s="64" t="str">
        <f aca="false">IF(OR(A2308="",B2308=""),"",CONCATENATE("https://matarstund.is/serfaedi?id=",LOWER(SUBSTITUTE(B2308,"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64" t="str">
        <f aca="false">IF(OR(A2309="",B2309=""),"",CONCATENATE("https://matarstund.is/serfaedi?id=",LOWER(SUBSTITUTE(B2309," ","-"))))</f>
        <v/>
      </c>
    </row>
    <row r="2310" customFormat="false" ht="15" hidden="false" customHeight="true" outlineLevel="0" collapsed="false">
      <c r="A2310" s="63"/>
      <c r="B2310" s="63"/>
      <c r="C2310" s="63"/>
      <c r="D2310" s="63"/>
      <c r="E2310" s="63"/>
      <c r="F2310" s="28" t="str">
        <f aca="false">IF(C2310="","",IF(OR(C2310="1. bekkur",C2310="2. bekkur",C2310="3. bekkur",C2310="4. bekkur"),"Já",IF(C2310="Starfsmaður","Nei","Nei")))</f>
        <v/>
      </c>
      <c r="G2310" s="63"/>
      <c r="H2310" s="63"/>
      <c r="I2310" s="63"/>
      <c r="J2310" s="64" t="str">
        <f aca="false">IF(OR(A2310="",B2310=""),"",CONCATENATE("https://matarstund.is/serfaedi?id=",LOWER(SUBSTITUTE(B2310,"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64" t="str">
        <f aca="false">IF(OR(A2311="",B2311=""),"",CONCATENATE("https://matarstund.is/serfaedi?id=",LOWER(SUBSTITUTE(B2311," ","-"))))</f>
        <v/>
      </c>
    </row>
    <row r="2312" customFormat="false" ht="15" hidden="false" customHeight="true" outlineLevel="0" collapsed="false">
      <c r="A2312" s="63"/>
      <c r="B2312" s="63"/>
      <c r="C2312" s="63"/>
      <c r="D2312" s="63"/>
      <c r="E2312" s="63"/>
      <c r="F2312" s="28" t="str">
        <f aca="false">IF(C2312="","",IF(OR(C2312="1. bekkur",C2312="2. bekkur",C2312="3. bekkur",C2312="4. bekkur"),"Já",IF(C2312="Starfsmaður","Nei","Nei")))</f>
        <v/>
      </c>
      <c r="G2312" s="63"/>
      <c r="H2312" s="63"/>
      <c r="I2312" s="63"/>
      <c r="J2312" s="64" t="str">
        <f aca="false">IF(OR(A2312="",B2312=""),"",CONCATENATE("https://matarstund.is/serfaedi?id=",LOWER(SUBSTITUTE(B2312,"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64" t="str">
        <f aca="false">IF(OR(A2313="",B2313=""),"",CONCATENATE("https://matarstund.is/serfaedi?id=",LOWER(SUBSTITUTE(B2313," ","-"))))</f>
        <v/>
      </c>
    </row>
    <row r="2314" customFormat="false" ht="15" hidden="false" customHeight="true" outlineLevel="0" collapsed="false">
      <c r="A2314" s="63"/>
      <c r="B2314" s="63"/>
      <c r="C2314" s="63"/>
      <c r="D2314" s="63"/>
      <c r="E2314" s="63"/>
      <c r="F2314" s="28" t="str">
        <f aca="false">IF(C2314="","",IF(OR(C2314="1. bekkur",C2314="2. bekkur",C2314="3. bekkur",C2314="4. bekkur"),"Já",IF(C2314="Starfsmaður","Nei","Nei")))</f>
        <v/>
      </c>
      <c r="G2314" s="63"/>
      <c r="H2314" s="63"/>
      <c r="I2314" s="63"/>
      <c r="J2314" s="64" t="str">
        <f aca="false">IF(OR(A2314="",B2314=""),"",CONCATENATE("https://matarstund.is/serfaedi?id=",LOWER(SUBSTITUTE(B2314,"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64" t="str">
        <f aca="false">IF(OR(A2315="",B2315=""),"",CONCATENATE("https://matarstund.is/serfaedi?id=",LOWER(SUBSTITUTE(B2315," ","-"))))</f>
        <v/>
      </c>
    </row>
    <row r="2316" customFormat="false" ht="15" hidden="false" customHeight="true" outlineLevel="0" collapsed="false">
      <c r="A2316" s="63"/>
      <c r="B2316" s="63"/>
      <c r="C2316" s="63"/>
      <c r="D2316" s="63"/>
      <c r="E2316" s="63"/>
      <c r="F2316" s="28" t="str">
        <f aca="false">IF(C2316="","",IF(OR(C2316="1. bekkur",C2316="2. bekkur",C2316="3. bekkur",C2316="4. bekkur"),"Já",IF(C2316="Starfsmaður","Nei","Nei")))</f>
        <v/>
      </c>
      <c r="G2316" s="63"/>
      <c r="H2316" s="63"/>
      <c r="I2316" s="63"/>
      <c r="J2316" s="64" t="str">
        <f aca="false">IF(OR(A2316="",B2316=""),"",CONCATENATE("https://matarstund.is/serfaedi?id=",LOWER(SUBSTITUTE(B2316,"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64" t="str">
        <f aca="false">IF(OR(A2317="",B2317=""),"",CONCATENATE("https://matarstund.is/serfaedi?id=",LOWER(SUBSTITUTE(B2317," ","-"))))</f>
        <v/>
      </c>
    </row>
    <row r="2318" customFormat="false" ht="15" hidden="false" customHeight="true" outlineLevel="0" collapsed="false">
      <c r="A2318" s="63"/>
      <c r="B2318" s="63"/>
      <c r="C2318" s="63"/>
      <c r="D2318" s="63"/>
      <c r="E2318" s="63"/>
      <c r="F2318" s="28" t="str">
        <f aca="false">IF(C2318="","",IF(OR(C2318="1. bekkur",C2318="2. bekkur",C2318="3. bekkur",C2318="4. bekkur"),"Já",IF(C2318="Starfsmaður","Nei","Nei")))</f>
        <v/>
      </c>
      <c r="G2318" s="63"/>
      <c r="H2318" s="63"/>
      <c r="I2318" s="63"/>
      <c r="J2318" s="64" t="str">
        <f aca="false">IF(OR(A2318="",B2318=""),"",CONCATENATE("https://matarstund.is/serfaedi?id=",LOWER(SUBSTITUTE(B2318,"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64" t="str">
        <f aca="false">IF(OR(A2319="",B2319=""),"",CONCATENATE("https://matarstund.is/serfaedi?id=",LOWER(SUBSTITUTE(B2319," ","-"))))</f>
        <v/>
      </c>
    </row>
    <row r="2320" customFormat="false" ht="15" hidden="false" customHeight="true" outlineLevel="0" collapsed="false">
      <c r="A2320" s="63"/>
      <c r="B2320" s="63"/>
      <c r="C2320" s="63"/>
      <c r="D2320" s="63"/>
      <c r="E2320" s="63"/>
      <c r="F2320" s="28" t="str">
        <f aca="false">IF(C2320="","",IF(OR(C2320="1. bekkur",C2320="2. bekkur",C2320="3. bekkur",C2320="4. bekkur"),"Já",IF(C2320="Starfsmaður","Nei","Nei")))</f>
        <v/>
      </c>
      <c r="G2320" s="63"/>
      <c r="H2320" s="63"/>
      <c r="I2320" s="63"/>
      <c r="J2320" s="64" t="str">
        <f aca="false">IF(OR(A2320="",B2320=""),"",CONCATENATE("https://matarstund.is/serfaedi?id=",LOWER(SUBSTITUTE(B2320,"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64" t="str">
        <f aca="false">IF(OR(A2321="",B2321=""),"",CONCATENATE("https://matarstund.is/serfaedi?id=",LOWER(SUBSTITUTE(B2321," ","-"))))</f>
        <v/>
      </c>
    </row>
    <row r="2322" customFormat="false" ht="15" hidden="false" customHeight="true" outlineLevel="0" collapsed="false">
      <c r="A2322" s="63"/>
      <c r="B2322" s="63"/>
      <c r="C2322" s="63"/>
      <c r="D2322" s="63"/>
      <c r="E2322" s="63"/>
      <c r="F2322" s="28" t="str">
        <f aca="false">IF(C2322="","",IF(OR(C2322="1. bekkur",C2322="2. bekkur",C2322="3. bekkur",C2322="4. bekkur"),"Já",IF(C2322="Starfsmaður","Nei","Nei")))</f>
        <v/>
      </c>
      <c r="G2322" s="63"/>
      <c r="H2322" s="63"/>
      <c r="I2322" s="63"/>
      <c r="J2322" s="64" t="str">
        <f aca="false">IF(OR(A2322="",B2322=""),"",CONCATENATE("https://matarstund.is/serfaedi?id=",LOWER(SUBSTITUTE(B2322,"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64" t="str">
        <f aca="false">IF(OR(A2323="",B2323=""),"",CONCATENATE("https://matarstund.is/serfaedi?id=",LOWER(SUBSTITUTE(B2323," ","-"))))</f>
        <v/>
      </c>
    </row>
    <row r="2324" customFormat="false" ht="15" hidden="false" customHeight="true" outlineLevel="0" collapsed="false">
      <c r="A2324" s="63"/>
      <c r="B2324" s="63"/>
      <c r="C2324" s="63"/>
      <c r="D2324" s="63"/>
      <c r="E2324" s="63"/>
      <c r="F2324" s="28" t="str">
        <f aca="false">IF(C2324="","",IF(OR(C2324="1. bekkur",C2324="2. bekkur",C2324="3. bekkur",C2324="4. bekkur"),"Já",IF(C2324="Starfsmaður","Nei","Nei")))</f>
        <v/>
      </c>
      <c r="G2324" s="63"/>
      <c r="H2324" s="63"/>
      <c r="I2324" s="63"/>
      <c r="J2324" s="64" t="str">
        <f aca="false">IF(OR(A2324="",B2324=""),"",CONCATENATE("https://matarstund.is/serfaedi?id=",LOWER(SUBSTITUTE(B2324,"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64" t="str">
        <f aca="false">IF(OR(A2325="",B2325=""),"",CONCATENATE("https://matarstund.is/serfaedi?id=",LOWER(SUBSTITUTE(B2325," ","-"))))</f>
        <v/>
      </c>
    </row>
    <row r="2326" customFormat="false" ht="15" hidden="false" customHeight="true" outlineLevel="0" collapsed="false">
      <c r="A2326" s="63"/>
      <c r="B2326" s="63"/>
      <c r="C2326" s="63"/>
      <c r="D2326" s="63"/>
      <c r="E2326" s="63"/>
      <c r="F2326" s="28" t="str">
        <f aca="false">IF(C2326="","",IF(OR(C2326="1. bekkur",C2326="2. bekkur",C2326="3. bekkur",C2326="4. bekkur"),"Já",IF(C2326="Starfsmaður","Nei","Nei")))</f>
        <v/>
      </c>
      <c r="G2326" s="63"/>
      <c r="H2326" s="63"/>
      <c r="I2326" s="63"/>
      <c r="J2326" s="64" t="str">
        <f aca="false">IF(OR(A2326="",B2326=""),"",CONCATENATE("https://matarstund.is/serfaedi?id=",LOWER(SUBSTITUTE(B2326,"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64" t="str">
        <f aca="false">IF(OR(A2327="",B2327=""),"",CONCATENATE("https://matarstund.is/serfaedi?id=",LOWER(SUBSTITUTE(B2327," ","-"))))</f>
        <v/>
      </c>
    </row>
    <row r="2328" customFormat="false" ht="15" hidden="false" customHeight="true" outlineLevel="0" collapsed="false">
      <c r="A2328" s="63"/>
      <c r="B2328" s="63"/>
      <c r="C2328" s="63"/>
      <c r="D2328" s="63"/>
      <c r="E2328" s="63"/>
      <c r="F2328" s="28" t="str">
        <f aca="false">IF(C2328="","",IF(OR(C2328="1. bekkur",C2328="2. bekkur",C2328="3. bekkur",C2328="4. bekkur"),"Já",IF(C2328="Starfsmaður","Nei","Nei")))</f>
        <v/>
      </c>
      <c r="G2328" s="63"/>
      <c r="H2328" s="63"/>
      <c r="I2328" s="63"/>
      <c r="J2328" s="64" t="str">
        <f aca="false">IF(OR(A2328="",B2328=""),"",CONCATENATE("https://matarstund.is/serfaedi?id=",LOWER(SUBSTITUTE(B2328,"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64" t="str">
        <f aca="false">IF(OR(A2329="",B2329=""),"",CONCATENATE("https://matarstund.is/serfaedi?id=",LOWER(SUBSTITUTE(B2329," ","-"))))</f>
        <v/>
      </c>
    </row>
    <row r="2330" customFormat="false" ht="15" hidden="false" customHeight="true" outlineLevel="0" collapsed="false">
      <c r="A2330" s="63"/>
      <c r="B2330" s="63"/>
      <c r="C2330" s="63"/>
      <c r="D2330" s="63"/>
      <c r="E2330" s="63"/>
      <c r="F2330" s="28" t="str">
        <f aca="false">IF(C2330="","",IF(OR(C2330="1. bekkur",C2330="2. bekkur",C2330="3. bekkur",C2330="4. bekkur"),"Já",IF(C2330="Starfsmaður","Nei","Nei")))</f>
        <v/>
      </c>
      <c r="G2330" s="63"/>
      <c r="H2330" s="63"/>
      <c r="I2330" s="63"/>
      <c r="J2330" s="64" t="str">
        <f aca="false">IF(OR(A2330="",B2330=""),"",CONCATENATE("https://matarstund.is/serfaedi?id=",LOWER(SUBSTITUTE(B2330,"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64" t="str">
        <f aca="false">IF(OR(A2331="",B2331=""),"",CONCATENATE("https://matarstund.is/serfaedi?id=",LOWER(SUBSTITUTE(B2331," ","-"))))</f>
        <v/>
      </c>
    </row>
    <row r="2332" customFormat="false" ht="15" hidden="false" customHeight="true" outlineLevel="0" collapsed="false">
      <c r="A2332" s="63"/>
      <c r="B2332" s="63"/>
      <c r="C2332" s="63"/>
      <c r="D2332" s="63"/>
      <c r="E2332" s="63"/>
      <c r="F2332" s="28" t="str">
        <f aca="false">IF(C2332="","",IF(OR(C2332="1. bekkur",C2332="2. bekkur",C2332="3. bekkur",C2332="4. bekkur"),"Já",IF(C2332="Starfsmaður","Nei","Nei")))</f>
        <v/>
      </c>
      <c r="G2332" s="63"/>
      <c r="H2332" s="63"/>
      <c r="I2332" s="63"/>
      <c r="J2332" s="64" t="str">
        <f aca="false">IF(OR(A2332="",B2332=""),"",CONCATENATE("https://matarstund.is/serfaedi?id=",LOWER(SUBSTITUTE(B2332,"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64" t="str">
        <f aca="false">IF(OR(A2333="",B2333=""),"",CONCATENATE("https://matarstund.is/serfaedi?id=",LOWER(SUBSTITUTE(B2333," ","-"))))</f>
        <v/>
      </c>
    </row>
    <row r="2334" customFormat="false" ht="15" hidden="false" customHeight="true" outlineLevel="0" collapsed="false">
      <c r="A2334" s="63"/>
      <c r="B2334" s="63"/>
      <c r="C2334" s="63"/>
      <c r="D2334" s="63"/>
      <c r="E2334" s="63"/>
      <c r="F2334" s="28" t="str">
        <f aca="false">IF(C2334="","",IF(OR(C2334="1. bekkur",C2334="2. bekkur",C2334="3. bekkur",C2334="4. bekkur"),"Já",IF(C2334="Starfsmaður","Nei","Nei")))</f>
        <v/>
      </c>
      <c r="G2334" s="63"/>
      <c r="H2334" s="63"/>
      <c r="I2334" s="63"/>
      <c r="J2334" s="64" t="str">
        <f aca="false">IF(OR(A2334="",B2334=""),"",CONCATENATE("https://matarstund.is/serfaedi?id=",LOWER(SUBSTITUTE(B2334,"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64" t="str">
        <f aca="false">IF(OR(A2335="",B2335=""),"",CONCATENATE("https://matarstund.is/serfaedi?id=",LOWER(SUBSTITUTE(B2335," ","-"))))</f>
        <v/>
      </c>
    </row>
    <row r="2336" customFormat="false" ht="15" hidden="false" customHeight="true" outlineLevel="0" collapsed="false">
      <c r="A2336" s="63"/>
      <c r="B2336" s="63"/>
      <c r="C2336" s="63"/>
      <c r="D2336" s="63"/>
      <c r="E2336" s="63"/>
      <c r="F2336" s="28" t="str">
        <f aca="false">IF(C2336="","",IF(OR(C2336="1. bekkur",C2336="2. bekkur",C2336="3. bekkur",C2336="4. bekkur"),"Já",IF(C2336="Starfsmaður","Nei","Nei")))</f>
        <v/>
      </c>
      <c r="G2336" s="63"/>
      <c r="H2336" s="63"/>
      <c r="I2336" s="63"/>
      <c r="J2336" s="64" t="str">
        <f aca="false">IF(OR(A2336="",B2336=""),"",CONCATENATE("https://matarstund.is/serfaedi?id=",LOWER(SUBSTITUTE(B2336,"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64" t="str">
        <f aca="false">IF(OR(A2337="",B2337=""),"",CONCATENATE("https://matarstund.is/serfaedi?id=",LOWER(SUBSTITUTE(B2337," ","-"))))</f>
        <v/>
      </c>
    </row>
    <row r="2338" customFormat="false" ht="15" hidden="false" customHeight="true" outlineLevel="0" collapsed="false">
      <c r="A2338" s="63"/>
      <c r="B2338" s="63"/>
      <c r="C2338" s="63"/>
      <c r="D2338" s="63"/>
      <c r="E2338" s="63"/>
      <c r="F2338" s="28" t="str">
        <f aca="false">IF(C2338="","",IF(OR(C2338="1. bekkur",C2338="2. bekkur",C2338="3. bekkur",C2338="4. bekkur"),"Já",IF(C2338="Starfsmaður","Nei","Nei")))</f>
        <v/>
      </c>
      <c r="G2338" s="63"/>
      <c r="H2338" s="63"/>
      <c r="I2338" s="63"/>
      <c r="J2338" s="64" t="str">
        <f aca="false">IF(OR(A2338="",B2338=""),"",CONCATENATE("https://matarstund.is/serfaedi?id=",LOWER(SUBSTITUTE(B2338,"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64" t="str">
        <f aca="false">IF(OR(A2339="",B2339=""),"",CONCATENATE("https://matarstund.is/serfaedi?id=",LOWER(SUBSTITUTE(B2339," ","-"))))</f>
        <v/>
      </c>
    </row>
    <row r="2340" customFormat="false" ht="15" hidden="false" customHeight="true" outlineLevel="0" collapsed="false">
      <c r="A2340" s="63"/>
      <c r="B2340" s="63"/>
      <c r="C2340" s="63"/>
      <c r="D2340" s="63"/>
      <c r="E2340" s="63"/>
      <c r="F2340" s="28" t="str">
        <f aca="false">IF(C2340="","",IF(OR(C2340="1. bekkur",C2340="2. bekkur",C2340="3. bekkur",C2340="4. bekkur"),"Já",IF(C2340="Starfsmaður","Nei","Nei")))</f>
        <v/>
      </c>
      <c r="G2340" s="63"/>
      <c r="H2340" s="63"/>
      <c r="I2340" s="63"/>
      <c r="J2340" s="64" t="str">
        <f aca="false">IF(OR(A2340="",B2340=""),"",CONCATENATE("https://matarstund.is/serfaedi?id=",LOWER(SUBSTITUTE(B2340,"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64" t="str">
        <f aca="false">IF(OR(A2341="",B2341=""),"",CONCATENATE("https://matarstund.is/serfaedi?id=",LOWER(SUBSTITUTE(B2341," ","-"))))</f>
        <v/>
      </c>
    </row>
    <row r="2342" customFormat="false" ht="15" hidden="false" customHeight="true" outlineLevel="0" collapsed="false">
      <c r="A2342" s="63"/>
      <c r="B2342" s="63"/>
      <c r="C2342" s="63"/>
      <c r="D2342" s="63"/>
      <c r="E2342" s="63"/>
      <c r="F2342" s="28" t="str">
        <f aca="false">IF(C2342="","",IF(OR(C2342="1. bekkur",C2342="2. bekkur",C2342="3. bekkur",C2342="4. bekkur"),"Já",IF(C2342="Starfsmaður","Nei","Nei")))</f>
        <v/>
      </c>
      <c r="G2342" s="63"/>
      <c r="H2342" s="63"/>
      <c r="I2342" s="63"/>
      <c r="J2342" s="64" t="str">
        <f aca="false">IF(OR(A2342="",B2342=""),"",CONCATENATE("https://matarstund.is/serfaedi?id=",LOWER(SUBSTITUTE(B2342,"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64" t="str">
        <f aca="false">IF(OR(A2343="",B2343=""),"",CONCATENATE("https://matarstund.is/serfaedi?id=",LOWER(SUBSTITUTE(B2343," ","-"))))</f>
        <v/>
      </c>
    </row>
    <row r="2344" customFormat="false" ht="15" hidden="false" customHeight="true" outlineLevel="0" collapsed="false">
      <c r="A2344" s="63"/>
      <c r="B2344" s="63"/>
      <c r="C2344" s="63"/>
      <c r="D2344" s="63"/>
      <c r="E2344" s="63"/>
      <c r="F2344" s="28" t="str">
        <f aca="false">IF(C2344="","",IF(OR(C2344="1. bekkur",C2344="2. bekkur",C2344="3. bekkur",C2344="4. bekkur"),"Já",IF(C2344="Starfsmaður","Nei","Nei")))</f>
        <v/>
      </c>
      <c r="G2344" s="63"/>
      <c r="H2344" s="63"/>
      <c r="I2344" s="63"/>
      <c r="J2344" s="64" t="str">
        <f aca="false">IF(OR(A2344="",B2344=""),"",CONCATENATE("https://matarstund.is/serfaedi?id=",LOWER(SUBSTITUTE(B2344,"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64" t="str">
        <f aca="false">IF(OR(A2345="",B2345=""),"",CONCATENATE("https://matarstund.is/serfaedi?id=",LOWER(SUBSTITUTE(B2345," ","-"))))</f>
        <v/>
      </c>
    </row>
    <row r="2346" customFormat="false" ht="15" hidden="false" customHeight="true" outlineLevel="0" collapsed="false">
      <c r="A2346" s="63"/>
      <c r="B2346" s="63"/>
      <c r="C2346" s="63"/>
      <c r="D2346" s="63"/>
      <c r="E2346" s="63"/>
      <c r="F2346" s="28" t="str">
        <f aca="false">IF(C2346="","",IF(OR(C2346="1. bekkur",C2346="2. bekkur",C2346="3. bekkur",C2346="4. bekkur"),"Já",IF(C2346="Starfsmaður","Nei","Nei")))</f>
        <v/>
      </c>
      <c r="G2346" s="63"/>
      <c r="H2346" s="63"/>
      <c r="I2346" s="63"/>
      <c r="J2346" s="64" t="str">
        <f aca="false">IF(OR(A2346="",B2346=""),"",CONCATENATE("https://matarstund.is/serfaedi?id=",LOWER(SUBSTITUTE(B2346,"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64" t="str">
        <f aca="false">IF(OR(A2347="",B2347=""),"",CONCATENATE("https://matarstund.is/serfaedi?id=",LOWER(SUBSTITUTE(B2347," ","-"))))</f>
        <v/>
      </c>
    </row>
    <row r="2348" customFormat="false" ht="15" hidden="false" customHeight="true" outlineLevel="0" collapsed="false">
      <c r="A2348" s="63"/>
      <c r="B2348" s="63"/>
      <c r="C2348" s="63"/>
      <c r="D2348" s="63"/>
      <c r="E2348" s="63"/>
      <c r="F2348" s="28" t="str">
        <f aca="false">IF(C2348="","",IF(OR(C2348="1. bekkur",C2348="2. bekkur",C2348="3. bekkur",C2348="4. bekkur"),"Já",IF(C2348="Starfsmaður","Nei","Nei")))</f>
        <v/>
      </c>
      <c r="G2348" s="63"/>
      <c r="H2348" s="63"/>
      <c r="I2348" s="63"/>
      <c r="J2348" s="64" t="str">
        <f aca="false">IF(OR(A2348="",B2348=""),"",CONCATENATE("https://matarstund.is/serfaedi?id=",LOWER(SUBSTITUTE(B2348,"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64" t="str">
        <f aca="false">IF(OR(A2349="",B2349=""),"",CONCATENATE("https://matarstund.is/serfaedi?id=",LOWER(SUBSTITUTE(B2349," ","-"))))</f>
        <v/>
      </c>
    </row>
    <row r="2350" customFormat="false" ht="15" hidden="false" customHeight="true" outlineLevel="0" collapsed="false">
      <c r="A2350" s="63"/>
      <c r="B2350" s="63"/>
      <c r="C2350" s="63"/>
      <c r="D2350" s="63"/>
      <c r="E2350" s="63"/>
      <c r="F2350" s="28" t="str">
        <f aca="false">IF(C2350="","",IF(OR(C2350="1. bekkur",C2350="2. bekkur",C2350="3. bekkur",C2350="4. bekkur"),"Já",IF(C2350="Starfsmaður","Nei","Nei")))</f>
        <v/>
      </c>
      <c r="G2350" s="63"/>
      <c r="H2350" s="63"/>
      <c r="I2350" s="63"/>
      <c r="J2350" s="64" t="str">
        <f aca="false">IF(OR(A2350="",B2350=""),"",CONCATENATE("https://matarstund.is/serfaedi?id=",LOWER(SUBSTITUTE(B2350,"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64" t="str">
        <f aca="false">IF(OR(A2351="",B2351=""),"",CONCATENATE("https://matarstund.is/serfaedi?id=",LOWER(SUBSTITUTE(B2351," ","-"))))</f>
        <v/>
      </c>
    </row>
    <row r="2352" customFormat="false" ht="15" hidden="false" customHeight="true" outlineLevel="0" collapsed="false">
      <c r="A2352" s="63"/>
      <c r="B2352" s="63"/>
      <c r="C2352" s="63"/>
      <c r="D2352" s="63"/>
      <c r="E2352" s="63"/>
      <c r="F2352" s="28" t="str">
        <f aca="false">IF(C2352="","",IF(OR(C2352="1. bekkur",C2352="2. bekkur",C2352="3. bekkur",C2352="4. bekkur"),"Já",IF(C2352="Starfsmaður","Nei","Nei")))</f>
        <v/>
      </c>
      <c r="G2352" s="63"/>
      <c r="H2352" s="63"/>
      <c r="I2352" s="63"/>
      <c r="J2352" s="64" t="str">
        <f aca="false">IF(OR(A2352="",B2352=""),"",CONCATENATE("https://matarstund.is/serfaedi?id=",LOWER(SUBSTITUTE(B2352,"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64" t="str">
        <f aca="false">IF(OR(A2353="",B2353=""),"",CONCATENATE("https://matarstund.is/serfaedi?id=",LOWER(SUBSTITUTE(B2353," ","-"))))</f>
        <v/>
      </c>
    </row>
    <row r="2354" customFormat="false" ht="15" hidden="false" customHeight="true" outlineLevel="0" collapsed="false">
      <c r="A2354" s="63"/>
      <c r="B2354" s="63"/>
      <c r="C2354" s="63"/>
      <c r="D2354" s="63"/>
      <c r="E2354" s="63"/>
      <c r="F2354" s="28" t="str">
        <f aca="false">IF(C2354="","",IF(OR(C2354="1. bekkur",C2354="2. bekkur",C2354="3. bekkur",C2354="4. bekkur"),"Já",IF(C2354="Starfsmaður","Nei","Nei")))</f>
        <v/>
      </c>
      <c r="G2354" s="63"/>
      <c r="H2354" s="63"/>
      <c r="I2354" s="63"/>
      <c r="J2354" s="64" t="str">
        <f aca="false">IF(OR(A2354="",B2354=""),"",CONCATENATE("https://matarstund.is/serfaedi?id=",LOWER(SUBSTITUTE(B2354,"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64" t="str">
        <f aca="false">IF(OR(A2355="",B2355=""),"",CONCATENATE("https://matarstund.is/serfaedi?id=",LOWER(SUBSTITUTE(B2355," ","-"))))</f>
        <v/>
      </c>
    </row>
    <row r="2356" customFormat="false" ht="15" hidden="false" customHeight="true" outlineLevel="0" collapsed="false">
      <c r="A2356" s="63"/>
      <c r="B2356" s="63"/>
      <c r="C2356" s="63"/>
      <c r="D2356" s="63"/>
      <c r="E2356" s="63"/>
      <c r="F2356" s="28" t="str">
        <f aca="false">IF(C2356="","",IF(OR(C2356="1. bekkur",C2356="2. bekkur",C2356="3. bekkur",C2356="4. bekkur"),"Já",IF(C2356="Starfsmaður","Nei","Nei")))</f>
        <v/>
      </c>
      <c r="G2356" s="63"/>
      <c r="H2356" s="63"/>
      <c r="I2356" s="63"/>
      <c r="J2356" s="64" t="str">
        <f aca="false">IF(OR(A2356="",B2356=""),"",CONCATENATE("https://matarstund.is/serfaedi?id=",LOWER(SUBSTITUTE(B2356,"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64" t="str">
        <f aca="false">IF(OR(A2357="",B2357=""),"",CONCATENATE("https://matarstund.is/serfaedi?id=",LOWER(SUBSTITUTE(B2357," ","-"))))</f>
        <v/>
      </c>
    </row>
    <row r="2358" customFormat="false" ht="15" hidden="false" customHeight="true" outlineLevel="0" collapsed="false">
      <c r="A2358" s="63"/>
      <c r="B2358" s="63"/>
      <c r="C2358" s="63"/>
      <c r="D2358" s="63"/>
      <c r="E2358" s="63"/>
      <c r="F2358" s="28" t="str">
        <f aca="false">IF(C2358="","",IF(OR(C2358="1. bekkur",C2358="2. bekkur",C2358="3. bekkur",C2358="4. bekkur"),"Já",IF(C2358="Starfsmaður","Nei","Nei")))</f>
        <v/>
      </c>
      <c r="G2358" s="63"/>
      <c r="H2358" s="63"/>
      <c r="I2358" s="63"/>
      <c r="J2358" s="64" t="str">
        <f aca="false">IF(OR(A2358="",B2358=""),"",CONCATENATE("https://matarstund.is/serfaedi?id=",LOWER(SUBSTITUTE(B2358,"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64" t="str">
        <f aca="false">IF(OR(A2359="",B2359=""),"",CONCATENATE("https://matarstund.is/serfaedi?id=",LOWER(SUBSTITUTE(B2359," ","-"))))</f>
        <v/>
      </c>
    </row>
    <row r="2360" customFormat="false" ht="15" hidden="false" customHeight="true" outlineLevel="0" collapsed="false">
      <c r="A2360" s="63"/>
      <c r="B2360" s="63"/>
      <c r="C2360" s="63"/>
      <c r="D2360" s="63"/>
      <c r="E2360" s="63"/>
      <c r="F2360" s="28" t="str">
        <f aca="false">IF(C2360="","",IF(OR(C2360="1. bekkur",C2360="2. bekkur",C2360="3. bekkur",C2360="4. bekkur"),"Já",IF(C2360="Starfsmaður","Nei","Nei")))</f>
        <v/>
      </c>
      <c r="G2360" s="63"/>
      <c r="H2360" s="63"/>
      <c r="I2360" s="63"/>
      <c r="J2360" s="64" t="str">
        <f aca="false">IF(OR(A2360="",B2360=""),"",CONCATENATE("https://matarstund.is/serfaedi?id=",LOWER(SUBSTITUTE(B2360,"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64" t="str">
        <f aca="false">IF(OR(A2361="",B2361=""),"",CONCATENATE("https://matarstund.is/serfaedi?id=",LOWER(SUBSTITUTE(B2361," ","-"))))</f>
        <v/>
      </c>
    </row>
    <row r="2362" customFormat="false" ht="15" hidden="false" customHeight="true" outlineLevel="0" collapsed="false">
      <c r="A2362" s="63"/>
      <c r="B2362" s="63"/>
      <c r="C2362" s="63"/>
      <c r="D2362" s="63"/>
      <c r="E2362" s="63"/>
      <c r="F2362" s="28" t="str">
        <f aca="false">IF(C2362="","",IF(OR(C2362="1. bekkur",C2362="2. bekkur",C2362="3. bekkur",C2362="4. bekkur"),"Já",IF(C2362="Starfsmaður","Nei","Nei")))</f>
        <v/>
      </c>
      <c r="G2362" s="63"/>
      <c r="H2362" s="63"/>
      <c r="I2362" s="63"/>
      <c r="J2362" s="64" t="str">
        <f aca="false">IF(OR(A2362="",B2362=""),"",CONCATENATE("https://matarstund.is/serfaedi?id=",LOWER(SUBSTITUTE(B2362,"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64" t="str">
        <f aca="false">IF(OR(A2363="",B2363=""),"",CONCATENATE("https://matarstund.is/serfaedi?id=",LOWER(SUBSTITUTE(B2363," ","-"))))</f>
        <v/>
      </c>
    </row>
    <row r="2364" customFormat="false" ht="15" hidden="false" customHeight="true" outlineLevel="0" collapsed="false">
      <c r="A2364" s="63"/>
      <c r="B2364" s="63"/>
      <c r="C2364" s="63"/>
      <c r="D2364" s="63"/>
      <c r="E2364" s="63"/>
      <c r="F2364" s="28" t="str">
        <f aca="false">IF(C2364="","",IF(OR(C2364="1. bekkur",C2364="2. bekkur",C2364="3. bekkur",C2364="4. bekkur"),"Já",IF(C2364="Starfsmaður","Nei","Nei")))</f>
        <v/>
      </c>
      <c r="G2364" s="63"/>
      <c r="H2364" s="63"/>
      <c r="I2364" s="63"/>
      <c r="J2364" s="64" t="str">
        <f aca="false">IF(OR(A2364="",B2364=""),"",CONCATENATE("https://matarstund.is/serfaedi?id=",LOWER(SUBSTITUTE(B2364,"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64" t="str">
        <f aca="false">IF(OR(A2365="",B2365=""),"",CONCATENATE("https://matarstund.is/serfaedi?id=",LOWER(SUBSTITUTE(B2365," ","-"))))</f>
        <v/>
      </c>
    </row>
    <row r="2366" customFormat="false" ht="15" hidden="false" customHeight="true" outlineLevel="0" collapsed="false">
      <c r="A2366" s="63"/>
      <c r="B2366" s="63"/>
      <c r="C2366" s="63"/>
      <c r="D2366" s="63"/>
      <c r="E2366" s="63"/>
      <c r="F2366" s="28" t="str">
        <f aca="false">IF(C2366="","",IF(OR(C2366="1. bekkur",C2366="2. bekkur",C2366="3. bekkur",C2366="4. bekkur"),"Já",IF(C2366="Starfsmaður","Nei","Nei")))</f>
        <v/>
      </c>
      <c r="G2366" s="63"/>
      <c r="H2366" s="63"/>
      <c r="I2366" s="63"/>
      <c r="J2366" s="64" t="str">
        <f aca="false">IF(OR(A2366="",B2366=""),"",CONCATENATE("https://matarstund.is/serfaedi?id=",LOWER(SUBSTITUTE(B2366,"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64" t="str">
        <f aca="false">IF(OR(A2367="",B2367=""),"",CONCATENATE("https://matarstund.is/serfaedi?id=",LOWER(SUBSTITUTE(B2367," ","-"))))</f>
        <v/>
      </c>
    </row>
    <row r="2368" customFormat="false" ht="15" hidden="false" customHeight="true" outlineLevel="0" collapsed="false">
      <c r="A2368" s="63"/>
      <c r="B2368" s="63"/>
      <c r="C2368" s="63"/>
      <c r="D2368" s="63"/>
      <c r="E2368" s="63"/>
      <c r="F2368" s="28" t="str">
        <f aca="false">IF(C2368="","",IF(OR(C2368="1. bekkur",C2368="2. bekkur",C2368="3. bekkur",C2368="4. bekkur"),"Já",IF(C2368="Starfsmaður","Nei","Nei")))</f>
        <v/>
      </c>
      <c r="G2368" s="63"/>
      <c r="H2368" s="63"/>
      <c r="I2368" s="63"/>
      <c r="J2368" s="64" t="str">
        <f aca="false">IF(OR(A2368="",B2368=""),"",CONCATENATE("https://matarstund.is/serfaedi?id=",LOWER(SUBSTITUTE(B2368,"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64" t="str">
        <f aca="false">IF(OR(A2369="",B2369=""),"",CONCATENATE("https://matarstund.is/serfaedi?id=",LOWER(SUBSTITUTE(B2369," ","-"))))</f>
        <v/>
      </c>
    </row>
    <row r="2370" customFormat="false" ht="15" hidden="false" customHeight="true" outlineLevel="0" collapsed="false">
      <c r="A2370" s="63"/>
      <c r="B2370" s="63"/>
      <c r="C2370" s="63"/>
      <c r="D2370" s="63"/>
      <c r="E2370" s="63"/>
      <c r="F2370" s="28" t="str">
        <f aca="false">IF(C2370="","",IF(OR(C2370="1. bekkur",C2370="2. bekkur",C2370="3. bekkur",C2370="4. bekkur"),"Já",IF(C2370="Starfsmaður","Nei","Nei")))</f>
        <v/>
      </c>
      <c r="G2370" s="63"/>
      <c r="H2370" s="63"/>
      <c r="I2370" s="63"/>
      <c r="J2370" s="64" t="str">
        <f aca="false">IF(OR(A2370="",B2370=""),"",CONCATENATE("https://matarstund.is/serfaedi?id=",LOWER(SUBSTITUTE(B2370,"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64" t="str">
        <f aca="false">IF(OR(A2371="",B2371=""),"",CONCATENATE("https://matarstund.is/serfaedi?id=",LOWER(SUBSTITUTE(B2371," ","-"))))</f>
        <v/>
      </c>
    </row>
    <row r="2372" customFormat="false" ht="15" hidden="false" customHeight="true" outlineLevel="0" collapsed="false">
      <c r="A2372" s="63"/>
      <c r="B2372" s="63"/>
      <c r="C2372" s="63"/>
      <c r="D2372" s="63"/>
      <c r="E2372" s="63"/>
      <c r="F2372" s="28" t="str">
        <f aca="false">IF(C2372="","",IF(OR(C2372="1. bekkur",C2372="2. bekkur",C2372="3. bekkur",C2372="4. bekkur"),"Já",IF(C2372="Starfsmaður","Nei","Nei")))</f>
        <v/>
      </c>
      <c r="G2372" s="63"/>
      <c r="H2372" s="63"/>
      <c r="I2372" s="63"/>
      <c r="J2372" s="64" t="str">
        <f aca="false">IF(OR(A2372="",B2372=""),"",CONCATENATE("https://matarstund.is/serfaedi?id=",LOWER(SUBSTITUTE(B2372,"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64" t="str">
        <f aca="false">IF(OR(A2373="",B2373=""),"",CONCATENATE("https://matarstund.is/serfaedi?id=",LOWER(SUBSTITUTE(B2373," ","-"))))</f>
        <v/>
      </c>
    </row>
    <row r="2374" customFormat="false" ht="15" hidden="false" customHeight="true" outlineLevel="0" collapsed="false">
      <c r="A2374" s="63"/>
      <c r="B2374" s="63"/>
      <c r="C2374" s="63"/>
      <c r="D2374" s="63"/>
      <c r="E2374" s="63"/>
      <c r="F2374" s="28" t="str">
        <f aca="false">IF(C2374="","",IF(OR(C2374="1. bekkur",C2374="2. bekkur",C2374="3. bekkur",C2374="4. bekkur"),"Já",IF(C2374="Starfsmaður","Nei","Nei")))</f>
        <v/>
      </c>
      <c r="G2374" s="63"/>
      <c r="H2374" s="63"/>
      <c r="I2374" s="63"/>
      <c r="J2374" s="64" t="str">
        <f aca="false">IF(OR(A2374="",B2374=""),"",CONCATENATE("https://matarstund.is/serfaedi?id=",LOWER(SUBSTITUTE(B2374,"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64" t="str">
        <f aca="false">IF(OR(A2375="",B2375=""),"",CONCATENATE("https://matarstund.is/serfaedi?id=",LOWER(SUBSTITUTE(B2375," ","-"))))</f>
        <v/>
      </c>
    </row>
    <row r="2376" customFormat="false" ht="15" hidden="false" customHeight="true" outlineLevel="0" collapsed="false">
      <c r="A2376" s="63"/>
      <c r="B2376" s="63"/>
      <c r="C2376" s="63"/>
      <c r="D2376" s="63"/>
      <c r="E2376" s="63"/>
      <c r="F2376" s="28" t="str">
        <f aca="false">IF(C2376="","",IF(OR(C2376="1. bekkur",C2376="2. bekkur",C2376="3. bekkur",C2376="4. bekkur"),"Já",IF(C2376="Starfsmaður","Nei","Nei")))</f>
        <v/>
      </c>
      <c r="G2376" s="63"/>
      <c r="H2376" s="63"/>
      <c r="I2376" s="63"/>
      <c r="J2376" s="64" t="str">
        <f aca="false">IF(OR(A2376="",B2376=""),"",CONCATENATE("https://matarstund.is/serfaedi?id=",LOWER(SUBSTITUTE(B2376,"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64" t="str">
        <f aca="false">IF(OR(A2377="",B2377=""),"",CONCATENATE("https://matarstund.is/serfaedi?id=",LOWER(SUBSTITUTE(B2377," ","-"))))</f>
        <v/>
      </c>
    </row>
    <row r="2378" customFormat="false" ht="15" hidden="false" customHeight="true" outlineLevel="0" collapsed="false">
      <c r="A2378" s="63"/>
      <c r="B2378" s="63"/>
      <c r="C2378" s="63"/>
      <c r="D2378" s="63"/>
      <c r="E2378" s="63"/>
      <c r="F2378" s="28" t="str">
        <f aca="false">IF(C2378="","",IF(OR(C2378="1. bekkur",C2378="2. bekkur",C2378="3. bekkur",C2378="4. bekkur"),"Já",IF(C2378="Starfsmaður","Nei","Nei")))</f>
        <v/>
      </c>
      <c r="G2378" s="63"/>
      <c r="H2378" s="63"/>
      <c r="I2378" s="63"/>
      <c r="J2378" s="64" t="str">
        <f aca="false">IF(OR(A2378="",B2378=""),"",CONCATENATE("https://matarstund.is/serfaedi?id=",LOWER(SUBSTITUTE(B2378,"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64" t="str">
        <f aca="false">IF(OR(A2379="",B2379=""),"",CONCATENATE("https://matarstund.is/serfaedi?id=",LOWER(SUBSTITUTE(B2379," ","-"))))</f>
        <v/>
      </c>
    </row>
    <row r="2380" customFormat="false" ht="15" hidden="false" customHeight="true" outlineLevel="0" collapsed="false">
      <c r="A2380" s="63"/>
      <c r="B2380" s="63"/>
      <c r="C2380" s="63"/>
      <c r="D2380" s="63"/>
      <c r="E2380" s="63"/>
      <c r="F2380" s="28" t="str">
        <f aca="false">IF(C2380="","",IF(OR(C2380="1. bekkur",C2380="2. bekkur",C2380="3. bekkur",C2380="4. bekkur"),"Já",IF(C2380="Starfsmaður","Nei","Nei")))</f>
        <v/>
      </c>
      <c r="G2380" s="63"/>
      <c r="H2380" s="63"/>
      <c r="I2380" s="63"/>
      <c r="J2380" s="64" t="str">
        <f aca="false">IF(OR(A2380="",B2380=""),"",CONCATENATE("https://matarstund.is/serfaedi?id=",LOWER(SUBSTITUTE(B2380,"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64" t="str">
        <f aca="false">IF(OR(A2381="",B2381=""),"",CONCATENATE("https://matarstund.is/serfaedi?id=",LOWER(SUBSTITUTE(B2381," ","-"))))</f>
        <v/>
      </c>
    </row>
    <row r="2382" customFormat="false" ht="15" hidden="false" customHeight="true" outlineLevel="0" collapsed="false">
      <c r="A2382" s="63"/>
      <c r="B2382" s="63"/>
      <c r="C2382" s="63"/>
      <c r="D2382" s="63"/>
      <c r="E2382" s="63"/>
      <c r="F2382" s="28" t="str">
        <f aca="false">IF(C2382="","",IF(OR(C2382="1. bekkur",C2382="2. bekkur",C2382="3. bekkur",C2382="4. bekkur"),"Já",IF(C2382="Starfsmaður","Nei","Nei")))</f>
        <v/>
      </c>
      <c r="G2382" s="63"/>
      <c r="H2382" s="63"/>
      <c r="I2382" s="63"/>
      <c r="J2382" s="64" t="str">
        <f aca="false">IF(OR(A2382="",B2382=""),"",CONCATENATE("https://matarstund.is/serfaedi?id=",LOWER(SUBSTITUTE(B2382,"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64" t="str">
        <f aca="false">IF(OR(A2383="",B2383=""),"",CONCATENATE("https://matarstund.is/serfaedi?id=",LOWER(SUBSTITUTE(B2383," ","-"))))</f>
        <v/>
      </c>
    </row>
    <row r="2384" customFormat="false" ht="15" hidden="false" customHeight="true" outlineLevel="0" collapsed="false">
      <c r="A2384" s="63"/>
      <c r="B2384" s="63"/>
      <c r="C2384" s="63"/>
      <c r="D2384" s="63"/>
      <c r="E2384" s="63"/>
      <c r="F2384" s="28" t="str">
        <f aca="false">IF(C2384="","",IF(OR(C2384="1. bekkur",C2384="2. bekkur",C2384="3. bekkur",C2384="4. bekkur"),"Já",IF(C2384="Starfsmaður","Nei","Nei")))</f>
        <v/>
      </c>
      <c r="G2384" s="63"/>
      <c r="H2384" s="63"/>
      <c r="I2384" s="63"/>
      <c r="J2384" s="64" t="str">
        <f aca="false">IF(OR(A2384="",B2384=""),"",CONCATENATE("https://matarstund.is/serfaedi?id=",LOWER(SUBSTITUTE(B2384,"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64" t="str">
        <f aca="false">IF(OR(A2385="",B2385=""),"",CONCATENATE("https://matarstund.is/serfaedi?id=",LOWER(SUBSTITUTE(B2385," ","-"))))</f>
        <v/>
      </c>
    </row>
    <row r="2386" customFormat="false" ht="15" hidden="false" customHeight="true" outlineLevel="0" collapsed="false">
      <c r="A2386" s="63"/>
      <c r="B2386" s="63"/>
      <c r="C2386" s="63"/>
      <c r="D2386" s="63"/>
      <c r="E2386" s="63"/>
      <c r="F2386" s="28" t="str">
        <f aca="false">IF(C2386="","",IF(OR(C2386="1. bekkur",C2386="2. bekkur",C2386="3. bekkur",C2386="4. bekkur"),"Já",IF(C2386="Starfsmaður","Nei","Nei")))</f>
        <v/>
      </c>
      <c r="G2386" s="63"/>
      <c r="H2386" s="63"/>
      <c r="I2386" s="63"/>
      <c r="J2386" s="64" t="str">
        <f aca="false">IF(OR(A2386="",B2386=""),"",CONCATENATE("https://matarstund.is/serfaedi?id=",LOWER(SUBSTITUTE(B2386,"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64" t="str">
        <f aca="false">IF(OR(A2387="",B2387=""),"",CONCATENATE("https://matarstund.is/serfaedi?id=",LOWER(SUBSTITUTE(B2387," ","-"))))</f>
        <v/>
      </c>
    </row>
    <row r="2388" customFormat="false" ht="15" hidden="false" customHeight="true" outlineLevel="0" collapsed="false">
      <c r="A2388" s="63"/>
      <c r="B2388" s="63"/>
      <c r="C2388" s="63"/>
      <c r="D2388" s="63"/>
      <c r="E2388" s="63"/>
      <c r="F2388" s="28" t="str">
        <f aca="false">IF(C2388="","",IF(OR(C2388="1. bekkur",C2388="2. bekkur",C2388="3. bekkur",C2388="4. bekkur"),"Já",IF(C2388="Starfsmaður","Nei","Nei")))</f>
        <v/>
      </c>
      <c r="G2388" s="63"/>
      <c r="H2388" s="63"/>
      <c r="I2388" s="63"/>
      <c r="J2388" s="64" t="str">
        <f aca="false">IF(OR(A2388="",B2388=""),"",CONCATENATE("https://matarstund.is/serfaedi?id=",LOWER(SUBSTITUTE(B2388,"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64" t="str">
        <f aca="false">IF(OR(A2389="",B2389=""),"",CONCATENATE("https://matarstund.is/serfaedi?id=",LOWER(SUBSTITUTE(B2389," ","-"))))</f>
        <v/>
      </c>
    </row>
    <row r="2390" customFormat="false" ht="15" hidden="false" customHeight="true" outlineLevel="0" collapsed="false">
      <c r="A2390" s="63"/>
      <c r="B2390" s="63"/>
      <c r="C2390" s="63"/>
      <c r="D2390" s="63"/>
      <c r="E2390" s="63"/>
      <c r="F2390" s="28" t="str">
        <f aca="false">IF(C2390="","",IF(OR(C2390="1. bekkur",C2390="2. bekkur",C2390="3. bekkur",C2390="4. bekkur"),"Já",IF(C2390="Starfsmaður","Nei","Nei")))</f>
        <v/>
      </c>
      <c r="G2390" s="63"/>
      <c r="H2390" s="63"/>
      <c r="I2390" s="63"/>
      <c r="J2390" s="64" t="str">
        <f aca="false">IF(OR(A2390="",B2390=""),"",CONCATENATE("https://matarstund.is/serfaedi?id=",LOWER(SUBSTITUTE(B2390,"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64" t="str">
        <f aca="false">IF(OR(A2391="",B2391=""),"",CONCATENATE("https://matarstund.is/serfaedi?id=",LOWER(SUBSTITUTE(B2391," ","-"))))</f>
        <v/>
      </c>
    </row>
    <row r="2392" customFormat="false" ht="15" hidden="false" customHeight="true" outlineLevel="0" collapsed="false">
      <c r="A2392" s="63"/>
      <c r="B2392" s="63"/>
      <c r="C2392" s="63"/>
      <c r="D2392" s="63"/>
      <c r="E2392" s="63"/>
      <c r="F2392" s="28" t="str">
        <f aca="false">IF(C2392="","",IF(OR(C2392="1. bekkur",C2392="2. bekkur",C2392="3. bekkur",C2392="4. bekkur"),"Já",IF(C2392="Starfsmaður","Nei","Nei")))</f>
        <v/>
      </c>
      <c r="G2392" s="63"/>
      <c r="H2392" s="63"/>
      <c r="I2392" s="63"/>
      <c r="J2392" s="64" t="str">
        <f aca="false">IF(OR(A2392="",B2392=""),"",CONCATENATE("https://matarstund.is/serfaedi?id=",LOWER(SUBSTITUTE(B2392,"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64" t="str">
        <f aca="false">IF(OR(A2393="",B2393=""),"",CONCATENATE("https://matarstund.is/serfaedi?id=",LOWER(SUBSTITUTE(B2393," ","-"))))</f>
        <v/>
      </c>
    </row>
    <row r="2394" customFormat="false" ht="15" hidden="false" customHeight="true" outlineLevel="0" collapsed="false">
      <c r="A2394" s="63"/>
      <c r="B2394" s="63"/>
      <c r="C2394" s="63"/>
      <c r="D2394" s="63"/>
      <c r="E2394" s="63"/>
      <c r="F2394" s="28" t="str">
        <f aca="false">IF(C2394="","",IF(OR(C2394="1. bekkur",C2394="2. bekkur",C2394="3. bekkur",C2394="4. bekkur"),"Já",IF(C2394="Starfsmaður","Nei","Nei")))</f>
        <v/>
      </c>
      <c r="G2394" s="63"/>
      <c r="H2394" s="63"/>
      <c r="I2394" s="63"/>
      <c r="J2394" s="64" t="str">
        <f aca="false">IF(OR(A2394="",B2394=""),"",CONCATENATE("https://matarstund.is/serfaedi?id=",LOWER(SUBSTITUTE(B2394,"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64" t="str">
        <f aca="false">IF(OR(A2395="",B2395=""),"",CONCATENATE("https://matarstund.is/serfaedi?id=",LOWER(SUBSTITUTE(B2395," ","-"))))</f>
        <v/>
      </c>
    </row>
    <row r="2396" customFormat="false" ht="15" hidden="false" customHeight="true" outlineLevel="0" collapsed="false">
      <c r="A2396" s="63"/>
      <c r="B2396" s="63"/>
      <c r="C2396" s="63"/>
      <c r="D2396" s="63"/>
      <c r="E2396" s="63"/>
      <c r="F2396" s="28" t="str">
        <f aca="false">IF(C2396="","",IF(OR(C2396="1. bekkur",C2396="2. bekkur",C2396="3. bekkur",C2396="4. bekkur"),"Já",IF(C2396="Starfsmaður","Nei","Nei")))</f>
        <v/>
      </c>
      <c r="G2396" s="63"/>
      <c r="H2396" s="63"/>
      <c r="I2396" s="63"/>
      <c r="J2396" s="64" t="str">
        <f aca="false">IF(OR(A2396="",B2396=""),"",CONCATENATE("https://matarstund.is/serfaedi?id=",LOWER(SUBSTITUTE(B2396,"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64" t="str">
        <f aca="false">IF(OR(A2397="",B2397=""),"",CONCATENATE("https://matarstund.is/serfaedi?id=",LOWER(SUBSTITUTE(B2397," ","-"))))</f>
        <v/>
      </c>
    </row>
    <row r="2398" customFormat="false" ht="15" hidden="false" customHeight="true" outlineLevel="0" collapsed="false">
      <c r="A2398" s="63"/>
      <c r="B2398" s="63"/>
      <c r="C2398" s="63"/>
      <c r="D2398" s="63"/>
      <c r="E2398" s="63"/>
      <c r="F2398" s="28" t="str">
        <f aca="false">IF(C2398="","",IF(OR(C2398="1. bekkur",C2398="2. bekkur",C2398="3. bekkur",C2398="4. bekkur"),"Já",IF(C2398="Starfsmaður","Nei","Nei")))</f>
        <v/>
      </c>
      <c r="G2398" s="63"/>
      <c r="H2398" s="63"/>
      <c r="I2398" s="63"/>
      <c r="J2398" s="64" t="str">
        <f aca="false">IF(OR(A2398="",B2398=""),"",CONCATENATE("https://matarstund.is/serfaedi?id=",LOWER(SUBSTITUTE(B2398,"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64" t="str">
        <f aca="false">IF(OR(A2399="",B2399=""),"",CONCATENATE("https://matarstund.is/serfaedi?id=",LOWER(SUBSTITUTE(B2399," ","-"))))</f>
        <v/>
      </c>
    </row>
    <row r="2400" customFormat="false" ht="15" hidden="false" customHeight="true" outlineLevel="0" collapsed="false">
      <c r="A2400" s="63"/>
      <c r="B2400" s="63"/>
      <c r="C2400" s="63"/>
      <c r="D2400" s="63"/>
      <c r="E2400" s="63"/>
      <c r="F2400" s="28" t="str">
        <f aca="false">IF(C2400="","",IF(OR(C2400="1. bekkur",C2400="2. bekkur",C2400="3. bekkur",C2400="4. bekkur"),"Já",IF(C2400="Starfsmaður","Nei","Nei")))</f>
        <v/>
      </c>
      <c r="G2400" s="63"/>
      <c r="H2400" s="63"/>
      <c r="I2400" s="63"/>
      <c r="J2400" s="64" t="str">
        <f aca="false">IF(OR(A2400="",B2400=""),"",CONCATENATE("https://matarstund.is/serfaedi?id=",LOWER(SUBSTITUTE(B2400,"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64" t="str">
        <f aca="false">IF(OR(A2401="",B2401=""),"",CONCATENATE("https://matarstund.is/serfaedi?id=",LOWER(SUBSTITUTE(B2401," ","-"))))</f>
        <v/>
      </c>
    </row>
    <row r="2402" customFormat="false" ht="15" hidden="false" customHeight="true" outlineLevel="0" collapsed="false">
      <c r="A2402" s="63"/>
      <c r="B2402" s="63"/>
      <c r="C2402" s="63"/>
      <c r="D2402" s="63"/>
      <c r="E2402" s="63"/>
      <c r="F2402" s="28" t="str">
        <f aca="false">IF(C2402="","",IF(OR(C2402="1. bekkur",C2402="2. bekkur",C2402="3. bekkur",C2402="4. bekkur"),"Já",IF(C2402="Starfsmaður","Nei","Nei")))</f>
        <v/>
      </c>
      <c r="G2402" s="63"/>
      <c r="H2402" s="63"/>
      <c r="I2402" s="63"/>
      <c r="J2402" s="64" t="str">
        <f aca="false">IF(OR(A2402="",B2402=""),"",CONCATENATE("https://matarstund.is/serfaedi?id=",LOWER(SUBSTITUTE(B2402,"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64" t="str">
        <f aca="false">IF(OR(A2403="",B2403=""),"",CONCATENATE("https://matarstund.is/serfaedi?id=",LOWER(SUBSTITUTE(B2403," ","-"))))</f>
        <v/>
      </c>
    </row>
    <row r="2404" customFormat="false" ht="15" hidden="false" customHeight="true" outlineLevel="0" collapsed="false">
      <c r="A2404" s="63"/>
      <c r="B2404" s="63"/>
      <c r="C2404" s="63"/>
      <c r="D2404" s="63"/>
      <c r="E2404" s="63"/>
      <c r="F2404" s="28" t="str">
        <f aca="false">IF(C2404="","",IF(OR(C2404="1. bekkur",C2404="2. bekkur",C2404="3. bekkur",C2404="4. bekkur"),"Já",IF(C2404="Starfsmaður","Nei","Nei")))</f>
        <v/>
      </c>
      <c r="G2404" s="63"/>
      <c r="H2404" s="63"/>
      <c r="I2404" s="63"/>
      <c r="J2404" s="64" t="str">
        <f aca="false">IF(OR(A2404="",B2404=""),"",CONCATENATE("https://matarstund.is/serfaedi?id=",LOWER(SUBSTITUTE(B2404,"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64" t="str">
        <f aca="false">IF(OR(A2405="",B2405=""),"",CONCATENATE("https://matarstund.is/serfaedi?id=",LOWER(SUBSTITUTE(B2405," ","-"))))</f>
        <v/>
      </c>
    </row>
    <row r="2406" customFormat="false" ht="15" hidden="false" customHeight="true" outlineLevel="0" collapsed="false">
      <c r="A2406" s="63"/>
      <c r="B2406" s="63"/>
      <c r="C2406" s="63"/>
      <c r="D2406" s="63"/>
      <c r="E2406" s="63"/>
      <c r="F2406" s="28" t="str">
        <f aca="false">IF(C2406="","",IF(OR(C2406="1. bekkur",C2406="2. bekkur",C2406="3. bekkur",C2406="4. bekkur"),"Já",IF(C2406="Starfsmaður","Nei","Nei")))</f>
        <v/>
      </c>
      <c r="G2406" s="63"/>
      <c r="H2406" s="63"/>
      <c r="I2406" s="63"/>
      <c r="J2406" s="64" t="str">
        <f aca="false">IF(OR(A2406="",B2406=""),"",CONCATENATE("https://matarstund.is/serfaedi?id=",LOWER(SUBSTITUTE(B2406,"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64" t="str">
        <f aca="false">IF(OR(A2407="",B2407=""),"",CONCATENATE("https://matarstund.is/serfaedi?id=",LOWER(SUBSTITUTE(B2407," ","-"))))</f>
        <v/>
      </c>
    </row>
    <row r="2408" customFormat="false" ht="15" hidden="false" customHeight="true" outlineLevel="0" collapsed="false">
      <c r="A2408" s="63"/>
      <c r="B2408" s="63"/>
      <c r="C2408" s="63"/>
      <c r="D2408" s="63"/>
      <c r="E2408" s="63"/>
      <c r="F2408" s="28" t="str">
        <f aca="false">IF(C2408="","",IF(OR(C2408="1. bekkur",C2408="2. bekkur",C2408="3. bekkur",C2408="4. bekkur"),"Já",IF(C2408="Starfsmaður","Nei","Nei")))</f>
        <v/>
      </c>
      <c r="G2408" s="63"/>
      <c r="H2408" s="63"/>
      <c r="I2408" s="63"/>
      <c r="J2408" s="64" t="str">
        <f aca="false">IF(OR(A2408="",B2408=""),"",CONCATENATE("https://matarstund.is/serfaedi?id=",LOWER(SUBSTITUTE(B2408,"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64" t="str">
        <f aca="false">IF(OR(A2409="",B2409=""),"",CONCATENATE("https://matarstund.is/serfaedi?id=",LOWER(SUBSTITUTE(B2409," ","-"))))</f>
        <v/>
      </c>
    </row>
    <row r="2410" customFormat="false" ht="15" hidden="false" customHeight="true" outlineLevel="0" collapsed="false">
      <c r="A2410" s="63"/>
      <c r="B2410" s="63"/>
      <c r="C2410" s="63"/>
      <c r="D2410" s="63"/>
      <c r="E2410" s="63"/>
      <c r="F2410" s="28" t="str">
        <f aca="false">IF(C2410="","",IF(OR(C2410="1. bekkur",C2410="2. bekkur",C2410="3. bekkur",C2410="4. bekkur"),"Já",IF(C2410="Starfsmaður","Nei","Nei")))</f>
        <v/>
      </c>
      <c r="G2410" s="63"/>
      <c r="H2410" s="63"/>
      <c r="I2410" s="63"/>
      <c r="J2410" s="64" t="str">
        <f aca="false">IF(OR(A2410="",B2410=""),"",CONCATENATE("https://matarstund.is/serfaedi?id=",LOWER(SUBSTITUTE(B2410,"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64" t="str">
        <f aca="false">IF(OR(A2411="",B2411=""),"",CONCATENATE("https://matarstund.is/serfaedi?id=",LOWER(SUBSTITUTE(B2411," ","-"))))</f>
        <v/>
      </c>
    </row>
    <row r="2412" customFormat="false" ht="15" hidden="false" customHeight="true" outlineLevel="0" collapsed="false">
      <c r="A2412" s="63"/>
      <c r="B2412" s="63"/>
      <c r="C2412" s="63"/>
      <c r="D2412" s="63"/>
      <c r="E2412" s="63"/>
      <c r="F2412" s="28" t="str">
        <f aca="false">IF(C2412="","",IF(OR(C2412="1. bekkur",C2412="2. bekkur",C2412="3. bekkur",C2412="4. bekkur"),"Já",IF(C2412="Starfsmaður","Nei","Nei")))</f>
        <v/>
      </c>
      <c r="G2412" s="63"/>
      <c r="H2412" s="63"/>
      <c r="I2412" s="63"/>
      <c r="J2412" s="64" t="str">
        <f aca="false">IF(OR(A2412="",B2412=""),"",CONCATENATE("https://matarstund.is/serfaedi?id=",LOWER(SUBSTITUTE(B2412,"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64" t="str">
        <f aca="false">IF(OR(A2413="",B2413=""),"",CONCATENATE("https://matarstund.is/serfaedi?id=",LOWER(SUBSTITUTE(B2413," ","-"))))</f>
        <v/>
      </c>
    </row>
    <row r="2414" customFormat="false" ht="15" hidden="false" customHeight="true" outlineLevel="0" collapsed="false">
      <c r="A2414" s="63"/>
      <c r="B2414" s="63"/>
      <c r="C2414" s="63"/>
      <c r="D2414" s="63"/>
      <c r="E2414" s="63"/>
      <c r="F2414" s="28" t="str">
        <f aca="false">IF(C2414="","",IF(OR(C2414="1. bekkur",C2414="2. bekkur",C2414="3. bekkur",C2414="4. bekkur"),"Já",IF(C2414="Starfsmaður","Nei","Nei")))</f>
        <v/>
      </c>
      <c r="G2414" s="63"/>
      <c r="H2414" s="63"/>
      <c r="I2414" s="63"/>
      <c r="J2414" s="64" t="str">
        <f aca="false">IF(OR(A2414="",B2414=""),"",CONCATENATE("https://matarstund.is/serfaedi?id=",LOWER(SUBSTITUTE(B2414,"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64" t="str">
        <f aca="false">IF(OR(A2415="",B2415=""),"",CONCATENATE("https://matarstund.is/serfaedi?id=",LOWER(SUBSTITUTE(B2415," ","-"))))</f>
        <v/>
      </c>
    </row>
    <row r="2416" customFormat="false" ht="15" hidden="false" customHeight="true" outlineLevel="0" collapsed="false">
      <c r="A2416" s="63"/>
      <c r="B2416" s="63"/>
      <c r="C2416" s="63"/>
      <c r="D2416" s="63"/>
      <c r="E2416" s="63"/>
      <c r="F2416" s="28" t="str">
        <f aca="false">IF(C2416="","",IF(OR(C2416="1. bekkur",C2416="2. bekkur",C2416="3. bekkur",C2416="4. bekkur"),"Já",IF(C2416="Starfsmaður","Nei","Nei")))</f>
        <v/>
      </c>
      <c r="G2416" s="63"/>
      <c r="H2416" s="63"/>
      <c r="I2416" s="63"/>
      <c r="J2416" s="64" t="str">
        <f aca="false">IF(OR(A2416="",B2416=""),"",CONCATENATE("https://matarstund.is/serfaedi?id=",LOWER(SUBSTITUTE(B2416,"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64" t="str">
        <f aca="false">IF(OR(A2417="",B2417=""),"",CONCATENATE("https://matarstund.is/serfaedi?id=",LOWER(SUBSTITUTE(B2417," ","-"))))</f>
        <v/>
      </c>
    </row>
    <row r="2418" customFormat="false" ht="15" hidden="false" customHeight="true" outlineLevel="0" collapsed="false">
      <c r="A2418" s="63"/>
      <c r="B2418" s="63"/>
      <c r="C2418" s="63"/>
      <c r="D2418" s="63"/>
      <c r="E2418" s="63"/>
      <c r="F2418" s="28" t="str">
        <f aca="false">IF(C2418="","",IF(OR(C2418="1. bekkur",C2418="2. bekkur",C2418="3. bekkur",C2418="4. bekkur"),"Já",IF(C2418="Starfsmaður","Nei","Nei")))</f>
        <v/>
      </c>
      <c r="G2418" s="63"/>
      <c r="H2418" s="63"/>
      <c r="I2418" s="63"/>
      <c r="J2418" s="64" t="str">
        <f aca="false">IF(OR(A2418="",B2418=""),"",CONCATENATE("https://matarstund.is/serfaedi?id=",LOWER(SUBSTITUTE(B2418,"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64" t="str">
        <f aca="false">IF(OR(A2419="",B2419=""),"",CONCATENATE("https://matarstund.is/serfaedi?id=",LOWER(SUBSTITUTE(B2419," ","-"))))</f>
        <v/>
      </c>
    </row>
    <row r="2420" customFormat="false" ht="15" hidden="false" customHeight="true" outlineLevel="0" collapsed="false">
      <c r="A2420" s="63"/>
      <c r="B2420" s="63"/>
      <c r="C2420" s="63"/>
      <c r="D2420" s="63"/>
      <c r="E2420" s="63"/>
      <c r="F2420" s="28" t="str">
        <f aca="false">IF(C2420="","",IF(OR(C2420="1. bekkur",C2420="2. bekkur",C2420="3. bekkur",C2420="4. bekkur"),"Já",IF(C2420="Starfsmaður","Nei","Nei")))</f>
        <v/>
      </c>
      <c r="G2420" s="63"/>
      <c r="H2420" s="63"/>
      <c r="I2420" s="63"/>
      <c r="J2420" s="64" t="str">
        <f aca="false">IF(OR(A2420="",B2420=""),"",CONCATENATE("https://matarstund.is/serfaedi?id=",LOWER(SUBSTITUTE(B2420,"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64" t="str">
        <f aca="false">IF(OR(A2421="",B2421=""),"",CONCATENATE("https://matarstund.is/serfaedi?id=",LOWER(SUBSTITUTE(B2421," ","-"))))</f>
        <v/>
      </c>
    </row>
    <row r="2422" customFormat="false" ht="15" hidden="false" customHeight="true" outlineLevel="0" collapsed="false">
      <c r="A2422" s="63"/>
      <c r="B2422" s="63"/>
      <c r="C2422" s="63"/>
      <c r="D2422" s="63"/>
      <c r="E2422" s="63"/>
      <c r="F2422" s="28" t="str">
        <f aca="false">IF(C2422="","",IF(OR(C2422="1. bekkur",C2422="2. bekkur",C2422="3. bekkur",C2422="4. bekkur"),"Já",IF(C2422="Starfsmaður","Nei","Nei")))</f>
        <v/>
      </c>
      <c r="G2422" s="63"/>
      <c r="H2422" s="63"/>
      <c r="I2422" s="63"/>
      <c r="J2422" s="64" t="str">
        <f aca="false">IF(OR(A2422="",B2422=""),"",CONCATENATE("https://matarstund.is/serfaedi?id=",LOWER(SUBSTITUTE(B2422,"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64" t="str">
        <f aca="false">IF(OR(A2423="",B2423=""),"",CONCATENATE("https://matarstund.is/serfaedi?id=",LOWER(SUBSTITUTE(B2423," ","-"))))</f>
        <v/>
      </c>
    </row>
    <row r="2424" customFormat="false" ht="15" hidden="false" customHeight="true" outlineLevel="0" collapsed="false">
      <c r="A2424" s="63"/>
      <c r="B2424" s="63"/>
      <c r="C2424" s="63"/>
      <c r="D2424" s="63"/>
      <c r="E2424" s="63"/>
      <c r="F2424" s="28" t="str">
        <f aca="false">IF(C2424="","",IF(OR(C2424="1. bekkur",C2424="2. bekkur",C2424="3. bekkur",C2424="4. bekkur"),"Já",IF(C2424="Starfsmaður","Nei","Nei")))</f>
        <v/>
      </c>
      <c r="G2424" s="63"/>
      <c r="H2424" s="63"/>
      <c r="I2424" s="63"/>
      <c r="J2424" s="64" t="str">
        <f aca="false">IF(OR(A2424="",B2424=""),"",CONCATENATE("https://matarstund.is/serfaedi?id=",LOWER(SUBSTITUTE(B2424,"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64" t="str">
        <f aca="false">IF(OR(A2425="",B2425=""),"",CONCATENATE("https://matarstund.is/serfaedi?id=",LOWER(SUBSTITUTE(B2425," ","-"))))</f>
        <v/>
      </c>
    </row>
    <row r="2426" customFormat="false" ht="15" hidden="false" customHeight="true" outlineLevel="0" collapsed="false">
      <c r="A2426" s="63"/>
      <c r="B2426" s="63"/>
      <c r="C2426" s="63"/>
      <c r="D2426" s="63"/>
      <c r="E2426" s="63"/>
      <c r="F2426" s="28" t="str">
        <f aca="false">IF(C2426="","",IF(OR(C2426="1. bekkur",C2426="2. bekkur",C2426="3. bekkur",C2426="4. bekkur"),"Já",IF(C2426="Starfsmaður","Nei","Nei")))</f>
        <v/>
      </c>
      <c r="G2426" s="63"/>
      <c r="H2426" s="63"/>
      <c r="I2426" s="63"/>
      <c r="J2426" s="64" t="str">
        <f aca="false">IF(OR(A2426="",B2426=""),"",CONCATENATE("https://matarstund.is/serfaedi?id=",LOWER(SUBSTITUTE(B2426,"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64" t="str">
        <f aca="false">IF(OR(A2427="",B2427=""),"",CONCATENATE("https://matarstund.is/serfaedi?id=",LOWER(SUBSTITUTE(B2427," ","-"))))</f>
        <v/>
      </c>
    </row>
    <row r="2428" customFormat="false" ht="15" hidden="false" customHeight="true" outlineLevel="0" collapsed="false">
      <c r="A2428" s="63"/>
      <c r="B2428" s="63"/>
      <c r="C2428" s="63"/>
      <c r="D2428" s="63"/>
      <c r="E2428" s="63"/>
      <c r="F2428" s="28" t="str">
        <f aca="false">IF(C2428="","",IF(OR(C2428="1. bekkur",C2428="2. bekkur",C2428="3. bekkur",C2428="4. bekkur"),"Já",IF(C2428="Starfsmaður","Nei","Nei")))</f>
        <v/>
      </c>
      <c r="G2428" s="63"/>
      <c r="H2428" s="63"/>
      <c r="I2428" s="63"/>
      <c r="J2428" s="64" t="str">
        <f aca="false">IF(OR(A2428="",B2428=""),"",CONCATENATE("https://matarstund.is/serfaedi?id=",LOWER(SUBSTITUTE(B2428,"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64" t="str">
        <f aca="false">IF(OR(A2429="",B2429=""),"",CONCATENATE("https://matarstund.is/serfaedi?id=",LOWER(SUBSTITUTE(B2429," ","-"))))</f>
        <v/>
      </c>
    </row>
    <row r="2430" customFormat="false" ht="15" hidden="false" customHeight="true" outlineLevel="0" collapsed="false">
      <c r="A2430" s="63"/>
      <c r="B2430" s="63"/>
      <c r="C2430" s="63"/>
      <c r="D2430" s="63"/>
      <c r="E2430" s="63"/>
      <c r="F2430" s="28" t="str">
        <f aca="false">IF(C2430="","",IF(OR(C2430="1. bekkur",C2430="2. bekkur",C2430="3. bekkur",C2430="4. bekkur"),"Já",IF(C2430="Starfsmaður","Nei","Nei")))</f>
        <v/>
      </c>
      <c r="G2430" s="63"/>
      <c r="H2430" s="63"/>
      <c r="I2430" s="63"/>
      <c r="J2430" s="64" t="str">
        <f aca="false">IF(OR(A2430="",B2430=""),"",CONCATENATE("https://matarstund.is/serfaedi?id=",LOWER(SUBSTITUTE(B2430,"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64" t="str">
        <f aca="false">IF(OR(A2431="",B2431=""),"",CONCATENATE("https://matarstund.is/serfaedi?id=",LOWER(SUBSTITUTE(B2431," ","-"))))</f>
        <v/>
      </c>
    </row>
    <row r="2432" customFormat="false" ht="15" hidden="false" customHeight="true" outlineLevel="0" collapsed="false">
      <c r="A2432" s="63"/>
      <c r="B2432" s="63"/>
      <c r="C2432" s="63"/>
      <c r="D2432" s="63"/>
      <c r="E2432" s="63"/>
      <c r="F2432" s="28" t="str">
        <f aca="false">IF(C2432="","",IF(OR(C2432="1. bekkur",C2432="2. bekkur",C2432="3. bekkur",C2432="4. bekkur"),"Já",IF(C2432="Starfsmaður","Nei","Nei")))</f>
        <v/>
      </c>
      <c r="G2432" s="63"/>
      <c r="H2432" s="63"/>
      <c r="I2432" s="63"/>
      <c r="J2432" s="64" t="str">
        <f aca="false">IF(OR(A2432="",B2432=""),"",CONCATENATE("https://matarstund.is/serfaedi?id=",LOWER(SUBSTITUTE(B2432,"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64" t="str">
        <f aca="false">IF(OR(A2433="",B2433=""),"",CONCATENATE("https://matarstund.is/serfaedi?id=",LOWER(SUBSTITUTE(B2433," ","-"))))</f>
        <v/>
      </c>
    </row>
    <row r="2434" customFormat="false" ht="15" hidden="false" customHeight="true" outlineLevel="0" collapsed="false">
      <c r="A2434" s="63"/>
      <c r="B2434" s="63"/>
      <c r="C2434" s="63"/>
      <c r="D2434" s="63"/>
      <c r="E2434" s="63"/>
      <c r="F2434" s="28" t="str">
        <f aca="false">IF(C2434="","",IF(OR(C2434="1. bekkur",C2434="2. bekkur",C2434="3. bekkur",C2434="4. bekkur"),"Já",IF(C2434="Starfsmaður","Nei","Nei")))</f>
        <v/>
      </c>
      <c r="G2434" s="63"/>
      <c r="H2434" s="63"/>
      <c r="I2434" s="63"/>
      <c r="J2434" s="64" t="str">
        <f aca="false">IF(OR(A2434="",B2434=""),"",CONCATENATE("https://matarstund.is/serfaedi?id=",LOWER(SUBSTITUTE(B2434,"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64" t="str">
        <f aca="false">IF(OR(A2435="",B2435=""),"",CONCATENATE("https://matarstund.is/serfaedi?id=",LOWER(SUBSTITUTE(B2435," ","-"))))</f>
        <v/>
      </c>
    </row>
    <row r="2436" customFormat="false" ht="15" hidden="false" customHeight="true" outlineLevel="0" collapsed="false">
      <c r="A2436" s="63"/>
      <c r="B2436" s="63"/>
      <c r="C2436" s="63"/>
      <c r="D2436" s="63"/>
      <c r="E2436" s="63"/>
      <c r="F2436" s="28" t="str">
        <f aca="false">IF(C2436="","",IF(OR(C2436="1. bekkur",C2436="2. bekkur",C2436="3. bekkur",C2436="4. bekkur"),"Já",IF(C2436="Starfsmaður","Nei","Nei")))</f>
        <v/>
      </c>
      <c r="G2436" s="63"/>
      <c r="H2436" s="63"/>
      <c r="I2436" s="63"/>
      <c r="J2436" s="64" t="str">
        <f aca="false">IF(OR(A2436="",B2436=""),"",CONCATENATE("https://matarstund.is/serfaedi?id=",LOWER(SUBSTITUTE(B2436,"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64" t="str">
        <f aca="false">IF(OR(A2437="",B2437=""),"",CONCATENATE("https://matarstund.is/serfaedi?id=",LOWER(SUBSTITUTE(B2437," ","-"))))</f>
        <v/>
      </c>
    </row>
    <row r="2438" customFormat="false" ht="15" hidden="false" customHeight="true" outlineLevel="0" collapsed="false">
      <c r="A2438" s="63"/>
      <c r="B2438" s="63"/>
      <c r="C2438" s="63"/>
      <c r="D2438" s="63"/>
      <c r="E2438" s="63"/>
      <c r="F2438" s="28" t="str">
        <f aca="false">IF(C2438="","",IF(OR(C2438="1. bekkur",C2438="2. bekkur",C2438="3. bekkur",C2438="4. bekkur"),"Já",IF(C2438="Starfsmaður","Nei","Nei")))</f>
        <v/>
      </c>
      <c r="G2438" s="63"/>
      <c r="H2438" s="63"/>
      <c r="I2438" s="63"/>
      <c r="J2438" s="64" t="str">
        <f aca="false">IF(OR(A2438="",B2438=""),"",CONCATENATE("https://matarstund.is/serfaedi?id=",LOWER(SUBSTITUTE(B2438,"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64" t="str">
        <f aca="false">IF(OR(A2439="",B2439=""),"",CONCATENATE("https://matarstund.is/serfaedi?id=",LOWER(SUBSTITUTE(B2439," ","-"))))</f>
        <v/>
      </c>
    </row>
    <row r="2440" customFormat="false" ht="15" hidden="false" customHeight="true" outlineLevel="0" collapsed="false">
      <c r="A2440" s="63"/>
      <c r="B2440" s="63"/>
      <c r="C2440" s="63"/>
      <c r="D2440" s="63"/>
      <c r="E2440" s="63"/>
      <c r="F2440" s="28" t="str">
        <f aca="false">IF(C2440="","",IF(OR(C2440="1. bekkur",C2440="2. bekkur",C2440="3. bekkur",C2440="4. bekkur"),"Já",IF(C2440="Starfsmaður","Nei","Nei")))</f>
        <v/>
      </c>
      <c r="G2440" s="63"/>
      <c r="H2440" s="63"/>
      <c r="I2440" s="63"/>
      <c r="J2440" s="64" t="str">
        <f aca="false">IF(OR(A2440="",B2440=""),"",CONCATENATE("https://matarstund.is/serfaedi?id=",LOWER(SUBSTITUTE(B2440,"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64" t="str">
        <f aca="false">IF(OR(A2441="",B2441=""),"",CONCATENATE("https://matarstund.is/serfaedi?id=",LOWER(SUBSTITUTE(B2441," ","-"))))</f>
        <v/>
      </c>
    </row>
    <row r="2442" customFormat="false" ht="15" hidden="false" customHeight="true" outlineLevel="0" collapsed="false">
      <c r="A2442" s="63"/>
      <c r="B2442" s="63"/>
      <c r="C2442" s="63"/>
      <c r="D2442" s="63"/>
      <c r="E2442" s="63"/>
      <c r="F2442" s="28" t="str">
        <f aca="false">IF(C2442="","",IF(OR(C2442="1. bekkur",C2442="2. bekkur",C2442="3. bekkur",C2442="4. bekkur"),"Já",IF(C2442="Starfsmaður","Nei","Nei")))</f>
        <v/>
      </c>
      <c r="G2442" s="63"/>
      <c r="H2442" s="63"/>
      <c r="I2442" s="63"/>
      <c r="J2442" s="64" t="str">
        <f aca="false">IF(OR(A2442="",B2442=""),"",CONCATENATE("https://matarstund.is/serfaedi?id=",LOWER(SUBSTITUTE(B2442,"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64" t="str">
        <f aca="false">IF(OR(A2443="",B2443=""),"",CONCATENATE("https://matarstund.is/serfaedi?id=",LOWER(SUBSTITUTE(B2443," ","-"))))</f>
        <v/>
      </c>
    </row>
    <row r="2444" customFormat="false" ht="15" hidden="false" customHeight="true" outlineLevel="0" collapsed="false">
      <c r="A2444" s="63"/>
      <c r="B2444" s="63"/>
      <c r="C2444" s="63"/>
      <c r="D2444" s="63"/>
      <c r="E2444" s="63"/>
      <c r="F2444" s="28" t="str">
        <f aca="false">IF(C2444="","",IF(OR(C2444="1. bekkur",C2444="2. bekkur",C2444="3. bekkur",C2444="4. bekkur"),"Já",IF(C2444="Starfsmaður","Nei","Nei")))</f>
        <v/>
      </c>
      <c r="G2444" s="63"/>
      <c r="H2444" s="63"/>
      <c r="I2444" s="63"/>
      <c r="J2444" s="64" t="str">
        <f aca="false">IF(OR(A2444="",B2444=""),"",CONCATENATE("https://matarstund.is/serfaedi?id=",LOWER(SUBSTITUTE(B2444,"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64" t="str">
        <f aca="false">IF(OR(A2445="",B2445=""),"",CONCATENATE("https://matarstund.is/serfaedi?id=",LOWER(SUBSTITUTE(B2445," ","-"))))</f>
        <v/>
      </c>
    </row>
    <row r="2446" customFormat="false" ht="15" hidden="false" customHeight="true" outlineLevel="0" collapsed="false">
      <c r="A2446" s="63"/>
      <c r="B2446" s="63"/>
      <c r="C2446" s="63"/>
      <c r="D2446" s="63"/>
      <c r="E2446" s="63"/>
      <c r="F2446" s="28" t="str">
        <f aca="false">IF(C2446="","",IF(OR(C2446="1. bekkur",C2446="2. bekkur",C2446="3. bekkur",C2446="4. bekkur"),"Já",IF(C2446="Starfsmaður","Nei","Nei")))</f>
        <v/>
      </c>
      <c r="G2446" s="63"/>
      <c r="H2446" s="63"/>
      <c r="I2446" s="63"/>
      <c r="J2446" s="64" t="str">
        <f aca="false">IF(OR(A2446="",B2446=""),"",CONCATENATE("https://matarstund.is/serfaedi?id=",LOWER(SUBSTITUTE(B2446,"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64" t="str">
        <f aca="false">IF(OR(A2447="",B2447=""),"",CONCATENATE("https://matarstund.is/serfaedi?id=",LOWER(SUBSTITUTE(B2447," ","-"))))</f>
        <v/>
      </c>
    </row>
    <row r="2448" customFormat="false" ht="15" hidden="false" customHeight="true" outlineLevel="0" collapsed="false">
      <c r="A2448" s="63"/>
      <c r="B2448" s="63"/>
      <c r="C2448" s="63"/>
      <c r="D2448" s="63"/>
      <c r="E2448" s="63"/>
      <c r="F2448" s="28" t="str">
        <f aca="false">IF(C2448="","",IF(OR(C2448="1. bekkur",C2448="2. bekkur",C2448="3. bekkur",C2448="4. bekkur"),"Já",IF(C2448="Starfsmaður","Nei","Nei")))</f>
        <v/>
      </c>
      <c r="G2448" s="63"/>
      <c r="H2448" s="63"/>
      <c r="I2448" s="63"/>
      <c r="J2448" s="64" t="str">
        <f aca="false">IF(OR(A2448="",B2448=""),"",CONCATENATE("https://matarstund.is/serfaedi?id=",LOWER(SUBSTITUTE(B2448,"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64" t="str">
        <f aca="false">IF(OR(A2449="",B2449=""),"",CONCATENATE("https://matarstund.is/serfaedi?id=",LOWER(SUBSTITUTE(B2449," ","-"))))</f>
        <v/>
      </c>
    </row>
    <row r="2450" customFormat="false" ht="15" hidden="false" customHeight="true" outlineLevel="0" collapsed="false">
      <c r="A2450" s="63"/>
      <c r="B2450" s="63"/>
      <c r="C2450" s="63"/>
      <c r="D2450" s="63"/>
      <c r="E2450" s="63"/>
      <c r="F2450" s="28" t="str">
        <f aca="false">IF(C2450="","",IF(OR(C2450="1. bekkur",C2450="2. bekkur",C2450="3. bekkur",C2450="4. bekkur"),"Já",IF(C2450="Starfsmaður","Nei","Nei")))</f>
        <v/>
      </c>
      <c r="G2450" s="63"/>
      <c r="H2450" s="63"/>
      <c r="I2450" s="63"/>
      <c r="J2450" s="64" t="str">
        <f aca="false">IF(OR(A2450="",B2450=""),"",CONCATENATE("https://matarstund.is/serfaedi?id=",LOWER(SUBSTITUTE(B2450,"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64" t="str">
        <f aca="false">IF(OR(A2451="",B2451=""),"",CONCATENATE("https://matarstund.is/serfaedi?id=",LOWER(SUBSTITUTE(B2451," ","-"))))</f>
        <v/>
      </c>
    </row>
    <row r="2452" customFormat="false" ht="15" hidden="false" customHeight="true" outlineLevel="0" collapsed="false">
      <c r="A2452" s="63"/>
      <c r="B2452" s="63"/>
      <c r="C2452" s="63"/>
      <c r="D2452" s="63"/>
      <c r="E2452" s="63"/>
      <c r="F2452" s="28" t="str">
        <f aca="false">IF(C2452="","",IF(OR(C2452="1. bekkur",C2452="2. bekkur",C2452="3. bekkur",C2452="4. bekkur"),"Já",IF(C2452="Starfsmaður","Nei","Nei")))</f>
        <v/>
      </c>
      <c r="G2452" s="63"/>
      <c r="H2452" s="63"/>
      <c r="I2452" s="63"/>
      <c r="J2452" s="64" t="str">
        <f aca="false">IF(OR(A2452="",B2452=""),"",CONCATENATE("https://matarstund.is/serfaedi?id=",LOWER(SUBSTITUTE(B2452,"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64" t="str">
        <f aca="false">IF(OR(A2453="",B2453=""),"",CONCATENATE("https://matarstund.is/serfaedi?id=",LOWER(SUBSTITUTE(B2453," ","-"))))</f>
        <v/>
      </c>
    </row>
    <row r="2454" customFormat="false" ht="15" hidden="false" customHeight="true" outlineLevel="0" collapsed="false">
      <c r="A2454" s="63"/>
      <c r="B2454" s="63"/>
      <c r="C2454" s="63"/>
      <c r="D2454" s="63"/>
      <c r="E2454" s="63"/>
      <c r="F2454" s="28" t="str">
        <f aca="false">IF(C2454="","",IF(OR(C2454="1. bekkur",C2454="2. bekkur",C2454="3. bekkur",C2454="4. bekkur"),"Já",IF(C2454="Starfsmaður","Nei","Nei")))</f>
        <v/>
      </c>
      <c r="G2454" s="63"/>
      <c r="H2454" s="63"/>
      <c r="I2454" s="63"/>
      <c r="J2454" s="64" t="str">
        <f aca="false">IF(OR(A2454="",B2454=""),"",CONCATENATE("https://matarstund.is/serfaedi?id=",LOWER(SUBSTITUTE(B2454,"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64" t="str">
        <f aca="false">IF(OR(A2455="",B2455=""),"",CONCATENATE("https://matarstund.is/serfaedi?id=",LOWER(SUBSTITUTE(B2455," ","-"))))</f>
        <v/>
      </c>
    </row>
    <row r="2456" customFormat="false" ht="15" hidden="false" customHeight="true" outlineLevel="0" collapsed="false">
      <c r="A2456" s="63"/>
      <c r="B2456" s="63"/>
      <c r="C2456" s="63"/>
      <c r="D2456" s="63"/>
      <c r="E2456" s="63"/>
      <c r="F2456" s="28" t="str">
        <f aca="false">IF(C2456="","",IF(OR(C2456="1. bekkur",C2456="2. bekkur",C2456="3. bekkur",C2456="4. bekkur"),"Já",IF(C2456="Starfsmaður","Nei","Nei")))</f>
        <v/>
      </c>
      <c r="G2456" s="63"/>
      <c r="H2456" s="63"/>
      <c r="I2456" s="63"/>
      <c r="J2456" s="64" t="str">
        <f aca="false">IF(OR(A2456="",B2456=""),"",CONCATENATE("https://matarstund.is/serfaedi?id=",LOWER(SUBSTITUTE(B2456,"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64" t="str">
        <f aca="false">IF(OR(A2457="",B2457=""),"",CONCATENATE("https://matarstund.is/serfaedi?id=",LOWER(SUBSTITUTE(B2457," ","-"))))</f>
        <v/>
      </c>
    </row>
    <row r="2458" customFormat="false" ht="15" hidden="false" customHeight="true" outlineLevel="0" collapsed="false">
      <c r="A2458" s="63"/>
      <c r="B2458" s="63"/>
      <c r="C2458" s="63"/>
      <c r="D2458" s="63"/>
      <c r="E2458" s="63"/>
      <c r="F2458" s="28" t="str">
        <f aca="false">IF(C2458="","",IF(OR(C2458="1. bekkur",C2458="2. bekkur",C2458="3. bekkur",C2458="4. bekkur"),"Já",IF(C2458="Starfsmaður","Nei","Nei")))</f>
        <v/>
      </c>
      <c r="G2458" s="63"/>
      <c r="H2458" s="63"/>
      <c r="I2458" s="63"/>
      <c r="J2458" s="64" t="str">
        <f aca="false">IF(OR(A2458="",B2458=""),"",CONCATENATE("https://matarstund.is/serfaedi?id=",LOWER(SUBSTITUTE(B2458,"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64" t="str">
        <f aca="false">IF(OR(A2459="",B2459=""),"",CONCATENATE("https://matarstund.is/serfaedi?id=",LOWER(SUBSTITUTE(B2459," ","-"))))</f>
        <v/>
      </c>
    </row>
    <row r="2460" customFormat="false" ht="15" hidden="false" customHeight="true" outlineLevel="0" collapsed="false">
      <c r="A2460" s="63"/>
      <c r="B2460" s="63"/>
      <c r="C2460" s="63"/>
      <c r="D2460" s="63"/>
      <c r="E2460" s="63"/>
      <c r="F2460" s="28" t="str">
        <f aca="false">IF(C2460="","",IF(OR(C2460="1. bekkur",C2460="2. bekkur",C2460="3. bekkur",C2460="4. bekkur"),"Já",IF(C2460="Starfsmaður","Nei","Nei")))</f>
        <v/>
      </c>
      <c r="G2460" s="63"/>
      <c r="H2460" s="63"/>
      <c r="I2460" s="63"/>
      <c r="J2460" s="64" t="str">
        <f aca="false">IF(OR(A2460="",B2460=""),"",CONCATENATE("https://matarstund.is/serfaedi?id=",LOWER(SUBSTITUTE(B2460,"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64" t="str">
        <f aca="false">IF(OR(A2461="",B2461=""),"",CONCATENATE("https://matarstund.is/serfaedi?id=",LOWER(SUBSTITUTE(B2461," ","-"))))</f>
        <v/>
      </c>
    </row>
    <row r="2462" customFormat="false" ht="15" hidden="false" customHeight="true" outlineLevel="0" collapsed="false">
      <c r="A2462" s="63"/>
      <c r="B2462" s="63"/>
      <c r="C2462" s="63"/>
      <c r="D2462" s="63"/>
      <c r="E2462" s="63"/>
      <c r="F2462" s="28" t="str">
        <f aca="false">IF(C2462="","",IF(OR(C2462="1. bekkur",C2462="2. bekkur",C2462="3. bekkur",C2462="4. bekkur"),"Já",IF(C2462="Starfsmaður","Nei","Nei")))</f>
        <v/>
      </c>
      <c r="G2462" s="63"/>
      <c r="H2462" s="63"/>
      <c r="I2462" s="63"/>
      <c r="J2462" s="64" t="str">
        <f aca="false">IF(OR(A2462="",B2462=""),"",CONCATENATE("https://matarstund.is/serfaedi?id=",LOWER(SUBSTITUTE(B2462,"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64" t="str">
        <f aca="false">IF(OR(A2463="",B2463=""),"",CONCATENATE("https://matarstund.is/serfaedi?id=",LOWER(SUBSTITUTE(B2463," ","-"))))</f>
        <v/>
      </c>
    </row>
    <row r="2464" customFormat="false" ht="15" hidden="false" customHeight="true" outlineLevel="0" collapsed="false">
      <c r="A2464" s="63"/>
      <c r="B2464" s="63"/>
      <c r="C2464" s="63"/>
      <c r="D2464" s="63"/>
      <c r="E2464" s="63"/>
      <c r="F2464" s="28" t="str">
        <f aca="false">IF(C2464="","",IF(OR(C2464="1. bekkur",C2464="2. bekkur",C2464="3. bekkur",C2464="4. bekkur"),"Já",IF(C2464="Starfsmaður","Nei","Nei")))</f>
        <v/>
      </c>
      <c r="G2464" s="63"/>
      <c r="H2464" s="63"/>
      <c r="I2464" s="63"/>
      <c r="J2464" s="64" t="str">
        <f aca="false">IF(OR(A2464="",B2464=""),"",CONCATENATE("https://matarstund.is/serfaedi?id=",LOWER(SUBSTITUTE(B2464,"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64" t="str">
        <f aca="false">IF(OR(A2465="",B2465=""),"",CONCATENATE("https://matarstund.is/serfaedi?id=",LOWER(SUBSTITUTE(B2465," ","-"))))</f>
        <v/>
      </c>
    </row>
    <row r="2466" customFormat="false" ht="15" hidden="false" customHeight="true" outlineLevel="0" collapsed="false">
      <c r="A2466" s="63"/>
      <c r="B2466" s="63"/>
      <c r="C2466" s="63"/>
      <c r="D2466" s="63"/>
      <c r="E2466" s="63"/>
      <c r="F2466" s="28" t="str">
        <f aca="false">IF(C2466="","",IF(OR(C2466="1. bekkur",C2466="2. bekkur",C2466="3. bekkur",C2466="4. bekkur"),"Já",IF(C2466="Starfsmaður","Nei","Nei")))</f>
        <v/>
      </c>
      <c r="G2466" s="63"/>
      <c r="H2466" s="63"/>
      <c r="I2466" s="63"/>
      <c r="J2466" s="64" t="str">
        <f aca="false">IF(OR(A2466="",B2466=""),"",CONCATENATE("https://matarstund.is/serfaedi?id=",LOWER(SUBSTITUTE(B2466,"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64" t="str">
        <f aca="false">IF(OR(A2467="",B2467=""),"",CONCATENATE("https://matarstund.is/serfaedi?id=",LOWER(SUBSTITUTE(B2467," ","-"))))</f>
        <v/>
      </c>
    </row>
    <row r="2468" customFormat="false" ht="15" hidden="false" customHeight="true" outlineLevel="0" collapsed="false">
      <c r="A2468" s="63"/>
      <c r="B2468" s="63"/>
      <c r="C2468" s="63"/>
      <c r="D2468" s="63"/>
      <c r="E2468" s="63"/>
      <c r="F2468" s="28" t="str">
        <f aca="false">IF(C2468="","",IF(OR(C2468="1. bekkur",C2468="2. bekkur",C2468="3. bekkur",C2468="4. bekkur"),"Já",IF(C2468="Starfsmaður","Nei","Nei")))</f>
        <v/>
      </c>
      <c r="G2468" s="63"/>
      <c r="H2468" s="63"/>
      <c r="I2468" s="63"/>
      <c r="J2468" s="64" t="str">
        <f aca="false">IF(OR(A2468="",B2468=""),"",CONCATENATE("https://matarstund.is/serfaedi?id=",LOWER(SUBSTITUTE(B2468,"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64" t="str">
        <f aca="false">IF(OR(A2469="",B2469=""),"",CONCATENATE("https://matarstund.is/serfaedi?id=",LOWER(SUBSTITUTE(B2469," ","-"))))</f>
        <v/>
      </c>
    </row>
    <row r="2470" customFormat="false" ht="15" hidden="false" customHeight="true" outlineLevel="0" collapsed="false">
      <c r="A2470" s="63"/>
      <c r="B2470" s="63"/>
      <c r="C2470" s="63"/>
      <c r="D2470" s="63"/>
      <c r="E2470" s="63"/>
      <c r="F2470" s="28" t="str">
        <f aca="false">IF(C2470="","",IF(OR(C2470="1. bekkur",C2470="2. bekkur",C2470="3. bekkur",C2470="4. bekkur"),"Já",IF(C2470="Starfsmaður","Nei","Nei")))</f>
        <v/>
      </c>
      <c r="G2470" s="63"/>
      <c r="H2470" s="63"/>
      <c r="I2470" s="63"/>
      <c r="J2470" s="64" t="str">
        <f aca="false">IF(OR(A2470="",B2470=""),"",CONCATENATE("https://matarstund.is/serfaedi?id=",LOWER(SUBSTITUTE(B2470,"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64" t="str">
        <f aca="false">IF(OR(A2471="",B2471=""),"",CONCATENATE("https://matarstund.is/serfaedi?id=",LOWER(SUBSTITUTE(B2471," ","-"))))</f>
        <v/>
      </c>
    </row>
    <row r="2472" customFormat="false" ht="15" hidden="false" customHeight="true" outlineLevel="0" collapsed="false">
      <c r="A2472" s="63"/>
      <c r="B2472" s="63"/>
      <c r="C2472" s="63"/>
      <c r="D2472" s="63"/>
      <c r="E2472" s="63"/>
      <c r="F2472" s="28" t="str">
        <f aca="false">IF(C2472="","",IF(OR(C2472="1. bekkur",C2472="2. bekkur",C2472="3. bekkur",C2472="4. bekkur"),"Já",IF(C2472="Starfsmaður","Nei","Nei")))</f>
        <v/>
      </c>
      <c r="G2472" s="63"/>
      <c r="H2472" s="63"/>
      <c r="I2472" s="63"/>
      <c r="J2472" s="64" t="str">
        <f aca="false">IF(OR(A2472="",B2472=""),"",CONCATENATE("https://matarstund.is/serfaedi?id=",LOWER(SUBSTITUTE(B2472,"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64" t="str">
        <f aca="false">IF(OR(A2473="",B2473=""),"",CONCATENATE("https://matarstund.is/serfaedi?id=",LOWER(SUBSTITUTE(B2473," ","-"))))</f>
        <v/>
      </c>
    </row>
    <row r="2474" customFormat="false" ht="15" hidden="false" customHeight="true" outlineLevel="0" collapsed="false">
      <c r="A2474" s="63"/>
      <c r="B2474" s="63"/>
      <c r="C2474" s="63"/>
      <c r="D2474" s="63"/>
      <c r="E2474" s="63"/>
      <c r="F2474" s="28" t="str">
        <f aca="false">IF(C2474="","",IF(OR(C2474="1. bekkur",C2474="2. bekkur",C2474="3. bekkur",C2474="4. bekkur"),"Já",IF(C2474="Starfsmaður","Nei","Nei")))</f>
        <v/>
      </c>
      <c r="G2474" s="63"/>
      <c r="H2474" s="63"/>
      <c r="I2474" s="63"/>
      <c r="J2474" s="64" t="str">
        <f aca="false">IF(OR(A2474="",B2474=""),"",CONCATENATE("https://matarstund.is/serfaedi?id=",LOWER(SUBSTITUTE(B2474,"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64" t="str">
        <f aca="false">IF(OR(A2475="",B2475=""),"",CONCATENATE("https://matarstund.is/serfaedi?id=",LOWER(SUBSTITUTE(B2475," ","-"))))</f>
        <v/>
      </c>
    </row>
    <row r="2476" customFormat="false" ht="15" hidden="false" customHeight="true" outlineLevel="0" collapsed="false">
      <c r="A2476" s="63"/>
      <c r="B2476" s="63"/>
      <c r="C2476" s="63"/>
      <c r="D2476" s="63"/>
      <c r="E2476" s="63"/>
      <c r="F2476" s="28" t="str">
        <f aca="false">IF(C2476="","",IF(OR(C2476="1. bekkur",C2476="2. bekkur",C2476="3. bekkur",C2476="4. bekkur"),"Já",IF(C2476="Starfsmaður","Nei","Nei")))</f>
        <v/>
      </c>
      <c r="G2476" s="63"/>
      <c r="H2476" s="63"/>
      <c r="I2476" s="63"/>
      <c r="J2476" s="64" t="str">
        <f aca="false">IF(OR(A2476="",B2476=""),"",CONCATENATE("https://matarstund.is/serfaedi?id=",LOWER(SUBSTITUTE(B2476,"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64" t="str">
        <f aca="false">IF(OR(A2477="",B2477=""),"",CONCATENATE("https://matarstund.is/serfaedi?id=",LOWER(SUBSTITUTE(B2477," ","-"))))</f>
        <v/>
      </c>
    </row>
    <row r="2478" customFormat="false" ht="15" hidden="false" customHeight="true" outlineLevel="0" collapsed="false">
      <c r="A2478" s="63"/>
      <c r="B2478" s="63"/>
      <c r="C2478" s="63"/>
      <c r="D2478" s="63"/>
      <c r="E2478" s="63"/>
      <c r="F2478" s="28" t="str">
        <f aca="false">IF(C2478="","",IF(OR(C2478="1. bekkur",C2478="2. bekkur",C2478="3. bekkur",C2478="4. bekkur"),"Já",IF(C2478="Starfsmaður","Nei","Nei")))</f>
        <v/>
      </c>
      <c r="G2478" s="63"/>
      <c r="H2478" s="63"/>
      <c r="I2478" s="63"/>
      <c r="J2478" s="64" t="str">
        <f aca="false">IF(OR(A2478="",B2478=""),"",CONCATENATE("https://matarstund.is/serfaedi?id=",LOWER(SUBSTITUTE(B2478,"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64" t="str">
        <f aca="false">IF(OR(A2479="",B2479=""),"",CONCATENATE("https://matarstund.is/serfaedi?id=",LOWER(SUBSTITUTE(B2479," ","-"))))</f>
        <v/>
      </c>
    </row>
    <row r="2480" customFormat="false" ht="15" hidden="false" customHeight="true" outlineLevel="0" collapsed="false">
      <c r="A2480" s="63"/>
      <c r="B2480" s="63"/>
      <c r="C2480" s="63"/>
      <c r="D2480" s="63"/>
      <c r="E2480" s="63"/>
      <c r="F2480" s="28" t="str">
        <f aca="false">IF(C2480="","",IF(OR(C2480="1. bekkur",C2480="2. bekkur",C2480="3. bekkur",C2480="4. bekkur"),"Já",IF(C2480="Starfsmaður","Nei","Nei")))</f>
        <v/>
      </c>
      <c r="G2480" s="63"/>
      <c r="H2480" s="63"/>
      <c r="I2480" s="63"/>
      <c r="J2480" s="64" t="str">
        <f aca="false">IF(OR(A2480="",B2480=""),"",CONCATENATE("https://matarstund.is/serfaedi?id=",LOWER(SUBSTITUTE(B2480,"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64" t="str">
        <f aca="false">IF(OR(A2481="",B2481=""),"",CONCATENATE("https://matarstund.is/serfaedi?id=",LOWER(SUBSTITUTE(B2481," ","-"))))</f>
        <v/>
      </c>
    </row>
    <row r="2482" customFormat="false" ht="15" hidden="false" customHeight="true" outlineLevel="0" collapsed="false">
      <c r="A2482" s="63"/>
      <c r="B2482" s="63"/>
      <c r="C2482" s="63"/>
      <c r="D2482" s="63"/>
      <c r="E2482" s="63"/>
      <c r="F2482" s="28" t="str">
        <f aca="false">IF(C2482="","",IF(OR(C2482="1. bekkur",C2482="2. bekkur",C2482="3. bekkur",C2482="4. bekkur"),"Já",IF(C2482="Starfsmaður","Nei","Nei")))</f>
        <v/>
      </c>
      <c r="G2482" s="63"/>
      <c r="H2482" s="63"/>
      <c r="I2482" s="63"/>
      <c r="J2482" s="64" t="str">
        <f aca="false">IF(OR(A2482="",B2482=""),"",CONCATENATE("https://matarstund.is/serfaedi?id=",LOWER(SUBSTITUTE(B2482,"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64" t="str">
        <f aca="false">IF(OR(A2483="",B2483=""),"",CONCATENATE("https://matarstund.is/serfaedi?id=",LOWER(SUBSTITUTE(B2483," ","-"))))</f>
        <v/>
      </c>
    </row>
    <row r="2484" customFormat="false" ht="15" hidden="false" customHeight="true" outlineLevel="0" collapsed="false">
      <c r="A2484" s="63"/>
      <c r="B2484" s="63"/>
      <c r="C2484" s="63"/>
      <c r="D2484" s="63"/>
      <c r="E2484" s="63"/>
      <c r="F2484" s="28" t="str">
        <f aca="false">IF(C2484="","",IF(OR(C2484="1. bekkur",C2484="2. bekkur",C2484="3. bekkur",C2484="4. bekkur"),"Já",IF(C2484="Starfsmaður","Nei","Nei")))</f>
        <v/>
      </c>
      <c r="G2484" s="63"/>
      <c r="H2484" s="63"/>
      <c r="I2484" s="63"/>
      <c r="J2484" s="64" t="str">
        <f aca="false">IF(OR(A2484="",B2484=""),"",CONCATENATE("https://matarstund.is/serfaedi?id=",LOWER(SUBSTITUTE(B2484,"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64" t="str">
        <f aca="false">IF(OR(A2485="",B2485=""),"",CONCATENATE("https://matarstund.is/serfaedi?id=",LOWER(SUBSTITUTE(B2485," ","-"))))</f>
        <v/>
      </c>
    </row>
    <row r="2486" customFormat="false" ht="15" hidden="false" customHeight="true" outlineLevel="0" collapsed="false">
      <c r="A2486" s="63"/>
      <c r="B2486" s="63"/>
      <c r="C2486" s="63"/>
      <c r="D2486" s="63"/>
      <c r="E2486" s="63"/>
      <c r="F2486" s="28" t="str">
        <f aca="false">IF(C2486="","",IF(OR(C2486="1. bekkur",C2486="2. bekkur",C2486="3. bekkur",C2486="4. bekkur"),"Já",IF(C2486="Starfsmaður","Nei","Nei")))</f>
        <v/>
      </c>
      <c r="G2486" s="63"/>
      <c r="H2486" s="63"/>
      <c r="I2486" s="63"/>
      <c r="J2486" s="64" t="str">
        <f aca="false">IF(OR(A2486="",B2486=""),"",CONCATENATE("https://matarstund.is/serfaedi?id=",LOWER(SUBSTITUTE(B2486,"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64" t="str">
        <f aca="false">IF(OR(A2487="",B2487=""),"",CONCATENATE("https://matarstund.is/serfaedi?id=",LOWER(SUBSTITUTE(B2487," ","-"))))</f>
        <v/>
      </c>
    </row>
    <row r="2488" customFormat="false" ht="15" hidden="false" customHeight="true" outlineLevel="0" collapsed="false">
      <c r="A2488" s="63"/>
      <c r="B2488" s="63"/>
      <c r="C2488" s="63"/>
      <c r="D2488" s="63"/>
      <c r="E2488" s="63"/>
      <c r="F2488" s="28" t="str">
        <f aca="false">IF(C2488="","",IF(OR(C2488="1. bekkur",C2488="2. bekkur",C2488="3. bekkur",C2488="4. bekkur"),"Já",IF(C2488="Starfsmaður","Nei","Nei")))</f>
        <v/>
      </c>
      <c r="G2488" s="63"/>
      <c r="H2488" s="63"/>
      <c r="I2488" s="63"/>
      <c r="J2488" s="64" t="str">
        <f aca="false">IF(OR(A2488="",B2488=""),"",CONCATENATE("https://matarstund.is/serfaedi?id=",LOWER(SUBSTITUTE(B2488,"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64" t="str">
        <f aca="false">IF(OR(A2489="",B2489=""),"",CONCATENATE("https://matarstund.is/serfaedi?id=",LOWER(SUBSTITUTE(B2489," ","-"))))</f>
        <v/>
      </c>
    </row>
    <row r="2490" customFormat="false" ht="15" hidden="false" customHeight="true" outlineLevel="0" collapsed="false">
      <c r="A2490" s="63"/>
      <c r="B2490" s="63"/>
      <c r="C2490" s="63"/>
      <c r="D2490" s="63"/>
      <c r="E2490" s="63"/>
      <c r="F2490" s="28" t="str">
        <f aca="false">IF(C2490="","",IF(OR(C2490="1. bekkur",C2490="2. bekkur",C2490="3. bekkur",C2490="4. bekkur"),"Já",IF(C2490="Starfsmaður","Nei","Nei")))</f>
        <v/>
      </c>
      <c r="G2490" s="63"/>
      <c r="H2490" s="63"/>
      <c r="I2490" s="63"/>
      <c r="J2490" s="64" t="str">
        <f aca="false">IF(OR(A2490="",B2490=""),"",CONCATENATE("https://matarstund.is/serfaedi?id=",LOWER(SUBSTITUTE(B2490,"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64" t="str">
        <f aca="false">IF(OR(A2491="",B2491=""),"",CONCATENATE("https://matarstund.is/serfaedi?id=",LOWER(SUBSTITUTE(B2491," ","-"))))</f>
        <v/>
      </c>
    </row>
    <row r="2492" customFormat="false" ht="15" hidden="false" customHeight="true" outlineLevel="0" collapsed="false">
      <c r="A2492" s="63"/>
      <c r="B2492" s="63"/>
      <c r="C2492" s="63"/>
      <c r="D2492" s="63"/>
      <c r="E2492" s="63"/>
      <c r="F2492" s="28" t="str">
        <f aca="false">IF(C2492="","",IF(OR(C2492="1. bekkur",C2492="2. bekkur",C2492="3. bekkur",C2492="4. bekkur"),"Já",IF(C2492="Starfsmaður","Nei","Nei")))</f>
        <v/>
      </c>
      <c r="G2492" s="63"/>
      <c r="H2492" s="63"/>
      <c r="I2492" s="63"/>
      <c r="J2492" s="64" t="str">
        <f aca="false">IF(OR(A2492="",B2492=""),"",CONCATENATE("https://matarstund.is/serfaedi?id=",LOWER(SUBSTITUTE(B2492,"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64" t="str">
        <f aca="false">IF(OR(A2493="",B2493=""),"",CONCATENATE("https://matarstund.is/serfaedi?id=",LOWER(SUBSTITUTE(B2493," ","-"))))</f>
        <v/>
      </c>
    </row>
    <row r="2494" customFormat="false" ht="15" hidden="false" customHeight="true" outlineLevel="0" collapsed="false">
      <c r="A2494" s="63"/>
      <c r="B2494" s="63"/>
      <c r="C2494" s="63"/>
      <c r="D2494" s="63"/>
      <c r="E2494" s="63"/>
      <c r="F2494" s="28" t="str">
        <f aca="false">IF(C2494="","",IF(OR(C2494="1. bekkur",C2494="2. bekkur",C2494="3. bekkur",C2494="4. bekkur"),"Já",IF(C2494="Starfsmaður","Nei","Nei")))</f>
        <v/>
      </c>
      <c r="G2494" s="63"/>
      <c r="H2494" s="63"/>
      <c r="I2494" s="63"/>
      <c r="J2494" s="64" t="str">
        <f aca="false">IF(OR(A2494="",B2494=""),"",CONCATENATE("https://matarstund.is/serfaedi?id=",LOWER(SUBSTITUTE(B2494,"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64" t="str">
        <f aca="false">IF(OR(A2495="",B2495=""),"",CONCATENATE("https://matarstund.is/serfaedi?id=",LOWER(SUBSTITUTE(B2495," ","-"))))</f>
        <v/>
      </c>
    </row>
    <row r="2496" customFormat="false" ht="15" hidden="false" customHeight="true" outlineLevel="0" collapsed="false">
      <c r="A2496" s="63"/>
      <c r="B2496" s="63"/>
      <c r="C2496" s="63"/>
      <c r="D2496" s="63"/>
      <c r="E2496" s="63"/>
      <c r="F2496" s="28" t="str">
        <f aca="false">IF(C2496="","",IF(OR(C2496="1. bekkur",C2496="2. bekkur",C2496="3. bekkur",C2496="4. bekkur"),"Já",IF(C2496="Starfsmaður","Nei","Nei")))</f>
        <v/>
      </c>
      <c r="G2496" s="63"/>
      <c r="H2496" s="63"/>
      <c r="I2496" s="63"/>
      <c r="J2496" s="64" t="str">
        <f aca="false">IF(OR(A2496="",B2496=""),"",CONCATENATE("https://matarstund.is/serfaedi?id=",LOWER(SUBSTITUTE(B2496,"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64" t="str">
        <f aca="false">IF(OR(A2497="",B2497=""),"",CONCATENATE("https://matarstund.is/serfaedi?id=",LOWER(SUBSTITUTE(B2497," ","-"))))</f>
        <v/>
      </c>
    </row>
    <row r="2498" customFormat="false" ht="15" hidden="false" customHeight="true" outlineLevel="0" collapsed="false">
      <c r="A2498" s="63"/>
      <c r="B2498" s="63"/>
      <c r="C2498" s="63"/>
      <c r="D2498" s="63"/>
      <c r="E2498" s="63"/>
      <c r="F2498" s="28" t="str">
        <f aca="false">IF(C2498="","",IF(OR(C2498="1. bekkur",C2498="2. bekkur",C2498="3. bekkur",C2498="4. bekkur"),"Já",IF(C2498="Starfsmaður","Nei","Nei")))</f>
        <v/>
      </c>
      <c r="G2498" s="63"/>
      <c r="H2498" s="63"/>
      <c r="I2498" s="63"/>
      <c r="J2498" s="64" t="str">
        <f aca="false">IF(OR(A2498="",B2498=""),"",CONCATENATE("https://matarstund.is/serfaedi?id=",LOWER(SUBSTITUTE(B2498,"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64" t="str">
        <f aca="false">IF(OR(A2499="",B2499=""),"",CONCATENATE("https://matarstund.is/serfaedi?id=",LOWER(SUBSTITUTE(B2499," ","-"))))</f>
        <v/>
      </c>
    </row>
    <row r="2500" customFormat="false" ht="15" hidden="false" customHeight="true" outlineLevel="0" collapsed="false">
      <c r="A2500" s="63"/>
      <c r="B2500" s="63"/>
      <c r="C2500" s="63"/>
      <c r="D2500" s="63"/>
      <c r="E2500" s="63"/>
      <c r="F2500" s="28" t="str">
        <f aca="false">IF(C2500="","",IF(OR(C2500="1. bekkur",C2500="2. bekkur",C2500="3. bekkur",C2500="4. bekkur"),"Já",IF(C2500="Starfsmaður","Nei","Nei")))</f>
        <v/>
      </c>
      <c r="G2500" s="63"/>
      <c r="H2500" s="63"/>
      <c r="I2500" s="63"/>
      <c r="J2500" s="64" t="str">
        <f aca="false">IF(OR(A2500="",B2500=""),"",CONCATENATE("https://matarstund.is/serfaedi?id=",LOWER(SUBSTITUTE(B2500,"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64" t="str">
        <f aca="false">IF(OR(A2501="",B2501=""),"",CONCATENATE("https://matarstund.is/serfaedi?id=",LOWER(SUBSTITUTE(B2501," ","-"))))</f>
        <v/>
      </c>
    </row>
    <row r="2502" customFormat="false" ht="15" hidden="false" customHeight="true" outlineLevel="0" collapsed="false">
      <c r="A2502" s="63"/>
      <c r="B2502" s="63"/>
      <c r="C2502" s="63"/>
      <c r="D2502" s="63"/>
      <c r="E2502" s="63"/>
      <c r="F2502" s="28" t="str">
        <f aca="false">IF(C2502="","",IF(OR(C2502="1. bekkur",C2502="2. bekkur",C2502="3. bekkur",C2502="4. bekkur"),"Já",IF(C2502="Starfsmaður","Nei","Nei")))</f>
        <v/>
      </c>
      <c r="G2502" s="63"/>
      <c r="H2502" s="63"/>
      <c r="I2502" s="63"/>
      <c r="J2502" s="64" t="str">
        <f aca="false">IF(OR(A2502="",B2502=""),"",CONCATENATE("https://matarstund.is/serfaedi?id=",LOWER(SUBSTITUTE(B2502,"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64" t="str">
        <f aca="false">IF(OR(A2503="",B2503=""),"",CONCATENATE("https://matarstund.is/serfaedi?id=",LOWER(SUBSTITUTE(B2503," ","-"))))</f>
        <v/>
      </c>
    </row>
    <row r="2504" customFormat="false" ht="15" hidden="false" customHeight="true" outlineLevel="0" collapsed="false">
      <c r="A2504" s="63"/>
      <c r="B2504" s="63"/>
      <c r="C2504" s="63"/>
      <c r="D2504" s="63"/>
      <c r="E2504" s="63"/>
      <c r="F2504" s="28" t="str">
        <f aca="false">IF(C2504="","",IF(OR(C2504="1. bekkur",C2504="2. bekkur",C2504="3. bekkur",C2504="4. bekkur"),"Já",IF(C2504="Starfsmaður","Nei","Nei")))</f>
        <v/>
      </c>
      <c r="G2504" s="63"/>
      <c r="H2504" s="63"/>
      <c r="I2504" s="63"/>
      <c r="J2504" s="64" t="str">
        <f aca="false">IF(OR(A2504="",B2504=""),"",CONCATENATE("https://matarstund.is/serfaedi?id=",LOWER(SUBSTITUTE(B2504,"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64" t="str">
        <f aca="false">IF(OR(A2505="",B2505=""),"",CONCATENATE("https://matarstund.is/serfaedi?id=",LOWER(SUBSTITUTE(B2505," ","-"))))</f>
        <v/>
      </c>
    </row>
    <row r="2506" customFormat="false" ht="15" hidden="false" customHeight="true" outlineLevel="0" collapsed="false">
      <c r="A2506" s="63"/>
      <c r="B2506" s="63"/>
      <c r="C2506" s="63"/>
      <c r="D2506" s="63"/>
      <c r="E2506" s="63"/>
      <c r="F2506" s="28" t="str">
        <f aca="false">IF(C2506="","",IF(OR(C2506="1. bekkur",C2506="2. bekkur",C2506="3. bekkur",C2506="4. bekkur"),"Já",IF(C2506="Starfsmaður","Nei","Nei")))</f>
        <v/>
      </c>
      <c r="G2506" s="63"/>
      <c r="H2506" s="63"/>
      <c r="I2506" s="63"/>
      <c r="J2506" s="64" t="str">
        <f aca="false">IF(OR(A2506="",B2506=""),"",CONCATENATE("https://matarstund.is/serfaedi?id=",LOWER(SUBSTITUTE(B2506,"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64" t="str">
        <f aca="false">IF(OR(A2507="",B2507=""),"",CONCATENATE("https://matarstund.is/serfaedi?id=",LOWER(SUBSTITUTE(B2507," ","-"))))</f>
        <v/>
      </c>
    </row>
    <row r="2508" customFormat="false" ht="15" hidden="false" customHeight="true" outlineLevel="0" collapsed="false">
      <c r="A2508" s="63"/>
      <c r="B2508" s="63"/>
      <c r="C2508" s="63"/>
      <c r="D2508" s="63"/>
      <c r="E2508" s="63"/>
      <c r="F2508" s="28" t="str">
        <f aca="false">IF(C2508="","",IF(OR(C2508="1. bekkur",C2508="2. bekkur",C2508="3. bekkur",C2508="4. bekkur"),"Já",IF(C2508="Starfsmaður","Nei","Nei")))</f>
        <v/>
      </c>
      <c r="G2508" s="63"/>
      <c r="H2508" s="63"/>
      <c r="I2508" s="63"/>
      <c r="J2508" s="64" t="str">
        <f aca="false">IF(OR(A2508="",B2508=""),"",CONCATENATE("https://matarstund.is/serfaedi?id=",LOWER(SUBSTITUTE(B2508,"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64" t="str">
        <f aca="false">IF(OR(A2509="",B2509=""),"",CONCATENATE("https://matarstund.is/serfaedi?id=",LOWER(SUBSTITUTE(B2509," ","-"))))</f>
        <v/>
      </c>
    </row>
    <row r="2510" customFormat="false" ht="15" hidden="false" customHeight="true" outlineLevel="0" collapsed="false">
      <c r="A2510" s="63"/>
      <c r="B2510" s="63"/>
      <c r="C2510" s="63"/>
      <c r="D2510" s="63"/>
      <c r="E2510" s="63"/>
      <c r="F2510" s="28" t="str">
        <f aca="false">IF(C2510="","",IF(OR(C2510="1. bekkur",C2510="2. bekkur",C2510="3. bekkur",C2510="4. bekkur"),"Já",IF(C2510="Starfsmaður","Nei","Nei")))</f>
        <v/>
      </c>
      <c r="G2510" s="63"/>
      <c r="H2510" s="63"/>
      <c r="I2510" s="63"/>
      <c r="J2510" s="64" t="str">
        <f aca="false">IF(OR(A2510="",B2510=""),"",CONCATENATE("https://matarstund.is/serfaedi?id=",LOWER(SUBSTITUTE(B2510,"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64" t="str">
        <f aca="false">IF(OR(A2511="",B2511=""),"",CONCATENATE("https://matarstund.is/serfaedi?id=",LOWER(SUBSTITUTE(B2511," ","-"))))</f>
        <v/>
      </c>
    </row>
    <row r="2512" customFormat="false" ht="15" hidden="false" customHeight="true" outlineLevel="0" collapsed="false">
      <c r="A2512" s="63"/>
      <c r="B2512" s="63"/>
      <c r="C2512" s="63"/>
      <c r="D2512" s="63"/>
      <c r="E2512" s="63"/>
      <c r="F2512" s="28" t="str">
        <f aca="false">IF(C2512="","",IF(OR(C2512="1. bekkur",C2512="2. bekkur",C2512="3. bekkur",C2512="4. bekkur"),"Já",IF(C2512="Starfsmaður","Nei","Nei")))</f>
        <v/>
      </c>
      <c r="G2512" s="63"/>
      <c r="H2512" s="63"/>
      <c r="I2512" s="63"/>
      <c r="J2512" s="64" t="str">
        <f aca="false">IF(OR(A2512="",B2512=""),"",CONCATENATE("https://matarstund.is/serfaedi?id=",LOWER(SUBSTITUTE(B2512,"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64" t="str">
        <f aca="false">IF(OR(A2513="",B2513=""),"",CONCATENATE("https://matarstund.is/serfaedi?id=",LOWER(SUBSTITUTE(B2513," ","-"))))</f>
        <v/>
      </c>
    </row>
    <row r="2514" customFormat="false" ht="15" hidden="false" customHeight="true" outlineLevel="0" collapsed="false">
      <c r="A2514" s="63"/>
      <c r="B2514" s="63"/>
      <c r="C2514" s="63"/>
      <c r="D2514" s="63"/>
      <c r="E2514" s="63"/>
      <c r="F2514" s="28" t="str">
        <f aca="false">IF(C2514="","",IF(OR(C2514="1. bekkur",C2514="2. bekkur",C2514="3. bekkur",C2514="4. bekkur"),"Já",IF(C2514="Starfsmaður","Nei","Nei")))</f>
        <v/>
      </c>
      <c r="G2514" s="63"/>
      <c r="H2514" s="63"/>
      <c r="I2514" s="63"/>
      <c r="J2514" s="64" t="str">
        <f aca="false">IF(OR(A2514="",B2514=""),"",CONCATENATE("https://matarstund.is/serfaedi?id=",LOWER(SUBSTITUTE(B2514,"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64" t="str">
        <f aca="false">IF(OR(A2515="",B2515=""),"",CONCATENATE("https://matarstund.is/serfaedi?id=",LOWER(SUBSTITUTE(B2515," ","-"))))</f>
        <v/>
      </c>
    </row>
    <row r="2516" customFormat="false" ht="15" hidden="false" customHeight="true" outlineLevel="0" collapsed="false">
      <c r="A2516" s="63"/>
      <c r="B2516" s="63"/>
      <c r="C2516" s="63"/>
      <c r="D2516" s="63"/>
      <c r="E2516" s="63"/>
      <c r="F2516" s="28" t="str">
        <f aca="false">IF(C2516="","",IF(OR(C2516="1. bekkur",C2516="2. bekkur",C2516="3. bekkur",C2516="4. bekkur"),"Já",IF(C2516="Starfsmaður","Nei","Nei")))</f>
        <v/>
      </c>
      <c r="G2516" s="63"/>
      <c r="H2516" s="63"/>
      <c r="I2516" s="63"/>
      <c r="J2516" s="64" t="str">
        <f aca="false">IF(OR(A2516="",B2516=""),"",CONCATENATE("https://matarstund.is/serfaedi?id=",LOWER(SUBSTITUTE(B2516,"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64" t="str">
        <f aca="false">IF(OR(A2517="",B2517=""),"",CONCATENATE("https://matarstund.is/serfaedi?id=",LOWER(SUBSTITUTE(B2517," ","-"))))</f>
        <v/>
      </c>
    </row>
    <row r="2518" customFormat="false" ht="15" hidden="false" customHeight="true" outlineLevel="0" collapsed="false">
      <c r="A2518" s="63"/>
      <c r="B2518" s="63"/>
      <c r="C2518" s="63"/>
      <c r="D2518" s="63"/>
      <c r="E2518" s="63"/>
      <c r="F2518" s="28" t="str">
        <f aca="false">IF(C2518="","",IF(OR(C2518="1. bekkur",C2518="2. bekkur",C2518="3. bekkur",C2518="4. bekkur"),"Já",IF(C2518="Starfsmaður","Nei","Nei")))</f>
        <v/>
      </c>
      <c r="G2518" s="63"/>
      <c r="H2518" s="63"/>
      <c r="I2518" s="63"/>
      <c r="J2518" s="64" t="str">
        <f aca="false">IF(OR(A2518="",B2518=""),"",CONCATENATE("https://matarstund.is/serfaedi?id=",LOWER(SUBSTITUTE(B2518,"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64" t="str">
        <f aca="false">IF(OR(A2519="",B2519=""),"",CONCATENATE("https://matarstund.is/serfaedi?id=",LOWER(SUBSTITUTE(B2519," ","-"))))</f>
        <v/>
      </c>
    </row>
    <row r="2520" customFormat="false" ht="15" hidden="false" customHeight="true" outlineLevel="0" collapsed="false">
      <c r="A2520" s="63"/>
      <c r="B2520" s="63"/>
      <c r="C2520" s="63"/>
      <c r="D2520" s="63"/>
      <c r="E2520" s="63"/>
      <c r="F2520" s="28" t="str">
        <f aca="false">IF(C2520="","",IF(OR(C2520="1. bekkur",C2520="2. bekkur",C2520="3. bekkur",C2520="4. bekkur"),"Já",IF(C2520="Starfsmaður","Nei","Nei")))</f>
        <v/>
      </c>
      <c r="G2520" s="63"/>
      <c r="H2520" s="63"/>
      <c r="I2520" s="63"/>
      <c r="J2520" s="64" t="str">
        <f aca="false">IF(OR(A2520="",B2520=""),"",CONCATENATE("https://matarstund.is/serfaedi?id=",LOWER(SUBSTITUTE(B2520,"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64" t="str">
        <f aca="false">IF(OR(A2521="",B2521=""),"",CONCATENATE("https://matarstund.is/serfaedi?id=",LOWER(SUBSTITUTE(B2521," ","-"))))</f>
        <v/>
      </c>
    </row>
    <row r="2522" customFormat="false" ht="15" hidden="false" customHeight="true" outlineLevel="0" collapsed="false">
      <c r="A2522" s="63"/>
      <c r="B2522" s="63"/>
      <c r="C2522" s="63"/>
      <c r="D2522" s="63"/>
      <c r="E2522" s="63"/>
      <c r="F2522" s="28" t="str">
        <f aca="false">IF(C2522="","",IF(OR(C2522="1. bekkur",C2522="2. bekkur",C2522="3. bekkur",C2522="4. bekkur"),"Já",IF(C2522="Starfsmaður","Nei","Nei")))</f>
        <v/>
      </c>
      <c r="G2522" s="63"/>
      <c r="H2522" s="63"/>
      <c r="I2522" s="63"/>
      <c r="J2522" s="64" t="str">
        <f aca="false">IF(OR(A2522="",B2522=""),"",CONCATENATE("https://matarstund.is/serfaedi?id=",LOWER(SUBSTITUTE(B2522,"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64" t="str">
        <f aca="false">IF(OR(A2523="",B2523=""),"",CONCATENATE("https://matarstund.is/serfaedi?id=",LOWER(SUBSTITUTE(B2523," ","-"))))</f>
        <v/>
      </c>
    </row>
    <row r="2524" customFormat="false" ht="15" hidden="false" customHeight="true" outlineLevel="0" collapsed="false">
      <c r="A2524" s="63"/>
      <c r="B2524" s="63"/>
      <c r="C2524" s="63"/>
      <c r="D2524" s="63"/>
      <c r="E2524" s="63"/>
      <c r="F2524" s="28" t="str">
        <f aca="false">IF(C2524="","",IF(OR(C2524="1. bekkur",C2524="2. bekkur",C2524="3. bekkur",C2524="4. bekkur"),"Já",IF(C2524="Starfsmaður","Nei","Nei")))</f>
        <v/>
      </c>
      <c r="G2524" s="63"/>
      <c r="H2524" s="63"/>
      <c r="I2524" s="63"/>
      <c r="J2524" s="64" t="str">
        <f aca="false">IF(OR(A2524="",B2524=""),"",CONCATENATE("https://matarstund.is/serfaedi?id=",LOWER(SUBSTITUTE(B2524,"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64" t="str">
        <f aca="false">IF(OR(A2525="",B2525=""),"",CONCATENATE("https://matarstund.is/serfaedi?id=",LOWER(SUBSTITUTE(B2525," ","-"))))</f>
        <v/>
      </c>
    </row>
    <row r="2526" customFormat="false" ht="15" hidden="false" customHeight="true" outlineLevel="0" collapsed="false">
      <c r="A2526" s="63"/>
      <c r="B2526" s="63"/>
      <c r="C2526" s="63"/>
      <c r="D2526" s="63"/>
      <c r="E2526" s="63"/>
      <c r="F2526" s="28" t="str">
        <f aca="false">IF(C2526="","",IF(OR(C2526="1. bekkur",C2526="2. bekkur",C2526="3. bekkur",C2526="4. bekkur"),"Já",IF(C2526="Starfsmaður","Nei","Nei")))</f>
        <v/>
      </c>
      <c r="G2526" s="63"/>
      <c r="H2526" s="63"/>
      <c r="I2526" s="63"/>
      <c r="J2526" s="64" t="str">
        <f aca="false">IF(OR(A2526="",B2526=""),"",CONCATENATE("https://matarstund.is/serfaedi?id=",LOWER(SUBSTITUTE(B2526,"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64" t="str">
        <f aca="false">IF(OR(A2527="",B2527=""),"",CONCATENATE("https://matarstund.is/serfaedi?id=",LOWER(SUBSTITUTE(B2527," ","-"))))</f>
        <v/>
      </c>
    </row>
    <row r="2528" customFormat="false" ht="15" hidden="false" customHeight="true" outlineLevel="0" collapsed="false">
      <c r="A2528" s="63"/>
      <c r="B2528" s="63"/>
      <c r="C2528" s="63"/>
      <c r="D2528" s="63"/>
      <c r="E2528" s="63"/>
      <c r="F2528" s="28" t="str">
        <f aca="false">IF(C2528="","",IF(OR(C2528="1. bekkur",C2528="2. bekkur",C2528="3. bekkur",C2528="4. bekkur"),"Já",IF(C2528="Starfsmaður","Nei","Nei")))</f>
        <v/>
      </c>
      <c r="G2528" s="63"/>
      <c r="H2528" s="63"/>
      <c r="I2528" s="63"/>
      <c r="J2528" s="64" t="str">
        <f aca="false">IF(OR(A2528="",B2528=""),"",CONCATENATE("https://matarstund.is/serfaedi?id=",LOWER(SUBSTITUTE(B2528,"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64" t="str">
        <f aca="false">IF(OR(A2529="",B2529=""),"",CONCATENATE("https://matarstund.is/serfaedi?id=",LOWER(SUBSTITUTE(B2529," ","-"))))</f>
        <v/>
      </c>
    </row>
    <row r="2530" customFormat="false" ht="15" hidden="false" customHeight="true" outlineLevel="0" collapsed="false">
      <c r="A2530" s="63"/>
      <c r="B2530" s="63"/>
      <c r="C2530" s="63"/>
      <c r="D2530" s="63"/>
      <c r="E2530" s="63"/>
      <c r="F2530" s="28" t="str">
        <f aca="false">IF(C2530="","",IF(OR(C2530="1. bekkur",C2530="2. bekkur",C2530="3. bekkur",C2530="4. bekkur"),"Já",IF(C2530="Starfsmaður","Nei","Nei")))</f>
        <v/>
      </c>
      <c r="G2530" s="63"/>
      <c r="H2530" s="63"/>
      <c r="I2530" s="63"/>
      <c r="J2530" s="64" t="str">
        <f aca="false">IF(OR(A2530="",B2530=""),"",CONCATENATE("https://matarstund.is/serfaedi?id=",LOWER(SUBSTITUTE(B2530,"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64" t="str">
        <f aca="false">IF(OR(A2531="",B2531=""),"",CONCATENATE("https://matarstund.is/serfaedi?id=",LOWER(SUBSTITUTE(B2531," ","-"))))</f>
        <v/>
      </c>
    </row>
    <row r="2532" customFormat="false" ht="15" hidden="false" customHeight="true" outlineLevel="0" collapsed="false">
      <c r="A2532" s="63"/>
      <c r="B2532" s="63"/>
      <c r="C2532" s="63"/>
      <c r="D2532" s="63"/>
      <c r="E2532" s="63"/>
      <c r="F2532" s="28" t="str">
        <f aca="false">IF(C2532="","",IF(OR(C2532="1. bekkur",C2532="2. bekkur",C2532="3. bekkur",C2532="4. bekkur"),"Já",IF(C2532="Starfsmaður","Nei","Nei")))</f>
        <v/>
      </c>
      <c r="G2532" s="63"/>
      <c r="H2532" s="63"/>
      <c r="I2532" s="63"/>
      <c r="J2532" s="64" t="str">
        <f aca="false">IF(OR(A2532="",B2532=""),"",CONCATENATE("https://matarstund.is/serfaedi?id=",LOWER(SUBSTITUTE(B2532,"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64" t="str">
        <f aca="false">IF(OR(A2533="",B2533=""),"",CONCATENATE("https://matarstund.is/serfaedi?id=",LOWER(SUBSTITUTE(B2533," ","-"))))</f>
        <v/>
      </c>
    </row>
    <row r="2534" customFormat="false" ht="15" hidden="false" customHeight="true" outlineLevel="0" collapsed="false">
      <c r="A2534" s="63"/>
      <c r="B2534" s="63"/>
      <c r="C2534" s="63"/>
      <c r="D2534" s="63"/>
      <c r="E2534" s="63"/>
      <c r="F2534" s="28" t="str">
        <f aca="false">IF(C2534="","",IF(OR(C2534="1. bekkur",C2534="2. bekkur",C2534="3. bekkur",C2534="4. bekkur"),"Já",IF(C2534="Starfsmaður","Nei","Nei")))</f>
        <v/>
      </c>
      <c r="G2534" s="63"/>
      <c r="H2534" s="63"/>
      <c r="I2534" s="63"/>
      <c r="J2534" s="64" t="str">
        <f aca="false">IF(OR(A2534="",B2534=""),"",CONCATENATE("https://matarstund.is/serfaedi?id=",LOWER(SUBSTITUTE(B2534,"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64" t="str">
        <f aca="false">IF(OR(A2535="",B2535=""),"",CONCATENATE("https://matarstund.is/serfaedi?id=",LOWER(SUBSTITUTE(B2535," ","-"))))</f>
        <v/>
      </c>
    </row>
    <row r="2536" customFormat="false" ht="15" hidden="false" customHeight="true" outlineLevel="0" collapsed="false">
      <c r="A2536" s="63"/>
      <c r="B2536" s="63"/>
      <c r="C2536" s="63"/>
      <c r="D2536" s="63"/>
      <c r="E2536" s="63"/>
      <c r="F2536" s="28" t="str">
        <f aca="false">IF(C2536="","",IF(OR(C2536="1. bekkur",C2536="2. bekkur",C2536="3. bekkur",C2536="4. bekkur"),"Já",IF(C2536="Starfsmaður","Nei","Nei")))</f>
        <v/>
      </c>
      <c r="G2536" s="63"/>
      <c r="H2536" s="63"/>
      <c r="I2536" s="63"/>
      <c r="J2536" s="64" t="str">
        <f aca="false">IF(OR(A2536="",B2536=""),"",CONCATENATE("https://matarstund.is/serfaedi?id=",LOWER(SUBSTITUTE(B2536,"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64" t="str">
        <f aca="false">IF(OR(A2537="",B2537=""),"",CONCATENATE("https://matarstund.is/serfaedi?id=",LOWER(SUBSTITUTE(B2537," ","-"))))</f>
        <v/>
      </c>
    </row>
    <row r="2538" customFormat="false" ht="15" hidden="false" customHeight="true" outlineLevel="0" collapsed="false">
      <c r="A2538" s="63"/>
      <c r="B2538" s="63"/>
      <c r="C2538" s="63"/>
      <c r="D2538" s="63"/>
      <c r="E2538" s="63"/>
      <c r="F2538" s="28" t="str">
        <f aca="false">IF(C2538="","",IF(OR(C2538="1. bekkur",C2538="2. bekkur",C2538="3. bekkur",C2538="4. bekkur"),"Já",IF(C2538="Starfsmaður","Nei","Nei")))</f>
        <v/>
      </c>
      <c r="G2538" s="63"/>
      <c r="H2538" s="63"/>
      <c r="I2538" s="63"/>
      <c r="J2538" s="64" t="str">
        <f aca="false">IF(OR(A2538="",B2538=""),"",CONCATENATE("https://matarstund.is/serfaedi?id=",LOWER(SUBSTITUTE(B2538,"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64" t="str">
        <f aca="false">IF(OR(A2539="",B2539=""),"",CONCATENATE("https://matarstund.is/serfaedi?id=",LOWER(SUBSTITUTE(B2539," ","-"))))</f>
        <v/>
      </c>
    </row>
    <row r="2540" customFormat="false" ht="15" hidden="false" customHeight="true" outlineLevel="0" collapsed="false">
      <c r="A2540" s="63"/>
      <c r="B2540" s="63"/>
      <c r="C2540" s="63"/>
      <c r="D2540" s="63"/>
      <c r="E2540" s="63"/>
      <c r="F2540" s="28" t="str">
        <f aca="false">IF(C2540="","",IF(OR(C2540="1. bekkur",C2540="2. bekkur",C2540="3. bekkur",C2540="4. bekkur"),"Já",IF(C2540="Starfsmaður","Nei","Nei")))</f>
        <v/>
      </c>
      <c r="G2540" s="63"/>
      <c r="H2540" s="63"/>
      <c r="I2540" s="63"/>
      <c r="J2540" s="64" t="str">
        <f aca="false">IF(OR(A2540="",B2540=""),"",CONCATENATE("https://matarstund.is/serfaedi?id=",LOWER(SUBSTITUTE(B2540,"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64" t="str">
        <f aca="false">IF(OR(A2541="",B2541=""),"",CONCATENATE("https://matarstund.is/serfaedi?id=",LOWER(SUBSTITUTE(B2541," ","-"))))</f>
        <v/>
      </c>
    </row>
    <row r="2542" customFormat="false" ht="15" hidden="false" customHeight="true" outlineLevel="0" collapsed="false">
      <c r="A2542" s="63"/>
      <c r="B2542" s="63"/>
      <c r="C2542" s="63"/>
      <c r="D2542" s="63"/>
      <c r="E2542" s="63"/>
      <c r="F2542" s="28" t="str">
        <f aca="false">IF(C2542="","",IF(OR(C2542="1. bekkur",C2542="2. bekkur",C2542="3. bekkur",C2542="4. bekkur"),"Já",IF(C2542="Starfsmaður","Nei","Nei")))</f>
        <v/>
      </c>
      <c r="G2542" s="63"/>
      <c r="H2542" s="63"/>
      <c r="I2542" s="63"/>
      <c r="J2542" s="64" t="str">
        <f aca="false">IF(OR(A2542="",B2542=""),"",CONCATENATE("https://matarstund.is/serfaedi?id=",LOWER(SUBSTITUTE(B2542,"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64" t="str">
        <f aca="false">IF(OR(A2543="",B2543=""),"",CONCATENATE("https://matarstund.is/serfaedi?id=",LOWER(SUBSTITUTE(B2543," ","-"))))</f>
        <v/>
      </c>
    </row>
    <row r="2544" customFormat="false" ht="15" hidden="false" customHeight="true" outlineLevel="0" collapsed="false">
      <c r="A2544" s="63"/>
      <c r="B2544" s="63"/>
      <c r="C2544" s="63"/>
      <c r="D2544" s="63"/>
      <c r="E2544" s="63"/>
      <c r="F2544" s="28" t="str">
        <f aca="false">IF(C2544="","",IF(OR(C2544="1. bekkur",C2544="2. bekkur",C2544="3. bekkur",C2544="4. bekkur"),"Já",IF(C2544="Starfsmaður","Nei","Nei")))</f>
        <v/>
      </c>
      <c r="G2544" s="63"/>
      <c r="H2544" s="63"/>
      <c r="I2544" s="63"/>
      <c r="J2544" s="64" t="str">
        <f aca="false">IF(OR(A2544="",B2544=""),"",CONCATENATE("https://matarstund.is/serfaedi?id=",LOWER(SUBSTITUTE(B2544,"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64" t="str">
        <f aca="false">IF(OR(A2545="",B2545=""),"",CONCATENATE("https://matarstund.is/serfaedi?id=",LOWER(SUBSTITUTE(B2545," ","-"))))</f>
        <v/>
      </c>
    </row>
    <row r="2546" customFormat="false" ht="15" hidden="false" customHeight="true" outlineLevel="0" collapsed="false">
      <c r="A2546" s="63"/>
      <c r="B2546" s="63"/>
      <c r="C2546" s="63"/>
      <c r="D2546" s="63"/>
      <c r="E2546" s="63"/>
      <c r="F2546" s="28" t="str">
        <f aca="false">IF(C2546="","",IF(OR(C2546="1. bekkur",C2546="2. bekkur",C2546="3. bekkur",C2546="4. bekkur"),"Já",IF(C2546="Starfsmaður","Nei","Nei")))</f>
        <v/>
      </c>
      <c r="G2546" s="63"/>
      <c r="H2546" s="63"/>
      <c r="I2546" s="63"/>
      <c r="J2546" s="64" t="str">
        <f aca="false">IF(OR(A2546="",B2546=""),"",CONCATENATE("https://matarstund.is/serfaedi?id=",LOWER(SUBSTITUTE(B2546,"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64" t="str">
        <f aca="false">IF(OR(A2547="",B2547=""),"",CONCATENATE("https://matarstund.is/serfaedi?id=",LOWER(SUBSTITUTE(B2547," ","-"))))</f>
        <v/>
      </c>
    </row>
    <row r="2548" customFormat="false" ht="15" hidden="false" customHeight="true" outlineLevel="0" collapsed="false">
      <c r="A2548" s="63"/>
      <c r="B2548" s="63"/>
      <c r="C2548" s="63"/>
      <c r="D2548" s="63"/>
      <c r="E2548" s="63"/>
      <c r="F2548" s="28" t="str">
        <f aca="false">IF(C2548="","",IF(OR(C2548="1. bekkur",C2548="2. bekkur",C2548="3. bekkur",C2548="4. bekkur"),"Já",IF(C2548="Starfsmaður","Nei","Nei")))</f>
        <v/>
      </c>
      <c r="G2548" s="63"/>
      <c r="H2548" s="63"/>
      <c r="I2548" s="63"/>
      <c r="J2548" s="64" t="str">
        <f aca="false">IF(OR(A2548="",B2548=""),"",CONCATENATE("https://matarstund.is/serfaedi?id=",LOWER(SUBSTITUTE(B2548,"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64" t="str">
        <f aca="false">IF(OR(A2549="",B2549=""),"",CONCATENATE("https://matarstund.is/serfaedi?id=",LOWER(SUBSTITUTE(B2549," ","-"))))</f>
        <v/>
      </c>
    </row>
    <row r="2550" customFormat="false" ht="15" hidden="false" customHeight="true" outlineLevel="0" collapsed="false">
      <c r="A2550" s="63"/>
      <c r="B2550" s="63"/>
      <c r="C2550" s="63"/>
      <c r="D2550" s="63"/>
      <c r="E2550" s="63"/>
      <c r="F2550" s="28" t="str">
        <f aca="false">IF(C2550="","",IF(OR(C2550="1. bekkur",C2550="2. bekkur",C2550="3. bekkur",C2550="4. bekkur"),"Já",IF(C2550="Starfsmaður","Nei","Nei")))</f>
        <v/>
      </c>
      <c r="G2550" s="63"/>
      <c r="H2550" s="63"/>
      <c r="I2550" s="63"/>
      <c r="J2550" s="64" t="str">
        <f aca="false">IF(OR(A2550="",B2550=""),"",CONCATENATE("https://matarstund.is/serfaedi?id=",LOWER(SUBSTITUTE(B2550,"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64" t="str">
        <f aca="false">IF(OR(A2551="",B2551=""),"",CONCATENATE("https://matarstund.is/serfaedi?id=",LOWER(SUBSTITUTE(B2551," ","-"))))</f>
        <v/>
      </c>
    </row>
    <row r="2552" customFormat="false" ht="15" hidden="false" customHeight="true" outlineLevel="0" collapsed="false">
      <c r="A2552" s="63"/>
      <c r="B2552" s="63"/>
      <c r="C2552" s="63"/>
      <c r="D2552" s="63"/>
      <c r="E2552" s="63"/>
      <c r="F2552" s="28" t="str">
        <f aca="false">IF(C2552="","",IF(OR(C2552="1. bekkur",C2552="2. bekkur",C2552="3. bekkur",C2552="4. bekkur"),"Já",IF(C2552="Starfsmaður","Nei","Nei")))</f>
        <v/>
      </c>
      <c r="G2552" s="63"/>
      <c r="H2552" s="63"/>
      <c r="I2552" s="63"/>
      <c r="J2552" s="64" t="str">
        <f aca="false">IF(OR(A2552="",B2552=""),"",CONCATENATE("https://matarstund.is/serfaedi?id=",LOWER(SUBSTITUTE(B2552,"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64" t="str">
        <f aca="false">IF(OR(A2553="",B2553=""),"",CONCATENATE("https://matarstund.is/serfaedi?id=",LOWER(SUBSTITUTE(B2553," ","-"))))</f>
        <v/>
      </c>
    </row>
    <row r="2554" customFormat="false" ht="15" hidden="false" customHeight="true" outlineLevel="0" collapsed="false">
      <c r="A2554" s="63"/>
      <c r="B2554" s="63"/>
      <c r="C2554" s="63"/>
      <c r="D2554" s="63"/>
      <c r="E2554" s="63"/>
      <c r="F2554" s="28" t="str">
        <f aca="false">IF(C2554="","",IF(OR(C2554="1. bekkur",C2554="2. bekkur",C2554="3. bekkur",C2554="4. bekkur"),"Já",IF(C2554="Starfsmaður","Nei","Nei")))</f>
        <v/>
      </c>
      <c r="G2554" s="63"/>
      <c r="H2554" s="63"/>
      <c r="I2554" s="63"/>
      <c r="J2554" s="64" t="str">
        <f aca="false">IF(OR(A2554="",B2554=""),"",CONCATENATE("https://matarstund.is/serfaedi?id=",LOWER(SUBSTITUTE(B2554,"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64" t="str">
        <f aca="false">IF(OR(A2555="",B2555=""),"",CONCATENATE("https://matarstund.is/serfaedi?id=",LOWER(SUBSTITUTE(B2555," ","-"))))</f>
        <v/>
      </c>
    </row>
    <row r="2556" customFormat="false" ht="15" hidden="false" customHeight="true" outlineLevel="0" collapsed="false">
      <c r="A2556" s="63"/>
      <c r="B2556" s="63"/>
      <c r="C2556" s="63"/>
      <c r="D2556" s="63"/>
      <c r="E2556" s="63"/>
      <c r="F2556" s="28" t="str">
        <f aca="false">IF(C2556="","",IF(OR(C2556="1. bekkur",C2556="2. bekkur",C2556="3. bekkur",C2556="4. bekkur"),"Já",IF(C2556="Starfsmaður","Nei","Nei")))</f>
        <v/>
      </c>
      <c r="G2556" s="63"/>
      <c r="H2556" s="63"/>
      <c r="I2556" s="63"/>
      <c r="J2556" s="64" t="str">
        <f aca="false">IF(OR(A2556="",B2556=""),"",CONCATENATE("https://matarstund.is/serfaedi?id=",LOWER(SUBSTITUTE(B2556,"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64" t="str">
        <f aca="false">IF(OR(A2557="",B2557=""),"",CONCATENATE("https://matarstund.is/serfaedi?id=",LOWER(SUBSTITUTE(B2557," ","-"))))</f>
        <v/>
      </c>
    </row>
    <row r="2558" customFormat="false" ht="15" hidden="false" customHeight="true" outlineLevel="0" collapsed="false">
      <c r="A2558" s="63"/>
      <c r="B2558" s="63"/>
      <c r="C2558" s="63"/>
      <c r="D2558" s="63"/>
      <c r="E2558" s="63"/>
      <c r="F2558" s="28" t="str">
        <f aca="false">IF(C2558="","",IF(OR(C2558="1. bekkur",C2558="2. bekkur",C2558="3. bekkur",C2558="4. bekkur"),"Já",IF(C2558="Starfsmaður","Nei","Nei")))</f>
        <v/>
      </c>
      <c r="G2558" s="63"/>
      <c r="H2558" s="63"/>
      <c r="I2558" s="63"/>
      <c r="J2558" s="64" t="str">
        <f aca="false">IF(OR(A2558="",B2558=""),"",CONCATENATE("https://matarstund.is/serfaedi?id=",LOWER(SUBSTITUTE(B2558,"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64" t="str">
        <f aca="false">IF(OR(A2559="",B2559=""),"",CONCATENATE("https://matarstund.is/serfaedi?id=",LOWER(SUBSTITUTE(B2559," ","-"))))</f>
        <v/>
      </c>
    </row>
    <row r="2560" customFormat="false" ht="15" hidden="false" customHeight="true" outlineLevel="0" collapsed="false">
      <c r="A2560" s="63"/>
      <c r="B2560" s="63"/>
      <c r="C2560" s="63"/>
      <c r="D2560" s="63"/>
      <c r="E2560" s="63"/>
      <c r="F2560" s="28" t="str">
        <f aca="false">IF(C2560="","",IF(OR(C2560="1. bekkur",C2560="2. bekkur",C2560="3. bekkur",C2560="4. bekkur"),"Já",IF(C2560="Starfsmaður","Nei","Nei")))</f>
        <v/>
      </c>
      <c r="G2560" s="63"/>
      <c r="H2560" s="63"/>
      <c r="I2560" s="63"/>
      <c r="J2560" s="64" t="str">
        <f aca="false">IF(OR(A2560="",B2560=""),"",CONCATENATE("https://matarstund.is/serfaedi?id=",LOWER(SUBSTITUTE(B2560,"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64" t="str">
        <f aca="false">IF(OR(A2561="",B2561=""),"",CONCATENATE("https://matarstund.is/serfaedi?id=",LOWER(SUBSTITUTE(B2561," ","-"))))</f>
        <v/>
      </c>
    </row>
    <row r="2562" customFormat="false" ht="15" hidden="false" customHeight="true" outlineLevel="0" collapsed="false">
      <c r="A2562" s="63"/>
      <c r="B2562" s="63"/>
      <c r="C2562" s="63"/>
      <c r="D2562" s="63"/>
      <c r="E2562" s="63"/>
      <c r="F2562" s="28" t="str">
        <f aca="false">IF(C2562="","",IF(OR(C2562="1. bekkur",C2562="2. bekkur",C2562="3. bekkur",C2562="4. bekkur"),"Já",IF(C2562="Starfsmaður","Nei","Nei")))</f>
        <v/>
      </c>
      <c r="G2562" s="63"/>
      <c r="H2562" s="63"/>
      <c r="I2562" s="63"/>
      <c r="J2562" s="64" t="str">
        <f aca="false">IF(OR(A2562="",B2562=""),"",CONCATENATE("https://matarstund.is/serfaedi?id=",LOWER(SUBSTITUTE(B2562,"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64" t="str">
        <f aca="false">IF(OR(A2563="",B2563=""),"",CONCATENATE("https://matarstund.is/serfaedi?id=",LOWER(SUBSTITUTE(B2563," ","-"))))</f>
        <v/>
      </c>
    </row>
    <row r="2564" customFormat="false" ht="15" hidden="false" customHeight="true" outlineLevel="0" collapsed="false">
      <c r="A2564" s="63"/>
      <c r="B2564" s="63"/>
      <c r="C2564" s="63"/>
      <c r="D2564" s="63"/>
      <c r="E2564" s="63"/>
      <c r="F2564" s="28" t="str">
        <f aca="false">IF(C2564="","",IF(OR(C2564="1. bekkur",C2564="2. bekkur",C2564="3. bekkur",C2564="4. bekkur"),"Já",IF(C2564="Starfsmaður","Nei","Nei")))</f>
        <v/>
      </c>
      <c r="G2564" s="63"/>
      <c r="H2564" s="63"/>
      <c r="I2564" s="63"/>
      <c r="J2564" s="64" t="str">
        <f aca="false">IF(OR(A2564="",B2564=""),"",CONCATENATE("https://matarstund.is/serfaedi?id=",LOWER(SUBSTITUTE(B2564,"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64" t="str">
        <f aca="false">IF(OR(A2565="",B2565=""),"",CONCATENATE("https://matarstund.is/serfaedi?id=",LOWER(SUBSTITUTE(B2565," ","-"))))</f>
        <v/>
      </c>
    </row>
    <row r="2566" customFormat="false" ht="15" hidden="false" customHeight="true" outlineLevel="0" collapsed="false">
      <c r="A2566" s="63"/>
      <c r="B2566" s="63"/>
      <c r="C2566" s="63"/>
      <c r="D2566" s="63"/>
      <c r="E2566" s="63"/>
      <c r="F2566" s="28" t="str">
        <f aca="false">IF(C2566="","",IF(OR(C2566="1. bekkur",C2566="2. bekkur",C2566="3. bekkur",C2566="4. bekkur"),"Já",IF(C2566="Starfsmaður","Nei","Nei")))</f>
        <v/>
      </c>
      <c r="G2566" s="63"/>
      <c r="H2566" s="63"/>
      <c r="I2566" s="63"/>
      <c r="J2566" s="64" t="str">
        <f aca="false">IF(OR(A2566="",B2566=""),"",CONCATENATE("https://matarstund.is/serfaedi?id=",LOWER(SUBSTITUTE(B2566,"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64" t="str">
        <f aca="false">IF(OR(A2567="",B2567=""),"",CONCATENATE("https://matarstund.is/serfaedi?id=",LOWER(SUBSTITUTE(B2567," ","-"))))</f>
        <v/>
      </c>
    </row>
    <row r="2568" customFormat="false" ht="15" hidden="false" customHeight="true" outlineLevel="0" collapsed="false">
      <c r="A2568" s="63"/>
      <c r="B2568" s="63"/>
      <c r="C2568" s="63"/>
      <c r="D2568" s="63"/>
      <c r="E2568" s="63"/>
      <c r="F2568" s="28" t="str">
        <f aca="false">IF(C2568="","",IF(OR(C2568="1. bekkur",C2568="2. bekkur",C2568="3. bekkur",C2568="4. bekkur"),"Já",IF(C2568="Starfsmaður","Nei","Nei")))</f>
        <v/>
      </c>
      <c r="G2568" s="63"/>
      <c r="H2568" s="63"/>
      <c r="I2568" s="63"/>
      <c r="J2568" s="64" t="str">
        <f aca="false">IF(OR(A2568="",B2568=""),"",CONCATENATE("https://matarstund.is/serfaedi?id=",LOWER(SUBSTITUTE(B2568,"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64" t="str">
        <f aca="false">IF(OR(A2569="",B2569=""),"",CONCATENATE("https://matarstund.is/serfaedi?id=",LOWER(SUBSTITUTE(B2569," ","-"))))</f>
        <v/>
      </c>
    </row>
    <row r="2570" customFormat="false" ht="15" hidden="false" customHeight="true" outlineLevel="0" collapsed="false">
      <c r="A2570" s="63"/>
      <c r="B2570" s="63"/>
      <c r="C2570" s="63"/>
      <c r="D2570" s="63"/>
      <c r="E2570" s="63"/>
      <c r="F2570" s="28" t="str">
        <f aca="false">IF(C2570="","",IF(OR(C2570="1. bekkur",C2570="2. bekkur",C2570="3. bekkur",C2570="4. bekkur"),"Já",IF(C2570="Starfsmaður","Nei","Nei")))</f>
        <v/>
      </c>
      <c r="G2570" s="63"/>
      <c r="H2570" s="63"/>
      <c r="I2570" s="63"/>
      <c r="J2570" s="64" t="str">
        <f aca="false">IF(OR(A2570="",B2570=""),"",CONCATENATE("https://matarstund.is/serfaedi?id=",LOWER(SUBSTITUTE(B2570,"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64" t="str">
        <f aca="false">IF(OR(A2571="",B2571=""),"",CONCATENATE("https://matarstund.is/serfaedi?id=",LOWER(SUBSTITUTE(B2571," ","-"))))</f>
        <v/>
      </c>
    </row>
    <row r="2572" customFormat="false" ht="15" hidden="false" customHeight="true" outlineLevel="0" collapsed="false">
      <c r="A2572" s="63"/>
      <c r="B2572" s="63"/>
      <c r="C2572" s="63"/>
      <c r="D2572" s="63"/>
      <c r="E2572" s="63"/>
      <c r="F2572" s="28" t="str">
        <f aca="false">IF(C2572="","",IF(OR(C2572="1. bekkur",C2572="2. bekkur",C2572="3. bekkur",C2572="4. bekkur"),"Já",IF(C2572="Starfsmaður","Nei","Nei")))</f>
        <v/>
      </c>
      <c r="G2572" s="63"/>
      <c r="H2572" s="63"/>
      <c r="I2572" s="63"/>
      <c r="J2572" s="64" t="str">
        <f aca="false">IF(OR(A2572="",B2572=""),"",CONCATENATE("https://matarstund.is/serfaedi?id=",LOWER(SUBSTITUTE(B2572,"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64" t="str">
        <f aca="false">IF(OR(A2573="",B2573=""),"",CONCATENATE("https://matarstund.is/serfaedi?id=",LOWER(SUBSTITUTE(B2573," ","-"))))</f>
        <v/>
      </c>
    </row>
    <row r="2574" customFormat="false" ht="15" hidden="false" customHeight="true" outlineLevel="0" collapsed="false">
      <c r="A2574" s="63"/>
      <c r="B2574" s="63"/>
      <c r="C2574" s="63"/>
      <c r="D2574" s="63"/>
      <c r="E2574" s="63"/>
      <c r="F2574" s="28" t="str">
        <f aca="false">IF(C2574="","",IF(OR(C2574="1. bekkur",C2574="2. bekkur",C2574="3. bekkur",C2574="4. bekkur"),"Já",IF(C2574="Starfsmaður","Nei","Nei")))</f>
        <v/>
      </c>
      <c r="G2574" s="63"/>
      <c r="H2574" s="63"/>
      <c r="I2574" s="63"/>
      <c r="J2574" s="64" t="str">
        <f aca="false">IF(OR(A2574="",B2574=""),"",CONCATENATE("https://matarstund.is/serfaedi?id=",LOWER(SUBSTITUTE(B2574,"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64" t="str">
        <f aca="false">IF(OR(A2575="",B2575=""),"",CONCATENATE("https://matarstund.is/serfaedi?id=",LOWER(SUBSTITUTE(B2575," ","-"))))</f>
        <v/>
      </c>
    </row>
    <row r="2576" customFormat="false" ht="15" hidden="false" customHeight="true" outlineLevel="0" collapsed="false">
      <c r="A2576" s="63"/>
      <c r="B2576" s="63"/>
      <c r="C2576" s="63"/>
      <c r="D2576" s="63"/>
      <c r="E2576" s="63"/>
      <c r="F2576" s="28" t="str">
        <f aca="false">IF(C2576="","",IF(OR(C2576="1. bekkur",C2576="2. bekkur",C2576="3. bekkur",C2576="4. bekkur"),"Já",IF(C2576="Starfsmaður","Nei","Nei")))</f>
        <v/>
      </c>
      <c r="G2576" s="63"/>
      <c r="H2576" s="63"/>
      <c r="I2576" s="63"/>
      <c r="J2576" s="64" t="str">
        <f aca="false">IF(OR(A2576="",B2576=""),"",CONCATENATE("https://matarstund.is/serfaedi?id=",LOWER(SUBSTITUTE(B2576,"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64" t="str">
        <f aca="false">IF(OR(A2577="",B2577=""),"",CONCATENATE("https://matarstund.is/serfaedi?id=",LOWER(SUBSTITUTE(B2577," ","-"))))</f>
        <v/>
      </c>
    </row>
    <row r="2578" customFormat="false" ht="15" hidden="false" customHeight="true" outlineLevel="0" collapsed="false">
      <c r="A2578" s="63"/>
      <c r="B2578" s="63"/>
      <c r="C2578" s="63"/>
      <c r="D2578" s="63"/>
      <c r="E2578" s="63"/>
      <c r="F2578" s="28" t="str">
        <f aca="false">IF(C2578="","",IF(OR(C2578="1. bekkur",C2578="2. bekkur",C2578="3. bekkur",C2578="4. bekkur"),"Já",IF(C2578="Starfsmaður","Nei","Nei")))</f>
        <v/>
      </c>
      <c r="G2578" s="63"/>
      <c r="H2578" s="63"/>
      <c r="I2578" s="63"/>
      <c r="J2578" s="64" t="str">
        <f aca="false">IF(OR(A2578="",B2578=""),"",CONCATENATE("https://matarstund.is/serfaedi?id=",LOWER(SUBSTITUTE(B2578,"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64" t="str">
        <f aca="false">IF(OR(A2579="",B2579=""),"",CONCATENATE("https://matarstund.is/serfaedi?id=",LOWER(SUBSTITUTE(B2579," ","-"))))</f>
        <v/>
      </c>
    </row>
    <row r="2580" customFormat="false" ht="15" hidden="false" customHeight="true" outlineLevel="0" collapsed="false">
      <c r="A2580" s="63"/>
      <c r="B2580" s="63"/>
      <c r="C2580" s="63"/>
      <c r="D2580" s="63"/>
      <c r="E2580" s="63"/>
      <c r="F2580" s="28" t="str">
        <f aca="false">IF(C2580="","",IF(OR(C2580="1. bekkur",C2580="2. bekkur",C2580="3. bekkur",C2580="4. bekkur"),"Já",IF(C2580="Starfsmaður","Nei","Nei")))</f>
        <v/>
      </c>
      <c r="G2580" s="63"/>
      <c r="H2580" s="63"/>
      <c r="I2580" s="63"/>
      <c r="J2580" s="64" t="str">
        <f aca="false">IF(OR(A2580="",B2580=""),"",CONCATENATE("https://matarstund.is/serfaedi?id=",LOWER(SUBSTITUTE(B2580,"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64" t="str">
        <f aca="false">IF(OR(A2581="",B2581=""),"",CONCATENATE("https://matarstund.is/serfaedi?id=",LOWER(SUBSTITUTE(B2581," ","-"))))</f>
        <v/>
      </c>
    </row>
    <row r="2582" customFormat="false" ht="15" hidden="false" customHeight="true" outlineLevel="0" collapsed="false">
      <c r="A2582" s="63"/>
      <c r="B2582" s="63"/>
      <c r="C2582" s="63"/>
      <c r="D2582" s="63"/>
      <c r="E2582" s="63"/>
      <c r="F2582" s="28" t="str">
        <f aca="false">IF(C2582="","",IF(OR(C2582="1. bekkur",C2582="2. bekkur",C2582="3. bekkur",C2582="4. bekkur"),"Já",IF(C2582="Starfsmaður","Nei","Nei")))</f>
        <v/>
      </c>
      <c r="G2582" s="63"/>
      <c r="H2582" s="63"/>
      <c r="I2582" s="63"/>
      <c r="J2582" s="64" t="str">
        <f aca="false">IF(OR(A2582="",B2582=""),"",CONCATENATE("https://matarstund.is/serfaedi?id=",LOWER(SUBSTITUTE(B2582,"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64" t="str">
        <f aca="false">IF(OR(A2583="",B2583=""),"",CONCATENATE("https://matarstund.is/serfaedi?id=",LOWER(SUBSTITUTE(B2583," ","-"))))</f>
        <v/>
      </c>
    </row>
    <row r="2584" customFormat="false" ht="15" hidden="false" customHeight="true" outlineLevel="0" collapsed="false">
      <c r="A2584" s="63"/>
      <c r="B2584" s="63"/>
      <c r="C2584" s="63"/>
      <c r="D2584" s="63"/>
      <c r="E2584" s="63"/>
      <c r="F2584" s="28" t="str">
        <f aca="false">IF(C2584="","",IF(OR(C2584="1. bekkur",C2584="2. bekkur",C2584="3. bekkur",C2584="4. bekkur"),"Já",IF(C2584="Starfsmaður","Nei","Nei")))</f>
        <v/>
      </c>
      <c r="G2584" s="63"/>
      <c r="H2584" s="63"/>
      <c r="I2584" s="63"/>
      <c r="J2584" s="64" t="str">
        <f aca="false">IF(OR(A2584="",B2584=""),"",CONCATENATE("https://matarstund.is/serfaedi?id=",LOWER(SUBSTITUTE(B2584,"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64" t="str">
        <f aca="false">IF(OR(A2585="",B2585=""),"",CONCATENATE("https://matarstund.is/serfaedi?id=",LOWER(SUBSTITUTE(B2585," ","-"))))</f>
        <v/>
      </c>
    </row>
    <row r="2586" customFormat="false" ht="15" hidden="false" customHeight="true" outlineLevel="0" collapsed="false">
      <c r="A2586" s="63"/>
      <c r="B2586" s="63"/>
      <c r="C2586" s="63"/>
      <c r="D2586" s="63"/>
      <c r="E2586" s="63"/>
      <c r="F2586" s="28" t="str">
        <f aca="false">IF(C2586="","",IF(OR(C2586="1. bekkur",C2586="2. bekkur",C2586="3. bekkur",C2586="4. bekkur"),"Já",IF(C2586="Starfsmaður","Nei","Nei")))</f>
        <v/>
      </c>
      <c r="G2586" s="63"/>
      <c r="H2586" s="63"/>
      <c r="I2586" s="63"/>
      <c r="J2586" s="64" t="str">
        <f aca="false">IF(OR(A2586="",B2586=""),"",CONCATENATE("https://matarstund.is/serfaedi?id=",LOWER(SUBSTITUTE(B2586,"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64" t="str">
        <f aca="false">IF(OR(A2587="",B2587=""),"",CONCATENATE("https://matarstund.is/serfaedi?id=",LOWER(SUBSTITUTE(B2587," ","-"))))</f>
        <v/>
      </c>
    </row>
    <row r="2588" customFormat="false" ht="15" hidden="false" customHeight="true" outlineLevel="0" collapsed="false">
      <c r="A2588" s="63"/>
      <c r="B2588" s="63"/>
      <c r="C2588" s="63"/>
      <c r="D2588" s="63"/>
      <c r="E2588" s="63"/>
      <c r="F2588" s="28" t="str">
        <f aca="false">IF(C2588="","",IF(OR(C2588="1. bekkur",C2588="2. bekkur",C2588="3. bekkur",C2588="4. bekkur"),"Já",IF(C2588="Starfsmaður","Nei","Nei")))</f>
        <v/>
      </c>
      <c r="G2588" s="63"/>
      <c r="H2588" s="63"/>
      <c r="I2588" s="63"/>
      <c r="J2588" s="64" t="str">
        <f aca="false">IF(OR(A2588="",B2588=""),"",CONCATENATE("https://matarstund.is/serfaedi?id=",LOWER(SUBSTITUTE(B2588,"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64" t="str">
        <f aca="false">IF(OR(A2589="",B2589=""),"",CONCATENATE("https://matarstund.is/serfaedi?id=",LOWER(SUBSTITUTE(B2589," ","-"))))</f>
        <v/>
      </c>
    </row>
    <row r="2590" customFormat="false" ht="15" hidden="false" customHeight="true" outlineLevel="0" collapsed="false">
      <c r="A2590" s="63"/>
      <c r="B2590" s="63"/>
      <c r="C2590" s="63"/>
      <c r="D2590" s="63"/>
      <c r="E2590" s="63"/>
      <c r="F2590" s="28" t="str">
        <f aca="false">IF(C2590="","",IF(OR(C2590="1. bekkur",C2590="2. bekkur",C2590="3. bekkur",C2590="4. bekkur"),"Já",IF(C2590="Starfsmaður","Nei","Nei")))</f>
        <v/>
      </c>
      <c r="G2590" s="63"/>
      <c r="H2590" s="63"/>
      <c r="I2590" s="63"/>
      <c r="J2590" s="64" t="str">
        <f aca="false">IF(OR(A2590="",B2590=""),"",CONCATENATE("https://matarstund.is/serfaedi?id=",LOWER(SUBSTITUTE(B2590,"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64" t="str">
        <f aca="false">IF(OR(A2591="",B2591=""),"",CONCATENATE("https://matarstund.is/serfaedi?id=",LOWER(SUBSTITUTE(B2591," ","-"))))</f>
        <v/>
      </c>
    </row>
    <row r="2592" customFormat="false" ht="15" hidden="false" customHeight="true" outlineLevel="0" collapsed="false">
      <c r="A2592" s="63"/>
      <c r="B2592" s="63"/>
      <c r="C2592" s="63"/>
      <c r="D2592" s="63"/>
      <c r="E2592" s="63"/>
      <c r="F2592" s="28" t="str">
        <f aca="false">IF(C2592="","",IF(OR(C2592="1. bekkur",C2592="2. bekkur",C2592="3. bekkur",C2592="4. bekkur"),"Já",IF(C2592="Starfsmaður","Nei","Nei")))</f>
        <v/>
      </c>
      <c r="G2592" s="63"/>
      <c r="H2592" s="63"/>
      <c r="I2592" s="63"/>
      <c r="J2592" s="64" t="str">
        <f aca="false">IF(OR(A2592="",B2592=""),"",CONCATENATE("https://matarstund.is/serfaedi?id=",LOWER(SUBSTITUTE(B2592,"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64" t="str">
        <f aca="false">IF(OR(A2593="",B2593=""),"",CONCATENATE("https://matarstund.is/serfaedi?id=",LOWER(SUBSTITUTE(B2593," ","-"))))</f>
        <v/>
      </c>
    </row>
    <row r="2594" customFormat="false" ht="15" hidden="false" customHeight="true" outlineLevel="0" collapsed="false">
      <c r="A2594" s="63"/>
      <c r="B2594" s="63"/>
      <c r="C2594" s="63"/>
      <c r="D2594" s="63"/>
      <c r="E2594" s="63"/>
      <c r="F2594" s="28" t="str">
        <f aca="false">IF(C2594="","",IF(OR(C2594="1. bekkur",C2594="2. bekkur",C2594="3. bekkur",C2594="4. bekkur"),"Já",IF(C2594="Starfsmaður","Nei","Nei")))</f>
        <v/>
      </c>
      <c r="G2594" s="63"/>
      <c r="H2594" s="63"/>
      <c r="I2594" s="63"/>
      <c r="J2594" s="64" t="str">
        <f aca="false">IF(OR(A2594="",B2594=""),"",CONCATENATE("https://matarstund.is/serfaedi?id=",LOWER(SUBSTITUTE(B2594,"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64" t="str">
        <f aca="false">IF(OR(A2595="",B2595=""),"",CONCATENATE("https://matarstund.is/serfaedi?id=",LOWER(SUBSTITUTE(B2595," ","-"))))</f>
        <v/>
      </c>
    </row>
    <row r="2596" customFormat="false" ht="15" hidden="false" customHeight="true" outlineLevel="0" collapsed="false">
      <c r="A2596" s="63"/>
      <c r="B2596" s="63"/>
      <c r="C2596" s="63"/>
      <c r="D2596" s="63"/>
      <c r="E2596" s="63"/>
      <c r="F2596" s="28" t="str">
        <f aca="false">IF(C2596="","",IF(OR(C2596="1. bekkur",C2596="2. bekkur",C2596="3. bekkur",C2596="4. bekkur"),"Já",IF(C2596="Starfsmaður","Nei","Nei")))</f>
        <v/>
      </c>
      <c r="G2596" s="63"/>
      <c r="H2596" s="63"/>
      <c r="I2596" s="63"/>
      <c r="J2596" s="64" t="str">
        <f aca="false">IF(OR(A2596="",B2596=""),"",CONCATENATE("https://matarstund.is/serfaedi?id=",LOWER(SUBSTITUTE(B2596,"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64" t="str">
        <f aca="false">IF(OR(A2597="",B2597=""),"",CONCATENATE("https://matarstund.is/serfaedi?id=",LOWER(SUBSTITUTE(B2597," ","-"))))</f>
        <v/>
      </c>
    </row>
    <row r="2598" customFormat="false" ht="15" hidden="false" customHeight="true" outlineLevel="0" collapsed="false">
      <c r="A2598" s="63"/>
      <c r="B2598" s="63"/>
      <c r="C2598" s="63"/>
      <c r="D2598" s="63"/>
      <c r="E2598" s="63"/>
      <c r="F2598" s="28" t="str">
        <f aca="false">IF(C2598="","",IF(OR(C2598="1. bekkur",C2598="2. bekkur",C2598="3. bekkur",C2598="4. bekkur"),"Já",IF(C2598="Starfsmaður","Nei","Nei")))</f>
        <v/>
      </c>
      <c r="G2598" s="63"/>
      <c r="H2598" s="63"/>
      <c r="I2598" s="63"/>
      <c r="J2598" s="64" t="str">
        <f aca="false">IF(OR(A2598="",B2598=""),"",CONCATENATE("https://matarstund.is/serfaedi?id=",LOWER(SUBSTITUTE(B2598,"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64" t="str">
        <f aca="false">IF(OR(A2599="",B2599=""),"",CONCATENATE("https://matarstund.is/serfaedi?id=",LOWER(SUBSTITUTE(B2599," ","-"))))</f>
        <v/>
      </c>
    </row>
    <row r="2600" customFormat="false" ht="15" hidden="false" customHeight="true" outlineLevel="0" collapsed="false">
      <c r="A2600" s="63"/>
      <c r="B2600" s="63"/>
      <c r="C2600" s="63"/>
      <c r="D2600" s="63"/>
      <c r="E2600" s="63"/>
      <c r="F2600" s="28" t="str">
        <f aca="false">IF(C2600="","",IF(OR(C2600="1. bekkur",C2600="2. bekkur",C2600="3. bekkur",C2600="4. bekkur"),"Já",IF(C2600="Starfsmaður","Nei","Nei")))</f>
        <v/>
      </c>
      <c r="G2600" s="63"/>
      <c r="H2600" s="63"/>
      <c r="I2600" s="63"/>
      <c r="J2600" s="64" t="str">
        <f aca="false">IF(OR(A2600="",B2600=""),"",CONCATENATE("https://matarstund.is/serfaedi?id=",LOWER(SUBSTITUTE(B2600,"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64" t="str">
        <f aca="false">IF(OR(A2601="",B2601=""),"",CONCATENATE("https://matarstund.is/serfaedi?id=",LOWER(SUBSTITUTE(B2601," ","-"))))</f>
        <v/>
      </c>
    </row>
    <row r="2602" customFormat="false" ht="15" hidden="false" customHeight="true" outlineLevel="0" collapsed="false">
      <c r="A2602" s="63"/>
      <c r="B2602" s="63"/>
      <c r="C2602" s="63"/>
      <c r="D2602" s="63"/>
      <c r="E2602" s="63"/>
      <c r="F2602" s="28" t="str">
        <f aca="false">IF(C2602="","",IF(OR(C2602="1. bekkur",C2602="2. bekkur",C2602="3. bekkur",C2602="4. bekkur"),"Já",IF(C2602="Starfsmaður","Nei","Nei")))</f>
        <v/>
      </c>
      <c r="G2602" s="63"/>
      <c r="H2602" s="63"/>
      <c r="I2602" s="63"/>
      <c r="J2602" s="64" t="str">
        <f aca="false">IF(OR(A2602="",B2602=""),"",CONCATENATE("https://matarstund.is/serfaedi?id=",LOWER(SUBSTITUTE(B2602,"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64" t="str">
        <f aca="false">IF(OR(A2603="",B2603=""),"",CONCATENATE("https://matarstund.is/serfaedi?id=",LOWER(SUBSTITUTE(B2603," ","-"))))</f>
        <v/>
      </c>
    </row>
    <row r="2604" customFormat="false" ht="15" hidden="false" customHeight="true" outlineLevel="0" collapsed="false">
      <c r="A2604" s="63"/>
      <c r="B2604" s="63"/>
      <c r="C2604" s="63"/>
      <c r="D2604" s="63"/>
      <c r="E2604" s="63"/>
      <c r="F2604" s="28" t="str">
        <f aca="false">IF(C2604="","",IF(OR(C2604="1. bekkur",C2604="2. bekkur",C2604="3. bekkur",C2604="4. bekkur"),"Já",IF(C2604="Starfsmaður","Nei","Nei")))</f>
        <v/>
      </c>
      <c r="G2604" s="63"/>
      <c r="H2604" s="63"/>
      <c r="I2604" s="63"/>
      <c r="J2604" s="64" t="str">
        <f aca="false">IF(OR(A2604="",B2604=""),"",CONCATENATE("https://matarstund.is/serfaedi?id=",LOWER(SUBSTITUTE(B2604,"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64" t="str">
        <f aca="false">IF(OR(A2605="",B2605=""),"",CONCATENATE("https://matarstund.is/serfaedi?id=",LOWER(SUBSTITUTE(B2605," ","-"))))</f>
        <v/>
      </c>
    </row>
    <row r="2606" customFormat="false" ht="15" hidden="false" customHeight="true" outlineLevel="0" collapsed="false">
      <c r="A2606" s="63"/>
      <c r="B2606" s="63"/>
      <c r="C2606" s="63"/>
      <c r="D2606" s="63"/>
      <c r="E2606" s="63"/>
      <c r="F2606" s="28" t="str">
        <f aca="false">IF(C2606="","",IF(OR(C2606="1. bekkur",C2606="2. bekkur",C2606="3. bekkur",C2606="4. bekkur"),"Já",IF(C2606="Starfsmaður","Nei","Nei")))</f>
        <v/>
      </c>
      <c r="G2606" s="63"/>
      <c r="H2606" s="63"/>
      <c r="I2606" s="63"/>
      <c r="J2606" s="64" t="str">
        <f aca="false">IF(OR(A2606="",B2606=""),"",CONCATENATE("https://matarstund.is/serfaedi?id=",LOWER(SUBSTITUTE(B2606,"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64" t="str">
        <f aca="false">IF(OR(A2607="",B2607=""),"",CONCATENATE("https://matarstund.is/serfaedi?id=",LOWER(SUBSTITUTE(B2607," ","-"))))</f>
        <v/>
      </c>
    </row>
    <row r="2608" customFormat="false" ht="15" hidden="false" customHeight="true" outlineLevel="0" collapsed="false">
      <c r="A2608" s="63"/>
      <c r="B2608" s="63"/>
      <c r="C2608" s="63"/>
      <c r="D2608" s="63"/>
      <c r="E2608" s="63"/>
      <c r="F2608" s="28" t="str">
        <f aca="false">IF(C2608="","",IF(OR(C2608="1. bekkur",C2608="2. bekkur",C2608="3. bekkur",C2608="4. bekkur"),"Já",IF(C2608="Starfsmaður","Nei","Nei")))</f>
        <v/>
      </c>
      <c r="G2608" s="63"/>
      <c r="H2608" s="63"/>
      <c r="I2608" s="63"/>
      <c r="J2608" s="64" t="str">
        <f aca="false">IF(OR(A2608="",B2608=""),"",CONCATENATE("https://matarstund.is/serfaedi?id=",LOWER(SUBSTITUTE(B2608,"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64" t="str">
        <f aca="false">IF(OR(A2609="",B2609=""),"",CONCATENATE("https://matarstund.is/serfaedi?id=",LOWER(SUBSTITUTE(B2609," ","-"))))</f>
        <v/>
      </c>
    </row>
    <row r="2610" customFormat="false" ht="15" hidden="false" customHeight="true" outlineLevel="0" collapsed="false">
      <c r="A2610" s="63"/>
      <c r="B2610" s="63"/>
      <c r="C2610" s="63"/>
      <c r="D2610" s="63"/>
      <c r="E2610" s="63"/>
      <c r="F2610" s="28" t="str">
        <f aca="false">IF(C2610="","",IF(OR(C2610="1. bekkur",C2610="2. bekkur",C2610="3. bekkur",C2610="4. bekkur"),"Já",IF(C2610="Starfsmaður","Nei","Nei")))</f>
        <v/>
      </c>
      <c r="G2610" s="63"/>
      <c r="H2610" s="63"/>
      <c r="I2610" s="63"/>
      <c r="J2610" s="64" t="str">
        <f aca="false">IF(OR(A2610="",B2610=""),"",CONCATENATE("https://matarstund.is/serfaedi?id=",LOWER(SUBSTITUTE(B2610,"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64" t="str">
        <f aca="false">IF(OR(A2611="",B2611=""),"",CONCATENATE("https://matarstund.is/serfaedi?id=",LOWER(SUBSTITUTE(B2611," ","-"))))</f>
        <v/>
      </c>
    </row>
    <row r="2612" customFormat="false" ht="15" hidden="false" customHeight="true" outlineLevel="0" collapsed="false">
      <c r="A2612" s="63"/>
      <c r="B2612" s="63"/>
      <c r="C2612" s="63"/>
      <c r="D2612" s="63"/>
      <c r="E2612" s="63"/>
      <c r="F2612" s="28" t="str">
        <f aca="false">IF(C2612="","",IF(OR(C2612="1. bekkur",C2612="2. bekkur",C2612="3. bekkur",C2612="4. bekkur"),"Já",IF(C2612="Starfsmaður","Nei","Nei")))</f>
        <v/>
      </c>
      <c r="G2612" s="63"/>
      <c r="H2612" s="63"/>
      <c r="I2612" s="63"/>
      <c r="J2612" s="64" t="str">
        <f aca="false">IF(OR(A2612="",B2612=""),"",CONCATENATE("https://matarstund.is/serfaedi?id=",LOWER(SUBSTITUTE(B2612,"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64" t="str">
        <f aca="false">IF(OR(A2613="",B2613=""),"",CONCATENATE("https://matarstund.is/serfaedi?id=",LOWER(SUBSTITUTE(B2613," ","-"))))</f>
        <v/>
      </c>
    </row>
    <row r="2614" customFormat="false" ht="15" hidden="false" customHeight="true" outlineLevel="0" collapsed="false">
      <c r="A2614" s="63"/>
      <c r="B2614" s="63"/>
      <c r="C2614" s="63"/>
      <c r="D2614" s="63"/>
      <c r="E2614" s="63"/>
      <c r="F2614" s="28" t="str">
        <f aca="false">IF(C2614="","",IF(OR(C2614="1. bekkur",C2614="2. bekkur",C2614="3. bekkur",C2614="4. bekkur"),"Já",IF(C2614="Starfsmaður","Nei","Nei")))</f>
        <v/>
      </c>
      <c r="G2614" s="63"/>
      <c r="H2614" s="63"/>
      <c r="I2614" s="63"/>
      <c r="J2614" s="64" t="str">
        <f aca="false">IF(OR(A2614="",B2614=""),"",CONCATENATE("https://matarstund.is/serfaedi?id=",LOWER(SUBSTITUTE(B2614,"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64" t="str">
        <f aca="false">IF(OR(A2615="",B2615=""),"",CONCATENATE("https://matarstund.is/serfaedi?id=",LOWER(SUBSTITUTE(B2615," ","-"))))</f>
        <v/>
      </c>
    </row>
    <row r="2616" customFormat="false" ht="15" hidden="false" customHeight="true" outlineLevel="0" collapsed="false">
      <c r="A2616" s="63"/>
      <c r="B2616" s="63"/>
      <c r="C2616" s="63"/>
      <c r="D2616" s="63"/>
      <c r="E2616" s="63"/>
      <c r="F2616" s="28" t="str">
        <f aca="false">IF(C2616="","",IF(OR(C2616="1. bekkur",C2616="2. bekkur",C2616="3. bekkur",C2616="4. bekkur"),"Já",IF(C2616="Starfsmaður","Nei","Nei")))</f>
        <v/>
      </c>
      <c r="G2616" s="63"/>
      <c r="H2616" s="63"/>
      <c r="I2616" s="63"/>
      <c r="J2616" s="64" t="str">
        <f aca="false">IF(OR(A2616="",B2616=""),"",CONCATENATE("https://matarstund.is/serfaedi?id=",LOWER(SUBSTITUTE(B2616,"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64" t="str">
        <f aca="false">IF(OR(A2617="",B2617=""),"",CONCATENATE("https://matarstund.is/serfaedi?id=",LOWER(SUBSTITUTE(B2617," ","-"))))</f>
        <v/>
      </c>
    </row>
    <row r="2618" customFormat="false" ht="15" hidden="false" customHeight="true" outlineLevel="0" collapsed="false">
      <c r="A2618" s="63"/>
      <c r="B2618" s="63"/>
      <c r="C2618" s="63"/>
      <c r="D2618" s="63"/>
      <c r="E2618" s="63"/>
      <c r="F2618" s="28" t="str">
        <f aca="false">IF(C2618="","",IF(OR(C2618="1. bekkur",C2618="2. bekkur",C2618="3. bekkur",C2618="4. bekkur"),"Já",IF(C2618="Starfsmaður","Nei","Nei")))</f>
        <v/>
      </c>
      <c r="G2618" s="63"/>
      <c r="H2618" s="63"/>
      <c r="I2618" s="63"/>
      <c r="J2618" s="64" t="str">
        <f aca="false">IF(OR(A2618="",B2618=""),"",CONCATENATE("https://matarstund.is/serfaedi?id=",LOWER(SUBSTITUTE(B2618,"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64" t="str">
        <f aca="false">IF(OR(A2619="",B2619=""),"",CONCATENATE("https://matarstund.is/serfaedi?id=",LOWER(SUBSTITUTE(B2619," ","-"))))</f>
        <v/>
      </c>
    </row>
    <row r="2620" customFormat="false" ht="15" hidden="false" customHeight="true" outlineLevel="0" collapsed="false">
      <c r="A2620" s="63"/>
      <c r="B2620" s="63"/>
      <c r="C2620" s="63"/>
      <c r="D2620" s="63"/>
      <c r="E2620" s="63"/>
      <c r="F2620" s="28" t="str">
        <f aca="false">IF(C2620="","",IF(OR(C2620="1. bekkur",C2620="2. bekkur",C2620="3. bekkur",C2620="4. bekkur"),"Já",IF(C2620="Starfsmaður","Nei","Nei")))</f>
        <v/>
      </c>
      <c r="G2620" s="63"/>
      <c r="H2620" s="63"/>
      <c r="I2620" s="63"/>
      <c r="J2620" s="64" t="str">
        <f aca="false">IF(OR(A2620="",B2620=""),"",CONCATENATE("https://matarstund.is/serfaedi?id=",LOWER(SUBSTITUTE(B2620,"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64" t="str">
        <f aca="false">IF(OR(A2621="",B2621=""),"",CONCATENATE("https://matarstund.is/serfaedi?id=",LOWER(SUBSTITUTE(B2621," ","-"))))</f>
        <v/>
      </c>
    </row>
    <row r="2622" customFormat="false" ht="15" hidden="false" customHeight="true" outlineLevel="0" collapsed="false">
      <c r="A2622" s="63"/>
      <c r="B2622" s="63"/>
      <c r="C2622" s="63"/>
      <c r="D2622" s="63"/>
      <c r="E2622" s="63"/>
      <c r="F2622" s="28" t="str">
        <f aca="false">IF(C2622="","",IF(OR(C2622="1. bekkur",C2622="2. bekkur",C2622="3. bekkur",C2622="4. bekkur"),"Já",IF(C2622="Starfsmaður","Nei","Nei")))</f>
        <v/>
      </c>
      <c r="G2622" s="63"/>
      <c r="H2622" s="63"/>
      <c r="I2622" s="63"/>
      <c r="J2622" s="64" t="str">
        <f aca="false">IF(OR(A2622="",B2622=""),"",CONCATENATE("https://matarstund.is/serfaedi?id=",LOWER(SUBSTITUTE(B2622,"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64" t="str">
        <f aca="false">IF(OR(A2623="",B2623=""),"",CONCATENATE("https://matarstund.is/serfaedi?id=",LOWER(SUBSTITUTE(B2623," ","-"))))</f>
        <v/>
      </c>
    </row>
    <row r="2624" customFormat="false" ht="15" hidden="false" customHeight="true" outlineLevel="0" collapsed="false">
      <c r="A2624" s="63"/>
      <c r="B2624" s="63"/>
      <c r="C2624" s="63"/>
      <c r="D2624" s="63"/>
      <c r="E2624" s="63"/>
      <c r="F2624" s="28" t="str">
        <f aca="false">IF(C2624="","",IF(OR(C2624="1. bekkur",C2624="2. bekkur",C2624="3. bekkur",C2624="4. bekkur"),"Já",IF(C2624="Starfsmaður","Nei","Nei")))</f>
        <v/>
      </c>
      <c r="G2624" s="63"/>
      <c r="H2624" s="63"/>
      <c r="I2624" s="63"/>
      <c r="J2624" s="64" t="str">
        <f aca="false">IF(OR(A2624="",B2624=""),"",CONCATENATE("https://matarstund.is/serfaedi?id=",LOWER(SUBSTITUTE(B2624,"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64" t="str">
        <f aca="false">IF(OR(A2625="",B2625=""),"",CONCATENATE("https://matarstund.is/serfaedi?id=",LOWER(SUBSTITUTE(B2625," ","-"))))</f>
        <v/>
      </c>
    </row>
    <row r="2626" customFormat="false" ht="15" hidden="false" customHeight="true" outlineLevel="0" collapsed="false">
      <c r="A2626" s="63"/>
      <c r="B2626" s="63"/>
      <c r="C2626" s="63"/>
      <c r="D2626" s="63"/>
      <c r="E2626" s="63"/>
      <c r="F2626" s="28" t="str">
        <f aca="false">IF(C2626="","",IF(OR(C2626="1. bekkur",C2626="2. bekkur",C2626="3. bekkur",C2626="4. bekkur"),"Já",IF(C2626="Starfsmaður","Nei","Nei")))</f>
        <v/>
      </c>
      <c r="G2626" s="63"/>
      <c r="H2626" s="63"/>
      <c r="I2626" s="63"/>
      <c r="J2626" s="64" t="str">
        <f aca="false">IF(OR(A2626="",B2626=""),"",CONCATENATE("https://matarstund.is/serfaedi?id=",LOWER(SUBSTITUTE(B2626,"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64" t="str">
        <f aca="false">IF(OR(A2627="",B2627=""),"",CONCATENATE("https://matarstund.is/serfaedi?id=",LOWER(SUBSTITUTE(B2627," ","-"))))</f>
        <v/>
      </c>
    </row>
    <row r="2628" customFormat="false" ht="15" hidden="false" customHeight="true" outlineLevel="0" collapsed="false">
      <c r="A2628" s="63"/>
      <c r="B2628" s="63"/>
      <c r="C2628" s="63"/>
      <c r="D2628" s="63"/>
      <c r="E2628" s="63"/>
      <c r="F2628" s="28" t="str">
        <f aca="false">IF(C2628="","",IF(OR(C2628="1. bekkur",C2628="2. bekkur",C2628="3. bekkur",C2628="4. bekkur"),"Já",IF(C2628="Starfsmaður","Nei","Nei")))</f>
        <v/>
      </c>
      <c r="G2628" s="63"/>
      <c r="H2628" s="63"/>
      <c r="I2628" s="63"/>
      <c r="J2628" s="64" t="str">
        <f aca="false">IF(OR(A2628="",B2628=""),"",CONCATENATE("https://matarstund.is/serfaedi?id=",LOWER(SUBSTITUTE(B2628,"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64" t="str">
        <f aca="false">IF(OR(A2629="",B2629=""),"",CONCATENATE("https://matarstund.is/serfaedi?id=",LOWER(SUBSTITUTE(B2629," ","-"))))</f>
        <v/>
      </c>
    </row>
    <row r="2630" customFormat="false" ht="15" hidden="false" customHeight="true" outlineLevel="0" collapsed="false">
      <c r="A2630" s="63"/>
      <c r="B2630" s="63"/>
      <c r="C2630" s="63"/>
      <c r="D2630" s="63"/>
      <c r="E2630" s="63"/>
      <c r="F2630" s="28" t="str">
        <f aca="false">IF(C2630="","",IF(OR(C2630="1. bekkur",C2630="2. bekkur",C2630="3. bekkur",C2630="4. bekkur"),"Já",IF(C2630="Starfsmaður","Nei","Nei")))</f>
        <v/>
      </c>
      <c r="G2630" s="63"/>
      <c r="H2630" s="63"/>
      <c r="I2630" s="63"/>
      <c r="J2630" s="64" t="str">
        <f aca="false">IF(OR(A2630="",B2630=""),"",CONCATENATE("https://matarstund.is/serfaedi?id=",LOWER(SUBSTITUTE(B2630,"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64" t="str">
        <f aca="false">IF(OR(A2631="",B2631=""),"",CONCATENATE("https://matarstund.is/serfaedi?id=",LOWER(SUBSTITUTE(B2631," ","-"))))</f>
        <v/>
      </c>
    </row>
    <row r="2632" customFormat="false" ht="15" hidden="false" customHeight="true" outlineLevel="0" collapsed="false">
      <c r="A2632" s="63"/>
      <c r="B2632" s="63"/>
      <c r="C2632" s="63"/>
      <c r="D2632" s="63"/>
      <c r="E2632" s="63"/>
      <c r="F2632" s="28" t="str">
        <f aca="false">IF(C2632="","",IF(OR(C2632="1. bekkur",C2632="2. bekkur",C2632="3. bekkur",C2632="4. bekkur"),"Já",IF(C2632="Starfsmaður","Nei","Nei")))</f>
        <v/>
      </c>
      <c r="G2632" s="63"/>
      <c r="H2632" s="63"/>
      <c r="I2632" s="63"/>
      <c r="J2632" s="64" t="str">
        <f aca="false">IF(OR(A2632="",B2632=""),"",CONCATENATE("https://matarstund.is/serfaedi?id=",LOWER(SUBSTITUTE(B2632,"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64" t="str">
        <f aca="false">IF(OR(A2633="",B2633=""),"",CONCATENATE("https://matarstund.is/serfaedi?id=",LOWER(SUBSTITUTE(B2633," ","-"))))</f>
        <v/>
      </c>
    </row>
    <row r="2634" customFormat="false" ht="15" hidden="false" customHeight="true" outlineLevel="0" collapsed="false">
      <c r="A2634" s="63"/>
      <c r="B2634" s="63"/>
      <c r="C2634" s="63"/>
      <c r="D2634" s="63"/>
      <c r="E2634" s="63"/>
      <c r="F2634" s="28" t="str">
        <f aca="false">IF(C2634="","",IF(OR(C2634="1. bekkur",C2634="2. bekkur",C2634="3. bekkur",C2634="4. bekkur"),"Já",IF(C2634="Starfsmaður","Nei","Nei")))</f>
        <v/>
      </c>
      <c r="G2634" s="63"/>
      <c r="H2634" s="63"/>
      <c r="I2634" s="63"/>
      <c r="J2634" s="64" t="str">
        <f aca="false">IF(OR(A2634="",B2634=""),"",CONCATENATE("https://matarstund.is/serfaedi?id=",LOWER(SUBSTITUTE(B2634,"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64" t="str">
        <f aca="false">IF(OR(A2635="",B2635=""),"",CONCATENATE("https://matarstund.is/serfaedi?id=",LOWER(SUBSTITUTE(B2635," ","-"))))</f>
        <v/>
      </c>
    </row>
    <row r="2636" customFormat="false" ht="15" hidden="false" customHeight="true" outlineLevel="0" collapsed="false">
      <c r="A2636" s="63"/>
      <c r="B2636" s="63"/>
      <c r="C2636" s="63"/>
      <c r="D2636" s="63"/>
      <c r="E2636" s="63"/>
      <c r="F2636" s="28" t="str">
        <f aca="false">IF(C2636="","",IF(OR(C2636="1. bekkur",C2636="2. bekkur",C2636="3. bekkur",C2636="4. bekkur"),"Já",IF(C2636="Starfsmaður","Nei","Nei")))</f>
        <v/>
      </c>
      <c r="G2636" s="63"/>
      <c r="H2636" s="63"/>
      <c r="I2636" s="63"/>
      <c r="J2636" s="64" t="str">
        <f aca="false">IF(OR(A2636="",B2636=""),"",CONCATENATE("https://matarstund.is/serfaedi?id=",LOWER(SUBSTITUTE(B2636,"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64" t="str">
        <f aca="false">IF(OR(A2637="",B2637=""),"",CONCATENATE("https://matarstund.is/serfaedi?id=",LOWER(SUBSTITUTE(B2637," ","-"))))</f>
        <v/>
      </c>
    </row>
    <row r="2638" customFormat="false" ht="15" hidden="false" customHeight="true" outlineLevel="0" collapsed="false">
      <c r="A2638" s="63"/>
      <c r="B2638" s="63"/>
      <c r="C2638" s="63"/>
      <c r="D2638" s="63"/>
      <c r="E2638" s="63"/>
      <c r="F2638" s="28" t="str">
        <f aca="false">IF(C2638="","",IF(OR(C2638="1. bekkur",C2638="2. bekkur",C2638="3. bekkur",C2638="4. bekkur"),"Já",IF(C2638="Starfsmaður","Nei","Nei")))</f>
        <v/>
      </c>
      <c r="G2638" s="63"/>
      <c r="H2638" s="63"/>
      <c r="I2638" s="63"/>
      <c r="J2638" s="64" t="str">
        <f aca="false">IF(OR(A2638="",B2638=""),"",CONCATENATE("https://matarstund.is/serfaedi?id=",LOWER(SUBSTITUTE(B2638,"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64" t="str">
        <f aca="false">IF(OR(A2639="",B2639=""),"",CONCATENATE("https://matarstund.is/serfaedi?id=",LOWER(SUBSTITUTE(B2639," ","-"))))</f>
        <v/>
      </c>
    </row>
    <row r="2640" customFormat="false" ht="15" hidden="false" customHeight="true" outlineLevel="0" collapsed="false">
      <c r="A2640" s="63"/>
      <c r="B2640" s="63"/>
      <c r="C2640" s="63"/>
      <c r="D2640" s="63"/>
      <c r="E2640" s="63"/>
      <c r="F2640" s="28" t="str">
        <f aca="false">IF(C2640="","",IF(OR(C2640="1. bekkur",C2640="2. bekkur",C2640="3. bekkur",C2640="4. bekkur"),"Já",IF(C2640="Starfsmaður","Nei","Nei")))</f>
        <v/>
      </c>
      <c r="G2640" s="63"/>
      <c r="H2640" s="63"/>
      <c r="I2640" s="63"/>
      <c r="J2640" s="64" t="str">
        <f aca="false">IF(OR(A2640="",B2640=""),"",CONCATENATE("https://matarstund.is/serfaedi?id=",LOWER(SUBSTITUTE(B2640,"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64" t="str">
        <f aca="false">IF(OR(A2641="",B2641=""),"",CONCATENATE("https://matarstund.is/serfaedi?id=",LOWER(SUBSTITUTE(B2641," ","-"))))</f>
        <v/>
      </c>
    </row>
    <row r="2642" customFormat="false" ht="15" hidden="false" customHeight="true" outlineLevel="0" collapsed="false">
      <c r="A2642" s="63"/>
      <c r="B2642" s="63"/>
      <c r="C2642" s="63"/>
      <c r="D2642" s="63"/>
      <c r="E2642" s="63"/>
      <c r="F2642" s="28" t="str">
        <f aca="false">IF(C2642="","",IF(OR(C2642="1. bekkur",C2642="2. bekkur",C2642="3. bekkur",C2642="4. bekkur"),"Já",IF(C2642="Starfsmaður","Nei","Nei")))</f>
        <v/>
      </c>
      <c r="G2642" s="63"/>
      <c r="H2642" s="63"/>
      <c r="I2642" s="63"/>
      <c r="J2642" s="64" t="str">
        <f aca="false">IF(OR(A2642="",B2642=""),"",CONCATENATE("https://matarstund.is/serfaedi?id=",LOWER(SUBSTITUTE(B2642,"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64" t="str">
        <f aca="false">IF(OR(A2643="",B2643=""),"",CONCATENATE("https://matarstund.is/serfaedi?id=",LOWER(SUBSTITUTE(B2643," ","-"))))</f>
        <v/>
      </c>
    </row>
    <row r="2644" customFormat="false" ht="15" hidden="false" customHeight="true" outlineLevel="0" collapsed="false">
      <c r="A2644" s="63"/>
      <c r="B2644" s="63"/>
      <c r="C2644" s="63"/>
      <c r="D2644" s="63"/>
      <c r="E2644" s="63"/>
      <c r="F2644" s="28" t="str">
        <f aca="false">IF(C2644="","",IF(OR(C2644="1. bekkur",C2644="2. bekkur",C2644="3. bekkur",C2644="4. bekkur"),"Já",IF(C2644="Starfsmaður","Nei","Nei")))</f>
        <v/>
      </c>
      <c r="G2644" s="63"/>
      <c r="H2644" s="63"/>
      <c r="I2644" s="63"/>
      <c r="J2644" s="64" t="str">
        <f aca="false">IF(OR(A2644="",B2644=""),"",CONCATENATE("https://matarstund.is/serfaedi?id=",LOWER(SUBSTITUTE(B2644,"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64" t="str">
        <f aca="false">IF(OR(A2645="",B2645=""),"",CONCATENATE("https://matarstund.is/serfaedi?id=",LOWER(SUBSTITUTE(B2645," ","-"))))</f>
        <v/>
      </c>
    </row>
    <row r="2646" customFormat="false" ht="15" hidden="false" customHeight="true" outlineLevel="0" collapsed="false">
      <c r="A2646" s="63"/>
      <c r="B2646" s="63"/>
      <c r="C2646" s="63"/>
      <c r="D2646" s="63"/>
      <c r="E2646" s="63"/>
      <c r="F2646" s="28" t="str">
        <f aca="false">IF(C2646="","",IF(OR(C2646="1. bekkur",C2646="2. bekkur",C2646="3. bekkur",C2646="4. bekkur"),"Já",IF(C2646="Starfsmaður","Nei","Nei")))</f>
        <v/>
      </c>
      <c r="G2646" s="63"/>
      <c r="H2646" s="63"/>
      <c r="I2646" s="63"/>
      <c r="J2646" s="64" t="str">
        <f aca="false">IF(OR(A2646="",B2646=""),"",CONCATENATE("https://matarstund.is/serfaedi?id=",LOWER(SUBSTITUTE(B2646,"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64" t="str">
        <f aca="false">IF(OR(A2647="",B2647=""),"",CONCATENATE("https://matarstund.is/serfaedi?id=",LOWER(SUBSTITUTE(B2647," ","-"))))</f>
        <v/>
      </c>
    </row>
    <row r="2648" customFormat="false" ht="15" hidden="false" customHeight="true" outlineLevel="0" collapsed="false">
      <c r="A2648" s="63"/>
      <c r="B2648" s="63"/>
      <c r="C2648" s="63"/>
      <c r="D2648" s="63"/>
      <c r="E2648" s="63"/>
      <c r="F2648" s="28" t="str">
        <f aca="false">IF(C2648="","",IF(OR(C2648="1. bekkur",C2648="2. bekkur",C2648="3. bekkur",C2648="4. bekkur"),"Já",IF(C2648="Starfsmaður","Nei","Nei")))</f>
        <v/>
      </c>
      <c r="G2648" s="63"/>
      <c r="H2648" s="63"/>
      <c r="I2648" s="63"/>
      <c r="J2648" s="64" t="str">
        <f aca="false">IF(OR(A2648="",B2648=""),"",CONCATENATE("https://matarstund.is/serfaedi?id=",LOWER(SUBSTITUTE(B2648,"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64" t="str">
        <f aca="false">IF(OR(A2649="",B2649=""),"",CONCATENATE("https://matarstund.is/serfaedi?id=",LOWER(SUBSTITUTE(B2649," ","-"))))</f>
        <v/>
      </c>
    </row>
    <row r="2650" customFormat="false" ht="15" hidden="false" customHeight="true" outlineLevel="0" collapsed="false">
      <c r="A2650" s="63"/>
      <c r="B2650" s="63"/>
      <c r="C2650" s="63"/>
      <c r="D2650" s="63"/>
      <c r="E2650" s="63"/>
      <c r="F2650" s="28" t="str">
        <f aca="false">IF(C2650="","",IF(OR(C2650="1. bekkur",C2650="2. bekkur",C2650="3. bekkur",C2650="4. bekkur"),"Já",IF(C2650="Starfsmaður","Nei","Nei")))</f>
        <v/>
      </c>
      <c r="G2650" s="63"/>
      <c r="H2650" s="63"/>
      <c r="I2650" s="63"/>
      <c r="J2650" s="64" t="str">
        <f aca="false">IF(OR(A2650="",B2650=""),"",CONCATENATE("https://matarstund.is/serfaedi?id=",LOWER(SUBSTITUTE(B2650,"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64" t="str">
        <f aca="false">IF(OR(A2651="",B2651=""),"",CONCATENATE("https://matarstund.is/serfaedi?id=",LOWER(SUBSTITUTE(B2651," ","-"))))</f>
        <v/>
      </c>
    </row>
    <row r="2652" customFormat="false" ht="15" hidden="false" customHeight="true" outlineLevel="0" collapsed="false">
      <c r="A2652" s="63"/>
      <c r="B2652" s="63"/>
      <c r="C2652" s="63"/>
      <c r="D2652" s="63"/>
      <c r="E2652" s="63"/>
      <c r="F2652" s="28" t="str">
        <f aca="false">IF(C2652="","",IF(OR(C2652="1. bekkur",C2652="2. bekkur",C2652="3. bekkur",C2652="4. bekkur"),"Já",IF(C2652="Starfsmaður","Nei","Nei")))</f>
        <v/>
      </c>
      <c r="G2652" s="63"/>
      <c r="H2652" s="63"/>
      <c r="I2652" s="63"/>
      <c r="J2652" s="64" t="str">
        <f aca="false">IF(OR(A2652="",B2652=""),"",CONCATENATE("https://matarstund.is/serfaedi?id=",LOWER(SUBSTITUTE(B2652,"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64" t="str">
        <f aca="false">IF(OR(A2653="",B2653=""),"",CONCATENATE("https://matarstund.is/serfaedi?id=",LOWER(SUBSTITUTE(B2653," ","-"))))</f>
        <v/>
      </c>
    </row>
    <row r="2654" customFormat="false" ht="15" hidden="false" customHeight="true" outlineLevel="0" collapsed="false">
      <c r="A2654" s="63"/>
      <c r="B2654" s="63"/>
      <c r="C2654" s="63"/>
      <c r="D2654" s="63"/>
      <c r="E2654" s="63"/>
      <c r="F2654" s="28" t="str">
        <f aca="false">IF(C2654="","",IF(OR(C2654="1. bekkur",C2654="2. bekkur",C2654="3. bekkur",C2654="4. bekkur"),"Já",IF(C2654="Starfsmaður","Nei","Nei")))</f>
        <v/>
      </c>
      <c r="G2654" s="63"/>
      <c r="H2654" s="63"/>
      <c r="I2654" s="63"/>
      <c r="J2654" s="64" t="str">
        <f aca="false">IF(OR(A2654="",B2654=""),"",CONCATENATE("https://matarstund.is/serfaedi?id=",LOWER(SUBSTITUTE(B2654,"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64" t="str">
        <f aca="false">IF(OR(A2655="",B2655=""),"",CONCATENATE("https://matarstund.is/serfaedi?id=",LOWER(SUBSTITUTE(B2655," ","-"))))</f>
        <v/>
      </c>
    </row>
    <row r="2656" customFormat="false" ht="15" hidden="false" customHeight="true" outlineLevel="0" collapsed="false">
      <c r="A2656" s="63"/>
      <c r="B2656" s="63"/>
      <c r="C2656" s="63"/>
      <c r="D2656" s="63"/>
      <c r="E2656" s="63"/>
      <c r="F2656" s="28" t="str">
        <f aca="false">IF(C2656="","",IF(OR(C2656="1. bekkur",C2656="2. bekkur",C2656="3. bekkur",C2656="4. bekkur"),"Já",IF(C2656="Starfsmaður","Nei","Nei")))</f>
        <v/>
      </c>
      <c r="G2656" s="63"/>
      <c r="H2656" s="63"/>
      <c r="I2656" s="63"/>
      <c r="J2656" s="64" t="str">
        <f aca="false">IF(OR(A2656="",B2656=""),"",CONCATENATE("https://matarstund.is/serfaedi?id=",LOWER(SUBSTITUTE(B2656,"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64" t="str">
        <f aca="false">IF(OR(A2657="",B2657=""),"",CONCATENATE("https://matarstund.is/serfaedi?id=",LOWER(SUBSTITUTE(B2657," ","-"))))</f>
        <v/>
      </c>
    </row>
    <row r="2658" customFormat="false" ht="15" hidden="false" customHeight="true" outlineLevel="0" collapsed="false">
      <c r="A2658" s="63"/>
      <c r="B2658" s="63"/>
      <c r="C2658" s="63"/>
      <c r="D2658" s="63"/>
      <c r="E2658" s="63"/>
      <c r="F2658" s="28" t="str">
        <f aca="false">IF(C2658="","",IF(OR(C2658="1. bekkur",C2658="2. bekkur",C2658="3. bekkur",C2658="4. bekkur"),"Já",IF(C2658="Starfsmaður","Nei","Nei")))</f>
        <v/>
      </c>
      <c r="G2658" s="63"/>
      <c r="H2658" s="63"/>
      <c r="I2658" s="63"/>
      <c r="J2658" s="64" t="str">
        <f aca="false">IF(OR(A2658="",B2658=""),"",CONCATENATE("https://matarstund.is/serfaedi?id=",LOWER(SUBSTITUTE(B2658,"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64" t="str">
        <f aca="false">IF(OR(A2659="",B2659=""),"",CONCATENATE("https://matarstund.is/serfaedi?id=",LOWER(SUBSTITUTE(B2659," ","-"))))</f>
        <v/>
      </c>
    </row>
    <row r="2660" customFormat="false" ht="15" hidden="false" customHeight="true" outlineLevel="0" collapsed="false">
      <c r="A2660" s="63"/>
      <c r="B2660" s="63"/>
      <c r="C2660" s="63"/>
      <c r="D2660" s="63"/>
      <c r="E2660" s="63"/>
      <c r="F2660" s="28" t="str">
        <f aca="false">IF(C2660="","",IF(OR(C2660="1. bekkur",C2660="2. bekkur",C2660="3. bekkur",C2660="4. bekkur"),"Já",IF(C2660="Starfsmaður","Nei","Nei")))</f>
        <v/>
      </c>
      <c r="G2660" s="63"/>
      <c r="H2660" s="63"/>
      <c r="I2660" s="63"/>
      <c r="J2660" s="64" t="str">
        <f aca="false">IF(OR(A2660="",B2660=""),"",CONCATENATE("https://matarstund.is/serfaedi?id=",LOWER(SUBSTITUTE(B2660,"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64" t="str">
        <f aca="false">IF(OR(A2661="",B2661=""),"",CONCATENATE("https://matarstund.is/serfaedi?id=",LOWER(SUBSTITUTE(B2661," ","-"))))</f>
        <v/>
      </c>
    </row>
    <row r="2662" customFormat="false" ht="15" hidden="false" customHeight="true" outlineLevel="0" collapsed="false">
      <c r="A2662" s="63"/>
      <c r="B2662" s="63"/>
      <c r="C2662" s="63"/>
      <c r="D2662" s="63"/>
      <c r="E2662" s="63"/>
      <c r="F2662" s="28" t="str">
        <f aca="false">IF(C2662="","",IF(OR(C2662="1. bekkur",C2662="2. bekkur",C2662="3. bekkur",C2662="4. bekkur"),"Já",IF(C2662="Starfsmaður","Nei","Nei")))</f>
        <v/>
      </c>
      <c r="G2662" s="63"/>
      <c r="H2662" s="63"/>
      <c r="I2662" s="63"/>
      <c r="J2662" s="64" t="str">
        <f aca="false">IF(OR(A2662="",B2662=""),"",CONCATENATE("https://matarstund.is/serfaedi?id=",LOWER(SUBSTITUTE(B2662,"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64" t="str">
        <f aca="false">IF(OR(A2663="",B2663=""),"",CONCATENATE("https://matarstund.is/serfaedi?id=",LOWER(SUBSTITUTE(B2663," ","-"))))</f>
        <v/>
      </c>
    </row>
    <row r="2664" customFormat="false" ht="15" hidden="false" customHeight="true" outlineLevel="0" collapsed="false">
      <c r="A2664" s="63"/>
      <c r="B2664" s="63"/>
      <c r="C2664" s="63"/>
      <c r="D2664" s="63"/>
      <c r="E2664" s="63"/>
      <c r="F2664" s="28" t="str">
        <f aca="false">IF(C2664="","",IF(OR(C2664="1. bekkur",C2664="2. bekkur",C2664="3. bekkur",C2664="4. bekkur"),"Já",IF(C2664="Starfsmaður","Nei","Nei")))</f>
        <v/>
      </c>
      <c r="G2664" s="63"/>
      <c r="H2664" s="63"/>
      <c r="I2664" s="63"/>
      <c r="J2664" s="64" t="str">
        <f aca="false">IF(OR(A2664="",B2664=""),"",CONCATENATE("https://matarstund.is/serfaedi?id=",LOWER(SUBSTITUTE(B2664,"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64" t="str">
        <f aca="false">IF(OR(A2665="",B2665=""),"",CONCATENATE("https://matarstund.is/serfaedi?id=",LOWER(SUBSTITUTE(B2665," ","-"))))</f>
        <v/>
      </c>
    </row>
    <row r="2666" customFormat="false" ht="15" hidden="false" customHeight="true" outlineLevel="0" collapsed="false">
      <c r="A2666" s="63"/>
      <c r="B2666" s="63"/>
      <c r="C2666" s="63"/>
      <c r="D2666" s="63"/>
      <c r="E2666" s="63"/>
      <c r="F2666" s="28" t="str">
        <f aca="false">IF(C2666="","",IF(OR(C2666="1. bekkur",C2666="2. bekkur",C2666="3. bekkur",C2666="4. bekkur"),"Já",IF(C2666="Starfsmaður","Nei","Nei")))</f>
        <v/>
      </c>
      <c r="G2666" s="63"/>
      <c r="H2666" s="63"/>
      <c r="I2666" s="63"/>
      <c r="J2666" s="64" t="str">
        <f aca="false">IF(OR(A2666="",B2666=""),"",CONCATENATE("https://matarstund.is/serfaedi?id=",LOWER(SUBSTITUTE(B2666,"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64" t="str">
        <f aca="false">IF(OR(A2667="",B2667=""),"",CONCATENATE("https://matarstund.is/serfaedi?id=",LOWER(SUBSTITUTE(B2667," ","-"))))</f>
        <v/>
      </c>
    </row>
    <row r="2668" customFormat="false" ht="15" hidden="false" customHeight="true" outlineLevel="0" collapsed="false">
      <c r="A2668" s="63"/>
      <c r="B2668" s="63"/>
      <c r="C2668" s="63"/>
      <c r="D2668" s="63"/>
      <c r="E2668" s="63"/>
      <c r="F2668" s="28" t="str">
        <f aca="false">IF(C2668="","",IF(OR(C2668="1. bekkur",C2668="2. bekkur",C2668="3. bekkur",C2668="4. bekkur"),"Já",IF(C2668="Starfsmaður","Nei","Nei")))</f>
        <v/>
      </c>
      <c r="G2668" s="63"/>
      <c r="H2668" s="63"/>
      <c r="I2668" s="63"/>
      <c r="J2668" s="64" t="str">
        <f aca="false">IF(OR(A2668="",B2668=""),"",CONCATENATE("https://matarstund.is/serfaedi?id=",LOWER(SUBSTITUTE(B2668,"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64" t="str">
        <f aca="false">IF(OR(A2669="",B2669=""),"",CONCATENATE("https://matarstund.is/serfaedi?id=",LOWER(SUBSTITUTE(B2669," ","-"))))</f>
        <v/>
      </c>
    </row>
    <row r="2670" customFormat="false" ht="15" hidden="false" customHeight="true" outlineLevel="0" collapsed="false">
      <c r="A2670" s="63"/>
      <c r="B2670" s="63"/>
      <c r="C2670" s="63"/>
      <c r="D2670" s="63"/>
      <c r="E2670" s="63"/>
      <c r="F2670" s="28" t="str">
        <f aca="false">IF(C2670="","",IF(OR(C2670="1. bekkur",C2670="2. bekkur",C2670="3. bekkur",C2670="4. bekkur"),"Já",IF(C2670="Starfsmaður","Nei","Nei")))</f>
        <v/>
      </c>
      <c r="G2670" s="63"/>
      <c r="H2670" s="63"/>
      <c r="I2670" s="63"/>
      <c r="J2670" s="64" t="str">
        <f aca="false">IF(OR(A2670="",B2670=""),"",CONCATENATE("https://matarstund.is/serfaedi?id=",LOWER(SUBSTITUTE(B2670,"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64" t="str">
        <f aca="false">IF(OR(A2671="",B2671=""),"",CONCATENATE("https://matarstund.is/serfaedi?id=",LOWER(SUBSTITUTE(B2671," ","-"))))</f>
        <v/>
      </c>
    </row>
    <row r="2672" customFormat="false" ht="15" hidden="false" customHeight="true" outlineLevel="0" collapsed="false">
      <c r="A2672" s="63"/>
      <c r="B2672" s="63"/>
      <c r="C2672" s="63"/>
      <c r="D2672" s="63"/>
      <c r="E2672" s="63"/>
      <c r="F2672" s="28" t="str">
        <f aca="false">IF(C2672="","",IF(OR(C2672="1. bekkur",C2672="2. bekkur",C2672="3. bekkur",C2672="4. bekkur"),"Já",IF(C2672="Starfsmaður","Nei","Nei")))</f>
        <v/>
      </c>
      <c r="G2672" s="63"/>
      <c r="H2672" s="63"/>
      <c r="I2672" s="63"/>
      <c r="J2672" s="64" t="str">
        <f aca="false">IF(OR(A2672="",B2672=""),"",CONCATENATE("https://matarstund.is/serfaedi?id=",LOWER(SUBSTITUTE(B2672,"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64" t="str">
        <f aca="false">IF(OR(A2673="",B2673=""),"",CONCATENATE("https://matarstund.is/serfaedi?id=",LOWER(SUBSTITUTE(B2673," ","-"))))</f>
        <v/>
      </c>
    </row>
    <row r="2674" customFormat="false" ht="15" hidden="false" customHeight="true" outlineLevel="0" collapsed="false">
      <c r="A2674" s="63"/>
      <c r="B2674" s="63"/>
      <c r="C2674" s="63"/>
      <c r="D2674" s="63"/>
      <c r="E2674" s="63"/>
      <c r="F2674" s="28" t="str">
        <f aca="false">IF(C2674="","",IF(OR(C2674="1. bekkur",C2674="2. bekkur",C2674="3. bekkur",C2674="4. bekkur"),"Já",IF(C2674="Starfsmaður","Nei","Nei")))</f>
        <v/>
      </c>
      <c r="G2674" s="63"/>
      <c r="H2674" s="63"/>
      <c r="I2674" s="63"/>
      <c r="J2674" s="64" t="str">
        <f aca="false">IF(OR(A2674="",B2674=""),"",CONCATENATE("https://matarstund.is/serfaedi?id=",LOWER(SUBSTITUTE(B2674,"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64" t="str">
        <f aca="false">IF(OR(A2675="",B2675=""),"",CONCATENATE("https://matarstund.is/serfaedi?id=",LOWER(SUBSTITUTE(B2675," ","-"))))</f>
        <v/>
      </c>
    </row>
    <row r="2676" customFormat="false" ht="15" hidden="false" customHeight="true" outlineLevel="0" collapsed="false">
      <c r="A2676" s="63"/>
      <c r="B2676" s="63"/>
      <c r="C2676" s="63"/>
      <c r="D2676" s="63"/>
      <c r="E2676" s="63"/>
      <c r="F2676" s="28" t="str">
        <f aca="false">IF(C2676="","",IF(OR(C2676="1. bekkur",C2676="2. bekkur",C2676="3. bekkur",C2676="4. bekkur"),"Já",IF(C2676="Starfsmaður","Nei","Nei")))</f>
        <v/>
      </c>
      <c r="G2676" s="63"/>
      <c r="H2676" s="63"/>
      <c r="I2676" s="63"/>
      <c r="J2676" s="64" t="str">
        <f aca="false">IF(OR(A2676="",B2676=""),"",CONCATENATE("https://matarstund.is/serfaedi?id=",LOWER(SUBSTITUTE(B2676,"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64" t="str">
        <f aca="false">IF(OR(A2677="",B2677=""),"",CONCATENATE("https://matarstund.is/serfaedi?id=",LOWER(SUBSTITUTE(B2677," ","-"))))</f>
        <v/>
      </c>
    </row>
    <row r="2678" customFormat="false" ht="15" hidden="false" customHeight="true" outlineLevel="0" collapsed="false">
      <c r="A2678" s="63"/>
      <c r="B2678" s="63"/>
      <c r="C2678" s="63"/>
      <c r="D2678" s="63"/>
      <c r="E2678" s="63"/>
      <c r="F2678" s="28" t="str">
        <f aca="false">IF(C2678="","",IF(OR(C2678="1. bekkur",C2678="2. bekkur",C2678="3. bekkur",C2678="4. bekkur"),"Já",IF(C2678="Starfsmaður","Nei","Nei")))</f>
        <v/>
      </c>
      <c r="G2678" s="63"/>
      <c r="H2678" s="63"/>
      <c r="I2678" s="63"/>
      <c r="J2678" s="64" t="str">
        <f aca="false">IF(OR(A2678="",B2678=""),"",CONCATENATE("https://matarstund.is/serfaedi?id=",LOWER(SUBSTITUTE(B2678,"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64" t="str">
        <f aca="false">IF(OR(A2679="",B2679=""),"",CONCATENATE("https://matarstund.is/serfaedi?id=",LOWER(SUBSTITUTE(B2679," ","-"))))</f>
        <v/>
      </c>
    </row>
    <row r="2680" customFormat="false" ht="15" hidden="false" customHeight="true" outlineLevel="0" collapsed="false">
      <c r="A2680" s="63"/>
      <c r="B2680" s="63"/>
      <c r="C2680" s="63"/>
      <c r="D2680" s="63"/>
      <c r="E2680" s="63"/>
      <c r="F2680" s="28" t="str">
        <f aca="false">IF(C2680="","",IF(OR(C2680="1. bekkur",C2680="2. bekkur",C2680="3. bekkur",C2680="4. bekkur"),"Já",IF(C2680="Starfsmaður","Nei","Nei")))</f>
        <v/>
      </c>
      <c r="G2680" s="63"/>
      <c r="H2680" s="63"/>
      <c r="I2680" s="63"/>
      <c r="J2680" s="64" t="str">
        <f aca="false">IF(OR(A2680="",B2680=""),"",CONCATENATE("https://matarstund.is/serfaedi?id=",LOWER(SUBSTITUTE(B2680,"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64" t="str">
        <f aca="false">IF(OR(A2681="",B2681=""),"",CONCATENATE("https://matarstund.is/serfaedi?id=",LOWER(SUBSTITUTE(B2681," ","-"))))</f>
        <v/>
      </c>
    </row>
    <row r="2682" customFormat="false" ht="15" hidden="false" customHeight="true" outlineLevel="0" collapsed="false">
      <c r="A2682" s="63"/>
      <c r="B2682" s="63"/>
      <c r="C2682" s="63"/>
      <c r="D2682" s="63"/>
      <c r="E2682" s="63"/>
      <c r="F2682" s="28" t="str">
        <f aca="false">IF(C2682="","",IF(OR(C2682="1. bekkur",C2682="2. bekkur",C2682="3. bekkur",C2682="4. bekkur"),"Já",IF(C2682="Starfsmaður","Nei","Nei")))</f>
        <v/>
      </c>
      <c r="G2682" s="63"/>
      <c r="H2682" s="63"/>
      <c r="I2682" s="63"/>
      <c r="J2682" s="64" t="str">
        <f aca="false">IF(OR(A2682="",B2682=""),"",CONCATENATE("https://matarstund.is/serfaedi?id=",LOWER(SUBSTITUTE(B2682,"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64" t="str">
        <f aca="false">IF(OR(A2683="",B2683=""),"",CONCATENATE("https://matarstund.is/serfaedi?id=",LOWER(SUBSTITUTE(B2683," ","-"))))</f>
        <v/>
      </c>
    </row>
    <row r="2684" customFormat="false" ht="15" hidden="false" customHeight="true" outlineLevel="0" collapsed="false">
      <c r="A2684" s="63"/>
      <c r="B2684" s="63"/>
      <c r="C2684" s="63"/>
      <c r="D2684" s="63"/>
      <c r="E2684" s="63"/>
      <c r="F2684" s="28" t="str">
        <f aca="false">IF(C2684="","",IF(OR(C2684="1. bekkur",C2684="2. bekkur",C2684="3. bekkur",C2684="4. bekkur"),"Já",IF(C2684="Starfsmaður","Nei","Nei")))</f>
        <v/>
      </c>
      <c r="G2684" s="63"/>
      <c r="H2684" s="63"/>
      <c r="I2684" s="63"/>
      <c r="J2684" s="64" t="str">
        <f aca="false">IF(OR(A2684="",B2684=""),"",CONCATENATE("https://matarstund.is/serfaedi?id=",LOWER(SUBSTITUTE(B2684,"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64" t="str">
        <f aca="false">IF(OR(A2685="",B2685=""),"",CONCATENATE("https://matarstund.is/serfaedi?id=",LOWER(SUBSTITUTE(B2685," ","-"))))</f>
        <v/>
      </c>
    </row>
    <row r="2686" customFormat="false" ht="15" hidden="false" customHeight="true" outlineLevel="0" collapsed="false">
      <c r="A2686" s="63"/>
      <c r="B2686" s="63"/>
      <c r="C2686" s="63"/>
      <c r="D2686" s="63"/>
      <c r="E2686" s="63"/>
      <c r="F2686" s="28" t="str">
        <f aca="false">IF(C2686="","",IF(OR(C2686="1. bekkur",C2686="2. bekkur",C2686="3. bekkur",C2686="4. bekkur"),"Já",IF(C2686="Starfsmaður","Nei","Nei")))</f>
        <v/>
      </c>
      <c r="G2686" s="63"/>
      <c r="H2686" s="63"/>
      <c r="I2686" s="63"/>
      <c r="J2686" s="64" t="str">
        <f aca="false">IF(OR(A2686="",B2686=""),"",CONCATENATE("https://matarstund.is/serfaedi?id=",LOWER(SUBSTITUTE(B2686,"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64" t="str">
        <f aca="false">IF(OR(A2687="",B2687=""),"",CONCATENATE("https://matarstund.is/serfaedi?id=",LOWER(SUBSTITUTE(B2687," ","-"))))</f>
        <v/>
      </c>
    </row>
    <row r="2688" customFormat="false" ht="15" hidden="false" customHeight="true" outlineLevel="0" collapsed="false">
      <c r="A2688" s="63"/>
      <c r="B2688" s="63"/>
      <c r="C2688" s="63"/>
      <c r="D2688" s="63"/>
      <c r="E2688" s="63"/>
      <c r="F2688" s="28" t="str">
        <f aca="false">IF(C2688="","",IF(OR(C2688="1. bekkur",C2688="2. bekkur",C2688="3. bekkur",C2688="4. bekkur"),"Já",IF(C2688="Starfsmaður","Nei","Nei")))</f>
        <v/>
      </c>
      <c r="G2688" s="63"/>
      <c r="H2688" s="63"/>
      <c r="I2688" s="63"/>
      <c r="J2688" s="64" t="str">
        <f aca="false">IF(OR(A2688="",B2688=""),"",CONCATENATE("https://matarstund.is/serfaedi?id=",LOWER(SUBSTITUTE(B2688,"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64" t="str">
        <f aca="false">IF(OR(A2689="",B2689=""),"",CONCATENATE("https://matarstund.is/serfaedi?id=",LOWER(SUBSTITUTE(B2689," ","-"))))</f>
        <v/>
      </c>
    </row>
    <row r="2690" customFormat="false" ht="15" hidden="false" customHeight="true" outlineLevel="0" collapsed="false">
      <c r="A2690" s="63"/>
      <c r="B2690" s="63"/>
      <c r="C2690" s="63"/>
      <c r="D2690" s="63"/>
      <c r="E2690" s="63"/>
      <c r="F2690" s="28" t="str">
        <f aca="false">IF(C2690="","",IF(OR(C2690="1. bekkur",C2690="2. bekkur",C2690="3. bekkur",C2690="4. bekkur"),"Já",IF(C2690="Starfsmaður","Nei","Nei")))</f>
        <v/>
      </c>
      <c r="G2690" s="63"/>
      <c r="H2690" s="63"/>
      <c r="I2690" s="63"/>
      <c r="J2690" s="64" t="str">
        <f aca="false">IF(OR(A2690="",B2690=""),"",CONCATENATE("https://matarstund.is/serfaedi?id=",LOWER(SUBSTITUTE(B2690,"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64" t="str">
        <f aca="false">IF(OR(A2691="",B2691=""),"",CONCATENATE("https://matarstund.is/serfaedi?id=",LOWER(SUBSTITUTE(B2691," ","-"))))</f>
        <v/>
      </c>
    </row>
    <row r="2692" customFormat="false" ht="15" hidden="false" customHeight="true" outlineLevel="0" collapsed="false">
      <c r="A2692" s="63"/>
      <c r="B2692" s="63"/>
      <c r="C2692" s="63"/>
      <c r="D2692" s="63"/>
      <c r="E2692" s="63"/>
      <c r="F2692" s="28" t="str">
        <f aca="false">IF(C2692="","",IF(OR(C2692="1. bekkur",C2692="2. bekkur",C2692="3. bekkur",C2692="4. bekkur"),"Já",IF(C2692="Starfsmaður","Nei","Nei")))</f>
        <v/>
      </c>
      <c r="G2692" s="63"/>
      <c r="H2692" s="63"/>
      <c r="I2692" s="63"/>
      <c r="J2692" s="64" t="str">
        <f aca="false">IF(OR(A2692="",B2692=""),"",CONCATENATE("https://matarstund.is/serfaedi?id=",LOWER(SUBSTITUTE(B2692,"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64" t="str">
        <f aca="false">IF(OR(A2693="",B2693=""),"",CONCATENATE("https://matarstund.is/serfaedi?id=",LOWER(SUBSTITUTE(B2693," ","-"))))</f>
        <v/>
      </c>
    </row>
    <row r="2694" customFormat="false" ht="15" hidden="false" customHeight="true" outlineLevel="0" collapsed="false">
      <c r="A2694" s="63"/>
      <c r="B2694" s="63"/>
      <c r="C2694" s="63"/>
      <c r="D2694" s="63"/>
      <c r="E2694" s="63"/>
      <c r="F2694" s="28" t="str">
        <f aca="false">IF(C2694="","",IF(OR(C2694="1. bekkur",C2694="2. bekkur",C2694="3. bekkur",C2694="4. bekkur"),"Já",IF(C2694="Starfsmaður","Nei","Nei")))</f>
        <v/>
      </c>
      <c r="G2694" s="63"/>
      <c r="H2694" s="63"/>
      <c r="I2694" s="63"/>
      <c r="J2694" s="64" t="str">
        <f aca="false">IF(OR(A2694="",B2694=""),"",CONCATENATE("https://matarstund.is/serfaedi?id=",LOWER(SUBSTITUTE(B2694,"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64" t="str">
        <f aca="false">IF(OR(A2695="",B2695=""),"",CONCATENATE("https://matarstund.is/serfaedi?id=",LOWER(SUBSTITUTE(B2695," ","-"))))</f>
        <v/>
      </c>
    </row>
    <row r="2696" customFormat="false" ht="15" hidden="false" customHeight="true" outlineLevel="0" collapsed="false">
      <c r="A2696" s="63"/>
      <c r="B2696" s="63"/>
      <c r="C2696" s="63"/>
      <c r="D2696" s="63"/>
      <c r="E2696" s="63"/>
      <c r="F2696" s="28" t="str">
        <f aca="false">IF(C2696="","",IF(OR(C2696="1. bekkur",C2696="2. bekkur",C2696="3. bekkur",C2696="4. bekkur"),"Já",IF(C2696="Starfsmaður","Nei","Nei")))</f>
        <v/>
      </c>
      <c r="G2696" s="63"/>
      <c r="H2696" s="63"/>
      <c r="I2696" s="63"/>
      <c r="J2696" s="64" t="str">
        <f aca="false">IF(OR(A2696="",B2696=""),"",CONCATENATE("https://matarstund.is/serfaedi?id=",LOWER(SUBSTITUTE(B2696,"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64" t="str">
        <f aca="false">IF(OR(A2697="",B2697=""),"",CONCATENATE("https://matarstund.is/serfaedi?id=",LOWER(SUBSTITUTE(B2697," ","-"))))</f>
        <v/>
      </c>
    </row>
    <row r="2698" customFormat="false" ht="15" hidden="false" customHeight="true" outlineLevel="0" collapsed="false">
      <c r="A2698" s="63"/>
      <c r="B2698" s="63"/>
      <c r="C2698" s="63"/>
      <c r="D2698" s="63"/>
      <c r="E2698" s="63"/>
      <c r="F2698" s="28" t="str">
        <f aca="false">IF(C2698="","",IF(OR(C2698="1. bekkur",C2698="2. bekkur",C2698="3. bekkur",C2698="4. bekkur"),"Já",IF(C2698="Starfsmaður","Nei","Nei")))</f>
        <v/>
      </c>
      <c r="G2698" s="63"/>
      <c r="H2698" s="63"/>
      <c r="I2698" s="63"/>
      <c r="J2698" s="64" t="str">
        <f aca="false">IF(OR(A2698="",B2698=""),"",CONCATENATE("https://matarstund.is/serfaedi?id=",LOWER(SUBSTITUTE(B2698,"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64" t="str">
        <f aca="false">IF(OR(A2699="",B2699=""),"",CONCATENATE("https://matarstund.is/serfaedi?id=",LOWER(SUBSTITUTE(B2699," ","-"))))</f>
        <v/>
      </c>
    </row>
    <row r="2700" customFormat="false" ht="15" hidden="false" customHeight="true" outlineLevel="0" collapsed="false">
      <c r="A2700" s="63"/>
      <c r="B2700" s="63"/>
      <c r="C2700" s="63"/>
      <c r="D2700" s="63"/>
      <c r="E2700" s="63"/>
      <c r="F2700" s="28" t="str">
        <f aca="false">IF(C2700="","",IF(OR(C2700="1. bekkur",C2700="2. bekkur",C2700="3. bekkur",C2700="4. bekkur"),"Já",IF(C2700="Starfsmaður","Nei","Nei")))</f>
        <v/>
      </c>
      <c r="G2700" s="63"/>
      <c r="H2700" s="63"/>
      <c r="I2700" s="63"/>
      <c r="J2700" s="64" t="str">
        <f aca="false">IF(OR(A2700="",B2700=""),"",CONCATENATE("https://matarstund.is/serfaedi?id=",LOWER(SUBSTITUTE(B2700,"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64" t="str">
        <f aca="false">IF(OR(A2701="",B2701=""),"",CONCATENATE("https://matarstund.is/serfaedi?id=",LOWER(SUBSTITUTE(B2701," ","-"))))</f>
        <v/>
      </c>
    </row>
    <row r="2702" customFormat="false" ht="15" hidden="false" customHeight="true" outlineLevel="0" collapsed="false">
      <c r="A2702" s="63"/>
      <c r="B2702" s="63"/>
      <c r="C2702" s="63"/>
      <c r="D2702" s="63"/>
      <c r="E2702" s="63"/>
      <c r="F2702" s="28" t="str">
        <f aca="false">IF(C2702="","",IF(OR(C2702="1. bekkur",C2702="2. bekkur",C2702="3. bekkur",C2702="4. bekkur"),"Já",IF(C2702="Starfsmaður","Nei","Nei")))</f>
        <v/>
      </c>
      <c r="G2702" s="63"/>
      <c r="H2702" s="63"/>
      <c r="I2702" s="63"/>
      <c r="J2702" s="64" t="str">
        <f aca="false">IF(OR(A2702="",B2702=""),"",CONCATENATE("https://matarstund.is/serfaedi?id=",LOWER(SUBSTITUTE(B2702,"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64" t="str">
        <f aca="false">IF(OR(A2703="",B2703=""),"",CONCATENATE("https://matarstund.is/serfaedi?id=",LOWER(SUBSTITUTE(B2703," ","-"))))</f>
        <v/>
      </c>
    </row>
    <row r="2704" customFormat="false" ht="15" hidden="false" customHeight="true" outlineLevel="0" collapsed="false">
      <c r="A2704" s="63"/>
      <c r="B2704" s="63"/>
      <c r="C2704" s="63"/>
      <c r="D2704" s="63"/>
      <c r="E2704" s="63"/>
      <c r="F2704" s="28" t="str">
        <f aca="false">IF(C2704="","",IF(OR(C2704="1. bekkur",C2704="2. bekkur",C2704="3. bekkur",C2704="4. bekkur"),"Já",IF(C2704="Starfsmaður","Nei","Nei")))</f>
        <v/>
      </c>
      <c r="G2704" s="63"/>
      <c r="H2704" s="63"/>
      <c r="I2704" s="63"/>
      <c r="J2704" s="64" t="str">
        <f aca="false">IF(OR(A2704="",B2704=""),"",CONCATENATE("https://matarstund.is/serfaedi?id=",LOWER(SUBSTITUTE(B2704,"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64" t="str">
        <f aca="false">IF(OR(A2705="",B2705=""),"",CONCATENATE("https://matarstund.is/serfaedi?id=",LOWER(SUBSTITUTE(B2705," ","-"))))</f>
        <v/>
      </c>
    </row>
    <row r="2706" customFormat="false" ht="15" hidden="false" customHeight="true" outlineLevel="0" collapsed="false">
      <c r="A2706" s="63"/>
      <c r="B2706" s="63"/>
      <c r="C2706" s="63"/>
      <c r="D2706" s="63"/>
      <c r="E2706" s="63"/>
      <c r="F2706" s="28" t="str">
        <f aca="false">IF(C2706="","",IF(OR(C2706="1. bekkur",C2706="2. bekkur",C2706="3. bekkur",C2706="4. bekkur"),"Já",IF(C2706="Starfsmaður","Nei","Nei")))</f>
        <v/>
      </c>
      <c r="G2706" s="63"/>
      <c r="H2706" s="63"/>
      <c r="I2706" s="63"/>
      <c r="J2706" s="64" t="str">
        <f aca="false">IF(OR(A2706="",B2706=""),"",CONCATENATE("https://matarstund.is/serfaedi?id=",LOWER(SUBSTITUTE(B2706,"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64" t="str">
        <f aca="false">IF(OR(A2707="",B2707=""),"",CONCATENATE("https://matarstund.is/serfaedi?id=",LOWER(SUBSTITUTE(B2707," ","-"))))</f>
        <v/>
      </c>
    </row>
    <row r="2708" customFormat="false" ht="15" hidden="false" customHeight="true" outlineLevel="0" collapsed="false">
      <c r="A2708" s="63"/>
      <c r="B2708" s="63"/>
      <c r="C2708" s="63"/>
      <c r="D2708" s="63"/>
      <c r="E2708" s="63"/>
      <c r="F2708" s="28" t="str">
        <f aca="false">IF(C2708="","",IF(OR(C2708="1. bekkur",C2708="2. bekkur",C2708="3. bekkur",C2708="4. bekkur"),"Já",IF(C2708="Starfsmaður","Nei","Nei")))</f>
        <v/>
      </c>
      <c r="G2708" s="63"/>
      <c r="H2708" s="63"/>
      <c r="I2708" s="63"/>
      <c r="J2708" s="64" t="str">
        <f aca="false">IF(OR(A2708="",B2708=""),"",CONCATENATE("https://matarstund.is/serfaedi?id=",LOWER(SUBSTITUTE(B2708,"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64" t="str">
        <f aca="false">IF(OR(A2709="",B2709=""),"",CONCATENATE("https://matarstund.is/serfaedi?id=",LOWER(SUBSTITUTE(B2709," ","-"))))</f>
        <v/>
      </c>
    </row>
    <row r="2710" customFormat="false" ht="15" hidden="false" customHeight="true" outlineLevel="0" collapsed="false">
      <c r="A2710" s="63"/>
      <c r="B2710" s="63"/>
      <c r="C2710" s="63"/>
      <c r="D2710" s="63"/>
      <c r="E2710" s="63"/>
      <c r="F2710" s="28" t="str">
        <f aca="false">IF(C2710="","",IF(OR(C2710="1. bekkur",C2710="2. bekkur",C2710="3. bekkur",C2710="4. bekkur"),"Já",IF(C2710="Starfsmaður","Nei","Nei")))</f>
        <v/>
      </c>
      <c r="G2710" s="63"/>
      <c r="H2710" s="63"/>
      <c r="I2710" s="63"/>
      <c r="J2710" s="64" t="str">
        <f aca="false">IF(OR(A2710="",B2710=""),"",CONCATENATE("https://matarstund.is/serfaedi?id=",LOWER(SUBSTITUTE(B2710,"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64" t="str">
        <f aca="false">IF(OR(A2711="",B2711=""),"",CONCATENATE("https://matarstund.is/serfaedi?id=",LOWER(SUBSTITUTE(B2711," ","-"))))</f>
        <v/>
      </c>
    </row>
    <row r="2712" customFormat="false" ht="15" hidden="false" customHeight="true" outlineLevel="0" collapsed="false">
      <c r="A2712" s="63"/>
      <c r="B2712" s="63"/>
      <c r="C2712" s="63"/>
      <c r="D2712" s="63"/>
      <c r="E2712" s="63"/>
      <c r="F2712" s="28" t="str">
        <f aca="false">IF(C2712="","",IF(OR(C2712="1. bekkur",C2712="2. bekkur",C2712="3. bekkur",C2712="4. bekkur"),"Já",IF(C2712="Starfsmaður","Nei","Nei")))</f>
        <v/>
      </c>
      <c r="G2712" s="63"/>
      <c r="H2712" s="63"/>
      <c r="I2712" s="63"/>
      <c r="J2712" s="64" t="str">
        <f aca="false">IF(OR(A2712="",B2712=""),"",CONCATENATE("https://matarstund.is/serfaedi?id=",LOWER(SUBSTITUTE(B2712,"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64" t="str">
        <f aca="false">IF(OR(A2713="",B2713=""),"",CONCATENATE("https://matarstund.is/serfaedi?id=",LOWER(SUBSTITUTE(B2713," ","-"))))</f>
        <v/>
      </c>
    </row>
    <row r="2714" customFormat="false" ht="15" hidden="false" customHeight="true" outlineLevel="0" collapsed="false">
      <c r="A2714" s="63"/>
      <c r="B2714" s="63"/>
      <c r="C2714" s="63"/>
      <c r="D2714" s="63"/>
      <c r="E2714" s="63"/>
      <c r="F2714" s="28" t="str">
        <f aca="false">IF(C2714="","",IF(OR(C2714="1. bekkur",C2714="2. bekkur",C2714="3. bekkur",C2714="4. bekkur"),"Já",IF(C2714="Starfsmaður","Nei","Nei")))</f>
        <v/>
      </c>
      <c r="G2714" s="63"/>
      <c r="H2714" s="63"/>
      <c r="I2714" s="63"/>
      <c r="J2714" s="64" t="str">
        <f aca="false">IF(OR(A2714="",B2714=""),"",CONCATENATE("https://matarstund.is/serfaedi?id=",LOWER(SUBSTITUTE(B2714,"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64" t="str">
        <f aca="false">IF(OR(A2715="",B2715=""),"",CONCATENATE("https://matarstund.is/serfaedi?id=",LOWER(SUBSTITUTE(B2715," ","-"))))</f>
        <v/>
      </c>
    </row>
    <row r="2716" customFormat="false" ht="15" hidden="false" customHeight="true" outlineLevel="0" collapsed="false">
      <c r="A2716" s="63"/>
      <c r="B2716" s="63"/>
      <c r="C2716" s="63"/>
      <c r="D2716" s="63"/>
      <c r="E2716" s="63"/>
      <c r="F2716" s="28" t="str">
        <f aca="false">IF(C2716="","",IF(OR(C2716="1. bekkur",C2716="2. bekkur",C2716="3. bekkur",C2716="4. bekkur"),"Já",IF(C2716="Starfsmaður","Nei","Nei")))</f>
        <v/>
      </c>
      <c r="G2716" s="63"/>
      <c r="H2716" s="63"/>
      <c r="I2716" s="63"/>
      <c r="J2716" s="64" t="str">
        <f aca="false">IF(OR(A2716="",B2716=""),"",CONCATENATE("https://matarstund.is/serfaedi?id=",LOWER(SUBSTITUTE(B2716,"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64" t="str">
        <f aca="false">IF(OR(A2717="",B2717=""),"",CONCATENATE("https://matarstund.is/serfaedi?id=",LOWER(SUBSTITUTE(B2717," ","-"))))</f>
        <v/>
      </c>
    </row>
    <row r="2718" customFormat="false" ht="15" hidden="false" customHeight="true" outlineLevel="0" collapsed="false">
      <c r="A2718" s="63"/>
      <c r="B2718" s="63"/>
      <c r="C2718" s="63"/>
      <c r="D2718" s="63"/>
      <c r="E2718" s="63"/>
      <c r="F2718" s="28" t="str">
        <f aca="false">IF(C2718="","",IF(OR(C2718="1. bekkur",C2718="2. bekkur",C2718="3. bekkur",C2718="4. bekkur"),"Já",IF(C2718="Starfsmaður","Nei","Nei")))</f>
        <v/>
      </c>
      <c r="G2718" s="63"/>
      <c r="H2718" s="63"/>
      <c r="I2718" s="63"/>
      <c r="J2718" s="64" t="str">
        <f aca="false">IF(OR(A2718="",B2718=""),"",CONCATENATE("https://matarstund.is/serfaedi?id=",LOWER(SUBSTITUTE(B2718,"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64" t="str">
        <f aca="false">IF(OR(A2719="",B2719=""),"",CONCATENATE("https://matarstund.is/serfaedi?id=",LOWER(SUBSTITUTE(B2719," ","-"))))</f>
        <v/>
      </c>
    </row>
    <row r="2720" customFormat="false" ht="15" hidden="false" customHeight="true" outlineLevel="0" collapsed="false">
      <c r="A2720" s="63"/>
      <c r="B2720" s="63"/>
      <c r="C2720" s="63"/>
      <c r="D2720" s="63"/>
      <c r="E2720" s="63"/>
      <c r="F2720" s="28" t="str">
        <f aca="false">IF(C2720="","",IF(OR(C2720="1. bekkur",C2720="2. bekkur",C2720="3. bekkur",C2720="4. bekkur"),"Já",IF(C2720="Starfsmaður","Nei","Nei")))</f>
        <v/>
      </c>
      <c r="G2720" s="63"/>
      <c r="H2720" s="63"/>
      <c r="I2720" s="63"/>
      <c r="J2720" s="64" t="str">
        <f aca="false">IF(OR(A2720="",B2720=""),"",CONCATENATE("https://matarstund.is/serfaedi?id=",LOWER(SUBSTITUTE(B2720,"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64" t="str">
        <f aca="false">IF(OR(A2721="",B2721=""),"",CONCATENATE("https://matarstund.is/serfaedi?id=",LOWER(SUBSTITUTE(B2721," ","-"))))</f>
        <v/>
      </c>
    </row>
    <row r="2722" customFormat="false" ht="15" hidden="false" customHeight="true" outlineLevel="0" collapsed="false">
      <c r="A2722" s="63"/>
      <c r="B2722" s="63"/>
      <c r="C2722" s="63"/>
      <c r="D2722" s="63"/>
      <c r="E2722" s="63"/>
      <c r="F2722" s="28" t="str">
        <f aca="false">IF(C2722="","",IF(OR(C2722="1. bekkur",C2722="2. bekkur",C2722="3. bekkur",C2722="4. bekkur"),"Já",IF(C2722="Starfsmaður","Nei","Nei")))</f>
        <v/>
      </c>
      <c r="G2722" s="63"/>
      <c r="H2722" s="63"/>
      <c r="I2722" s="63"/>
      <c r="J2722" s="64" t="str">
        <f aca="false">IF(OR(A2722="",B2722=""),"",CONCATENATE("https://matarstund.is/serfaedi?id=",LOWER(SUBSTITUTE(B2722,"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64" t="str">
        <f aca="false">IF(OR(A2723="",B2723=""),"",CONCATENATE("https://matarstund.is/serfaedi?id=",LOWER(SUBSTITUTE(B2723," ","-"))))</f>
        <v/>
      </c>
    </row>
    <row r="2724" customFormat="false" ht="15" hidden="false" customHeight="true" outlineLevel="0" collapsed="false">
      <c r="A2724" s="63"/>
      <c r="B2724" s="63"/>
      <c r="C2724" s="63"/>
      <c r="D2724" s="63"/>
      <c r="E2724" s="63"/>
      <c r="F2724" s="28" t="str">
        <f aca="false">IF(C2724="","",IF(OR(C2724="1. bekkur",C2724="2. bekkur",C2724="3. bekkur",C2724="4. bekkur"),"Já",IF(C2724="Starfsmaður","Nei","Nei")))</f>
        <v/>
      </c>
      <c r="G2724" s="63"/>
      <c r="H2724" s="63"/>
      <c r="I2724" s="63"/>
      <c r="J2724" s="64" t="str">
        <f aca="false">IF(OR(A2724="",B2724=""),"",CONCATENATE("https://matarstund.is/serfaedi?id=",LOWER(SUBSTITUTE(B2724,"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64" t="str">
        <f aca="false">IF(OR(A2725="",B2725=""),"",CONCATENATE("https://matarstund.is/serfaedi?id=",LOWER(SUBSTITUTE(B2725," ","-"))))</f>
        <v/>
      </c>
    </row>
    <row r="2726" customFormat="false" ht="15" hidden="false" customHeight="true" outlineLevel="0" collapsed="false">
      <c r="A2726" s="63"/>
      <c r="B2726" s="63"/>
      <c r="C2726" s="63"/>
      <c r="D2726" s="63"/>
      <c r="E2726" s="63"/>
      <c r="F2726" s="28" t="str">
        <f aca="false">IF(C2726="","",IF(OR(C2726="1. bekkur",C2726="2. bekkur",C2726="3. bekkur",C2726="4. bekkur"),"Já",IF(C2726="Starfsmaður","Nei","Nei")))</f>
        <v/>
      </c>
      <c r="G2726" s="63"/>
      <c r="H2726" s="63"/>
      <c r="I2726" s="63"/>
      <c r="J2726" s="64" t="str">
        <f aca="false">IF(OR(A2726="",B2726=""),"",CONCATENATE("https://matarstund.is/serfaedi?id=",LOWER(SUBSTITUTE(B2726,"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64" t="str">
        <f aca="false">IF(OR(A2727="",B2727=""),"",CONCATENATE("https://matarstund.is/serfaedi?id=",LOWER(SUBSTITUTE(B2727," ","-"))))</f>
        <v/>
      </c>
    </row>
    <row r="2728" customFormat="false" ht="15" hidden="false" customHeight="true" outlineLevel="0" collapsed="false">
      <c r="A2728" s="63"/>
      <c r="B2728" s="63"/>
      <c r="C2728" s="63"/>
      <c r="D2728" s="63"/>
      <c r="E2728" s="63"/>
      <c r="F2728" s="28" t="str">
        <f aca="false">IF(C2728="","",IF(OR(C2728="1. bekkur",C2728="2. bekkur",C2728="3. bekkur",C2728="4. bekkur"),"Já",IF(C2728="Starfsmaður","Nei","Nei")))</f>
        <v/>
      </c>
      <c r="G2728" s="63"/>
      <c r="H2728" s="63"/>
      <c r="I2728" s="63"/>
      <c r="J2728" s="64" t="str">
        <f aca="false">IF(OR(A2728="",B2728=""),"",CONCATENATE("https://matarstund.is/serfaedi?id=",LOWER(SUBSTITUTE(B2728,"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64" t="str">
        <f aca="false">IF(OR(A2729="",B2729=""),"",CONCATENATE("https://matarstund.is/serfaedi?id=",LOWER(SUBSTITUTE(B2729," ","-"))))</f>
        <v/>
      </c>
    </row>
    <row r="2730" customFormat="false" ht="15" hidden="false" customHeight="true" outlineLevel="0" collapsed="false">
      <c r="A2730" s="63"/>
      <c r="B2730" s="63"/>
      <c r="C2730" s="63"/>
      <c r="D2730" s="63"/>
      <c r="E2730" s="63"/>
      <c r="F2730" s="28" t="str">
        <f aca="false">IF(C2730="","",IF(OR(C2730="1. bekkur",C2730="2. bekkur",C2730="3. bekkur",C2730="4. bekkur"),"Já",IF(C2730="Starfsmaður","Nei","Nei")))</f>
        <v/>
      </c>
      <c r="G2730" s="63"/>
      <c r="H2730" s="63"/>
      <c r="I2730" s="63"/>
      <c r="J2730" s="64" t="str">
        <f aca="false">IF(OR(A2730="",B2730=""),"",CONCATENATE("https://matarstund.is/serfaedi?id=",LOWER(SUBSTITUTE(B2730,"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64" t="str">
        <f aca="false">IF(OR(A2731="",B2731=""),"",CONCATENATE("https://matarstund.is/serfaedi?id=",LOWER(SUBSTITUTE(B2731," ","-"))))</f>
        <v/>
      </c>
    </row>
    <row r="2732" customFormat="false" ht="15" hidden="false" customHeight="true" outlineLevel="0" collapsed="false">
      <c r="A2732" s="63"/>
      <c r="B2732" s="63"/>
      <c r="C2732" s="63"/>
      <c r="D2732" s="63"/>
      <c r="E2732" s="63"/>
      <c r="F2732" s="28" t="str">
        <f aca="false">IF(C2732="","",IF(OR(C2732="1. bekkur",C2732="2. bekkur",C2732="3. bekkur",C2732="4. bekkur"),"Já",IF(C2732="Starfsmaður","Nei","Nei")))</f>
        <v/>
      </c>
      <c r="G2732" s="63"/>
      <c r="H2732" s="63"/>
      <c r="I2732" s="63"/>
      <c r="J2732" s="64" t="str">
        <f aca="false">IF(OR(A2732="",B2732=""),"",CONCATENATE("https://matarstund.is/serfaedi?id=",LOWER(SUBSTITUTE(B2732,"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64" t="str">
        <f aca="false">IF(OR(A2733="",B2733=""),"",CONCATENATE("https://matarstund.is/serfaedi?id=",LOWER(SUBSTITUTE(B2733," ","-"))))</f>
        <v/>
      </c>
    </row>
    <row r="2734" customFormat="false" ht="15" hidden="false" customHeight="true" outlineLevel="0" collapsed="false">
      <c r="A2734" s="63"/>
      <c r="B2734" s="63"/>
      <c r="C2734" s="63"/>
      <c r="D2734" s="63"/>
      <c r="E2734" s="63"/>
      <c r="F2734" s="28" t="str">
        <f aca="false">IF(C2734="","",IF(OR(C2734="1. bekkur",C2734="2. bekkur",C2734="3. bekkur",C2734="4. bekkur"),"Já",IF(C2734="Starfsmaður","Nei","Nei")))</f>
        <v/>
      </c>
      <c r="G2734" s="63"/>
      <c r="H2734" s="63"/>
      <c r="I2734" s="63"/>
      <c r="J2734" s="64" t="str">
        <f aca="false">IF(OR(A2734="",B2734=""),"",CONCATENATE("https://matarstund.is/serfaedi?id=",LOWER(SUBSTITUTE(B2734,"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64" t="str">
        <f aca="false">IF(OR(A2735="",B2735=""),"",CONCATENATE("https://matarstund.is/serfaedi?id=",LOWER(SUBSTITUTE(B2735," ","-"))))</f>
        <v/>
      </c>
    </row>
    <row r="2736" customFormat="false" ht="15" hidden="false" customHeight="true" outlineLevel="0" collapsed="false">
      <c r="A2736" s="63"/>
      <c r="B2736" s="63"/>
      <c r="C2736" s="63"/>
      <c r="D2736" s="63"/>
      <c r="E2736" s="63"/>
      <c r="F2736" s="28" t="str">
        <f aca="false">IF(C2736="","",IF(OR(C2736="1. bekkur",C2736="2. bekkur",C2736="3. bekkur",C2736="4. bekkur"),"Já",IF(C2736="Starfsmaður","Nei","Nei")))</f>
        <v/>
      </c>
      <c r="G2736" s="63"/>
      <c r="H2736" s="63"/>
      <c r="I2736" s="63"/>
      <c r="J2736" s="64" t="str">
        <f aca="false">IF(OR(A2736="",B2736=""),"",CONCATENATE("https://matarstund.is/serfaedi?id=",LOWER(SUBSTITUTE(B2736,"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64" t="str">
        <f aca="false">IF(OR(A2737="",B2737=""),"",CONCATENATE("https://matarstund.is/serfaedi?id=",LOWER(SUBSTITUTE(B2737," ","-"))))</f>
        <v/>
      </c>
    </row>
    <row r="2738" customFormat="false" ht="15" hidden="false" customHeight="true" outlineLevel="0" collapsed="false">
      <c r="A2738" s="63"/>
      <c r="B2738" s="63"/>
      <c r="C2738" s="63"/>
      <c r="D2738" s="63"/>
      <c r="E2738" s="63"/>
      <c r="F2738" s="28" t="str">
        <f aca="false">IF(C2738="","",IF(OR(C2738="1. bekkur",C2738="2. bekkur",C2738="3. bekkur",C2738="4. bekkur"),"Já",IF(C2738="Starfsmaður","Nei","Nei")))</f>
        <v/>
      </c>
      <c r="G2738" s="63"/>
      <c r="H2738" s="63"/>
      <c r="I2738" s="63"/>
      <c r="J2738" s="64" t="str">
        <f aca="false">IF(OR(A2738="",B2738=""),"",CONCATENATE("https://matarstund.is/serfaedi?id=",LOWER(SUBSTITUTE(B2738,"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64" t="str">
        <f aca="false">IF(OR(A2739="",B2739=""),"",CONCATENATE("https://matarstund.is/serfaedi?id=",LOWER(SUBSTITUTE(B2739," ","-"))))</f>
        <v/>
      </c>
    </row>
    <row r="2740" customFormat="false" ht="15" hidden="false" customHeight="true" outlineLevel="0" collapsed="false">
      <c r="A2740" s="63"/>
      <c r="B2740" s="63"/>
      <c r="C2740" s="63"/>
      <c r="D2740" s="63"/>
      <c r="E2740" s="63"/>
      <c r="F2740" s="28" t="str">
        <f aca="false">IF(C2740="","",IF(OR(C2740="1. bekkur",C2740="2. bekkur",C2740="3. bekkur",C2740="4. bekkur"),"Já",IF(C2740="Starfsmaður","Nei","Nei")))</f>
        <v/>
      </c>
      <c r="G2740" s="63"/>
      <c r="H2740" s="63"/>
      <c r="I2740" s="63"/>
      <c r="J2740" s="64" t="str">
        <f aca="false">IF(OR(A2740="",B2740=""),"",CONCATENATE("https://matarstund.is/serfaedi?id=",LOWER(SUBSTITUTE(B2740,"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64" t="str">
        <f aca="false">IF(OR(A2741="",B2741=""),"",CONCATENATE("https://matarstund.is/serfaedi?id=",LOWER(SUBSTITUTE(B2741," ","-"))))</f>
        <v/>
      </c>
    </row>
    <row r="2742" customFormat="false" ht="15" hidden="false" customHeight="true" outlineLevel="0" collapsed="false">
      <c r="A2742" s="63"/>
      <c r="B2742" s="63"/>
      <c r="C2742" s="63"/>
      <c r="D2742" s="63"/>
      <c r="E2742" s="63"/>
      <c r="F2742" s="28" t="str">
        <f aca="false">IF(C2742="","",IF(OR(C2742="1. bekkur",C2742="2. bekkur",C2742="3. bekkur",C2742="4. bekkur"),"Já",IF(C2742="Starfsmaður","Nei","Nei")))</f>
        <v/>
      </c>
      <c r="G2742" s="63"/>
      <c r="H2742" s="63"/>
      <c r="I2742" s="63"/>
      <c r="J2742" s="64" t="str">
        <f aca="false">IF(OR(A2742="",B2742=""),"",CONCATENATE("https://matarstund.is/serfaedi?id=",LOWER(SUBSTITUTE(B2742,"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64" t="str">
        <f aca="false">IF(OR(A2743="",B2743=""),"",CONCATENATE("https://matarstund.is/serfaedi?id=",LOWER(SUBSTITUTE(B2743," ","-"))))</f>
        <v/>
      </c>
    </row>
    <row r="2744" customFormat="false" ht="15" hidden="false" customHeight="true" outlineLevel="0" collapsed="false">
      <c r="A2744" s="63"/>
      <c r="B2744" s="63"/>
      <c r="C2744" s="63"/>
      <c r="D2744" s="63"/>
      <c r="E2744" s="63"/>
      <c r="F2744" s="28" t="str">
        <f aca="false">IF(C2744="","",IF(OR(C2744="1. bekkur",C2744="2. bekkur",C2744="3. bekkur",C2744="4. bekkur"),"Já",IF(C2744="Starfsmaður","Nei","Nei")))</f>
        <v/>
      </c>
      <c r="G2744" s="63"/>
      <c r="H2744" s="63"/>
      <c r="I2744" s="63"/>
      <c r="J2744" s="64" t="str">
        <f aca="false">IF(OR(A2744="",B2744=""),"",CONCATENATE("https://matarstund.is/serfaedi?id=",LOWER(SUBSTITUTE(B2744,"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64" t="str">
        <f aca="false">IF(OR(A2745="",B2745=""),"",CONCATENATE("https://matarstund.is/serfaedi?id=",LOWER(SUBSTITUTE(B2745," ","-"))))</f>
        <v/>
      </c>
    </row>
    <row r="2746" customFormat="false" ht="15" hidden="false" customHeight="true" outlineLevel="0" collapsed="false">
      <c r="A2746" s="63"/>
      <c r="B2746" s="63"/>
      <c r="C2746" s="63"/>
      <c r="D2746" s="63"/>
      <c r="E2746" s="63"/>
      <c r="F2746" s="28" t="str">
        <f aca="false">IF(C2746="","",IF(OR(C2746="1. bekkur",C2746="2. bekkur",C2746="3. bekkur",C2746="4. bekkur"),"Já",IF(C2746="Starfsmaður","Nei","Nei")))</f>
        <v/>
      </c>
      <c r="G2746" s="63"/>
      <c r="H2746" s="63"/>
      <c r="I2746" s="63"/>
      <c r="J2746" s="64" t="str">
        <f aca="false">IF(OR(A2746="",B2746=""),"",CONCATENATE("https://matarstund.is/serfaedi?id=",LOWER(SUBSTITUTE(B2746,"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64" t="str">
        <f aca="false">IF(OR(A2747="",B2747=""),"",CONCATENATE("https://matarstund.is/serfaedi?id=",LOWER(SUBSTITUTE(B2747," ","-"))))</f>
        <v/>
      </c>
    </row>
    <row r="2748" customFormat="false" ht="15" hidden="false" customHeight="true" outlineLevel="0" collapsed="false">
      <c r="A2748" s="63"/>
      <c r="B2748" s="63"/>
      <c r="C2748" s="63"/>
      <c r="D2748" s="63"/>
      <c r="E2748" s="63"/>
      <c r="F2748" s="28" t="str">
        <f aca="false">IF(C2748="","",IF(OR(C2748="1. bekkur",C2748="2. bekkur",C2748="3. bekkur",C2748="4. bekkur"),"Já",IF(C2748="Starfsmaður","Nei","Nei")))</f>
        <v/>
      </c>
      <c r="G2748" s="63"/>
      <c r="H2748" s="63"/>
      <c r="I2748" s="63"/>
      <c r="J2748" s="64" t="str">
        <f aca="false">IF(OR(A2748="",B2748=""),"",CONCATENATE("https://matarstund.is/serfaedi?id=",LOWER(SUBSTITUTE(B2748,"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64" t="str">
        <f aca="false">IF(OR(A2749="",B2749=""),"",CONCATENATE("https://matarstund.is/serfaedi?id=",LOWER(SUBSTITUTE(B2749," ","-"))))</f>
        <v/>
      </c>
    </row>
    <row r="2750" customFormat="false" ht="15" hidden="false" customHeight="true" outlineLevel="0" collapsed="false">
      <c r="A2750" s="63"/>
      <c r="B2750" s="63"/>
      <c r="C2750" s="63"/>
      <c r="D2750" s="63"/>
      <c r="E2750" s="63"/>
      <c r="F2750" s="28" t="str">
        <f aca="false">IF(C2750="","",IF(OR(C2750="1. bekkur",C2750="2. bekkur",C2750="3. bekkur",C2750="4. bekkur"),"Já",IF(C2750="Starfsmaður","Nei","Nei")))</f>
        <v/>
      </c>
      <c r="G2750" s="63"/>
      <c r="H2750" s="63"/>
      <c r="I2750" s="63"/>
      <c r="J2750" s="64" t="str">
        <f aca="false">IF(OR(A2750="",B2750=""),"",CONCATENATE("https://matarstund.is/serfaedi?id=",LOWER(SUBSTITUTE(B2750,"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64" t="str">
        <f aca="false">IF(OR(A2751="",B2751=""),"",CONCATENATE("https://matarstund.is/serfaedi?id=",LOWER(SUBSTITUTE(B2751," ","-"))))</f>
        <v/>
      </c>
    </row>
    <row r="2752" customFormat="false" ht="15" hidden="false" customHeight="true" outlineLevel="0" collapsed="false">
      <c r="A2752" s="63"/>
      <c r="B2752" s="63"/>
      <c r="C2752" s="63"/>
      <c r="D2752" s="63"/>
      <c r="E2752" s="63"/>
      <c r="F2752" s="28" t="str">
        <f aca="false">IF(C2752="","",IF(OR(C2752="1. bekkur",C2752="2. bekkur",C2752="3. bekkur",C2752="4. bekkur"),"Já",IF(C2752="Starfsmaður","Nei","Nei")))</f>
        <v/>
      </c>
      <c r="G2752" s="63"/>
      <c r="H2752" s="63"/>
      <c r="I2752" s="63"/>
      <c r="J2752" s="64" t="str">
        <f aca="false">IF(OR(A2752="",B2752=""),"",CONCATENATE("https://matarstund.is/serfaedi?id=",LOWER(SUBSTITUTE(B2752,"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64" t="str">
        <f aca="false">IF(OR(A2753="",B2753=""),"",CONCATENATE("https://matarstund.is/serfaedi?id=",LOWER(SUBSTITUTE(B2753," ","-"))))</f>
        <v/>
      </c>
    </row>
    <row r="2754" customFormat="false" ht="15" hidden="false" customHeight="true" outlineLevel="0" collapsed="false">
      <c r="A2754" s="63"/>
      <c r="B2754" s="63"/>
      <c r="C2754" s="63"/>
      <c r="D2754" s="63"/>
      <c r="E2754" s="63"/>
      <c r="F2754" s="28" t="str">
        <f aca="false">IF(C2754="","",IF(OR(C2754="1. bekkur",C2754="2. bekkur",C2754="3. bekkur",C2754="4. bekkur"),"Já",IF(C2754="Starfsmaður","Nei","Nei")))</f>
        <v/>
      </c>
      <c r="G2754" s="63"/>
      <c r="H2754" s="63"/>
      <c r="I2754" s="63"/>
      <c r="J2754" s="64" t="str">
        <f aca="false">IF(OR(A2754="",B2754=""),"",CONCATENATE("https://matarstund.is/serfaedi?id=",LOWER(SUBSTITUTE(B2754,"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64" t="str">
        <f aca="false">IF(OR(A2755="",B2755=""),"",CONCATENATE("https://matarstund.is/serfaedi?id=",LOWER(SUBSTITUTE(B2755," ","-"))))</f>
        <v/>
      </c>
    </row>
    <row r="2756" customFormat="false" ht="15" hidden="false" customHeight="true" outlineLevel="0" collapsed="false">
      <c r="A2756" s="63"/>
      <c r="B2756" s="63"/>
      <c r="C2756" s="63"/>
      <c r="D2756" s="63"/>
      <c r="E2756" s="63"/>
      <c r="F2756" s="28" t="str">
        <f aca="false">IF(C2756="","",IF(OR(C2756="1. bekkur",C2756="2. bekkur",C2756="3. bekkur",C2756="4. bekkur"),"Já",IF(C2756="Starfsmaður","Nei","Nei")))</f>
        <v/>
      </c>
      <c r="G2756" s="63"/>
      <c r="H2756" s="63"/>
      <c r="I2756" s="63"/>
      <c r="J2756" s="64" t="str">
        <f aca="false">IF(OR(A2756="",B2756=""),"",CONCATENATE("https://matarstund.is/serfaedi?id=",LOWER(SUBSTITUTE(B2756,"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64" t="str">
        <f aca="false">IF(OR(A2757="",B2757=""),"",CONCATENATE("https://matarstund.is/serfaedi?id=",LOWER(SUBSTITUTE(B2757," ","-"))))</f>
        <v/>
      </c>
    </row>
    <row r="2758" customFormat="false" ht="15" hidden="false" customHeight="true" outlineLevel="0" collapsed="false">
      <c r="A2758" s="63"/>
      <c r="B2758" s="63"/>
      <c r="C2758" s="63"/>
      <c r="D2758" s="63"/>
      <c r="E2758" s="63"/>
      <c r="F2758" s="28" t="str">
        <f aca="false">IF(C2758="","",IF(OR(C2758="1. bekkur",C2758="2. bekkur",C2758="3. bekkur",C2758="4. bekkur"),"Já",IF(C2758="Starfsmaður","Nei","Nei")))</f>
        <v/>
      </c>
      <c r="G2758" s="63"/>
      <c r="H2758" s="63"/>
      <c r="I2758" s="63"/>
      <c r="J2758" s="64" t="str">
        <f aca="false">IF(OR(A2758="",B2758=""),"",CONCATENATE("https://matarstund.is/serfaedi?id=",LOWER(SUBSTITUTE(B2758,"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64" t="str">
        <f aca="false">IF(OR(A2759="",B2759=""),"",CONCATENATE("https://matarstund.is/serfaedi?id=",LOWER(SUBSTITUTE(B2759," ","-"))))</f>
        <v/>
      </c>
    </row>
    <row r="2760" customFormat="false" ht="15" hidden="false" customHeight="true" outlineLevel="0" collapsed="false">
      <c r="A2760" s="63"/>
      <c r="B2760" s="63"/>
      <c r="C2760" s="63"/>
      <c r="D2760" s="63"/>
      <c r="E2760" s="63"/>
      <c r="F2760" s="28" t="str">
        <f aca="false">IF(C2760="","",IF(OR(C2760="1. bekkur",C2760="2. bekkur",C2760="3. bekkur",C2760="4. bekkur"),"Já",IF(C2760="Starfsmaður","Nei","Nei")))</f>
        <v/>
      </c>
      <c r="G2760" s="63"/>
      <c r="H2760" s="63"/>
      <c r="I2760" s="63"/>
      <c r="J2760" s="64" t="str">
        <f aca="false">IF(OR(A2760="",B2760=""),"",CONCATENATE("https://matarstund.is/serfaedi?id=",LOWER(SUBSTITUTE(B2760,"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64" t="str">
        <f aca="false">IF(OR(A2761="",B2761=""),"",CONCATENATE("https://matarstund.is/serfaedi?id=",LOWER(SUBSTITUTE(B2761," ","-"))))</f>
        <v/>
      </c>
    </row>
    <row r="2762" customFormat="false" ht="15" hidden="false" customHeight="true" outlineLevel="0" collapsed="false">
      <c r="A2762" s="63"/>
      <c r="B2762" s="63"/>
      <c r="C2762" s="63"/>
      <c r="D2762" s="63"/>
      <c r="E2762" s="63"/>
      <c r="F2762" s="28" t="str">
        <f aca="false">IF(C2762="","",IF(OR(C2762="1. bekkur",C2762="2. bekkur",C2762="3. bekkur",C2762="4. bekkur"),"Já",IF(C2762="Starfsmaður","Nei","Nei")))</f>
        <v/>
      </c>
      <c r="G2762" s="63"/>
      <c r="H2762" s="63"/>
      <c r="I2762" s="63"/>
      <c r="J2762" s="64" t="str">
        <f aca="false">IF(OR(A2762="",B2762=""),"",CONCATENATE("https://matarstund.is/serfaedi?id=",LOWER(SUBSTITUTE(B2762,"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64" t="str">
        <f aca="false">IF(OR(A2763="",B2763=""),"",CONCATENATE("https://matarstund.is/serfaedi?id=",LOWER(SUBSTITUTE(B2763," ","-"))))</f>
        <v/>
      </c>
    </row>
    <row r="2764" customFormat="false" ht="15" hidden="false" customHeight="true" outlineLevel="0" collapsed="false">
      <c r="A2764" s="63"/>
      <c r="B2764" s="63"/>
      <c r="C2764" s="63"/>
      <c r="D2764" s="63"/>
      <c r="E2764" s="63"/>
      <c r="F2764" s="28" t="str">
        <f aca="false">IF(C2764="","",IF(OR(C2764="1. bekkur",C2764="2. bekkur",C2764="3. bekkur",C2764="4. bekkur"),"Já",IF(C2764="Starfsmaður","Nei","Nei")))</f>
        <v/>
      </c>
      <c r="G2764" s="63"/>
      <c r="H2764" s="63"/>
      <c r="I2764" s="63"/>
      <c r="J2764" s="64" t="str">
        <f aca="false">IF(OR(A2764="",B2764=""),"",CONCATENATE("https://matarstund.is/serfaedi?id=",LOWER(SUBSTITUTE(B2764,"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64" t="str">
        <f aca="false">IF(OR(A2765="",B2765=""),"",CONCATENATE("https://matarstund.is/serfaedi?id=",LOWER(SUBSTITUTE(B2765," ","-"))))</f>
        <v/>
      </c>
    </row>
    <row r="2766" customFormat="false" ht="15" hidden="false" customHeight="true" outlineLevel="0" collapsed="false">
      <c r="A2766" s="63"/>
      <c r="B2766" s="63"/>
      <c r="C2766" s="63"/>
      <c r="D2766" s="63"/>
      <c r="E2766" s="63"/>
      <c r="F2766" s="28" t="str">
        <f aca="false">IF(C2766="","",IF(OR(C2766="1. bekkur",C2766="2. bekkur",C2766="3. bekkur",C2766="4. bekkur"),"Já",IF(C2766="Starfsmaður","Nei","Nei")))</f>
        <v/>
      </c>
      <c r="G2766" s="63"/>
      <c r="H2766" s="63"/>
      <c r="I2766" s="63"/>
      <c r="J2766" s="64" t="str">
        <f aca="false">IF(OR(A2766="",B2766=""),"",CONCATENATE("https://matarstund.is/serfaedi?id=",LOWER(SUBSTITUTE(B2766,"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64" t="str">
        <f aca="false">IF(OR(A2767="",B2767=""),"",CONCATENATE("https://matarstund.is/serfaedi?id=",LOWER(SUBSTITUTE(B2767," ","-"))))</f>
        <v/>
      </c>
    </row>
    <row r="2768" customFormat="false" ht="15" hidden="false" customHeight="true" outlineLevel="0" collapsed="false">
      <c r="A2768" s="63"/>
      <c r="B2768" s="63"/>
      <c r="C2768" s="63"/>
      <c r="D2768" s="63"/>
      <c r="E2768" s="63"/>
      <c r="F2768" s="28" t="str">
        <f aca="false">IF(C2768="","",IF(OR(C2768="1. bekkur",C2768="2. bekkur",C2768="3. bekkur",C2768="4. bekkur"),"Já",IF(C2768="Starfsmaður","Nei","Nei")))</f>
        <v/>
      </c>
      <c r="G2768" s="63"/>
      <c r="H2768" s="63"/>
      <c r="I2768" s="63"/>
      <c r="J2768" s="64" t="str">
        <f aca="false">IF(OR(A2768="",B2768=""),"",CONCATENATE("https://matarstund.is/serfaedi?id=",LOWER(SUBSTITUTE(B2768,"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64" t="str">
        <f aca="false">IF(OR(A2769="",B2769=""),"",CONCATENATE("https://matarstund.is/serfaedi?id=",LOWER(SUBSTITUTE(B2769," ","-"))))</f>
        <v/>
      </c>
    </row>
    <row r="2770" customFormat="false" ht="15" hidden="false" customHeight="true" outlineLevel="0" collapsed="false">
      <c r="A2770" s="63"/>
      <c r="B2770" s="63"/>
      <c r="C2770" s="63"/>
      <c r="D2770" s="63"/>
      <c r="E2770" s="63"/>
      <c r="F2770" s="28" t="str">
        <f aca="false">IF(C2770="","",IF(OR(C2770="1. bekkur",C2770="2. bekkur",C2770="3. bekkur",C2770="4. bekkur"),"Já",IF(C2770="Starfsmaður","Nei","Nei")))</f>
        <v/>
      </c>
      <c r="G2770" s="63"/>
      <c r="H2770" s="63"/>
      <c r="I2770" s="63"/>
      <c r="J2770" s="64" t="str">
        <f aca="false">IF(OR(A2770="",B2770=""),"",CONCATENATE("https://matarstund.is/serfaedi?id=",LOWER(SUBSTITUTE(B2770,"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64" t="str">
        <f aca="false">IF(OR(A2771="",B2771=""),"",CONCATENATE("https://matarstund.is/serfaedi?id=",LOWER(SUBSTITUTE(B2771," ","-"))))</f>
        <v/>
      </c>
    </row>
    <row r="2772" customFormat="false" ht="15" hidden="false" customHeight="true" outlineLevel="0" collapsed="false">
      <c r="A2772" s="63"/>
      <c r="B2772" s="63"/>
      <c r="C2772" s="63"/>
      <c r="D2772" s="63"/>
      <c r="E2772" s="63"/>
      <c r="F2772" s="28" t="str">
        <f aca="false">IF(C2772="","",IF(OR(C2772="1. bekkur",C2772="2. bekkur",C2772="3. bekkur",C2772="4. bekkur"),"Já",IF(C2772="Starfsmaður","Nei","Nei")))</f>
        <v/>
      </c>
      <c r="G2772" s="63"/>
      <c r="H2772" s="63"/>
      <c r="I2772" s="63"/>
      <c r="J2772" s="64" t="str">
        <f aca="false">IF(OR(A2772="",B2772=""),"",CONCATENATE("https://matarstund.is/serfaedi?id=",LOWER(SUBSTITUTE(B2772,"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64" t="str">
        <f aca="false">IF(OR(A2773="",B2773=""),"",CONCATENATE("https://matarstund.is/serfaedi?id=",LOWER(SUBSTITUTE(B2773," ","-"))))</f>
        <v/>
      </c>
    </row>
    <row r="2774" customFormat="false" ht="15" hidden="false" customHeight="true" outlineLevel="0" collapsed="false">
      <c r="A2774" s="63"/>
      <c r="B2774" s="63"/>
      <c r="C2774" s="63"/>
      <c r="D2774" s="63"/>
      <c r="E2774" s="63"/>
      <c r="F2774" s="28" t="str">
        <f aca="false">IF(C2774="","",IF(OR(C2774="1. bekkur",C2774="2. bekkur",C2774="3. bekkur",C2774="4. bekkur"),"Já",IF(C2774="Starfsmaður","Nei","Nei")))</f>
        <v/>
      </c>
      <c r="G2774" s="63"/>
      <c r="H2774" s="63"/>
      <c r="I2774" s="63"/>
      <c r="J2774" s="64" t="str">
        <f aca="false">IF(OR(A2774="",B2774=""),"",CONCATENATE("https://matarstund.is/serfaedi?id=",LOWER(SUBSTITUTE(B2774,"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64" t="str">
        <f aca="false">IF(OR(A2775="",B2775=""),"",CONCATENATE("https://matarstund.is/serfaedi?id=",LOWER(SUBSTITUTE(B2775," ","-"))))</f>
        <v/>
      </c>
    </row>
    <row r="2776" customFormat="false" ht="15" hidden="false" customHeight="true" outlineLevel="0" collapsed="false">
      <c r="A2776" s="63"/>
      <c r="B2776" s="63"/>
      <c r="C2776" s="63"/>
      <c r="D2776" s="63"/>
      <c r="E2776" s="63"/>
      <c r="F2776" s="28" t="str">
        <f aca="false">IF(C2776="","",IF(OR(C2776="1. bekkur",C2776="2. bekkur",C2776="3. bekkur",C2776="4. bekkur"),"Já",IF(C2776="Starfsmaður","Nei","Nei")))</f>
        <v/>
      </c>
      <c r="G2776" s="63"/>
      <c r="H2776" s="63"/>
      <c r="I2776" s="63"/>
      <c r="J2776" s="64" t="str">
        <f aca="false">IF(OR(A2776="",B2776=""),"",CONCATENATE("https://matarstund.is/serfaedi?id=",LOWER(SUBSTITUTE(B2776,"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64" t="str">
        <f aca="false">IF(OR(A2777="",B2777=""),"",CONCATENATE("https://matarstund.is/serfaedi?id=",LOWER(SUBSTITUTE(B2777," ","-"))))</f>
        <v/>
      </c>
    </row>
    <row r="2778" customFormat="false" ht="15" hidden="false" customHeight="true" outlineLevel="0" collapsed="false">
      <c r="A2778" s="63"/>
      <c r="B2778" s="63"/>
      <c r="C2778" s="63"/>
      <c r="D2778" s="63"/>
      <c r="E2778" s="63"/>
      <c r="F2778" s="28" t="str">
        <f aca="false">IF(C2778="","",IF(OR(C2778="1. bekkur",C2778="2. bekkur",C2778="3. bekkur",C2778="4. bekkur"),"Já",IF(C2778="Starfsmaður","Nei","Nei")))</f>
        <v/>
      </c>
      <c r="G2778" s="63"/>
      <c r="H2778" s="63"/>
      <c r="I2778" s="63"/>
      <c r="J2778" s="64" t="str">
        <f aca="false">IF(OR(A2778="",B2778=""),"",CONCATENATE("https://matarstund.is/serfaedi?id=",LOWER(SUBSTITUTE(B2778,"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64" t="str">
        <f aca="false">IF(OR(A2779="",B2779=""),"",CONCATENATE("https://matarstund.is/serfaedi?id=",LOWER(SUBSTITUTE(B2779," ","-"))))</f>
        <v/>
      </c>
    </row>
    <row r="2780" customFormat="false" ht="15" hidden="false" customHeight="true" outlineLevel="0" collapsed="false">
      <c r="A2780" s="63"/>
      <c r="B2780" s="63"/>
      <c r="C2780" s="63"/>
      <c r="D2780" s="63"/>
      <c r="E2780" s="63"/>
      <c r="F2780" s="28" t="str">
        <f aca="false">IF(C2780="","",IF(OR(C2780="1. bekkur",C2780="2. bekkur",C2780="3. bekkur",C2780="4. bekkur"),"Já",IF(C2780="Starfsmaður","Nei","Nei")))</f>
        <v/>
      </c>
      <c r="G2780" s="63"/>
      <c r="H2780" s="63"/>
      <c r="I2780" s="63"/>
      <c r="J2780" s="64" t="str">
        <f aca="false">IF(OR(A2780="",B2780=""),"",CONCATENATE("https://matarstund.is/serfaedi?id=",LOWER(SUBSTITUTE(B2780,"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64" t="str">
        <f aca="false">IF(OR(A2781="",B2781=""),"",CONCATENATE("https://matarstund.is/serfaedi?id=",LOWER(SUBSTITUTE(B2781," ","-"))))</f>
        <v/>
      </c>
    </row>
    <row r="2782" customFormat="false" ht="15" hidden="false" customHeight="true" outlineLevel="0" collapsed="false">
      <c r="A2782" s="63"/>
      <c r="B2782" s="63"/>
      <c r="C2782" s="63"/>
      <c r="D2782" s="63"/>
      <c r="E2782" s="63"/>
      <c r="F2782" s="28" t="str">
        <f aca="false">IF(C2782="","",IF(OR(C2782="1. bekkur",C2782="2. bekkur",C2782="3. bekkur",C2782="4. bekkur"),"Já",IF(C2782="Starfsmaður","Nei","Nei")))</f>
        <v/>
      </c>
      <c r="G2782" s="63"/>
      <c r="H2782" s="63"/>
      <c r="I2782" s="63"/>
      <c r="J2782" s="64" t="str">
        <f aca="false">IF(OR(A2782="",B2782=""),"",CONCATENATE("https://matarstund.is/serfaedi?id=",LOWER(SUBSTITUTE(B2782,"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64" t="str">
        <f aca="false">IF(OR(A2783="",B2783=""),"",CONCATENATE("https://matarstund.is/serfaedi?id=",LOWER(SUBSTITUTE(B2783," ","-"))))</f>
        <v/>
      </c>
    </row>
    <row r="2784" customFormat="false" ht="15" hidden="false" customHeight="true" outlineLevel="0" collapsed="false">
      <c r="A2784" s="63"/>
      <c r="B2784" s="63"/>
      <c r="C2784" s="63"/>
      <c r="D2784" s="63"/>
      <c r="E2784" s="63"/>
      <c r="F2784" s="28" t="str">
        <f aca="false">IF(C2784="","",IF(OR(C2784="1. bekkur",C2784="2. bekkur",C2784="3. bekkur",C2784="4. bekkur"),"Já",IF(C2784="Starfsmaður","Nei","Nei")))</f>
        <v/>
      </c>
      <c r="G2784" s="63"/>
      <c r="H2784" s="63"/>
      <c r="I2784" s="63"/>
      <c r="J2784" s="64" t="str">
        <f aca="false">IF(OR(A2784="",B2784=""),"",CONCATENATE("https://matarstund.is/serfaedi?id=",LOWER(SUBSTITUTE(B2784,"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64" t="str">
        <f aca="false">IF(OR(A2785="",B2785=""),"",CONCATENATE("https://matarstund.is/serfaedi?id=",LOWER(SUBSTITUTE(B2785," ","-"))))</f>
        <v/>
      </c>
    </row>
    <row r="2786" customFormat="false" ht="15" hidden="false" customHeight="true" outlineLevel="0" collapsed="false">
      <c r="A2786" s="63"/>
      <c r="B2786" s="63"/>
      <c r="C2786" s="63"/>
      <c r="D2786" s="63"/>
      <c r="E2786" s="63"/>
      <c r="F2786" s="28" t="str">
        <f aca="false">IF(C2786="","",IF(OR(C2786="1. bekkur",C2786="2. bekkur",C2786="3. bekkur",C2786="4. bekkur"),"Já",IF(C2786="Starfsmaður","Nei","Nei")))</f>
        <v/>
      </c>
      <c r="G2786" s="63"/>
      <c r="H2786" s="63"/>
      <c r="I2786" s="63"/>
      <c r="J2786" s="64" t="str">
        <f aca="false">IF(OR(A2786="",B2786=""),"",CONCATENATE("https://matarstund.is/serfaedi?id=",LOWER(SUBSTITUTE(B2786,"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64" t="str">
        <f aca="false">IF(OR(A2787="",B2787=""),"",CONCATENATE("https://matarstund.is/serfaedi?id=",LOWER(SUBSTITUTE(B2787," ","-"))))</f>
        <v/>
      </c>
    </row>
    <row r="2788" customFormat="false" ht="15" hidden="false" customHeight="true" outlineLevel="0" collapsed="false">
      <c r="A2788" s="63"/>
      <c r="B2788" s="63"/>
      <c r="C2788" s="63"/>
      <c r="D2788" s="63"/>
      <c r="E2788" s="63"/>
      <c r="F2788" s="28" t="str">
        <f aca="false">IF(C2788="","",IF(OR(C2788="1. bekkur",C2788="2. bekkur",C2788="3. bekkur",C2788="4. bekkur"),"Já",IF(C2788="Starfsmaður","Nei","Nei")))</f>
        <v/>
      </c>
      <c r="G2788" s="63"/>
      <c r="H2788" s="63"/>
      <c r="I2788" s="63"/>
      <c r="J2788" s="64" t="str">
        <f aca="false">IF(OR(A2788="",B2788=""),"",CONCATENATE("https://matarstund.is/serfaedi?id=",LOWER(SUBSTITUTE(B2788,"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64" t="str">
        <f aca="false">IF(OR(A2789="",B2789=""),"",CONCATENATE("https://matarstund.is/serfaedi?id=",LOWER(SUBSTITUTE(B2789," ","-"))))</f>
        <v/>
      </c>
    </row>
    <row r="2790" customFormat="false" ht="15" hidden="false" customHeight="true" outlineLevel="0" collapsed="false">
      <c r="A2790" s="63"/>
      <c r="B2790" s="63"/>
      <c r="C2790" s="63"/>
      <c r="D2790" s="63"/>
      <c r="E2790" s="63"/>
      <c r="F2790" s="28" t="str">
        <f aca="false">IF(C2790="","",IF(OR(C2790="1. bekkur",C2790="2. bekkur",C2790="3. bekkur",C2790="4. bekkur"),"Já",IF(C2790="Starfsmaður","Nei","Nei")))</f>
        <v/>
      </c>
      <c r="G2790" s="63"/>
      <c r="H2790" s="63"/>
      <c r="I2790" s="63"/>
      <c r="J2790" s="64" t="str">
        <f aca="false">IF(OR(A2790="",B2790=""),"",CONCATENATE("https://matarstund.is/serfaedi?id=",LOWER(SUBSTITUTE(B2790,"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64" t="str">
        <f aca="false">IF(OR(A2791="",B2791=""),"",CONCATENATE("https://matarstund.is/serfaedi?id=",LOWER(SUBSTITUTE(B2791," ","-"))))</f>
        <v/>
      </c>
    </row>
    <row r="2792" customFormat="false" ht="15" hidden="false" customHeight="true" outlineLevel="0" collapsed="false">
      <c r="A2792" s="63"/>
      <c r="B2792" s="63"/>
      <c r="C2792" s="63"/>
      <c r="D2792" s="63"/>
      <c r="E2792" s="63"/>
      <c r="F2792" s="28" t="str">
        <f aca="false">IF(C2792="","",IF(OR(C2792="1. bekkur",C2792="2. bekkur",C2792="3. bekkur",C2792="4. bekkur"),"Já",IF(C2792="Starfsmaður","Nei","Nei")))</f>
        <v/>
      </c>
      <c r="G2792" s="63"/>
      <c r="H2792" s="63"/>
      <c r="I2792" s="63"/>
      <c r="J2792" s="64" t="str">
        <f aca="false">IF(OR(A2792="",B2792=""),"",CONCATENATE("https://matarstund.is/serfaedi?id=",LOWER(SUBSTITUTE(B2792,"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64" t="str">
        <f aca="false">IF(OR(A2793="",B2793=""),"",CONCATENATE("https://matarstund.is/serfaedi?id=",LOWER(SUBSTITUTE(B2793," ","-"))))</f>
        <v/>
      </c>
    </row>
    <row r="2794" customFormat="false" ht="15" hidden="false" customHeight="true" outlineLevel="0" collapsed="false">
      <c r="A2794" s="63"/>
      <c r="B2794" s="63"/>
      <c r="C2794" s="63"/>
      <c r="D2794" s="63"/>
      <c r="E2794" s="63"/>
      <c r="F2794" s="28" t="str">
        <f aca="false">IF(C2794="","",IF(OR(C2794="1. bekkur",C2794="2. bekkur",C2794="3. bekkur",C2794="4. bekkur"),"Já",IF(C2794="Starfsmaður","Nei","Nei")))</f>
        <v/>
      </c>
      <c r="G2794" s="63"/>
      <c r="H2794" s="63"/>
      <c r="I2794" s="63"/>
      <c r="J2794" s="64" t="str">
        <f aca="false">IF(OR(A2794="",B2794=""),"",CONCATENATE("https://matarstund.is/serfaedi?id=",LOWER(SUBSTITUTE(B2794,"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64" t="str">
        <f aca="false">IF(OR(A2795="",B2795=""),"",CONCATENATE("https://matarstund.is/serfaedi?id=",LOWER(SUBSTITUTE(B2795," ","-"))))</f>
        <v/>
      </c>
    </row>
    <row r="2796" customFormat="false" ht="15" hidden="false" customHeight="true" outlineLevel="0" collapsed="false">
      <c r="A2796" s="63"/>
      <c r="B2796" s="63"/>
      <c r="C2796" s="63"/>
      <c r="D2796" s="63"/>
      <c r="E2796" s="63"/>
      <c r="F2796" s="28" t="str">
        <f aca="false">IF(C2796="","",IF(OR(C2796="1. bekkur",C2796="2. bekkur",C2796="3. bekkur",C2796="4. bekkur"),"Já",IF(C2796="Starfsmaður","Nei","Nei")))</f>
        <v/>
      </c>
      <c r="G2796" s="63"/>
      <c r="H2796" s="63"/>
      <c r="I2796" s="63"/>
      <c r="J2796" s="64" t="str">
        <f aca="false">IF(OR(A2796="",B2796=""),"",CONCATENATE("https://matarstund.is/serfaedi?id=",LOWER(SUBSTITUTE(B2796,"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64" t="str">
        <f aca="false">IF(OR(A2797="",B2797=""),"",CONCATENATE("https://matarstund.is/serfaedi?id=",LOWER(SUBSTITUTE(B2797," ","-"))))</f>
        <v/>
      </c>
    </row>
    <row r="2798" customFormat="false" ht="15" hidden="false" customHeight="true" outlineLevel="0" collapsed="false">
      <c r="A2798" s="63"/>
      <c r="B2798" s="63"/>
      <c r="C2798" s="63"/>
      <c r="D2798" s="63"/>
      <c r="E2798" s="63"/>
      <c r="F2798" s="28" t="str">
        <f aca="false">IF(C2798="","",IF(OR(C2798="1. bekkur",C2798="2. bekkur",C2798="3. bekkur",C2798="4. bekkur"),"Já",IF(C2798="Starfsmaður","Nei","Nei")))</f>
        <v/>
      </c>
      <c r="G2798" s="63"/>
      <c r="H2798" s="63"/>
      <c r="I2798" s="63"/>
      <c r="J2798" s="64" t="str">
        <f aca="false">IF(OR(A2798="",B2798=""),"",CONCATENATE("https://matarstund.is/serfaedi?id=",LOWER(SUBSTITUTE(B2798,"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64" t="str">
        <f aca="false">IF(OR(A2799="",B2799=""),"",CONCATENATE("https://matarstund.is/serfaedi?id=",LOWER(SUBSTITUTE(B2799," ","-"))))</f>
        <v/>
      </c>
    </row>
    <row r="2800" customFormat="false" ht="15" hidden="false" customHeight="true" outlineLevel="0" collapsed="false">
      <c r="A2800" s="63"/>
      <c r="B2800" s="63"/>
      <c r="C2800" s="63"/>
      <c r="D2800" s="63"/>
      <c r="E2800" s="63"/>
      <c r="F2800" s="28" t="str">
        <f aca="false">IF(C2800="","",IF(OR(C2800="1. bekkur",C2800="2. bekkur",C2800="3. bekkur",C2800="4. bekkur"),"Já",IF(C2800="Starfsmaður","Nei","Nei")))</f>
        <v/>
      </c>
      <c r="G2800" s="63"/>
      <c r="H2800" s="63"/>
      <c r="I2800" s="63"/>
      <c r="J2800" s="64" t="str">
        <f aca="false">IF(OR(A2800="",B2800=""),"",CONCATENATE("https://matarstund.is/serfaedi?id=",LOWER(SUBSTITUTE(B2800,"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64" t="str">
        <f aca="false">IF(OR(A2801="",B2801=""),"",CONCATENATE("https://matarstund.is/serfaedi?id=",LOWER(SUBSTITUTE(B2801," ","-"))))</f>
        <v/>
      </c>
    </row>
    <row r="2802" customFormat="false" ht="15" hidden="false" customHeight="true" outlineLevel="0" collapsed="false">
      <c r="A2802" s="63"/>
      <c r="B2802" s="63"/>
      <c r="C2802" s="63"/>
      <c r="D2802" s="63"/>
      <c r="E2802" s="63"/>
      <c r="F2802" s="28" t="str">
        <f aca="false">IF(C2802="","",IF(OR(C2802="1. bekkur",C2802="2. bekkur",C2802="3. bekkur",C2802="4. bekkur"),"Já",IF(C2802="Starfsmaður","Nei","Nei")))</f>
        <v/>
      </c>
      <c r="G2802" s="63"/>
      <c r="H2802" s="63"/>
      <c r="I2802" s="63"/>
      <c r="J2802" s="64" t="str">
        <f aca="false">IF(OR(A2802="",B2802=""),"",CONCATENATE("https://matarstund.is/serfaedi?id=",LOWER(SUBSTITUTE(B2802,"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64" t="str">
        <f aca="false">IF(OR(A2803="",B2803=""),"",CONCATENATE("https://matarstund.is/serfaedi?id=",LOWER(SUBSTITUTE(B2803," ","-"))))</f>
        <v/>
      </c>
    </row>
    <row r="2804" customFormat="false" ht="15" hidden="false" customHeight="true" outlineLevel="0" collapsed="false">
      <c r="A2804" s="63"/>
      <c r="B2804" s="63"/>
      <c r="C2804" s="63"/>
      <c r="D2804" s="63"/>
      <c r="E2804" s="63"/>
      <c r="F2804" s="28" t="str">
        <f aca="false">IF(C2804="","",IF(OR(C2804="1. bekkur",C2804="2. bekkur",C2804="3. bekkur",C2804="4. bekkur"),"Já",IF(C2804="Starfsmaður","Nei","Nei")))</f>
        <v/>
      </c>
      <c r="G2804" s="63"/>
      <c r="H2804" s="63"/>
      <c r="I2804" s="63"/>
      <c r="J2804" s="64" t="str">
        <f aca="false">IF(OR(A2804="",B2804=""),"",CONCATENATE("https://matarstund.is/serfaedi?id=",LOWER(SUBSTITUTE(B2804,"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64" t="str">
        <f aca="false">IF(OR(A2805="",B2805=""),"",CONCATENATE("https://matarstund.is/serfaedi?id=",LOWER(SUBSTITUTE(B2805," ","-"))))</f>
        <v/>
      </c>
    </row>
    <row r="2806" customFormat="false" ht="15" hidden="false" customHeight="true" outlineLevel="0" collapsed="false">
      <c r="A2806" s="63"/>
      <c r="B2806" s="63"/>
      <c r="C2806" s="63"/>
      <c r="D2806" s="63"/>
      <c r="E2806" s="63"/>
      <c r="F2806" s="28" t="str">
        <f aca="false">IF(C2806="","",IF(OR(C2806="1. bekkur",C2806="2. bekkur",C2806="3. bekkur",C2806="4. bekkur"),"Já",IF(C2806="Starfsmaður","Nei","Nei")))</f>
        <v/>
      </c>
      <c r="G2806" s="63"/>
      <c r="H2806" s="63"/>
      <c r="I2806" s="63"/>
      <c r="J2806" s="64" t="str">
        <f aca="false">IF(OR(A2806="",B2806=""),"",CONCATENATE("https://matarstund.is/serfaedi?id=",LOWER(SUBSTITUTE(B2806,"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64" t="str">
        <f aca="false">IF(OR(A2807="",B2807=""),"",CONCATENATE("https://matarstund.is/serfaedi?id=",LOWER(SUBSTITUTE(B2807," ","-"))))</f>
        <v/>
      </c>
    </row>
    <row r="2808" customFormat="false" ht="15" hidden="false" customHeight="true" outlineLevel="0" collapsed="false">
      <c r="A2808" s="63"/>
      <c r="B2808" s="63"/>
      <c r="C2808" s="63"/>
      <c r="D2808" s="63"/>
      <c r="E2808" s="63"/>
      <c r="F2808" s="28" t="str">
        <f aca="false">IF(C2808="","",IF(OR(C2808="1. bekkur",C2808="2. bekkur",C2808="3. bekkur",C2808="4. bekkur"),"Já",IF(C2808="Starfsmaður","Nei","Nei")))</f>
        <v/>
      </c>
      <c r="G2808" s="63"/>
      <c r="H2808" s="63"/>
      <c r="I2808" s="63"/>
      <c r="J2808" s="64" t="str">
        <f aca="false">IF(OR(A2808="",B2808=""),"",CONCATENATE("https://matarstund.is/serfaedi?id=",LOWER(SUBSTITUTE(B2808,"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64" t="str">
        <f aca="false">IF(OR(A2809="",B2809=""),"",CONCATENATE("https://matarstund.is/serfaedi?id=",LOWER(SUBSTITUTE(B2809," ","-"))))</f>
        <v/>
      </c>
    </row>
    <row r="2810" customFormat="false" ht="15" hidden="false" customHeight="true" outlineLevel="0" collapsed="false">
      <c r="A2810" s="63"/>
      <c r="B2810" s="63"/>
      <c r="C2810" s="63"/>
      <c r="D2810" s="63"/>
      <c r="E2810" s="63"/>
      <c r="F2810" s="28" t="str">
        <f aca="false">IF(C2810="","",IF(OR(C2810="1. bekkur",C2810="2. bekkur",C2810="3. bekkur",C2810="4. bekkur"),"Já",IF(C2810="Starfsmaður","Nei","Nei")))</f>
        <v/>
      </c>
      <c r="G2810" s="63"/>
      <c r="H2810" s="63"/>
      <c r="I2810" s="63"/>
      <c r="J2810" s="64" t="str">
        <f aca="false">IF(OR(A2810="",B2810=""),"",CONCATENATE("https://matarstund.is/serfaedi?id=",LOWER(SUBSTITUTE(B2810,"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64" t="str">
        <f aca="false">IF(OR(A2811="",B2811=""),"",CONCATENATE("https://matarstund.is/serfaedi?id=",LOWER(SUBSTITUTE(B2811," ","-"))))</f>
        <v/>
      </c>
    </row>
    <row r="2812" customFormat="false" ht="15" hidden="false" customHeight="true" outlineLevel="0" collapsed="false">
      <c r="A2812" s="63"/>
      <c r="B2812" s="63"/>
      <c r="C2812" s="63"/>
      <c r="D2812" s="63"/>
      <c r="E2812" s="63"/>
      <c r="F2812" s="28" t="str">
        <f aca="false">IF(C2812="","",IF(OR(C2812="1. bekkur",C2812="2. bekkur",C2812="3. bekkur",C2812="4. bekkur"),"Já",IF(C2812="Starfsmaður","Nei","Nei")))</f>
        <v/>
      </c>
      <c r="G2812" s="63"/>
      <c r="H2812" s="63"/>
      <c r="I2812" s="63"/>
      <c r="J2812" s="64" t="str">
        <f aca="false">IF(OR(A2812="",B2812=""),"",CONCATENATE("https://matarstund.is/serfaedi?id=",LOWER(SUBSTITUTE(B2812,"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64" t="str">
        <f aca="false">IF(OR(A2813="",B2813=""),"",CONCATENATE("https://matarstund.is/serfaedi?id=",LOWER(SUBSTITUTE(B2813," ","-"))))</f>
        <v/>
      </c>
    </row>
    <row r="2814" customFormat="false" ht="15" hidden="false" customHeight="true" outlineLevel="0" collapsed="false">
      <c r="A2814" s="63"/>
      <c r="B2814" s="63"/>
      <c r="C2814" s="63"/>
      <c r="D2814" s="63"/>
      <c r="E2814" s="63"/>
      <c r="F2814" s="28" t="str">
        <f aca="false">IF(C2814="","",IF(OR(C2814="1. bekkur",C2814="2. bekkur",C2814="3. bekkur",C2814="4. bekkur"),"Já",IF(C2814="Starfsmaður","Nei","Nei")))</f>
        <v/>
      </c>
      <c r="G2814" s="63"/>
      <c r="H2814" s="63"/>
      <c r="I2814" s="63"/>
      <c r="J2814" s="64" t="str">
        <f aca="false">IF(OR(A2814="",B2814=""),"",CONCATENATE("https://matarstund.is/serfaedi?id=",LOWER(SUBSTITUTE(B2814,"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64" t="str">
        <f aca="false">IF(OR(A2815="",B2815=""),"",CONCATENATE("https://matarstund.is/serfaedi?id=",LOWER(SUBSTITUTE(B2815," ","-"))))</f>
        <v/>
      </c>
    </row>
    <row r="2816" customFormat="false" ht="15" hidden="false" customHeight="true" outlineLevel="0" collapsed="false">
      <c r="A2816" s="63"/>
      <c r="B2816" s="63"/>
      <c r="C2816" s="63"/>
      <c r="D2816" s="63"/>
      <c r="E2816" s="63"/>
      <c r="F2816" s="28" t="str">
        <f aca="false">IF(C2816="","",IF(OR(C2816="1. bekkur",C2816="2. bekkur",C2816="3. bekkur",C2816="4. bekkur"),"Já",IF(C2816="Starfsmaður","Nei","Nei")))</f>
        <v/>
      </c>
      <c r="G2816" s="63"/>
      <c r="H2816" s="63"/>
      <c r="I2816" s="63"/>
      <c r="J2816" s="64" t="str">
        <f aca="false">IF(OR(A2816="",B2816=""),"",CONCATENATE("https://matarstund.is/serfaedi?id=",LOWER(SUBSTITUTE(B2816,"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64" t="str">
        <f aca="false">IF(OR(A2817="",B2817=""),"",CONCATENATE("https://matarstund.is/serfaedi?id=",LOWER(SUBSTITUTE(B2817," ","-"))))</f>
        <v/>
      </c>
    </row>
    <row r="2818" customFormat="false" ht="15" hidden="false" customHeight="true" outlineLevel="0" collapsed="false">
      <c r="A2818" s="63"/>
      <c r="B2818" s="63"/>
      <c r="C2818" s="63"/>
      <c r="D2818" s="63"/>
      <c r="E2818" s="63"/>
      <c r="F2818" s="28" t="str">
        <f aca="false">IF(C2818="","",IF(OR(C2818="1. bekkur",C2818="2. bekkur",C2818="3. bekkur",C2818="4. bekkur"),"Já",IF(C2818="Starfsmaður","Nei","Nei")))</f>
        <v/>
      </c>
      <c r="G2818" s="63"/>
      <c r="H2818" s="63"/>
      <c r="I2818" s="63"/>
      <c r="J2818" s="64" t="str">
        <f aca="false">IF(OR(A2818="",B2818=""),"",CONCATENATE("https://matarstund.is/serfaedi?id=",LOWER(SUBSTITUTE(B2818,"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64" t="str">
        <f aca="false">IF(OR(A2819="",B2819=""),"",CONCATENATE("https://matarstund.is/serfaedi?id=",LOWER(SUBSTITUTE(B2819," ","-"))))</f>
        <v/>
      </c>
    </row>
    <row r="2820" customFormat="false" ht="15" hidden="false" customHeight="true" outlineLevel="0" collapsed="false">
      <c r="A2820" s="63"/>
      <c r="B2820" s="63"/>
      <c r="C2820" s="63"/>
      <c r="D2820" s="63"/>
      <c r="E2820" s="63"/>
      <c r="F2820" s="28" t="str">
        <f aca="false">IF(C2820="","",IF(OR(C2820="1. bekkur",C2820="2. bekkur",C2820="3. bekkur",C2820="4. bekkur"),"Já",IF(C2820="Starfsmaður","Nei","Nei")))</f>
        <v/>
      </c>
      <c r="G2820" s="63"/>
      <c r="H2820" s="63"/>
      <c r="I2820" s="63"/>
      <c r="J2820" s="64" t="str">
        <f aca="false">IF(OR(A2820="",B2820=""),"",CONCATENATE("https://matarstund.is/serfaedi?id=",LOWER(SUBSTITUTE(B2820,"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64" t="str">
        <f aca="false">IF(OR(A2821="",B2821=""),"",CONCATENATE("https://matarstund.is/serfaedi?id=",LOWER(SUBSTITUTE(B2821," ","-"))))</f>
        <v/>
      </c>
    </row>
    <row r="2822" customFormat="false" ht="15" hidden="false" customHeight="true" outlineLevel="0" collapsed="false">
      <c r="A2822" s="63"/>
      <c r="B2822" s="63"/>
      <c r="C2822" s="63"/>
      <c r="D2822" s="63"/>
      <c r="E2822" s="63"/>
      <c r="F2822" s="28" t="str">
        <f aca="false">IF(C2822="","",IF(OR(C2822="1. bekkur",C2822="2. bekkur",C2822="3. bekkur",C2822="4. bekkur"),"Já",IF(C2822="Starfsmaður","Nei","Nei")))</f>
        <v/>
      </c>
      <c r="G2822" s="63"/>
      <c r="H2822" s="63"/>
      <c r="I2822" s="63"/>
      <c r="J2822" s="64" t="str">
        <f aca="false">IF(OR(A2822="",B2822=""),"",CONCATENATE("https://matarstund.is/serfaedi?id=",LOWER(SUBSTITUTE(B2822,"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64" t="str">
        <f aca="false">IF(OR(A2823="",B2823=""),"",CONCATENATE("https://matarstund.is/serfaedi?id=",LOWER(SUBSTITUTE(B2823," ","-"))))</f>
        <v/>
      </c>
    </row>
    <row r="2824" customFormat="false" ht="15" hidden="false" customHeight="true" outlineLevel="0" collapsed="false">
      <c r="A2824" s="63"/>
      <c r="B2824" s="63"/>
      <c r="C2824" s="63"/>
      <c r="D2824" s="63"/>
      <c r="E2824" s="63"/>
      <c r="F2824" s="28" t="str">
        <f aca="false">IF(C2824="","",IF(OR(C2824="1. bekkur",C2824="2. bekkur",C2824="3. bekkur",C2824="4. bekkur"),"Já",IF(C2824="Starfsmaður","Nei","Nei")))</f>
        <v/>
      </c>
      <c r="G2824" s="63"/>
      <c r="H2824" s="63"/>
      <c r="I2824" s="63"/>
      <c r="J2824" s="64" t="str">
        <f aca="false">IF(OR(A2824="",B2824=""),"",CONCATENATE("https://matarstund.is/serfaedi?id=",LOWER(SUBSTITUTE(B2824,"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64" t="str">
        <f aca="false">IF(OR(A2825="",B2825=""),"",CONCATENATE("https://matarstund.is/serfaedi?id=",LOWER(SUBSTITUTE(B2825," ","-"))))</f>
        <v/>
      </c>
    </row>
    <row r="2826" customFormat="false" ht="15" hidden="false" customHeight="true" outlineLevel="0" collapsed="false">
      <c r="A2826" s="63"/>
      <c r="B2826" s="63"/>
      <c r="C2826" s="63"/>
      <c r="D2826" s="63"/>
      <c r="E2826" s="63"/>
      <c r="F2826" s="28" t="str">
        <f aca="false">IF(C2826="","",IF(OR(C2826="1. bekkur",C2826="2. bekkur",C2826="3. bekkur",C2826="4. bekkur"),"Já",IF(C2826="Starfsmaður","Nei","Nei")))</f>
        <v/>
      </c>
      <c r="G2826" s="63"/>
      <c r="H2826" s="63"/>
      <c r="I2826" s="63"/>
      <c r="J2826" s="64" t="str">
        <f aca="false">IF(OR(A2826="",B2826=""),"",CONCATENATE("https://matarstund.is/serfaedi?id=",LOWER(SUBSTITUTE(B2826,"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64" t="str">
        <f aca="false">IF(OR(A2827="",B2827=""),"",CONCATENATE("https://matarstund.is/serfaedi?id=",LOWER(SUBSTITUTE(B2827," ","-"))))</f>
        <v/>
      </c>
    </row>
    <row r="2828" customFormat="false" ht="15" hidden="false" customHeight="true" outlineLevel="0" collapsed="false">
      <c r="A2828" s="63"/>
      <c r="B2828" s="63"/>
      <c r="C2828" s="63"/>
      <c r="D2828" s="63"/>
      <c r="E2828" s="63"/>
      <c r="F2828" s="28" t="str">
        <f aca="false">IF(C2828="","",IF(OR(C2828="1. bekkur",C2828="2. bekkur",C2828="3. bekkur",C2828="4. bekkur"),"Já",IF(C2828="Starfsmaður","Nei","Nei")))</f>
        <v/>
      </c>
      <c r="G2828" s="63"/>
      <c r="H2828" s="63"/>
      <c r="I2828" s="63"/>
      <c r="J2828" s="64" t="str">
        <f aca="false">IF(OR(A2828="",B2828=""),"",CONCATENATE("https://matarstund.is/serfaedi?id=",LOWER(SUBSTITUTE(B2828,"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64" t="str">
        <f aca="false">IF(OR(A2829="",B2829=""),"",CONCATENATE("https://matarstund.is/serfaedi?id=",LOWER(SUBSTITUTE(B2829," ","-"))))</f>
        <v/>
      </c>
    </row>
    <row r="2830" customFormat="false" ht="15" hidden="false" customHeight="true" outlineLevel="0" collapsed="false">
      <c r="A2830" s="63"/>
      <c r="B2830" s="63"/>
      <c r="C2830" s="63"/>
      <c r="D2830" s="63"/>
      <c r="E2830" s="63"/>
      <c r="F2830" s="28" t="str">
        <f aca="false">IF(C2830="","",IF(OR(C2830="1. bekkur",C2830="2. bekkur",C2830="3. bekkur",C2830="4. bekkur"),"Já",IF(C2830="Starfsmaður","Nei","Nei")))</f>
        <v/>
      </c>
      <c r="G2830" s="63"/>
      <c r="H2830" s="63"/>
      <c r="I2830" s="63"/>
      <c r="J2830" s="64" t="str">
        <f aca="false">IF(OR(A2830="",B2830=""),"",CONCATENATE("https://matarstund.is/serfaedi?id=",LOWER(SUBSTITUTE(B2830,"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64" t="str">
        <f aca="false">IF(OR(A2831="",B2831=""),"",CONCATENATE("https://matarstund.is/serfaedi?id=",LOWER(SUBSTITUTE(B2831," ","-"))))</f>
        <v/>
      </c>
    </row>
    <row r="2832" customFormat="false" ht="15" hidden="false" customHeight="true" outlineLevel="0" collapsed="false">
      <c r="A2832" s="63"/>
      <c r="B2832" s="63"/>
      <c r="C2832" s="63"/>
      <c r="D2832" s="63"/>
      <c r="E2832" s="63"/>
      <c r="F2832" s="28" t="str">
        <f aca="false">IF(C2832="","",IF(OR(C2832="1. bekkur",C2832="2. bekkur",C2832="3. bekkur",C2832="4. bekkur"),"Já",IF(C2832="Starfsmaður","Nei","Nei")))</f>
        <v/>
      </c>
      <c r="G2832" s="63"/>
      <c r="H2832" s="63"/>
      <c r="I2832" s="63"/>
      <c r="J2832" s="64" t="str">
        <f aca="false">IF(OR(A2832="",B2832=""),"",CONCATENATE("https://matarstund.is/serfaedi?id=",LOWER(SUBSTITUTE(B2832,"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64" t="str">
        <f aca="false">IF(OR(A2833="",B2833=""),"",CONCATENATE("https://matarstund.is/serfaedi?id=",LOWER(SUBSTITUTE(B2833," ","-"))))</f>
        <v/>
      </c>
    </row>
    <row r="2834" customFormat="false" ht="15" hidden="false" customHeight="true" outlineLevel="0" collapsed="false">
      <c r="A2834" s="63"/>
      <c r="B2834" s="63"/>
      <c r="C2834" s="63"/>
      <c r="D2834" s="63"/>
      <c r="E2834" s="63"/>
      <c r="F2834" s="28" t="str">
        <f aca="false">IF(C2834="","",IF(OR(C2834="1. bekkur",C2834="2. bekkur",C2834="3. bekkur",C2834="4. bekkur"),"Já",IF(C2834="Starfsmaður","Nei","Nei")))</f>
        <v/>
      </c>
      <c r="G2834" s="63"/>
      <c r="H2834" s="63"/>
      <c r="I2834" s="63"/>
      <c r="J2834" s="64" t="str">
        <f aca="false">IF(OR(A2834="",B2834=""),"",CONCATENATE("https://matarstund.is/serfaedi?id=",LOWER(SUBSTITUTE(B2834,"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64" t="str">
        <f aca="false">IF(OR(A2835="",B2835=""),"",CONCATENATE("https://matarstund.is/serfaedi?id=",LOWER(SUBSTITUTE(B2835," ","-"))))</f>
        <v/>
      </c>
    </row>
    <row r="2836" customFormat="false" ht="15" hidden="false" customHeight="true" outlineLevel="0" collapsed="false">
      <c r="A2836" s="63"/>
      <c r="B2836" s="63"/>
      <c r="C2836" s="63"/>
      <c r="D2836" s="63"/>
      <c r="E2836" s="63"/>
      <c r="F2836" s="28" t="str">
        <f aca="false">IF(C2836="","",IF(OR(C2836="1. bekkur",C2836="2. bekkur",C2836="3. bekkur",C2836="4. bekkur"),"Já",IF(C2836="Starfsmaður","Nei","Nei")))</f>
        <v/>
      </c>
      <c r="G2836" s="63"/>
      <c r="H2836" s="63"/>
      <c r="I2836" s="63"/>
      <c r="J2836" s="64" t="str">
        <f aca="false">IF(OR(A2836="",B2836=""),"",CONCATENATE("https://matarstund.is/serfaedi?id=",LOWER(SUBSTITUTE(B2836,"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64" t="str">
        <f aca="false">IF(OR(A2837="",B2837=""),"",CONCATENATE("https://matarstund.is/serfaedi?id=",LOWER(SUBSTITUTE(B2837," ","-"))))</f>
        <v/>
      </c>
    </row>
    <row r="2838" customFormat="false" ht="15" hidden="false" customHeight="true" outlineLevel="0" collapsed="false">
      <c r="A2838" s="63"/>
      <c r="B2838" s="63"/>
      <c r="C2838" s="63"/>
      <c r="D2838" s="63"/>
      <c r="E2838" s="63"/>
      <c r="F2838" s="28" t="str">
        <f aca="false">IF(C2838="","",IF(OR(C2838="1. bekkur",C2838="2. bekkur",C2838="3. bekkur",C2838="4. bekkur"),"Já",IF(C2838="Starfsmaður","Nei","Nei")))</f>
        <v/>
      </c>
      <c r="G2838" s="63"/>
      <c r="H2838" s="63"/>
      <c r="I2838" s="63"/>
      <c r="J2838" s="64" t="str">
        <f aca="false">IF(OR(A2838="",B2838=""),"",CONCATENATE("https://matarstund.is/serfaedi?id=",LOWER(SUBSTITUTE(B2838,"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64" t="str">
        <f aca="false">IF(OR(A2839="",B2839=""),"",CONCATENATE("https://matarstund.is/serfaedi?id=",LOWER(SUBSTITUTE(B2839," ","-"))))</f>
        <v/>
      </c>
    </row>
    <row r="2840" customFormat="false" ht="15" hidden="false" customHeight="true" outlineLevel="0" collapsed="false">
      <c r="A2840" s="63"/>
      <c r="B2840" s="63"/>
      <c r="C2840" s="63"/>
      <c r="D2840" s="63"/>
      <c r="E2840" s="63"/>
      <c r="F2840" s="28" t="str">
        <f aca="false">IF(C2840="","",IF(OR(C2840="1. bekkur",C2840="2. bekkur",C2840="3. bekkur",C2840="4. bekkur"),"Já",IF(C2840="Starfsmaður","Nei","Nei")))</f>
        <v/>
      </c>
      <c r="G2840" s="63"/>
      <c r="H2840" s="63"/>
      <c r="I2840" s="63"/>
      <c r="J2840" s="64" t="str">
        <f aca="false">IF(OR(A2840="",B2840=""),"",CONCATENATE("https://matarstund.is/serfaedi?id=",LOWER(SUBSTITUTE(B2840,"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64" t="str">
        <f aca="false">IF(OR(A2841="",B2841=""),"",CONCATENATE("https://matarstund.is/serfaedi?id=",LOWER(SUBSTITUTE(B2841," ","-"))))</f>
        <v/>
      </c>
    </row>
    <row r="2842" customFormat="false" ht="15" hidden="false" customHeight="true" outlineLevel="0" collapsed="false">
      <c r="A2842" s="63"/>
      <c r="B2842" s="63"/>
      <c r="C2842" s="63"/>
      <c r="D2842" s="63"/>
      <c r="E2842" s="63"/>
      <c r="F2842" s="28" t="str">
        <f aca="false">IF(C2842="","",IF(OR(C2842="1. bekkur",C2842="2. bekkur",C2842="3. bekkur",C2842="4. bekkur"),"Já",IF(C2842="Starfsmaður","Nei","Nei")))</f>
        <v/>
      </c>
      <c r="G2842" s="63"/>
      <c r="H2842" s="63"/>
      <c r="I2842" s="63"/>
      <c r="J2842" s="64" t="str">
        <f aca="false">IF(OR(A2842="",B2842=""),"",CONCATENATE("https://matarstund.is/serfaedi?id=",LOWER(SUBSTITUTE(B2842,"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64" t="str">
        <f aca="false">IF(OR(A2843="",B2843=""),"",CONCATENATE("https://matarstund.is/serfaedi?id=",LOWER(SUBSTITUTE(B2843," ","-"))))</f>
        <v/>
      </c>
    </row>
    <row r="2844" customFormat="false" ht="15" hidden="false" customHeight="true" outlineLevel="0" collapsed="false">
      <c r="A2844" s="63"/>
      <c r="B2844" s="63"/>
      <c r="C2844" s="63"/>
      <c r="D2844" s="63"/>
      <c r="E2844" s="63"/>
      <c r="F2844" s="28" t="str">
        <f aca="false">IF(C2844="","",IF(OR(C2844="1. bekkur",C2844="2. bekkur",C2844="3. bekkur",C2844="4. bekkur"),"Já",IF(C2844="Starfsmaður","Nei","Nei")))</f>
        <v/>
      </c>
      <c r="G2844" s="63"/>
      <c r="H2844" s="63"/>
      <c r="I2844" s="63"/>
      <c r="J2844" s="64" t="str">
        <f aca="false">IF(OR(A2844="",B2844=""),"",CONCATENATE("https://matarstund.is/serfaedi?id=",LOWER(SUBSTITUTE(B2844,"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64" t="str">
        <f aca="false">IF(OR(A2845="",B2845=""),"",CONCATENATE("https://matarstund.is/serfaedi?id=",LOWER(SUBSTITUTE(B2845," ","-"))))</f>
        <v/>
      </c>
    </row>
    <row r="2846" customFormat="false" ht="15" hidden="false" customHeight="true" outlineLevel="0" collapsed="false">
      <c r="A2846" s="63"/>
      <c r="B2846" s="63"/>
      <c r="C2846" s="63"/>
      <c r="D2846" s="63"/>
      <c r="E2846" s="63"/>
      <c r="F2846" s="28" t="str">
        <f aca="false">IF(C2846="","",IF(OR(C2846="1. bekkur",C2846="2. bekkur",C2846="3. bekkur",C2846="4. bekkur"),"Já",IF(C2846="Starfsmaður","Nei","Nei")))</f>
        <v/>
      </c>
      <c r="G2846" s="63"/>
      <c r="H2846" s="63"/>
      <c r="I2846" s="63"/>
      <c r="J2846" s="64" t="str">
        <f aca="false">IF(OR(A2846="",B2846=""),"",CONCATENATE("https://matarstund.is/serfaedi?id=",LOWER(SUBSTITUTE(B2846,"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64" t="str">
        <f aca="false">IF(OR(A2847="",B2847=""),"",CONCATENATE("https://matarstund.is/serfaedi?id=",LOWER(SUBSTITUTE(B2847," ","-"))))</f>
        <v/>
      </c>
    </row>
    <row r="2848" customFormat="false" ht="15" hidden="false" customHeight="true" outlineLevel="0" collapsed="false">
      <c r="A2848" s="63"/>
      <c r="B2848" s="63"/>
      <c r="C2848" s="63"/>
      <c r="D2848" s="63"/>
      <c r="E2848" s="63"/>
      <c r="F2848" s="28" t="str">
        <f aca="false">IF(C2848="","",IF(OR(C2848="1. bekkur",C2848="2. bekkur",C2848="3. bekkur",C2848="4. bekkur"),"Já",IF(C2848="Starfsmaður","Nei","Nei")))</f>
        <v/>
      </c>
      <c r="G2848" s="63"/>
      <c r="H2848" s="63"/>
      <c r="I2848" s="63"/>
      <c r="J2848" s="64" t="str">
        <f aca="false">IF(OR(A2848="",B2848=""),"",CONCATENATE("https://matarstund.is/serfaedi?id=",LOWER(SUBSTITUTE(B2848,"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64" t="str">
        <f aca="false">IF(OR(A2849="",B2849=""),"",CONCATENATE("https://matarstund.is/serfaedi?id=",LOWER(SUBSTITUTE(B2849," ","-"))))</f>
        <v/>
      </c>
    </row>
    <row r="2850" customFormat="false" ht="15" hidden="false" customHeight="true" outlineLevel="0" collapsed="false">
      <c r="A2850" s="63"/>
      <c r="B2850" s="63"/>
      <c r="C2850" s="63"/>
      <c r="D2850" s="63"/>
      <c r="E2850" s="63"/>
      <c r="F2850" s="28" t="str">
        <f aca="false">IF(C2850="","",IF(OR(C2850="1. bekkur",C2850="2. bekkur",C2850="3. bekkur",C2850="4. bekkur"),"Já",IF(C2850="Starfsmaður","Nei","Nei")))</f>
        <v/>
      </c>
      <c r="G2850" s="63"/>
      <c r="H2850" s="63"/>
      <c r="I2850" s="63"/>
      <c r="J2850" s="64" t="str">
        <f aca="false">IF(OR(A2850="",B2850=""),"",CONCATENATE("https://matarstund.is/serfaedi?id=",LOWER(SUBSTITUTE(B2850,"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64" t="str">
        <f aca="false">IF(OR(A2851="",B2851=""),"",CONCATENATE("https://matarstund.is/serfaedi?id=",LOWER(SUBSTITUTE(B2851," ","-"))))</f>
        <v/>
      </c>
    </row>
    <row r="2852" customFormat="false" ht="15" hidden="false" customHeight="true" outlineLevel="0" collapsed="false">
      <c r="A2852" s="63"/>
      <c r="B2852" s="63"/>
      <c r="C2852" s="63"/>
      <c r="D2852" s="63"/>
      <c r="E2852" s="63"/>
      <c r="F2852" s="28" t="str">
        <f aca="false">IF(C2852="","",IF(OR(C2852="1. bekkur",C2852="2. bekkur",C2852="3. bekkur",C2852="4. bekkur"),"Já",IF(C2852="Starfsmaður","Nei","Nei")))</f>
        <v/>
      </c>
      <c r="G2852" s="63"/>
      <c r="H2852" s="63"/>
      <c r="I2852" s="63"/>
      <c r="J2852" s="64" t="str">
        <f aca="false">IF(OR(A2852="",B2852=""),"",CONCATENATE("https://matarstund.is/serfaedi?id=",LOWER(SUBSTITUTE(B2852,"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64" t="str">
        <f aca="false">IF(OR(A2853="",B2853=""),"",CONCATENATE("https://matarstund.is/serfaedi?id=",LOWER(SUBSTITUTE(B2853," ","-"))))</f>
        <v/>
      </c>
    </row>
    <row r="2854" customFormat="false" ht="15" hidden="false" customHeight="true" outlineLevel="0" collapsed="false">
      <c r="A2854" s="63"/>
      <c r="B2854" s="63"/>
      <c r="C2854" s="63"/>
      <c r="D2854" s="63"/>
      <c r="E2854" s="63"/>
      <c r="F2854" s="28" t="str">
        <f aca="false">IF(C2854="","",IF(OR(C2854="1. bekkur",C2854="2. bekkur",C2854="3. bekkur",C2854="4. bekkur"),"Já",IF(C2854="Starfsmaður","Nei","Nei")))</f>
        <v/>
      </c>
      <c r="G2854" s="63"/>
      <c r="H2854" s="63"/>
      <c r="I2854" s="63"/>
      <c r="J2854" s="64" t="str">
        <f aca="false">IF(OR(A2854="",B2854=""),"",CONCATENATE("https://matarstund.is/serfaedi?id=",LOWER(SUBSTITUTE(B2854,"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64" t="str">
        <f aca="false">IF(OR(A2855="",B2855=""),"",CONCATENATE("https://matarstund.is/serfaedi?id=",LOWER(SUBSTITUTE(B2855," ","-"))))</f>
        <v/>
      </c>
    </row>
    <row r="2856" customFormat="false" ht="15" hidden="false" customHeight="true" outlineLevel="0" collapsed="false">
      <c r="A2856" s="63"/>
      <c r="B2856" s="63"/>
      <c r="C2856" s="63"/>
      <c r="D2856" s="63"/>
      <c r="E2856" s="63"/>
      <c r="F2856" s="28" t="str">
        <f aca="false">IF(C2856="","",IF(OR(C2856="1. bekkur",C2856="2. bekkur",C2856="3. bekkur",C2856="4. bekkur"),"Já",IF(C2856="Starfsmaður","Nei","Nei")))</f>
        <v/>
      </c>
      <c r="G2856" s="63"/>
      <c r="H2856" s="63"/>
      <c r="I2856" s="63"/>
      <c r="J2856" s="64" t="str">
        <f aca="false">IF(OR(A2856="",B2856=""),"",CONCATENATE("https://matarstund.is/serfaedi?id=",LOWER(SUBSTITUTE(B2856,"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64" t="str">
        <f aca="false">IF(OR(A2857="",B2857=""),"",CONCATENATE("https://matarstund.is/serfaedi?id=",LOWER(SUBSTITUTE(B2857," ","-"))))</f>
        <v/>
      </c>
    </row>
    <row r="2858" customFormat="false" ht="15" hidden="false" customHeight="true" outlineLevel="0" collapsed="false">
      <c r="A2858" s="63"/>
      <c r="B2858" s="63"/>
      <c r="C2858" s="63"/>
      <c r="D2858" s="63"/>
      <c r="E2858" s="63"/>
      <c r="F2858" s="28" t="str">
        <f aca="false">IF(C2858="","",IF(OR(C2858="1. bekkur",C2858="2. bekkur",C2858="3. bekkur",C2858="4. bekkur"),"Já",IF(C2858="Starfsmaður","Nei","Nei")))</f>
        <v/>
      </c>
      <c r="G2858" s="63"/>
      <c r="H2858" s="63"/>
      <c r="I2858" s="63"/>
      <c r="J2858" s="64" t="str">
        <f aca="false">IF(OR(A2858="",B2858=""),"",CONCATENATE("https://matarstund.is/serfaedi?id=",LOWER(SUBSTITUTE(B2858,"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64" t="str">
        <f aca="false">IF(OR(A2859="",B2859=""),"",CONCATENATE("https://matarstund.is/serfaedi?id=",LOWER(SUBSTITUTE(B2859," ","-"))))</f>
        <v/>
      </c>
    </row>
    <row r="2860" customFormat="false" ht="15" hidden="false" customHeight="true" outlineLevel="0" collapsed="false">
      <c r="A2860" s="63"/>
      <c r="B2860" s="63"/>
      <c r="C2860" s="63"/>
      <c r="D2860" s="63"/>
      <c r="E2860" s="63"/>
      <c r="F2860" s="28" t="str">
        <f aca="false">IF(C2860="","",IF(OR(C2860="1. bekkur",C2860="2. bekkur",C2860="3. bekkur",C2860="4. bekkur"),"Já",IF(C2860="Starfsmaður","Nei","Nei")))</f>
        <v/>
      </c>
      <c r="G2860" s="63"/>
      <c r="H2860" s="63"/>
      <c r="I2860" s="63"/>
      <c r="J2860" s="64" t="str">
        <f aca="false">IF(OR(A2860="",B2860=""),"",CONCATENATE("https://matarstund.is/serfaedi?id=",LOWER(SUBSTITUTE(B2860,"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64" t="str">
        <f aca="false">IF(OR(A2861="",B2861=""),"",CONCATENATE("https://matarstund.is/serfaedi?id=",LOWER(SUBSTITUTE(B2861," ","-"))))</f>
        <v/>
      </c>
    </row>
    <row r="2862" customFormat="false" ht="15" hidden="false" customHeight="true" outlineLevel="0" collapsed="false">
      <c r="A2862" s="63"/>
      <c r="B2862" s="63"/>
      <c r="C2862" s="63"/>
      <c r="D2862" s="63"/>
      <c r="E2862" s="63"/>
      <c r="F2862" s="28" t="str">
        <f aca="false">IF(C2862="","",IF(OR(C2862="1. bekkur",C2862="2. bekkur",C2862="3. bekkur",C2862="4. bekkur"),"Já",IF(C2862="Starfsmaður","Nei","Nei")))</f>
        <v/>
      </c>
      <c r="G2862" s="63"/>
      <c r="H2862" s="63"/>
      <c r="I2862" s="63"/>
      <c r="J2862" s="64" t="str">
        <f aca="false">IF(OR(A2862="",B2862=""),"",CONCATENATE("https://matarstund.is/serfaedi?id=",LOWER(SUBSTITUTE(B2862,"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64" t="str">
        <f aca="false">IF(OR(A2863="",B2863=""),"",CONCATENATE("https://matarstund.is/serfaedi?id=",LOWER(SUBSTITUTE(B2863," ","-"))))</f>
        <v/>
      </c>
    </row>
    <row r="2864" customFormat="false" ht="15" hidden="false" customHeight="true" outlineLevel="0" collapsed="false">
      <c r="A2864" s="63"/>
      <c r="B2864" s="63"/>
      <c r="C2864" s="63"/>
      <c r="D2864" s="63"/>
      <c r="E2864" s="63"/>
      <c r="F2864" s="28" t="str">
        <f aca="false">IF(C2864="","",IF(OR(C2864="1. bekkur",C2864="2. bekkur",C2864="3. bekkur",C2864="4. bekkur"),"Já",IF(C2864="Starfsmaður","Nei","Nei")))</f>
        <v/>
      </c>
      <c r="G2864" s="63"/>
      <c r="H2864" s="63"/>
      <c r="I2864" s="63"/>
      <c r="J2864" s="64" t="str">
        <f aca="false">IF(OR(A2864="",B2864=""),"",CONCATENATE("https://matarstund.is/serfaedi?id=",LOWER(SUBSTITUTE(B2864,"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64" t="str">
        <f aca="false">IF(OR(A2865="",B2865=""),"",CONCATENATE("https://matarstund.is/serfaedi?id=",LOWER(SUBSTITUTE(B2865," ","-"))))</f>
        <v/>
      </c>
    </row>
    <row r="2866" customFormat="false" ht="15" hidden="false" customHeight="true" outlineLevel="0" collapsed="false">
      <c r="A2866" s="63"/>
      <c r="B2866" s="63"/>
      <c r="C2866" s="63"/>
      <c r="D2866" s="63"/>
      <c r="E2866" s="63"/>
      <c r="F2866" s="28" t="str">
        <f aca="false">IF(C2866="","",IF(OR(C2866="1. bekkur",C2866="2. bekkur",C2866="3. bekkur",C2866="4. bekkur"),"Já",IF(C2866="Starfsmaður","Nei","Nei")))</f>
        <v/>
      </c>
      <c r="G2866" s="63"/>
      <c r="H2866" s="63"/>
      <c r="I2866" s="63"/>
      <c r="J2866" s="64" t="str">
        <f aca="false">IF(OR(A2866="",B2866=""),"",CONCATENATE("https://matarstund.is/serfaedi?id=",LOWER(SUBSTITUTE(B2866,"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64" t="str">
        <f aca="false">IF(OR(A2867="",B2867=""),"",CONCATENATE("https://matarstund.is/serfaedi?id=",LOWER(SUBSTITUTE(B2867," ","-"))))</f>
        <v/>
      </c>
    </row>
    <row r="2868" customFormat="false" ht="15" hidden="false" customHeight="true" outlineLevel="0" collapsed="false">
      <c r="A2868" s="63"/>
      <c r="B2868" s="63"/>
      <c r="C2868" s="63"/>
      <c r="D2868" s="63"/>
      <c r="E2868" s="63"/>
      <c r="F2868" s="28" t="str">
        <f aca="false">IF(C2868="","",IF(OR(C2868="1. bekkur",C2868="2. bekkur",C2868="3. bekkur",C2868="4. bekkur"),"Já",IF(C2868="Starfsmaður","Nei","Nei")))</f>
        <v/>
      </c>
      <c r="G2868" s="63"/>
      <c r="H2868" s="63"/>
      <c r="I2868" s="63"/>
      <c r="J2868" s="64" t="str">
        <f aca="false">IF(OR(A2868="",B2868=""),"",CONCATENATE("https://matarstund.is/serfaedi?id=",LOWER(SUBSTITUTE(B2868,"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64" t="str">
        <f aca="false">IF(OR(A2869="",B2869=""),"",CONCATENATE("https://matarstund.is/serfaedi?id=",LOWER(SUBSTITUTE(B2869," ","-"))))</f>
        <v/>
      </c>
    </row>
    <row r="2870" customFormat="false" ht="15" hidden="false" customHeight="true" outlineLevel="0" collapsed="false">
      <c r="A2870" s="63"/>
      <c r="B2870" s="63"/>
      <c r="C2870" s="63"/>
      <c r="D2870" s="63"/>
      <c r="E2870" s="63"/>
      <c r="F2870" s="28" t="str">
        <f aca="false">IF(C2870="","",IF(OR(C2870="1. bekkur",C2870="2. bekkur",C2870="3. bekkur",C2870="4. bekkur"),"Já",IF(C2870="Starfsmaður","Nei","Nei")))</f>
        <v/>
      </c>
      <c r="G2870" s="63"/>
      <c r="H2870" s="63"/>
      <c r="I2870" s="63"/>
      <c r="J2870" s="64" t="str">
        <f aca="false">IF(OR(A2870="",B2870=""),"",CONCATENATE("https://matarstund.is/serfaedi?id=",LOWER(SUBSTITUTE(B2870,"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64" t="str">
        <f aca="false">IF(OR(A2871="",B2871=""),"",CONCATENATE("https://matarstund.is/serfaedi?id=",LOWER(SUBSTITUTE(B2871," ","-"))))</f>
        <v/>
      </c>
    </row>
    <row r="2872" customFormat="false" ht="15" hidden="false" customHeight="true" outlineLevel="0" collapsed="false">
      <c r="A2872" s="63"/>
      <c r="B2872" s="63"/>
      <c r="C2872" s="63"/>
      <c r="D2872" s="63"/>
      <c r="E2872" s="63"/>
      <c r="F2872" s="28" t="str">
        <f aca="false">IF(C2872="","",IF(OR(C2872="1. bekkur",C2872="2. bekkur",C2872="3. bekkur",C2872="4. bekkur"),"Já",IF(C2872="Starfsmaður","Nei","Nei")))</f>
        <v/>
      </c>
      <c r="G2872" s="63"/>
      <c r="H2872" s="63"/>
      <c r="I2872" s="63"/>
      <c r="J2872" s="64" t="str">
        <f aca="false">IF(OR(A2872="",B2872=""),"",CONCATENATE("https://matarstund.is/serfaedi?id=",LOWER(SUBSTITUTE(B2872,"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64" t="str">
        <f aca="false">IF(OR(A2873="",B2873=""),"",CONCATENATE("https://matarstund.is/serfaedi?id=",LOWER(SUBSTITUTE(B2873," ","-"))))</f>
        <v/>
      </c>
    </row>
    <row r="2874" customFormat="false" ht="15" hidden="false" customHeight="true" outlineLevel="0" collapsed="false">
      <c r="A2874" s="63"/>
      <c r="B2874" s="63"/>
      <c r="C2874" s="63"/>
      <c r="D2874" s="63"/>
      <c r="E2874" s="63"/>
      <c r="F2874" s="28" t="str">
        <f aca="false">IF(C2874="","",IF(OR(C2874="1. bekkur",C2874="2. bekkur",C2874="3. bekkur",C2874="4. bekkur"),"Já",IF(C2874="Starfsmaður","Nei","Nei")))</f>
        <v/>
      </c>
      <c r="G2874" s="63"/>
      <c r="H2874" s="63"/>
      <c r="I2874" s="63"/>
      <c r="J2874" s="64" t="str">
        <f aca="false">IF(OR(A2874="",B2874=""),"",CONCATENATE("https://matarstund.is/serfaedi?id=",LOWER(SUBSTITUTE(B2874,"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64" t="str">
        <f aca="false">IF(OR(A2875="",B2875=""),"",CONCATENATE("https://matarstund.is/serfaedi?id=",LOWER(SUBSTITUTE(B2875," ","-"))))</f>
        <v/>
      </c>
    </row>
    <row r="2876" customFormat="false" ht="15" hidden="false" customHeight="true" outlineLevel="0" collapsed="false">
      <c r="A2876" s="63"/>
      <c r="B2876" s="63"/>
      <c r="C2876" s="63"/>
      <c r="D2876" s="63"/>
      <c r="E2876" s="63"/>
      <c r="F2876" s="28" t="str">
        <f aca="false">IF(C2876="","",IF(OR(C2876="1. bekkur",C2876="2. bekkur",C2876="3. bekkur",C2876="4. bekkur"),"Já",IF(C2876="Starfsmaður","Nei","Nei")))</f>
        <v/>
      </c>
      <c r="G2876" s="63"/>
      <c r="H2876" s="63"/>
      <c r="I2876" s="63"/>
      <c r="J2876" s="64" t="str">
        <f aca="false">IF(OR(A2876="",B2876=""),"",CONCATENATE("https://matarstund.is/serfaedi?id=",LOWER(SUBSTITUTE(B2876,"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64" t="str">
        <f aca="false">IF(OR(A2877="",B2877=""),"",CONCATENATE("https://matarstund.is/serfaedi?id=",LOWER(SUBSTITUTE(B2877," ","-"))))</f>
        <v/>
      </c>
    </row>
    <row r="2878" customFormat="false" ht="15" hidden="false" customHeight="true" outlineLevel="0" collapsed="false">
      <c r="A2878" s="63"/>
      <c r="B2878" s="63"/>
      <c r="C2878" s="63"/>
      <c r="D2878" s="63"/>
      <c r="E2878" s="63"/>
      <c r="F2878" s="28" t="str">
        <f aca="false">IF(C2878="","",IF(OR(C2878="1. bekkur",C2878="2. bekkur",C2878="3. bekkur",C2878="4. bekkur"),"Já",IF(C2878="Starfsmaður","Nei","Nei")))</f>
        <v/>
      </c>
      <c r="G2878" s="63"/>
      <c r="H2878" s="63"/>
      <c r="I2878" s="63"/>
      <c r="J2878" s="64" t="str">
        <f aca="false">IF(OR(A2878="",B2878=""),"",CONCATENATE("https://matarstund.is/serfaedi?id=",LOWER(SUBSTITUTE(B2878,"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64" t="str">
        <f aca="false">IF(OR(A2879="",B2879=""),"",CONCATENATE("https://matarstund.is/serfaedi?id=",LOWER(SUBSTITUTE(B2879," ","-"))))</f>
        <v/>
      </c>
    </row>
    <row r="2880" customFormat="false" ht="15" hidden="false" customHeight="true" outlineLevel="0" collapsed="false">
      <c r="A2880" s="63"/>
      <c r="B2880" s="63"/>
      <c r="C2880" s="63"/>
      <c r="D2880" s="63"/>
      <c r="E2880" s="63"/>
      <c r="F2880" s="28" t="str">
        <f aca="false">IF(C2880="","",IF(OR(C2880="1. bekkur",C2880="2. bekkur",C2880="3. bekkur",C2880="4. bekkur"),"Já",IF(C2880="Starfsmaður","Nei","Nei")))</f>
        <v/>
      </c>
      <c r="G2880" s="63"/>
      <c r="H2880" s="63"/>
      <c r="I2880" s="63"/>
      <c r="J2880" s="64" t="str">
        <f aca="false">IF(OR(A2880="",B2880=""),"",CONCATENATE("https://matarstund.is/serfaedi?id=",LOWER(SUBSTITUTE(B2880,"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64" t="str">
        <f aca="false">IF(OR(A2881="",B2881=""),"",CONCATENATE("https://matarstund.is/serfaedi?id=",LOWER(SUBSTITUTE(B2881," ","-"))))</f>
        <v/>
      </c>
    </row>
    <row r="2882" customFormat="false" ht="15" hidden="false" customHeight="true" outlineLevel="0" collapsed="false">
      <c r="A2882" s="63"/>
      <c r="B2882" s="63"/>
      <c r="C2882" s="63"/>
      <c r="D2882" s="63"/>
      <c r="E2882" s="63"/>
      <c r="F2882" s="28" t="str">
        <f aca="false">IF(C2882="","",IF(OR(C2882="1. bekkur",C2882="2. bekkur",C2882="3. bekkur",C2882="4. bekkur"),"Já",IF(C2882="Starfsmaður","Nei","Nei")))</f>
        <v/>
      </c>
      <c r="G2882" s="63"/>
      <c r="H2882" s="63"/>
      <c r="I2882" s="63"/>
      <c r="J2882" s="64" t="str">
        <f aca="false">IF(OR(A2882="",B2882=""),"",CONCATENATE("https://matarstund.is/serfaedi?id=",LOWER(SUBSTITUTE(B2882,"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64" t="str">
        <f aca="false">IF(OR(A2883="",B2883=""),"",CONCATENATE("https://matarstund.is/serfaedi?id=",LOWER(SUBSTITUTE(B2883," ","-"))))</f>
        <v/>
      </c>
    </row>
    <row r="2884" customFormat="false" ht="15" hidden="false" customHeight="true" outlineLevel="0" collapsed="false">
      <c r="A2884" s="63"/>
      <c r="B2884" s="63"/>
      <c r="C2884" s="63"/>
      <c r="D2884" s="63"/>
      <c r="E2884" s="63"/>
      <c r="F2884" s="28" t="str">
        <f aca="false">IF(C2884="","",IF(OR(C2884="1. bekkur",C2884="2. bekkur",C2884="3. bekkur",C2884="4. bekkur"),"Já",IF(C2884="Starfsmaður","Nei","Nei")))</f>
        <v/>
      </c>
      <c r="G2884" s="63"/>
      <c r="H2884" s="63"/>
      <c r="I2884" s="63"/>
      <c r="J2884" s="64" t="str">
        <f aca="false">IF(OR(A2884="",B2884=""),"",CONCATENATE("https://matarstund.is/serfaedi?id=",LOWER(SUBSTITUTE(B2884,"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64" t="str">
        <f aca="false">IF(OR(A2885="",B2885=""),"",CONCATENATE("https://matarstund.is/serfaedi?id=",LOWER(SUBSTITUTE(B2885," ","-"))))</f>
        <v/>
      </c>
    </row>
    <row r="2886" customFormat="false" ht="15" hidden="false" customHeight="true" outlineLevel="0" collapsed="false">
      <c r="A2886" s="63"/>
      <c r="B2886" s="63"/>
      <c r="C2886" s="63"/>
      <c r="D2886" s="63"/>
      <c r="E2886" s="63"/>
      <c r="F2886" s="28" t="str">
        <f aca="false">IF(C2886="","",IF(OR(C2886="1. bekkur",C2886="2. bekkur",C2886="3. bekkur",C2886="4. bekkur"),"Já",IF(C2886="Starfsmaður","Nei","Nei")))</f>
        <v/>
      </c>
      <c r="G2886" s="63"/>
      <c r="H2886" s="63"/>
      <c r="I2886" s="63"/>
      <c r="J2886" s="64" t="str">
        <f aca="false">IF(OR(A2886="",B2886=""),"",CONCATENATE("https://matarstund.is/serfaedi?id=",LOWER(SUBSTITUTE(B2886,"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64" t="str">
        <f aca="false">IF(OR(A2887="",B2887=""),"",CONCATENATE("https://matarstund.is/serfaedi?id=",LOWER(SUBSTITUTE(B2887," ","-"))))</f>
        <v/>
      </c>
    </row>
    <row r="2888" customFormat="false" ht="15" hidden="false" customHeight="true" outlineLevel="0" collapsed="false">
      <c r="A2888" s="63"/>
      <c r="B2888" s="63"/>
      <c r="C2888" s="63"/>
      <c r="D2888" s="63"/>
      <c r="E2888" s="63"/>
      <c r="F2888" s="28" t="str">
        <f aca="false">IF(C2888="","",IF(OR(C2888="1. bekkur",C2888="2. bekkur",C2888="3. bekkur",C2888="4. bekkur"),"Já",IF(C2888="Starfsmaður","Nei","Nei")))</f>
        <v/>
      </c>
      <c r="G2888" s="63"/>
      <c r="H2888" s="63"/>
      <c r="I2888" s="63"/>
      <c r="J2888" s="64" t="str">
        <f aca="false">IF(OR(A2888="",B2888=""),"",CONCATENATE("https://matarstund.is/serfaedi?id=",LOWER(SUBSTITUTE(B2888,"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64" t="str">
        <f aca="false">IF(OR(A2889="",B2889=""),"",CONCATENATE("https://matarstund.is/serfaedi?id=",LOWER(SUBSTITUTE(B2889," ","-"))))</f>
        <v/>
      </c>
    </row>
    <row r="2890" customFormat="false" ht="15" hidden="false" customHeight="true" outlineLevel="0" collapsed="false">
      <c r="A2890" s="63"/>
      <c r="B2890" s="63"/>
      <c r="C2890" s="63"/>
      <c r="D2890" s="63"/>
      <c r="E2890" s="63"/>
      <c r="F2890" s="28" t="str">
        <f aca="false">IF(C2890="","",IF(OR(C2890="1. bekkur",C2890="2. bekkur",C2890="3. bekkur",C2890="4. bekkur"),"Já",IF(C2890="Starfsmaður","Nei","Nei")))</f>
        <v/>
      </c>
      <c r="G2890" s="63"/>
      <c r="H2890" s="63"/>
      <c r="I2890" s="63"/>
      <c r="J2890" s="64" t="str">
        <f aca="false">IF(OR(A2890="",B2890=""),"",CONCATENATE("https://matarstund.is/serfaedi?id=",LOWER(SUBSTITUTE(B2890,"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64" t="str">
        <f aca="false">IF(OR(A2891="",B2891=""),"",CONCATENATE("https://matarstund.is/serfaedi?id=",LOWER(SUBSTITUTE(B2891," ","-"))))</f>
        <v/>
      </c>
    </row>
    <row r="2892" customFormat="false" ht="15" hidden="false" customHeight="true" outlineLevel="0" collapsed="false">
      <c r="A2892" s="63"/>
      <c r="B2892" s="63"/>
      <c r="C2892" s="63"/>
      <c r="D2892" s="63"/>
      <c r="E2892" s="63"/>
      <c r="F2892" s="28" t="str">
        <f aca="false">IF(C2892="","",IF(OR(C2892="1. bekkur",C2892="2. bekkur",C2892="3. bekkur",C2892="4. bekkur"),"Já",IF(C2892="Starfsmaður","Nei","Nei")))</f>
        <v/>
      </c>
      <c r="G2892" s="63"/>
      <c r="H2892" s="63"/>
      <c r="I2892" s="63"/>
      <c r="J2892" s="64" t="str">
        <f aca="false">IF(OR(A2892="",B2892=""),"",CONCATENATE("https://matarstund.is/serfaedi?id=",LOWER(SUBSTITUTE(B2892,"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64" t="str">
        <f aca="false">IF(OR(A2893="",B2893=""),"",CONCATENATE("https://matarstund.is/serfaedi?id=",LOWER(SUBSTITUTE(B2893," ","-"))))</f>
        <v/>
      </c>
    </row>
    <row r="2894" customFormat="false" ht="15" hidden="false" customHeight="true" outlineLevel="0" collapsed="false">
      <c r="A2894" s="63"/>
      <c r="B2894" s="63"/>
      <c r="C2894" s="63"/>
      <c r="D2894" s="63"/>
      <c r="E2894" s="63"/>
      <c r="F2894" s="28" t="str">
        <f aca="false">IF(C2894="","",IF(OR(C2894="1. bekkur",C2894="2. bekkur",C2894="3. bekkur",C2894="4. bekkur"),"Já",IF(C2894="Starfsmaður","Nei","Nei")))</f>
        <v/>
      </c>
      <c r="G2894" s="63"/>
      <c r="H2894" s="63"/>
      <c r="I2894" s="63"/>
      <c r="J2894" s="64" t="str">
        <f aca="false">IF(OR(A2894="",B2894=""),"",CONCATENATE("https://matarstund.is/serfaedi?id=",LOWER(SUBSTITUTE(B2894,"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64" t="str">
        <f aca="false">IF(OR(A2895="",B2895=""),"",CONCATENATE("https://matarstund.is/serfaedi?id=",LOWER(SUBSTITUTE(B2895," ","-"))))</f>
        <v/>
      </c>
    </row>
    <row r="2896" customFormat="false" ht="15" hidden="false" customHeight="true" outlineLevel="0" collapsed="false">
      <c r="A2896" s="63"/>
      <c r="B2896" s="63"/>
      <c r="C2896" s="63"/>
      <c r="D2896" s="63"/>
      <c r="E2896" s="63"/>
      <c r="F2896" s="28" t="str">
        <f aca="false">IF(C2896="","",IF(OR(C2896="1. bekkur",C2896="2. bekkur",C2896="3. bekkur",C2896="4. bekkur"),"Já",IF(C2896="Starfsmaður","Nei","Nei")))</f>
        <v/>
      </c>
      <c r="G2896" s="63"/>
      <c r="H2896" s="63"/>
      <c r="I2896" s="63"/>
      <c r="J2896" s="64" t="str">
        <f aca="false">IF(OR(A2896="",B2896=""),"",CONCATENATE("https://matarstund.is/serfaedi?id=",LOWER(SUBSTITUTE(B2896,"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64" t="str">
        <f aca="false">IF(OR(A2897="",B2897=""),"",CONCATENATE("https://matarstund.is/serfaedi?id=",LOWER(SUBSTITUTE(B2897," ","-"))))</f>
        <v/>
      </c>
    </row>
    <row r="2898" customFormat="false" ht="15" hidden="false" customHeight="true" outlineLevel="0" collapsed="false">
      <c r="A2898" s="63"/>
      <c r="B2898" s="63"/>
      <c r="C2898" s="63"/>
      <c r="D2898" s="63"/>
      <c r="E2898" s="63"/>
      <c r="F2898" s="28" t="str">
        <f aca="false">IF(C2898="","",IF(OR(C2898="1. bekkur",C2898="2. bekkur",C2898="3. bekkur",C2898="4. bekkur"),"Já",IF(C2898="Starfsmaður","Nei","Nei")))</f>
        <v/>
      </c>
      <c r="G2898" s="63"/>
      <c r="H2898" s="63"/>
      <c r="I2898" s="63"/>
      <c r="J2898" s="64" t="str">
        <f aca="false">IF(OR(A2898="",B2898=""),"",CONCATENATE("https://matarstund.is/serfaedi?id=",LOWER(SUBSTITUTE(B2898,"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64" t="str">
        <f aca="false">IF(OR(A2899="",B2899=""),"",CONCATENATE("https://matarstund.is/serfaedi?id=",LOWER(SUBSTITUTE(B2899," ","-"))))</f>
        <v/>
      </c>
    </row>
    <row r="2900" customFormat="false" ht="15" hidden="false" customHeight="true" outlineLevel="0" collapsed="false">
      <c r="A2900" s="63"/>
      <c r="B2900" s="63"/>
      <c r="C2900" s="63"/>
      <c r="D2900" s="63"/>
      <c r="E2900" s="63"/>
      <c r="F2900" s="28" t="str">
        <f aca="false">IF(C2900="","",IF(OR(C2900="1. bekkur",C2900="2. bekkur",C2900="3. bekkur",C2900="4. bekkur"),"Já",IF(C2900="Starfsmaður","Nei","Nei")))</f>
        <v/>
      </c>
      <c r="G2900" s="63"/>
      <c r="H2900" s="63"/>
      <c r="I2900" s="63"/>
      <c r="J2900" s="64" t="str">
        <f aca="false">IF(OR(A2900="",B2900=""),"",CONCATENATE("https://matarstund.is/serfaedi?id=",LOWER(SUBSTITUTE(B2900,"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64" t="str">
        <f aca="false">IF(OR(A2901="",B2901=""),"",CONCATENATE("https://matarstund.is/serfaedi?id=",LOWER(SUBSTITUTE(B2901," ","-"))))</f>
        <v/>
      </c>
    </row>
    <row r="2902" customFormat="false" ht="15" hidden="false" customHeight="true" outlineLevel="0" collapsed="false">
      <c r="A2902" s="63"/>
      <c r="B2902" s="63"/>
      <c r="C2902" s="63"/>
      <c r="D2902" s="63"/>
      <c r="E2902" s="63"/>
      <c r="F2902" s="28" t="str">
        <f aca="false">IF(C2902="","",IF(OR(C2902="1. bekkur",C2902="2. bekkur",C2902="3. bekkur",C2902="4. bekkur"),"Já",IF(C2902="Starfsmaður","Nei","Nei")))</f>
        <v/>
      </c>
      <c r="G2902" s="63"/>
      <c r="H2902" s="63"/>
      <c r="I2902" s="63"/>
      <c r="J2902" s="64" t="str">
        <f aca="false">IF(OR(A2902="",B2902=""),"",CONCATENATE("https://matarstund.is/serfaedi?id=",LOWER(SUBSTITUTE(B2902,"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64" t="str">
        <f aca="false">IF(OR(A2903="",B2903=""),"",CONCATENATE("https://matarstund.is/serfaedi?id=",LOWER(SUBSTITUTE(B2903," ","-"))))</f>
        <v/>
      </c>
    </row>
    <row r="2904" customFormat="false" ht="15" hidden="false" customHeight="true" outlineLevel="0" collapsed="false">
      <c r="A2904" s="63"/>
      <c r="B2904" s="63"/>
      <c r="C2904" s="63"/>
      <c r="D2904" s="63"/>
      <c r="E2904" s="63"/>
      <c r="F2904" s="28" t="str">
        <f aca="false">IF(C2904="","",IF(OR(C2904="1. bekkur",C2904="2. bekkur",C2904="3. bekkur",C2904="4. bekkur"),"Já",IF(C2904="Starfsmaður","Nei","Nei")))</f>
        <v/>
      </c>
      <c r="G2904" s="63"/>
      <c r="H2904" s="63"/>
      <c r="I2904" s="63"/>
      <c r="J2904" s="64" t="str">
        <f aca="false">IF(OR(A2904="",B2904=""),"",CONCATENATE("https://matarstund.is/serfaedi?id=",LOWER(SUBSTITUTE(B2904,"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64" t="str">
        <f aca="false">IF(OR(A2905="",B2905=""),"",CONCATENATE("https://matarstund.is/serfaedi?id=",LOWER(SUBSTITUTE(B2905," ","-"))))</f>
        <v/>
      </c>
    </row>
    <row r="2906" customFormat="false" ht="15" hidden="false" customHeight="true" outlineLevel="0" collapsed="false">
      <c r="A2906" s="63"/>
      <c r="B2906" s="63"/>
      <c r="C2906" s="63"/>
      <c r="D2906" s="63"/>
      <c r="E2906" s="63"/>
      <c r="F2906" s="28" t="str">
        <f aca="false">IF(C2906="","",IF(OR(C2906="1. bekkur",C2906="2. bekkur",C2906="3. bekkur",C2906="4. bekkur"),"Já",IF(C2906="Starfsmaður","Nei","Nei")))</f>
        <v/>
      </c>
      <c r="G2906" s="63"/>
      <c r="H2906" s="63"/>
      <c r="I2906" s="63"/>
      <c r="J2906" s="64" t="str">
        <f aca="false">IF(OR(A2906="",B2906=""),"",CONCATENATE("https://matarstund.is/serfaedi?id=",LOWER(SUBSTITUTE(B2906,"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64" t="str">
        <f aca="false">IF(OR(A2907="",B2907=""),"",CONCATENATE("https://matarstund.is/serfaedi?id=",LOWER(SUBSTITUTE(B2907," ","-"))))</f>
        <v/>
      </c>
    </row>
    <row r="2908" customFormat="false" ht="15" hidden="false" customHeight="true" outlineLevel="0" collapsed="false">
      <c r="A2908" s="63"/>
      <c r="B2908" s="63"/>
      <c r="C2908" s="63"/>
      <c r="D2908" s="63"/>
      <c r="E2908" s="63"/>
      <c r="F2908" s="28" t="str">
        <f aca="false">IF(C2908="","",IF(OR(C2908="1. bekkur",C2908="2. bekkur",C2908="3. bekkur",C2908="4. bekkur"),"Já",IF(C2908="Starfsmaður","Nei","Nei")))</f>
        <v/>
      </c>
      <c r="G2908" s="63"/>
      <c r="H2908" s="63"/>
      <c r="I2908" s="63"/>
      <c r="J2908" s="64" t="str">
        <f aca="false">IF(OR(A2908="",B2908=""),"",CONCATENATE("https://matarstund.is/serfaedi?id=",LOWER(SUBSTITUTE(B2908,"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64" t="str">
        <f aca="false">IF(OR(A2909="",B2909=""),"",CONCATENATE("https://matarstund.is/serfaedi?id=",LOWER(SUBSTITUTE(B2909," ","-"))))</f>
        <v/>
      </c>
    </row>
    <row r="2910" customFormat="false" ht="15" hidden="false" customHeight="true" outlineLevel="0" collapsed="false">
      <c r="A2910" s="63"/>
      <c r="B2910" s="63"/>
      <c r="C2910" s="63"/>
      <c r="D2910" s="63"/>
      <c r="E2910" s="63"/>
      <c r="F2910" s="28" t="str">
        <f aca="false">IF(C2910="","",IF(OR(C2910="1. bekkur",C2910="2. bekkur",C2910="3. bekkur",C2910="4. bekkur"),"Já",IF(C2910="Starfsmaður","Nei","Nei")))</f>
        <v/>
      </c>
      <c r="G2910" s="63"/>
      <c r="H2910" s="63"/>
      <c r="I2910" s="63"/>
      <c r="J2910" s="64" t="str">
        <f aca="false">IF(OR(A2910="",B2910=""),"",CONCATENATE("https://matarstund.is/serfaedi?id=",LOWER(SUBSTITUTE(B2910,"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64" t="str">
        <f aca="false">IF(OR(A2911="",B2911=""),"",CONCATENATE("https://matarstund.is/serfaedi?id=",LOWER(SUBSTITUTE(B2911," ","-"))))</f>
        <v/>
      </c>
    </row>
    <row r="2912" customFormat="false" ht="15" hidden="false" customHeight="true" outlineLevel="0" collapsed="false">
      <c r="A2912" s="63"/>
      <c r="B2912" s="63"/>
      <c r="C2912" s="63"/>
      <c r="D2912" s="63"/>
      <c r="E2912" s="63"/>
      <c r="F2912" s="28" t="str">
        <f aca="false">IF(C2912="","",IF(OR(C2912="1. bekkur",C2912="2. bekkur",C2912="3. bekkur",C2912="4. bekkur"),"Já",IF(C2912="Starfsmaður","Nei","Nei")))</f>
        <v/>
      </c>
      <c r="G2912" s="63"/>
      <c r="H2912" s="63"/>
      <c r="I2912" s="63"/>
      <c r="J2912" s="64" t="str">
        <f aca="false">IF(OR(A2912="",B2912=""),"",CONCATENATE("https://matarstund.is/serfaedi?id=",LOWER(SUBSTITUTE(B2912,"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64" t="str">
        <f aca="false">IF(OR(A2913="",B2913=""),"",CONCATENATE("https://matarstund.is/serfaedi?id=",LOWER(SUBSTITUTE(B2913," ","-"))))</f>
        <v/>
      </c>
    </row>
    <row r="2914" customFormat="false" ht="15" hidden="false" customHeight="true" outlineLevel="0" collapsed="false">
      <c r="A2914" s="63"/>
      <c r="B2914" s="63"/>
      <c r="C2914" s="63"/>
      <c r="D2914" s="63"/>
      <c r="E2914" s="63"/>
      <c r="F2914" s="28" t="str">
        <f aca="false">IF(C2914="","",IF(OR(C2914="1. bekkur",C2914="2. bekkur",C2914="3. bekkur",C2914="4. bekkur"),"Já",IF(C2914="Starfsmaður","Nei","Nei")))</f>
        <v/>
      </c>
      <c r="G2914" s="63"/>
      <c r="H2914" s="63"/>
      <c r="I2914" s="63"/>
      <c r="J2914" s="64" t="str">
        <f aca="false">IF(OR(A2914="",B2914=""),"",CONCATENATE("https://matarstund.is/serfaedi?id=",LOWER(SUBSTITUTE(B2914,"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64" t="str">
        <f aca="false">IF(OR(A2915="",B2915=""),"",CONCATENATE("https://matarstund.is/serfaedi?id=",LOWER(SUBSTITUTE(B2915," ","-"))))</f>
        <v/>
      </c>
    </row>
    <row r="2916" customFormat="false" ht="15" hidden="false" customHeight="true" outlineLevel="0" collapsed="false">
      <c r="A2916" s="63"/>
      <c r="B2916" s="63"/>
      <c r="C2916" s="63"/>
      <c r="D2916" s="63"/>
      <c r="E2916" s="63"/>
      <c r="F2916" s="28" t="str">
        <f aca="false">IF(C2916="","",IF(OR(C2916="1. bekkur",C2916="2. bekkur",C2916="3. bekkur",C2916="4. bekkur"),"Já",IF(C2916="Starfsmaður","Nei","Nei")))</f>
        <v/>
      </c>
      <c r="G2916" s="63"/>
      <c r="H2916" s="63"/>
      <c r="I2916" s="63"/>
      <c r="J2916" s="64" t="str">
        <f aca="false">IF(OR(A2916="",B2916=""),"",CONCATENATE("https://matarstund.is/serfaedi?id=",LOWER(SUBSTITUTE(B2916,"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64" t="str">
        <f aca="false">IF(OR(A2917="",B2917=""),"",CONCATENATE("https://matarstund.is/serfaedi?id=",LOWER(SUBSTITUTE(B2917," ","-"))))</f>
        <v/>
      </c>
    </row>
    <row r="2918" customFormat="false" ht="15" hidden="false" customHeight="true" outlineLevel="0" collapsed="false">
      <c r="A2918" s="63"/>
      <c r="B2918" s="63"/>
      <c r="C2918" s="63"/>
      <c r="D2918" s="63"/>
      <c r="E2918" s="63"/>
      <c r="F2918" s="28" t="str">
        <f aca="false">IF(C2918="","",IF(OR(C2918="1. bekkur",C2918="2. bekkur",C2918="3. bekkur",C2918="4. bekkur"),"Já",IF(C2918="Starfsmaður","Nei","Nei")))</f>
        <v/>
      </c>
      <c r="G2918" s="63"/>
      <c r="H2918" s="63"/>
      <c r="I2918" s="63"/>
      <c r="J2918" s="64" t="str">
        <f aca="false">IF(OR(A2918="",B2918=""),"",CONCATENATE("https://matarstund.is/serfaedi?id=",LOWER(SUBSTITUTE(B2918,"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64" t="str">
        <f aca="false">IF(OR(A2919="",B2919=""),"",CONCATENATE("https://matarstund.is/serfaedi?id=",LOWER(SUBSTITUTE(B2919," ","-"))))</f>
        <v/>
      </c>
    </row>
    <row r="2920" customFormat="false" ht="15" hidden="false" customHeight="true" outlineLevel="0" collapsed="false">
      <c r="A2920" s="63"/>
      <c r="B2920" s="63"/>
      <c r="C2920" s="63"/>
      <c r="D2920" s="63"/>
      <c r="E2920" s="63"/>
      <c r="F2920" s="28" t="str">
        <f aca="false">IF(C2920="","",IF(OR(C2920="1. bekkur",C2920="2. bekkur",C2920="3. bekkur",C2920="4. bekkur"),"Já",IF(C2920="Starfsmaður","Nei","Nei")))</f>
        <v/>
      </c>
      <c r="G2920" s="63"/>
      <c r="H2920" s="63"/>
      <c r="I2920" s="63"/>
      <c r="J2920" s="64" t="str">
        <f aca="false">IF(OR(A2920="",B2920=""),"",CONCATENATE("https://matarstund.is/serfaedi?id=",LOWER(SUBSTITUTE(B2920,"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64" t="str">
        <f aca="false">IF(OR(A2921="",B2921=""),"",CONCATENATE("https://matarstund.is/serfaedi?id=",LOWER(SUBSTITUTE(B2921," ","-"))))</f>
        <v/>
      </c>
    </row>
    <row r="2922" customFormat="false" ht="15" hidden="false" customHeight="true" outlineLevel="0" collapsed="false">
      <c r="A2922" s="63"/>
      <c r="B2922" s="63"/>
      <c r="C2922" s="63"/>
      <c r="D2922" s="63"/>
      <c r="E2922" s="63"/>
      <c r="F2922" s="28" t="str">
        <f aca="false">IF(C2922="","",IF(OR(C2922="1. bekkur",C2922="2. bekkur",C2922="3. bekkur",C2922="4. bekkur"),"Já",IF(C2922="Starfsmaður","Nei","Nei")))</f>
        <v/>
      </c>
      <c r="G2922" s="63"/>
      <c r="H2922" s="63"/>
      <c r="I2922" s="63"/>
      <c r="J2922" s="64" t="str">
        <f aca="false">IF(OR(A2922="",B2922=""),"",CONCATENATE("https://matarstund.is/serfaedi?id=",LOWER(SUBSTITUTE(B2922,"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64" t="str">
        <f aca="false">IF(OR(A2923="",B2923=""),"",CONCATENATE("https://matarstund.is/serfaedi?id=",LOWER(SUBSTITUTE(B2923," ","-"))))</f>
        <v/>
      </c>
    </row>
    <row r="2924" customFormat="false" ht="15" hidden="false" customHeight="true" outlineLevel="0" collapsed="false">
      <c r="A2924" s="63"/>
      <c r="B2924" s="63"/>
      <c r="C2924" s="63"/>
      <c r="D2924" s="63"/>
      <c r="E2924" s="63"/>
      <c r="F2924" s="28" t="str">
        <f aca="false">IF(C2924="","",IF(OR(C2924="1. bekkur",C2924="2. bekkur",C2924="3. bekkur",C2924="4. bekkur"),"Já",IF(C2924="Starfsmaður","Nei","Nei")))</f>
        <v/>
      </c>
      <c r="G2924" s="63"/>
      <c r="H2924" s="63"/>
      <c r="I2924" s="63"/>
      <c r="J2924" s="64" t="str">
        <f aca="false">IF(OR(A2924="",B2924=""),"",CONCATENATE("https://matarstund.is/serfaedi?id=",LOWER(SUBSTITUTE(B2924,"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64" t="str">
        <f aca="false">IF(OR(A2925="",B2925=""),"",CONCATENATE("https://matarstund.is/serfaedi?id=",LOWER(SUBSTITUTE(B2925," ","-"))))</f>
        <v/>
      </c>
    </row>
    <row r="2926" customFormat="false" ht="15" hidden="false" customHeight="true" outlineLevel="0" collapsed="false">
      <c r="A2926" s="63"/>
      <c r="B2926" s="63"/>
      <c r="C2926" s="63"/>
      <c r="D2926" s="63"/>
      <c r="E2926" s="63"/>
      <c r="F2926" s="28" t="str">
        <f aca="false">IF(C2926="","",IF(OR(C2926="1. bekkur",C2926="2. bekkur",C2926="3. bekkur",C2926="4. bekkur"),"Já",IF(C2926="Starfsmaður","Nei","Nei")))</f>
        <v/>
      </c>
      <c r="G2926" s="63"/>
      <c r="H2926" s="63"/>
      <c r="I2926" s="63"/>
      <c r="J2926" s="64" t="str">
        <f aca="false">IF(OR(A2926="",B2926=""),"",CONCATENATE("https://matarstund.is/serfaedi?id=",LOWER(SUBSTITUTE(B2926,"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64" t="str">
        <f aca="false">IF(OR(A2927="",B2927=""),"",CONCATENATE("https://matarstund.is/serfaedi?id=",LOWER(SUBSTITUTE(B2927," ","-"))))</f>
        <v/>
      </c>
    </row>
    <row r="2928" customFormat="false" ht="15" hidden="false" customHeight="true" outlineLevel="0" collapsed="false">
      <c r="A2928" s="63"/>
      <c r="B2928" s="63"/>
      <c r="C2928" s="63"/>
      <c r="D2928" s="63"/>
      <c r="E2928" s="63"/>
      <c r="F2928" s="28" t="str">
        <f aca="false">IF(C2928="","",IF(OR(C2928="1. bekkur",C2928="2. bekkur",C2928="3. bekkur",C2928="4. bekkur"),"Já",IF(C2928="Starfsmaður","Nei","Nei")))</f>
        <v/>
      </c>
      <c r="G2928" s="63"/>
      <c r="H2928" s="63"/>
      <c r="I2928" s="63"/>
      <c r="J2928" s="64" t="str">
        <f aca="false">IF(OR(A2928="",B2928=""),"",CONCATENATE("https://matarstund.is/serfaedi?id=",LOWER(SUBSTITUTE(B2928,"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64" t="str">
        <f aca="false">IF(OR(A2929="",B2929=""),"",CONCATENATE("https://matarstund.is/serfaedi?id=",LOWER(SUBSTITUTE(B2929," ","-"))))</f>
        <v/>
      </c>
    </row>
    <row r="2930" customFormat="false" ht="15" hidden="false" customHeight="true" outlineLevel="0" collapsed="false">
      <c r="A2930" s="63"/>
      <c r="B2930" s="63"/>
      <c r="C2930" s="63"/>
      <c r="D2930" s="63"/>
      <c r="E2930" s="63"/>
      <c r="F2930" s="28" t="str">
        <f aca="false">IF(C2930="","",IF(OR(C2930="1. bekkur",C2930="2. bekkur",C2930="3. bekkur",C2930="4. bekkur"),"Já",IF(C2930="Starfsmaður","Nei","Nei")))</f>
        <v/>
      </c>
      <c r="G2930" s="63"/>
      <c r="H2930" s="63"/>
      <c r="I2930" s="63"/>
      <c r="J2930" s="64" t="str">
        <f aca="false">IF(OR(A2930="",B2930=""),"",CONCATENATE("https://matarstund.is/serfaedi?id=",LOWER(SUBSTITUTE(B2930,"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64" t="str">
        <f aca="false">IF(OR(A2931="",B2931=""),"",CONCATENATE("https://matarstund.is/serfaedi?id=",LOWER(SUBSTITUTE(B2931," ","-"))))</f>
        <v/>
      </c>
    </row>
    <row r="2932" customFormat="false" ht="15" hidden="false" customHeight="true" outlineLevel="0" collapsed="false">
      <c r="A2932" s="63"/>
      <c r="B2932" s="63"/>
      <c r="C2932" s="63"/>
      <c r="D2932" s="63"/>
      <c r="E2932" s="63"/>
      <c r="F2932" s="28" t="str">
        <f aca="false">IF(C2932="","",IF(OR(C2932="1. bekkur",C2932="2. bekkur",C2932="3. bekkur",C2932="4. bekkur"),"Já",IF(C2932="Starfsmaður","Nei","Nei")))</f>
        <v/>
      </c>
      <c r="G2932" s="63"/>
      <c r="H2932" s="63"/>
      <c r="I2932" s="63"/>
      <c r="J2932" s="64" t="str">
        <f aca="false">IF(OR(A2932="",B2932=""),"",CONCATENATE("https://matarstund.is/serfaedi?id=",LOWER(SUBSTITUTE(B2932,"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64" t="str">
        <f aca="false">IF(OR(A2933="",B2933=""),"",CONCATENATE("https://matarstund.is/serfaedi?id=",LOWER(SUBSTITUTE(B2933," ","-"))))</f>
        <v/>
      </c>
    </row>
    <row r="2934" customFormat="false" ht="15" hidden="false" customHeight="true" outlineLevel="0" collapsed="false">
      <c r="A2934" s="63"/>
      <c r="B2934" s="63"/>
      <c r="C2934" s="63"/>
      <c r="D2934" s="63"/>
      <c r="E2934" s="63"/>
      <c r="F2934" s="28" t="str">
        <f aca="false">IF(C2934="","",IF(OR(C2934="1. bekkur",C2934="2. bekkur",C2934="3. bekkur",C2934="4. bekkur"),"Já",IF(C2934="Starfsmaður","Nei","Nei")))</f>
        <v/>
      </c>
      <c r="G2934" s="63"/>
      <c r="H2934" s="63"/>
      <c r="I2934" s="63"/>
      <c r="J2934" s="64" t="str">
        <f aca="false">IF(OR(A2934="",B2934=""),"",CONCATENATE("https://matarstund.is/serfaedi?id=",LOWER(SUBSTITUTE(B2934,"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64" t="str">
        <f aca="false">IF(OR(A2935="",B2935=""),"",CONCATENATE("https://matarstund.is/serfaedi?id=",LOWER(SUBSTITUTE(B2935," ","-"))))</f>
        <v/>
      </c>
    </row>
    <row r="2936" customFormat="false" ht="15" hidden="false" customHeight="true" outlineLevel="0" collapsed="false">
      <c r="A2936" s="63"/>
      <c r="B2936" s="63"/>
      <c r="C2936" s="63"/>
      <c r="D2936" s="63"/>
      <c r="E2936" s="63"/>
      <c r="F2936" s="28" t="str">
        <f aca="false">IF(C2936="","",IF(OR(C2936="1. bekkur",C2936="2. bekkur",C2936="3. bekkur",C2936="4. bekkur"),"Já",IF(C2936="Starfsmaður","Nei","Nei")))</f>
        <v/>
      </c>
      <c r="G2936" s="63"/>
      <c r="H2936" s="63"/>
      <c r="I2936" s="63"/>
      <c r="J2936" s="64" t="str">
        <f aca="false">IF(OR(A2936="",B2936=""),"",CONCATENATE("https://matarstund.is/serfaedi?id=",LOWER(SUBSTITUTE(B2936,"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64" t="str">
        <f aca="false">IF(OR(A2937="",B2937=""),"",CONCATENATE("https://matarstund.is/serfaedi?id=",LOWER(SUBSTITUTE(B2937," ","-"))))</f>
        <v/>
      </c>
    </row>
    <row r="2938" customFormat="false" ht="15" hidden="false" customHeight="true" outlineLevel="0" collapsed="false">
      <c r="A2938" s="63"/>
      <c r="B2938" s="63"/>
      <c r="C2938" s="63"/>
      <c r="D2938" s="63"/>
      <c r="E2938" s="63"/>
      <c r="F2938" s="28" t="str">
        <f aca="false">IF(C2938="","",IF(OR(C2938="1. bekkur",C2938="2. bekkur",C2938="3. bekkur",C2938="4. bekkur"),"Já",IF(C2938="Starfsmaður","Nei","Nei")))</f>
        <v/>
      </c>
      <c r="G2938" s="63"/>
      <c r="H2938" s="63"/>
      <c r="I2938" s="63"/>
      <c r="J2938" s="64" t="str">
        <f aca="false">IF(OR(A2938="",B2938=""),"",CONCATENATE("https://matarstund.is/serfaedi?id=",LOWER(SUBSTITUTE(B2938,"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64" t="str">
        <f aca="false">IF(OR(A2939="",B2939=""),"",CONCATENATE("https://matarstund.is/serfaedi?id=",LOWER(SUBSTITUTE(B2939," ","-"))))</f>
        <v/>
      </c>
    </row>
    <row r="2940" customFormat="false" ht="15" hidden="false" customHeight="true" outlineLevel="0" collapsed="false">
      <c r="A2940" s="63"/>
      <c r="B2940" s="63"/>
      <c r="C2940" s="63"/>
      <c r="D2940" s="63"/>
      <c r="E2940" s="63"/>
      <c r="F2940" s="28" t="str">
        <f aca="false">IF(C2940="","",IF(OR(C2940="1. bekkur",C2940="2. bekkur",C2940="3. bekkur",C2940="4. bekkur"),"Já",IF(C2940="Starfsmaður","Nei","Nei")))</f>
        <v/>
      </c>
      <c r="G2940" s="63"/>
      <c r="H2940" s="63"/>
      <c r="I2940" s="63"/>
      <c r="J2940" s="64" t="str">
        <f aca="false">IF(OR(A2940="",B2940=""),"",CONCATENATE("https://matarstund.is/serfaedi?id=",LOWER(SUBSTITUTE(B2940,"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64" t="str">
        <f aca="false">IF(OR(A2941="",B2941=""),"",CONCATENATE("https://matarstund.is/serfaedi?id=",LOWER(SUBSTITUTE(B2941," ","-"))))</f>
        <v/>
      </c>
    </row>
    <row r="2942" customFormat="false" ht="15" hidden="false" customHeight="true" outlineLevel="0" collapsed="false">
      <c r="A2942" s="63"/>
      <c r="B2942" s="63"/>
      <c r="C2942" s="63"/>
      <c r="D2942" s="63"/>
      <c r="E2942" s="63"/>
      <c r="F2942" s="28" t="str">
        <f aca="false">IF(C2942="","",IF(OR(C2942="1. bekkur",C2942="2. bekkur",C2942="3. bekkur",C2942="4. bekkur"),"Já",IF(C2942="Starfsmaður","Nei","Nei")))</f>
        <v/>
      </c>
      <c r="G2942" s="63"/>
      <c r="H2942" s="63"/>
      <c r="I2942" s="63"/>
      <c r="J2942" s="64" t="str">
        <f aca="false">IF(OR(A2942="",B2942=""),"",CONCATENATE("https://matarstund.is/serfaedi?id=",LOWER(SUBSTITUTE(B2942,"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64" t="str">
        <f aca="false">IF(OR(A2943="",B2943=""),"",CONCATENATE("https://matarstund.is/serfaedi?id=",LOWER(SUBSTITUTE(B2943," ","-"))))</f>
        <v/>
      </c>
    </row>
    <row r="2944" customFormat="false" ht="15" hidden="false" customHeight="true" outlineLevel="0" collapsed="false">
      <c r="A2944" s="63"/>
      <c r="B2944" s="63"/>
      <c r="C2944" s="63"/>
      <c r="D2944" s="63"/>
      <c r="E2944" s="63"/>
      <c r="F2944" s="28" t="str">
        <f aca="false">IF(C2944="","",IF(OR(C2944="1. bekkur",C2944="2. bekkur",C2944="3. bekkur",C2944="4. bekkur"),"Já",IF(C2944="Starfsmaður","Nei","Nei")))</f>
        <v/>
      </c>
      <c r="G2944" s="63"/>
      <c r="H2944" s="63"/>
      <c r="I2944" s="63"/>
      <c r="J2944" s="64" t="str">
        <f aca="false">IF(OR(A2944="",B2944=""),"",CONCATENATE("https://matarstund.is/serfaedi?id=",LOWER(SUBSTITUTE(B2944,"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64" t="str">
        <f aca="false">IF(OR(A2945="",B2945=""),"",CONCATENATE("https://matarstund.is/serfaedi?id=",LOWER(SUBSTITUTE(B2945," ","-"))))</f>
        <v/>
      </c>
    </row>
    <row r="2946" customFormat="false" ht="15" hidden="false" customHeight="true" outlineLevel="0" collapsed="false">
      <c r="A2946" s="63"/>
      <c r="B2946" s="63"/>
      <c r="C2946" s="63"/>
      <c r="D2946" s="63"/>
      <c r="E2946" s="63"/>
      <c r="F2946" s="28" t="str">
        <f aca="false">IF(C2946="","",IF(OR(C2946="1. bekkur",C2946="2. bekkur",C2946="3. bekkur",C2946="4. bekkur"),"Já",IF(C2946="Starfsmaður","Nei","Nei")))</f>
        <v/>
      </c>
      <c r="G2946" s="63"/>
      <c r="H2946" s="63"/>
      <c r="I2946" s="63"/>
      <c r="J2946" s="64" t="str">
        <f aca="false">IF(OR(A2946="",B2946=""),"",CONCATENATE("https://matarstund.is/serfaedi?id=",LOWER(SUBSTITUTE(B2946,"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64" t="str">
        <f aca="false">IF(OR(A2947="",B2947=""),"",CONCATENATE("https://matarstund.is/serfaedi?id=",LOWER(SUBSTITUTE(B2947," ","-"))))</f>
        <v/>
      </c>
    </row>
    <row r="2948" customFormat="false" ht="15" hidden="false" customHeight="true" outlineLevel="0" collapsed="false">
      <c r="A2948" s="63"/>
      <c r="B2948" s="63"/>
      <c r="C2948" s="63"/>
      <c r="D2948" s="63"/>
      <c r="E2948" s="63"/>
      <c r="F2948" s="28" t="str">
        <f aca="false">IF(C2948="","",IF(OR(C2948="1. bekkur",C2948="2. bekkur",C2948="3. bekkur",C2948="4. bekkur"),"Já",IF(C2948="Starfsmaður","Nei","Nei")))</f>
        <v/>
      </c>
      <c r="G2948" s="63"/>
      <c r="H2948" s="63"/>
      <c r="I2948" s="63"/>
      <c r="J2948" s="64" t="str">
        <f aca="false">IF(OR(A2948="",B2948=""),"",CONCATENATE("https://matarstund.is/serfaedi?id=",LOWER(SUBSTITUTE(B2948,"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64" t="str">
        <f aca="false">IF(OR(A2949="",B2949=""),"",CONCATENATE("https://matarstund.is/serfaedi?id=",LOWER(SUBSTITUTE(B2949," ","-"))))</f>
        <v/>
      </c>
    </row>
    <row r="2950" customFormat="false" ht="15" hidden="false" customHeight="true" outlineLevel="0" collapsed="false">
      <c r="A2950" s="63"/>
      <c r="B2950" s="63"/>
      <c r="C2950" s="63"/>
      <c r="D2950" s="63"/>
      <c r="E2950" s="63"/>
      <c r="F2950" s="28" t="str">
        <f aca="false">IF(C2950="","",IF(OR(C2950="1. bekkur",C2950="2. bekkur",C2950="3. bekkur",C2950="4. bekkur"),"Já",IF(C2950="Starfsmaður","Nei","Nei")))</f>
        <v/>
      </c>
      <c r="G2950" s="63"/>
      <c r="H2950" s="63"/>
      <c r="I2950" s="63"/>
      <c r="J2950" s="64" t="str">
        <f aca="false">IF(OR(A2950="",B2950=""),"",CONCATENATE("https://matarstund.is/serfaedi?id=",LOWER(SUBSTITUTE(B2950,"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64" t="str">
        <f aca="false">IF(OR(A2951="",B2951=""),"",CONCATENATE("https://matarstund.is/serfaedi?id=",LOWER(SUBSTITUTE(B2951," ","-"))))</f>
        <v/>
      </c>
    </row>
    <row r="2952" customFormat="false" ht="15" hidden="false" customHeight="true" outlineLevel="0" collapsed="false">
      <c r="A2952" s="63"/>
      <c r="B2952" s="63"/>
      <c r="C2952" s="63"/>
      <c r="D2952" s="63"/>
      <c r="E2952" s="63"/>
      <c r="F2952" s="28" t="str">
        <f aca="false">IF(C2952="","",IF(OR(C2952="1. bekkur",C2952="2. bekkur",C2952="3. bekkur",C2952="4. bekkur"),"Já",IF(C2952="Starfsmaður","Nei","Nei")))</f>
        <v/>
      </c>
      <c r="G2952" s="63"/>
      <c r="H2952" s="63"/>
      <c r="I2952" s="63"/>
      <c r="J2952" s="64" t="str">
        <f aca="false">IF(OR(A2952="",B2952=""),"",CONCATENATE("https://matarstund.is/serfaedi?id=",LOWER(SUBSTITUTE(B2952,"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64" t="str">
        <f aca="false">IF(OR(A2953="",B2953=""),"",CONCATENATE("https://matarstund.is/serfaedi?id=",LOWER(SUBSTITUTE(B2953," ","-"))))</f>
        <v/>
      </c>
    </row>
    <row r="2954" customFormat="false" ht="15" hidden="false" customHeight="true" outlineLevel="0" collapsed="false">
      <c r="A2954" s="63"/>
      <c r="B2954" s="63"/>
      <c r="C2954" s="63"/>
      <c r="D2954" s="63"/>
      <c r="E2954" s="63"/>
      <c r="F2954" s="28" t="str">
        <f aca="false">IF(C2954="","",IF(OR(C2954="1. bekkur",C2954="2. bekkur",C2954="3. bekkur",C2954="4. bekkur"),"Já",IF(C2954="Starfsmaður","Nei","Nei")))</f>
        <v/>
      </c>
      <c r="G2954" s="63"/>
      <c r="H2954" s="63"/>
      <c r="I2954" s="63"/>
      <c r="J2954" s="64" t="str">
        <f aca="false">IF(OR(A2954="",B2954=""),"",CONCATENATE("https://matarstund.is/serfaedi?id=",LOWER(SUBSTITUTE(B2954,"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64" t="str">
        <f aca="false">IF(OR(A2955="",B2955=""),"",CONCATENATE("https://matarstund.is/serfaedi?id=",LOWER(SUBSTITUTE(B2955," ","-"))))</f>
        <v/>
      </c>
    </row>
    <row r="2956" customFormat="false" ht="15" hidden="false" customHeight="true" outlineLevel="0" collapsed="false">
      <c r="A2956" s="63"/>
      <c r="B2956" s="63"/>
      <c r="C2956" s="63"/>
      <c r="D2956" s="63"/>
      <c r="E2956" s="63"/>
      <c r="F2956" s="28" t="str">
        <f aca="false">IF(C2956="","",IF(OR(C2956="1. bekkur",C2956="2. bekkur",C2956="3. bekkur",C2956="4. bekkur"),"Já",IF(C2956="Starfsmaður","Nei","Nei")))</f>
        <v/>
      </c>
      <c r="G2956" s="63"/>
      <c r="H2956" s="63"/>
      <c r="I2956" s="63"/>
      <c r="J2956" s="64" t="str">
        <f aca="false">IF(OR(A2956="",B2956=""),"",CONCATENATE("https://matarstund.is/serfaedi?id=",LOWER(SUBSTITUTE(B2956,"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64" t="str">
        <f aca="false">IF(OR(A2957="",B2957=""),"",CONCATENATE("https://matarstund.is/serfaedi?id=",LOWER(SUBSTITUTE(B2957," ","-"))))</f>
        <v/>
      </c>
    </row>
    <row r="2958" customFormat="false" ht="15" hidden="false" customHeight="true" outlineLevel="0" collapsed="false">
      <c r="A2958" s="63"/>
      <c r="B2958" s="63"/>
      <c r="C2958" s="63"/>
      <c r="D2958" s="63"/>
      <c r="E2958" s="63"/>
      <c r="F2958" s="28" t="str">
        <f aca="false">IF(C2958="","",IF(OR(C2958="1. bekkur",C2958="2. bekkur",C2958="3. bekkur",C2958="4. bekkur"),"Já",IF(C2958="Starfsmaður","Nei","Nei")))</f>
        <v/>
      </c>
      <c r="G2958" s="63"/>
      <c r="H2958" s="63"/>
      <c r="I2958" s="63"/>
      <c r="J2958" s="64" t="str">
        <f aca="false">IF(OR(A2958="",B2958=""),"",CONCATENATE("https://matarstund.is/serfaedi?id=",LOWER(SUBSTITUTE(B2958,"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64" t="str">
        <f aca="false">IF(OR(A2959="",B2959=""),"",CONCATENATE("https://matarstund.is/serfaedi?id=",LOWER(SUBSTITUTE(B2959," ","-"))))</f>
        <v/>
      </c>
    </row>
    <row r="2960" customFormat="false" ht="15" hidden="false" customHeight="true" outlineLevel="0" collapsed="false">
      <c r="A2960" s="63"/>
      <c r="B2960" s="63"/>
      <c r="C2960" s="63"/>
      <c r="D2960" s="63"/>
      <c r="E2960" s="63"/>
      <c r="F2960" s="28" t="str">
        <f aca="false">IF(C2960="","",IF(OR(C2960="1. bekkur",C2960="2. bekkur",C2960="3. bekkur",C2960="4. bekkur"),"Já",IF(C2960="Starfsmaður","Nei","Nei")))</f>
        <v/>
      </c>
      <c r="G2960" s="63"/>
      <c r="H2960" s="63"/>
      <c r="I2960" s="63"/>
      <c r="J2960" s="64" t="str">
        <f aca="false">IF(OR(A2960="",B2960=""),"",CONCATENATE("https://matarstund.is/serfaedi?id=",LOWER(SUBSTITUTE(B2960,"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64" t="str">
        <f aca="false">IF(OR(A2961="",B2961=""),"",CONCATENATE("https://matarstund.is/serfaedi?id=",LOWER(SUBSTITUTE(B2961," ","-"))))</f>
        <v/>
      </c>
    </row>
    <row r="2962" customFormat="false" ht="15" hidden="false" customHeight="true" outlineLevel="0" collapsed="false">
      <c r="A2962" s="63"/>
      <c r="B2962" s="63"/>
      <c r="C2962" s="63"/>
      <c r="D2962" s="63"/>
      <c r="E2962" s="63"/>
      <c r="F2962" s="28" t="str">
        <f aca="false">IF(C2962="","",IF(OR(C2962="1. bekkur",C2962="2. bekkur",C2962="3. bekkur",C2962="4. bekkur"),"Já",IF(C2962="Starfsmaður","Nei","Nei")))</f>
        <v/>
      </c>
      <c r="G2962" s="63"/>
      <c r="H2962" s="63"/>
      <c r="I2962" s="63"/>
      <c r="J2962" s="64" t="str">
        <f aca="false">IF(OR(A2962="",B2962=""),"",CONCATENATE("https://matarstund.is/serfaedi?id=",LOWER(SUBSTITUTE(B2962,"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64" t="str">
        <f aca="false">IF(OR(A2963="",B2963=""),"",CONCATENATE("https://matarstund.is/serfaedi?id=",LOWER(SUBSTITUTE(B2963," ","-"))))</f>
        <v/>
      </c>
    </row>
    <row r="2964" customFormat="false" ht="15" hidden="false" customHeight="true" outlineLevel="0" collapsed="false">
      <c r="A2964" s="63"/>
      <c r="B2964" s="63"/>
      <c r="C2964" s="63"/>
      <c r="D2964" s="63"/>
      <c r="E2964" s="63"/>
      <c r="F2964" s="28" t="str">
        <f aca="false">IF(C2964="","",IF(OR(C2964="1. bekkur",C2964="2. bekkur",C2964="3. bekkur",C2964="4. bekkur"),"Já",IF(C2964="Starfsmaður","Nei","Nei")))</f>
        <v/>
      </c>
      <c r="G2964" s="63"/>
      <c r="H2964" s="63"/>
      <c r="I2964" s="63"/>
      <c r="J2964" s="64" t="str">
        <f aca="false">IF(OR(A2964="",B2964=""),"",CONCATENATE("https://matarstund.is/serfaedi?id=",LOWER(SUBSTITUTE(B2964,"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64" t="str">
        <f aca="false">IF(OR(A2965="",B2965=""),"",CONCATENATE("https://matarstund.is/serfaedi?id=",LOWER(SUBSTITUTE(B2965," ","-"))))</f>
        <v/>
      </c>
    </row>
    <row r="2966" customFormat="false" ht="15" hidden="false" customHeight="true" outlineLevel="0" collapsed="false">
      <c r="A2966" s="63"/>
      <c r="B2966" s="63"/>
      <c r="C2966" s="63"/>
      <c r="D2966" s="63"/>
      <c r="E2966" s="63"/>
      <c r="F2966" s="28" t="str">
        <f aca="false">IF(C2966="","",IF(OR(C2966="1. bekkur",C2966="2. bekkur",C2966="3. bekkur",C2966="4. bekkur"),"Já",IF(C2966="Starfsmaður","Nei","Nei")))</f>
        <v/>
      </c>
      <c r="G2966" s="63"/>
      <c r="H2966" s="63"/>
      <c r="I2966" s="63"/>
      <c r="J2966" s="64" t="str">
        <f aca="false">IF(OR(A2966="",B2966=""),"",CONCATENATE("https://matarstund.is/serfaedi?id=",LOWER(SUBSTITUTE(B2966,"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64" t="str">
        <f aca="false">IF(OR(A2967="",B2967=""),"",CONCATENATE("https://matarstund.is/serfaedi?id=",LOWER(SUBSTITUTE(B2967," ","-"))))</f>
        <v/>
      </c>
    </row>
    <row r="2968" customFormat="false" ht="15" hidden="false" customHeight="true" outlineLevel="0" collapsed="false">
      <c r="A2968" s="63"/>
      <c r="B2968" s="63"/>
      <c r="C2968" s="63"/>
      <c r="D2968" s="63"/>
      <c r="E2968" s="63"/>
      <c r="F2968" s="28" t="str">
        <f aca="false">IF(C2968="","",IF(OR(C2968="1. bekkur",C2968="2. bekkur",C2968="3. bekkur",C2968="4. bekkur"),"Já",IF(C2968="Starfsmaður","Nei","Nei")))</f>
        <v/>
      </c>
      <c r="G2968" s="63"/>
      <c r="H2968" s="63"/>
      <c r="I2968" s="63"/>
      <c r="J2968" s="64" t="str">
        <f aca="false">IF(OR(A2968="",B2968=""),"",CONCATENATE("https://matarstund.is/serfaedi?id=",LOWER(SUBSTITUTE(B2968,"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64" t="str">
        <f aca="false">IF(OR(A2969="",B2969=""),"",CONCATENATE("https://matarstund.is/serfaedi?id=",LOWER(SUBSTITUTE(B2969," ","-"))))</f>
        <v/>
      </c>
    </row>
    <row r="2970" customFormat="false" ht="15" hidden="false" customHeight="true" outlineLevel="0" collapsed="false">
      <c r="A2970" s="63"/>
      <c r="B2970" s="63"/>
      <c r="C2970" s="63"/>
      <c r="D2970" s="63"/>
      <c r="E2970" s="63"/>
      <c r="F2970" s="28" t="str">
        <f aca="false">IF(C2970="","",IF(OR(C2970="1. bekkur",C2970="2. bekkur",C2970="3. bekkur",C2970="4. bekkur"),"Já",IF(C2970="Starfsmaður","Nei","Nei")))</f>
        <v/>
      </c>
      <c r="G2970" s="63"/>
      <c r="H2970" s="63"/>
      <c r="I2970" s="63"/>
      <c r="J2970" s="64" t="str">
        <f aca="false">IF(OR(A2970="",B2970=""),"",CONCATENATE("https://matarstund.is/serfaedi?id=",LOWER(SUBSTITUTE(B2970,"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64" t="str">
        <f aca="false">IF(OR(A2971="",B2971=""),"",CONCATENATE("https://matarstund.is/serfaedi?id=",LOWER(SUBSTITUTE(B2971," ","-"))))</f>
        <v/>
      </c>
    </row>
    <row r="2972" customFormat="false" ht="15" hidden="false" customHeight="true" outlineLevel="0" collapsed="false">
      <c r="A2972" s="63"/>
      <c r="B2972" s="63"/>
      <c r="C2972" s="63"/>
      <c r="D2972" s="63"/>
      <c r="E2972" s="63"/>
      <c r="F2972" s="28" t="str">
        <f aca="false">IF(C2972="","",IF(OR(C2972="1. bekkur",C2972="2. bekkur",C2972="3. bekkur",C2972="4. bekkur"),"Já",IF(C2972="Starfsmaður","Nei","Nei")))</f>
        <v/>
      </c>
      <c r="G2972" s="63"/>
      <c r="H2972" s="63"/>
      <c r="I2972" s="63"/>
      <c r="J2972" s="64" t="str">
        <f aca="false">IF(OR(A2972="",B2972=""),"",CONCATENATE("https://matarstund.is/serfaedi?id=",LOWER(SUBSTITUTE(B2972,"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64" t="str">
        <f aca="false">IF(OR(A2973="",B2973=""),"",CONCATENATE("https://matarstund.is/serfaedi?id=",LOWER(SUBSTITUTE(B2973," ","-"))))</f>
        <v/>
      </c>
    </row>
    <row r="2974" customFormat="false" ht="15" hidden="false" customHeight="true" outlineLevel="0" collapsed="false">
      <c r="A2974" s="63"/>
      <c r="B2974" s="63"/>
      <c r="C2974" s="63"/>
      <c r="D2974" s="63"/>
      <c r="E2974" s="63"/>
      <c r="F2974" s="28" t="str">
        <f aca="false">IF(C2974="","",IF(OR(C2974="1. bekkur",C2974="2. bekkur",C2974="3. bekkur",C2974="4. bekkur"),"Já",IF(C2974="Starfsmaður","Nei","Nei")))</f>
        <v/>
      </c>
      <c r="G2974" s="63"/>
      <c r="H2974" s="63"/>
      <c r="I2974" s="63"/>
      <c r="J2974" s="64" t="str">
        <f aca="false">IF(OR(A2974="",B2974=""),"",CONCATENATE("https://matarstund.is/serfaedi?id=",LOWER(SUBSTITUTE(B2974,"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64" t="str">
        <f aca="false">IF(OR(A2975="",B2975=""),"",CONCATENATE("https://matarstund.is/serfaedi?id=",LOWER(SUBSTITUTE(B2975," ","-"))))</f>
        <v/>
      </c>
    </row>
    <row r="2976" customFormat="false" ht="15" hidden="false" customHeight="true" outlineLevel="0" collapsed="false">
      <c r="A2976" s="63"/>
      <c r="B2976" s="63"/>
      <c r="C2976" s="63"/>
      <c r="D2976" s="63"/>
      <c r="E2976" s="63"/>
      <c r="F2976" s="28" t="str">
        <f aca="false">IF(C2976="","",IF(OR(C2976="1. bekkur",C2976="2. bekkur",C2976="3. bekkur",C2976="4. bekkur"),"Já",IF(C2976="Starfsmaður","Nei","Nei")))</f>
        <v/>
      </c>
      <c r="G2976" s="63"/>
      <c r="H2976" s="63"/>
      <c r="I2976" s="63"/>
      <c r="J2976" s="64" t="str">
        <f aca="false">IF(OR(A2976="",B2976=""),"",CONCATENATE("https://matarstund.is/serfaedi?id=",LOWER(SUBSTITUTE(B2976,"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64" t="str">
        <f aca="false">IF(OR(A2977="",B2977=""),"",CONCATENATE("https://matarstund.is/serfaedi?id=",LOWER(SUBSTITUTE(B2977," ","-"))))</f>
        <v/>
      </c>
    </row>
    <row r="2978" customFormat="false" ht="15" hidden="false" customHeight="true" outlineLevel="0" collapsed="false">
      <c r="A2978" s="63"/>
      <c r="B2978" s="63"/>
      <c r="C2978" s="63"/>
      <c r="D2978" s="63"/>
      <c r="E2978" s="63"/>
      <c r="F2978" s="28" t="str">
        <f aca="false">IF(C2978="","",IF(OR(C2978="1. bekkur",C2978="2. bekkur",C2978="3. bekkur",C2978="4. bekkur"),"Já",IF(C2978="Starfsmaður","Nei","Nei")))</f>
        <v/>
      </c>
      <c r="G2978" s="63"/>
      <c r="H2978" s="63"/>
      <c r="I2978" s="63"/>
      <c r="J2978" s="64" t="str">
        <f aca="false">IF(OR(A2978="",B2978=""),"",CONCATENATE("https://matarstund.is/serfaedi?id=",LOWER(SUBSTITUTE(B2978,"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64" t="str">
        <f aca="false">IF(OR(A2979="",B2979=""),"",CONCATENATE("https://matarstund.is/serfaedi?id=",LOWER(SUBSTITUTE(B2979," ","-"))))</f>
        <v/>
      </c>
    </row>
    <row r="2980" customFormat="false" ht="15" hidden="false" customHeight="true" outlineLevel="0" collapsed="false">
      <c r="A2980" s="63"/>
      <c r="B2980" s="63"/>
      <c r="C2980" s="63"/>
      <c r="D2980" s="63"/>
      <c r="E2980" s="63"/>
      <c r="F2980" s="28" t="str">
        <f aca="false">IF(C2980="","",IF(OR(C2980="1. bekkur",C2980="2. bekkur",C2980="3. bekkur",C2980="4. bekkur"),"Já",IF(C2980="Starfsmaður","Nei","Nei")))</f>
        <v/>
      </c>
      <c r="G2980" s="63"/>
      <c r="H2980" s="63"/>
      <c r="I2980" s="63"/>
      <c r="J2980" s="64" t="str">
        <f aca="false">IF(OR(A2980="",B2980=""),"",CONCATENATE("https://matarstund.is/serfaedi?id=",LOWER(SUBSTITUTE(B2980,"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64" t="str">
        <f aca="false">IF(OR(A2981="",B2981=""),"",CONCATENATE("https://matarstund.is/serfaedi?id=",LOWER(SUBSTITUTE(B2981," ","-"))))</f>
        <v/>
      </c>
    </row>
    <row r="2982" customFormat="false" ht="15" hidden="false" customHeight="true" outlineLevel="0" collapsed="false">
      <c r="A2982" s="63"/>
      <c r="B2982" s="63"/>
      <c r="C2982" s="63"/>
      <c r="D2982" s="63"/>
      <c r="E2982" s="63"/>
      <c r="F2982" s="28" t="str">
        <f aca="false">IF(C2982="","",IF(OR(C2982="1. bekkur",C2982="2. bekkur",C2982="3. bekkur",C2982="4. bekkur"),"Já",IF(C2982="Starfsmaður","Nei","Nei")))</f>
        <v/>
      </c>
      <c r="G2982" s="63"/>
      <c r="H2982" s="63"/>
      <c r="I2982" s="63"/>
      <c r="J2982" s="64" t="str">
        <f aca="false">IF(OR(A2982="",B2982=""),"",CONCATENATE("https://matarstund.is/serfaedi?id=",LOWER(SUBSTITUTE(B2982,"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64" t="str">
        <f aca="false">IF(OR(A2983="",B2983=""),"",CONCATENATE("https://matarstund.is/serfaedi?id=",LOWER(SUBSTITUTE(B2983," ","-"))))</f>
        <v/>
      </c>
    </row>
    <row r="2984" customFormat="false" ht="15" hidden="false" customHeight="true" outlineLevel="0" collapsed="false">
      <c r="A2984" s="63"/>
      <c r="B2984" s="63"/>
      <c r="C2984" s="63"/>
      <c r="D2984" s="63"/>
      <c r="E2984" s="63"/>
      <c r="F2984" s="28" t="str">
        <f aca="false">IF(C2984="","",IF(OR(C2984="1. bekkur",C2984="2. bekkur",C2984="3. bekkur",C2984="4. bekkur"),"Já",IF(C2984="Starfsmaður","Nei","Nei")))</f>
        <v/>
      </c>
      <c r="G2984" s="63"/>
      <c r="H2984" s="63"/>
      <c r="I2984" s="63"/>
      <c r="J2984" s="64" t="str">
        <f aca="false">IF(OR(A2984="",B2984=""),"",CONCATENATE("https://matarstund.is/serfaedi?id=",LOWER(SUBSTITUTE(B2984,"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64" t="str">
        <f aca="false">IF(OR(A2985="",B2985=""),"",CONCATENATE("https://matarstund.is/serfaedi?id=",LOWER(SUBSTITUTE(B2985," ","-"))))</f>
        <v/>
      </c>
    </row>
    <row r="2986" customFormat="false" ht="15" hidden="false" customHeight="true" outlineLevel="0" collapsed="false">
      <c r="A2986" s="63"/>
      <c r="B2986" s="63"/>
      <c r="C2986" s="63"/>
      <c r="D2986" s="63"/>
      <c r="E2986" s="63"/>
      <c r="F2986" s="28" t="str">
        <f aca="false">IF(C2986="","",IF(OR(C2986="1. bekkur",C2986="2. bekkur",C2986="3. bekkur",C2986="4. bekkur"),"Já",IF(C2986="Starfsmaður","Nei","Nei")))</f>
        <v/>
      </c>
      <c r="G2986" s="63"/>
      <c r="H2986" s="63"/>
      <c r="I2986" s="63"/>
      <c r="J2986" s="64" t="str">
        <f aca="false">IF(OR(A2986="",B2986=""),"",CONCATENATE("https://matarstund.is/serfaedi?id=",LOWER(SUBSTITUTE(B2986,"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64" t="str">
        <f aca="false">IF(OR(A2987="",B2987=""),"",CONCATENATE("https://matarstund.is/serfaedi?id=",LOWER(SUBSTITUTE(B2987," ","-"))))</f>
        <v/>
      </c>
    </row>
    <row r="2988" customFormat="false" ht="15" hidden="false" customHeight="true" outlineLevel="0" collapsed="false">
      <c r="A2988" s="63"/>
      <c r="B2988" s="63"/>
      <c r="C2988" s="63"/>
      <c r="D2988" s="63"/>
      <c r="E2988" s="63"/>
      <c r="F2988" s="28" t="str">
        <f aca="false">IF(C2988="","",IF(OR(C2988="1. bekkur",C2988="2. bekkur",C2988="3. bekkur",C2988="4. bekkur"),"Já",IF(C2988="Starfsmaður","Nei","Nei")))</f>
        <v/>
      </c>
      <c r="G2988" s="63"/>
      <c r="H2988" s="63"/>
      <c r="I2988" s="63"/>
      <c r="J2988" s="64" t="str">
        <f aca="false">IF(OR(A2988="",B2988=""),"",CONCATENATE("https://matarstund.is/serfaedi?id=",LOWER(SUBSTITUTE(B2988,"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64" t="str">
        <f aca="false">IF(OR(A2989="",B2989=""),"",CONCATENATE("https://matarstund.is/serfaedi?id=",LOWER(SUBSTITUTE(B2989," ","-"))))</f>
        <v/>
      </c>
    </row>
    <row r="2990" customFormat="false" ht="15" hidden="false" customHeight="true" outlineLevel="0" collapsed="false">
      <c r="A2990" s="63"/>
      <c r="B2990" s="63"/>
      <c r="C2990" s="63"/>
      <c r="D2990" s="63"/>
      <c r="E2990" s="63"/>
      <c r="F2990" s="28" t="str">
        <f aca="false">IF(C2990="","",IF(OR(C2990="1. bekkur",C2990="2. bekkur",C2990="3. bekkur",C2990="4. bekkur"),"Já",IF(C2990="Starfsmaður","Nei","Nei")))</f>
        <v/>
      </c>
      <c r="G2990" s="63"/>
      <c r="H2990" s="63"/>
      <c r="I2990" s="63"/>
      <c r="J2990" s="64" t="str">
        <f aca="false">IF(OR(A2990="",B2990=""),"",CONCATENATE("https://matarstund.is/serfaedi?id=",LOWER(SUBSTITUTE(B2990,"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64" t="str">
        <f aca="false">IF(OR(A2991="",B2991=""),"",CONCATENATE("https://matarstund.is/serfaedi?id=",LOWER(SUBSTITUTE(B2991," ","-"))))</f>
        <v/>
      </c>
    </row>
    <row r="2992" customFormat="false" ht="15" hidden="false" customHeight="true" outlineLevel="0" collapsed="false">
      <c r="A2992" s="63"/>
      <c r="B2992" s="63"/>
      <c r="C2992" s="63"/>
      <c r="D2992" s="63"/>
      <c r="E2992" s="63"/>
      <c r="F2992" s="28" t="str">
        <f aca="false">IF(C2992="","",IF(OR(C2992="1. bekkur",C2992="2. bekkur",C2992="3. bekkur",C2992="4. bekkur"),"Já",IF(C2992="Starfsmaður","Nei","Nei")))</f>
        <v/>
      </c>
      <c r="G2992" s="63"/>
      <c r="H2992" s="63"/>
      <c r="I2992" s="63"/>
      <c r="J2992" s="64" t="str">
        <f aca="false">IF(OR(A2992="",B2992=""),"",CONCATENATE("https://matarstund.is/serfaedi?id=",LOWER(SUBSTITUTE(B2992,"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64" t="str">
        <f aca="false">IF(OR(A2993="",B2993=""),"",CONCATENATE("https://matarstund.is/serfaedi?id=",LOWER(SUBSTITUTE(B2993," ","-"))))</f>
        <v/>
      </c>
    </row>
    <row r="2994" customFormat="false" ht="15" hidden="false" customHeight="true" outlineLevel="0" collapsed="false">
      <c r="A2994" s="63"/>
      <c r="B2994" s="63"/>
      <c r="C2994" s="63"/>
      <c r="D2994" s="63"/>
      <c r="E2994" s="63"/>
      <c r="F2994" s="28" t="str">
        <f aca="false">IF(C2994="","",IF(OR(C2994="1. bekkur",C2994="2. bekkur",C2994="3. bekkur",C2994="4. bekkur"),"Já",IF(C2994="Starfsmaður","Nei","Nei")))</f>
        <v/>
      </c>
      <c r="G2994" s="63"/>
      <c r="H2994" s="63"/>
      <c r="I2994" s="63"/>
      <c r="J2994" s="64" t="str">
        <f aca="false">IF(OR(A2994="",B2994=""),"",CONCATENATE("https://matarstund.is/serfaedi?id=",LOWER(SUBSTITUTE(B2994,"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64" t="str">
        <f aca="false">IF(OR(A2995="",B2995=""),"",CONCATENATE("https://matarstund.is/serfaedi?id=",LOWER(SUBSTITUTE(B2995," ","-"))))</f>
        <v/>
      </c>
    </row>
    <row r="2996" customFormat="false" ht="15" hidden="false" customHeight="true" outlineLevel="0" collapsed="false">
      <c r="A2996" s="63"/>
      <c r="B2996" s="63"/>
      <c r="C2996" s="63"/>
      <c r="D2996" s="63"/>
      <c r="E2996" s="63"/>
      <c r="F2996" s="28" t="str">
        <f aca="false">IF(C2996="","",IF(OR(C2996="1. bekkur",C2996="2. bekkur",C2996="3. bekkur",C2996="4. bekkur"),"Já",IF(C2996="Starfsmaður","Nei","Nei")))</f>
        <v/>
      </c>
      <c r="G2996" s="63"/>
      <c r="H2996" s="63"/>
      <c r="I2996" s="63"/>
      <c r="J2996" s="64" t="str">
        <f aca="false">IF(OR(A2996="",B2996=""),"",CONCATENATE("https://matarstund.is/serfaedi?id=",LOWER(SUBSTITUTE(B2996,"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64" t="str">
        <f aca="false">IF(OR(A2997="",B2997=""),"",CONCATENATE("https://matarstund.is/serfaedi?id=",LOWER(SUBSTITUTE(B2997," ","-"))))</f>
        <v/>
      </c>
    </row>
    <row r="2998" customFormat="false" ht="15" hidden="false" customHeight="true" outlineLevel="0" collapsed="false">
      <c r="A2998" s="63"/>
      <c r="B2998" s="63"/>
      <c r="C2998" s="63"/>
      <c r="D2998" s="63"/>
      <c r="E2998" s="63"/>
      <c r="F2998" s="28" t="str">
        <f aca="false">IF(C2998="","",IF(OR(C2998="1. bekkur",C2998="2. bekkur",C2998="3. bekkur",C2998="4. bekkur"),"Já",IF(C2998="Starfsmaður","Nei","Nei")))</f>
        <v/>
      </c>
      <c r="G2998" s="63"/>
      <c r="H2998" s="63"/>
      <c r="I2998" s="63"/>
      <c r="J2998" s="64" t="str">
        <f aca="false">IF(OR(A2998="",B2998=""),"",CONCATENATE("https://matarstund.is/serfaedi?id=",LOWER(SUBSTITUTE(B2998,"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64" t="str">
        <f aca="false">IF(OR(A2999="",B2999=""),"",CONCATENATE("https://matarstund.is/serfaedi?id=",LOWER(SUBSTITUTE(B2999," ","-"))))</f>
        <v/>
      </c>
    </row>
    <row r="3000" customFormat="false" ht="15" hidden="false" customHeight="true" outlineLevel="0" collapsed="false">
      <c r="A3000" s="63"/>
      <c r="B3000" s="63"/>
      <c r="C3000" s="63"/>
      <c r="D3000" s="63"/>
      <c r="E3000" s="63"/>
      <c r="F3000" s="28" t="str">
        <f aca="false">IF(C3000="","",IF(OR(C3000="1. bekkur",C3000="2. bekkur",C3000="3. bekkur",C3000="4. bekkur"),"Já",IF(C3000="Starfsmaður","Nei","Nei")))</f>
        <v/>
      </c>
      <c r="G3000" s="63"/>
      <c r="H3000" s="63"/>
      <c r="I3000" s="63"/>
      <c r="J3000" s="64"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5" t="s">
        <v>2080</v>
      </c>
      <c r="B1" s="65"/>
      <c r="C1" s="65"/>
      <c r="D1" s="65"/>
      <c r="E1" s="65"/>
      <c r="F1" s="65"/>
      <c r="G1" s="65"/>
      <c r="H1" s="65"/>
    </row>
    <row r="2" customFormat="false" ht="27.75" hidden="false" customHeight="true" outlineLevel="0" collapsed="false">
      <c r="A2" s="58" t="s">
        <v>2081</v>
      </c>
      <c r="B2" s="58"/>
      <c r="C2" s="58"/>
      <c r="D2" s="58"/>
      <c r="E2" s="58"/>
      <c r="F2" s="58"/>
      <c r="G2" s="58"/>
      <c r="H2" s="58"/>
    </row>
    <row r="3" customFormat="false" ht="43.5" hidden="false" customHeight="true" outlineLevel="0" collapsed="false">
      <c r="A3" s="62" t="s">
        <v>872</v>
      </c>
      <c r="B3" s="62" t="s">
        <v>873</v>
      </c>
      <c r="C3" s="62" t="s">
        <v>874</v>
      </c>
      <c r="D3" s="66" t="s">
        <v>1697</v>
      </c>
      <c r="E3" s="62" t="s">
        <v>875</v>
      </c>
      <c r="F3" s="62" t="s">
        <v>686</v>
      </c>
      <c r="G3" s="67" t="s">
        <v>1699</v>
      </c>
      <c r="H3" s="18" t="s">
        <v>1700</v>
      </c>
    </row>
    <row r="4" customFormat="false" ht="15" hidden="false" customHeight="true" outlineLevel="0" collapsed="false">
      <c r="A4" s="68" t="s">
        <v>879</v>
      </c>
      <c r="B4" s="68" t="s">
        <v>880</v>
      </c>
      <c r="C4" s="68" t="s">
        <v>881</v>
      </c>
      <c r="D4" s="68" t="s">
        <v>1701</v>
      </c>
      <c r="E4" s="68" t="s">
        <v>882</v>
      </c>
      <c r="F4" s="68" t="s">
        <v>883</v>
      </c>
      <c r="G4" s="68"/>
      <c r="H4" s="64" t="s">
        <v>2082</v>
      </c>
    </row>
    <row r="5" customFormat="false" ht="15" hidden="false" customHeight="true" outlineLevel="0" collapsed="false">
      <c r="A5" s="9" t="s">
        <v>879</v>
      </c>
      <c r="B5" s="9" t="s">
        <v>2083</v>
      </c>
      <c r="C5" s="9" t="s">
        <v>887</v>
      </c>
      <c r="D5" s="9" t="s">
        <v>1701</v>
      </c>
      <c r="E5" s="9" t="s">
        <v>1186</v>
      </c>
      <c r="F5" s="9"/>
      <c r="G5" s="9"/>
      <c r="H5" s="64" t="s">
        <v>2084</v>
      </c>
    </row>
    <row r="6" customFormat="false" ht="15" hidden="false" customHeight="true" outlineLevel="0" collapsed="false">
      <c r="A6" s="68" t="s">
        <v>879</v>
      </c>
      <c r="B6" s="68" t="s">
        <v>943</v>
      </c>
      <c r="C6" s="68" t="s">
        <v>944</v>
      </c>
      <c r="D6" s="68" t="s">
        <v>1701</v>
      </c>
      <c r="E6" s="68" t="s">
        <v>843</v>
      </c>
      <c r="F6" s="68" t="s">
        <v>945</v>
      </c>
      <c r="G6" s="68"/>
      <c r="H6" s="64" t="s">
        <v>2085</v>
      </c>
    </row>
    <row r="7" customFormat="false" ht="15" hidden="false" customHeight="true" outlineLevel="0" collapsed="false">
      <c r="A7" s="9" t="s">
        <v>879</v>
      </c>
      <c r="B7" s="9" t="s">
        <v>947</v>
      </c>
      <c r="C7" s="9"/>
      <c r="D7" s="9" t="s">
        <v>1701</v>
      </c>
      <c r="E7" s="9" t="s">
        <v>40</v>
      </c>
      <c r="F7" s="9"/>
      <c r="G7" s="9"/>
      <c r="H7" s="64" t="s">
        <v>2086</v>
      </c>
    </row>
    <row r="8" customFormat="false" ht="15" hidden="false" customHeight="true" outlineLevel="0" collapsed="false">
      <c r="A8" s="68" t="s">
        <v>879</v>
      </c>
      <c r="B8" s="68" t="s">
        <v>949</v>
      </c>
      <c r="C8" s="68"/>
      <c r="D8" s="68" t="s">
        <v>1701</v>
      </c>
      <c r="E8" s="68" t="s">
        <v>811</v>
      </c>
      <c r="F8" s="68"/>
      <c r="G8" s="68"/>
      <c r="H8" s="64" t="s">
        <v>2087</v>
      </c>
    </row>
    <row r="9" customFormat="false" ht="15" hidden="false" customHeight="true" outlineLevel="0" collapsed="false">
      <c r="A9" s="9" t="s">
        <v>879</v>
      </c>
      <c r="B9" s="9" t="s">
        <v>998</v>
      </c>
      <c r="C9" s="9" t="s">
        <v>881</v>
      </c>
      <c r="D9" s="9" t="s">
        <v>1701</v>
      </c>
      <c r="E9" s="9" t="s">
        <v>146</v>
      </c>
      <c r="F9" s="9"/>
      <c r="G9" s="9"/>
      <c r="H9" s="64" t="s">
        <v>2088</v>
      </c>
    </row>
    <row r="10" customFormat="false" ht="15" hidden="false" customHeight="true" outlineLevel="0" collapsed="false">
      <c r="A10" s="68" t="s">
        <v>879</v>
      </c>
      <c r="B10" s="68" t="s">
        <v>999</v>
      </c>
      <c r="C10" s="68" t="s">
        <v>890</v>
      </c>
      <c r="D10" s="68" t="s">
        <v>1701</v>
      </c>
      <c r="E10" s="68" t="s">
        <v>146</v>
      </c>
      <c r="F10" s="68" t="s">
        <v>1000</v>
      </c>
      <c r="G10" s="68"/>
      <c r="H10" s="64" t="s">
        <v>2089</v>
      </c>
    </row>
    <row r="11" customFormat="false" ht="15" hidden="false" customHeight="true" outlineLevel="0" collapsed="false">
      <c r="A11" s="9" t="s">
        <v>879</v>
      </c>
      <c r="B11" s="9" t="s">
        <v>1001</v>
      </c>
      <c r="C11" s="9"/>
      <c r="D11" s="9" t="s">
        <v>1701</v>
      </c>
      <c r="E11" s="9" t="s">
        <v>146</v>
      </c>
      <c r="F11" s="9"/>
      <c r="G11" s="9"/>
      <c r="H11" s="64" t="s">
        <v>2090</v>
      </c>
    </row>
    <row r="12" customFormat="false" ht="15" hidden="false" customHeight="true" outlineLevel="0" collapsed="false">
      <c r="A12" s="68" t="s">
        <v>879</v>
      </c>
      <c r="B12" s="68" t="s">
        <v>2091</v>
      </c>
      <c r="C12" s="68" t="s">
        <v>890</v>
      </c>
      <c r="D12" s="68" t="s">
        <v>1701</v>
      </c>
      <c r="E12" s="68" t="s">
        <v>1135</v>
      </c>
      <c r="F12" s="68"/>
      <c r="G12" s="68"/>
      <c r="H12" s="64" t="s">
        <v>2092</v>
      </c>
    </row>
    <row r="13" customFormat="false" ht="15" hidden="false" customHeight="true" outlineLevel="0" collapsed="false">
      <c r="A13" s="9" t="s">
        <v>879</v>
      </c>
      <c r="B13" s="9" t="s">
        <v>2093</v>
      </c>
      <c r="C13" s="9" t="s">
        <v>1669</v>
      </c>
      <c r="D13" s="9" t="s">
        <v>1701</v>
      </c>
      <c r="E13" s="9" t="s">
        <v>1135</v>
      </c>
      <c r="F13" s="9"/>
      <c r="G13" s="9"/>
      <c r="H13" s="64" t="s">
        <v>2094</v>
      </c>
    </row>
    <row r="14" customFormat="false" ht="15" hidden="false" customHeight="true" outlineLevel="0" collapsed="false">
      <c r="A14" s="68" t="s">
        <v>879</v>
      </c>
      <c r="B14" s="68" t="s">
        <v>886</v>
      </c>
      <c r="C14" s="68" t="s">
        <v>887</v>
      </c>
      <c r="D14" s="68" t="s">
        <v>1701</v>
      </c>
      <c r="E14" s="68" t="s">
        <v>882</v>
      </c>
      <c r="F14" s="68"/>
      <c r="G14" s="68"/>
      <c r="H14" s="64" t="s">
        <v>2095</v>
      </c>
    </row>
    <row r="15" customFormat="false" ht="15" hidden="false" customHeight="true" outlineLevel="0" collapsed="false">
      <c r="A15" s="9" t="s">
        <v>879</v>
      </c>
      <c r="B15" s="9" t="s">
        <v>888</v>
      </c>
      <c r="C15" s="9" t="s">
        <v>887</v>
      </c>
      <c r="D15" s="9" t="s">
        <v>1701</v>
      </c>
      <c r="E15" s="9" t="s">
        <v>882</v>
      </c>
      <c r="F15" s="9"/>
      <c r="G15" s="9"/>
      <c r="H15" s="64" t="s">
        <v>2096</v>
      </c>
    </row>
    <row r="16" customFormat="false" ht="15" hidden="false" customHeight="true" outlineLevel="0" collapsed="false">
      <c r="A16" s="68" t="s">
        <v>879</v>
      </c>
      <c r="B16" s="68" t="s">
        <v>889</v>
      </c>
      <c r="C16" s="68" t="s">
        <v>890</v>
      </c>
      <c r="D16" s="68" t="s">
        <v>1701</v>
      </c>
      <c r="E16" s="68" t="s">
        <v>882</v>
      </c>
      <c r="F16" s="68"/>
      <c r="G16" s="68"/>
      <c r="H16" s="64" t="s">
        <v>2097</v>
      </c>
    </row>
    <row r="17" customFormat="false" ht="15" hidden="false" customHeight="true" outlineLevel="0" collapsed="false">
      <c r="A17" s="9" t="s">
        <v>891</v>
      </c>
      <c r="B17" s="9" t="s">
        <v>1498</v>
      </c>
      <c r="C17" s="9" t="s">
        <v>1499</v>
      </c>
      <c r="D17" s="9" t="s">
        <v>1701</v>
      </c>
      <c r="E17" s="9" t="s">
        <v>1142</v>
      </c>
      <c r="F17" s="9" t="s">
        <v>1500</v>
      </c>
      <c r="G17" s="9"/>
      <c r="H17" s="64" t="s">
        <v>2098</v>
      </c>
    </row>
    <row r="18" customFormat="false" ht="15" hidden="false" customHeight="true" outlineLevel="0" collapsed="false">
      <c r="A18" s="68" t="s">
        <v>891</v>
      </c>
      <c r="B18" s="68" t="s">
        <v>1002</v>
      </c>
      <c r="C18" s="68" t="s">
        <v>898</v>
      </c>
      <c r="D18" s="68" t="s">
        <v>1701</v>
      </c>
      <c r="E18" s="68" t="s">
        <v>146</v>
      </c>
      <c r="F18" s="68"/>
      <c r="G18" s="68"/>
      <c r="H18" s="64" t="s">
        <v>2099</v>
      </c>
    </row>
    <row r="19" customFormat="false" ht="15" hidden="false" customHeight="true" outlineLevel="0" collapsed="false">
      <c r="A19" s="9" t="s">
        <v>891</v>
      </c>
      <c r="B19" s="9" t="s">
        <v>1501</v>
      </c>
      <c r="C19" s="9" t="s">
        <v>1004</v>
      </c>
      <c r="D19" s="9" t="s">
        <v>1701</v>
      </c>
      <c r="E19" s="9" t="s">
        <v>1502</v>
      </c>
      <c r="F19" s="9" t="s">
        <v>1008</v>
      </c>
      <c r="G19" s="9"/>
      <c r="H19" s="64" t="s">
        <v>2100</v>
      </c>
    </row>
    <row r="20" customFormat="false" ht="15" hidden="false" customHeight="true" outlineLevel="0" collapsed="false">
      <c r="A20" s="68" t="s">
        <v>891</v>
      </c>
      <c r="B20" s="68" t="s">
        <v>1003</v>
      </c>
      <c r="C20" s="68" t="s">
        <v>1004</v>
      </c>
      <c r="D20" s="68" t="s">
        <v>1701</v>
      </c>
      <c r="E20" s="68" t="s">
        <v>146</v>
      </c>
      <c r="F20" s="68"/>
      <c r="G20" s="68"/>
      <c r="H20" s="64" t="s">
        <v>2101</v>
      </c>
    </row>
    <row r="21" customFormat="false" ht="15" hidden="false" customHeight="true" outlineLevel="0" collapsed="false">
      <c r="A21" s="9" t="s">
        <v>891</v>
      </c>
      <c r="B21" s="9" t="s">
        <v>892</v>
      </c>
      <c r="C21" s="9"/>
      <c r="D21" s="9" t="s">
        <v>1701</v>
      </c>
      <c r="E21" s="9" t="s">
        <v>893</v>
      </c>
      <c r="F21" s="9" t="s">
        <v>894</v>
      </c>
      <c r="G21" s="9"/>
      <c r="H21" s="64" t="s">
        <v>2102</v>
      </c>
    </row>
    <row r="22" customFormat="false" ht="15" hidden="false" customHeight="true" outlineLevel="0" collapsed="false">
      <c r="A22" s="68" t="s">
        <v>891</v>
      </c>
      <c r="B22" s="68" t="s">
        <v>1006</v>
      </c>
      <c r="C22" s="68" t="s">
        <v>1007</v>
      </c>
      <c r="D22" s="68" t="s">
        <v>1701</v>
      </c>
      <c r="E22" s="68" t="s">
        <v>146</v>
      </c>
      <c r="F22" s="68" t="s">
        <v>1008</v>
      </c>
      <c r="G22" s="68"/>
      <c r="H22" s="64" t="s">
        <v>2103</v>
      </c>
    </row>
    <row r="23" customFormat="false" ht="15" hidden="false" customHeight="true" outlineLevel="0" collapsed="false">
      <c r="A23" s="9" t="s">
        <v>1009</v>
      </c>
      <c r="B23" s="9" t="s">
        <v>1504</v>
      </c>
      <c r="C23" s="9" t="s">
        <v>1011</v>
      </c>
      <c r="D23" s="9" t="s">
        <v>1701</v>
      </c>
      <c r="E23" s="9" t="s">
        <v>1189</v>
      </c>
      <c r="F23" s="9" t="s">
        <v>1505</v>
      </c>
      <c r="G23" s="9"/>
      <c r="H23" s="64" t="s">
        <v>2104</v>
      </c>
    </row>
    <row r="24" customFormat="false" ht="15" hidden="false" customHeight="true" outlineLevel="0" collapsed="false">
      <c r="A24" s="68" t="s">
        <v>1009</v>
      </c>
      <c r="B24" s="68" t="s">
        <v>1010</v>
      </c>
      <c r="C24" s="68" t="s">
        <v>1011</v>
      </c>
      <c r="D24" s="68" t="s">
        <v>1701</v>
      </c>
      <c r="E24" s="68" t="s">
        <v>146</v>
      </c>
      <c r="F24" s="68"/>
      <c r="G24" s="68"/>
      <c r="H24" s="64" t="s">
        <v>2105</v>
      </c>
    </row>
    <row r="25" customFormat="false" ht="15" hidden="false" customHeight="true" outlineLevel="0" collapsed="false">
      <c r="A25" s="9" t="s">
        <v>1009</v>
      </c>
      <c r="B25" s="9" t="s">
        <v>1012</v>
      </c>
      <c r="C25" s="9" t="s">
        <v>1011</v>
      </c>
      <c r="D25" s="9" t="s">
        <v>1701</v>
      </c>
      <c r="E25" s="9" t="s">
        <v>1013</v>
      </c>
      <c r="F25" s="9"/>
      <c r="G25" s="9"/>
      <c r="H25" s="64" t="s">
        <v>2106</v>
      </c>
    </row>
    <row r="26" customFormat="false" ht="15" hidden="false" customHeight="true" outlineLevel="0" collapsed="false">
      <c r="A26" s="68" t="s">
        <v>1009</v>
      </c>
      <c r="B26" s="68" t="s">
        <v>1014</v>
      </c>
      <c r="C26" s="68" t="s">
        <v>1011</v>
      </c>
      <c r="D26" s="68" t="s">
        <v>1701</v>
      </c>
      <c r="E26" s="68" t="s">
        <v>1015</v>
      </c>
      <c r="F26" s="68" t="s">
        <v>1016</v>
      </c>
      <c r="G26" s="68"/>
      <c r="H26" s="64" t="s">
        <v>2107</v>
      </c>
    </row>
    <row r="27" customFormat="false" ht="15" hidden="false" customHeight="true" outlineLevel="0" collapsed="false">
      <c r="A27" s="9" t="s">
        <v>1009</v>
      </c>
      <c r="B27" s="9" t="s">
        <v>2108</v>
      </c>
      <c r="C27" s="9" t="s">
        <v>1011</v>
      </c>
      <c r="D27" s="9" t="s">
        <v>1701</v>
      </c>
      <c r="E27" s="9" t="s">
        <v>1135</v>
      </c>
      <c r="F27" s="9"/>
      <c r="G27" s="9"/>
      <c r="H27" s="64" t="s">
        <v>2109</v>
      </c>
    </row>
    <row r="28" customFormat="false" ht="15" hidden="false" customHeight="true" outlineLevel="0" collapsed="false">
      <c r="A28" s="68" t="s">
        <v>1009</v>
      </c>
      <c r="B28" s="68" t="s">
        <v>2110</v>
      </c>
      <c r="C28" s="68" t="s">
        <v>1011</v>
      </c>
      <c r="D28" s="68" t="s">
        <v>1701</v>
      </c>
      <c r="E28" s="68" t="s">
        <v>1135</v>
      </c>
      <c r="F28" s="68"/>
      <c r="G28" s="68"/>
      <c r="H28" s="64" t="s">
        <v>2111</v>
      </c>
    </row>
    <row r="29" customFormat="false" ht="15" hidden="false" customHeight="true" outlineLevel="0" collapsed="false">
      <c r="A29" s="9" t="s">
        <v>1009</v>
      </c>
      <c r="B29" s="9" t="s">
        <v>1017</v>
      </c>
      <c r="C29" s="9" t="s">
        <v>1011</v>
      </c>
      <c r="D29" s="9" t="s">
        <v>1701</v>
      </c>
      <c r="E29" s="9" t="s">
        <v>146</v>
      </c>
      <c r="F29" s="9"/>
      <c r="G29" s="9"/>
      <c r="H29" s="64" t="s">
        <v>2112</v>
      </c>
    </row>
    <row r="30" customFormat="false" ht="15" hidden="false" customHeight="true" outlineLevel="0" collapsed="false">
      <c r="A30" s="68" t="s">
        <v>950</v>
      </c>
      <c r="B30" s="68" t="s">
        <v>1106</v>
      </c>
      <c r="C30" s="68" t="s">
        <v>929</v>
      </c>
      <c r="D30" s="68" t="s">
        <v>1701</v>
      </c>
      <c r="E30" s="68" t="s">
        <v>1107</v>
      </c>
      <c r="F30" s="68"/>
      <c r="G30" s="68"/>
      <c r="H30" s="64" t="s">
        <v>2113</v>
      </c>
    </row>
    <row r="31" customFormat="false" ht="15" hidden="false" customHeight="true" outlineLevel="0" collapsed="false">
      <c r="A31" s="9" t="s">
        <v>950</v>
      </c>
      <c r="B31" s="9" t="s">
        <v>2114</v>
      </c>
      <c r="C31" s="9" t="s">
        <v>929</v>
      </c>
      <c r="D31" s="9" t="s">
        <v>1701</v>
      </c>
      <c r="E31" s="9" t="s">
        <v>1186</v>
      </c>
      <c r="F31" s="9"/>
      <c r="G31" s="9"/>
      <c r="H31" s="64" t="s">
        <v>2115</v>
      </c>
    </row>
    <row r="32" customFormat="false" ht="15" hidden="false" customHeight="true" outlineLevel="0" collapsed="false">
      <c r="A32" s="68" t="s">
        <v>950</v>
      </c>
      <c r="B32" s="68" t="s">
        <v>1018</v>
      </c>
      <c r="C32" s="68" t="s">
        <v>1019</v>
      </c>
      <c r="D32" s="68" t="s">
        <v>1701</v>
      </c>
      <c r="E32" s="68" t="s">
        <v>1020</v>
      </c>
      <c r="F32" s="68"/>
      <c r="G32" s="68"/>
      <c r="H32" s="64" t="s">
        <v>2116</v>
      </c>
    </row>
    <row r="33" customFormat="false" ht="15" hidden="false" customHeight="true" outlineLevel="0" collapsed="false">
      <c r="A33" s="9" t="s">
        <v>950</v>
      </c>
      <c r="B33" s="9" t="s">
        <v>951</v>
      </c>
      <c r="C33" s="9"/>
      <c r="D33" s="9" t="s">
        <v>1701</v>
      </c>
      <c r="E33" s="9" t="s">
        <v>217</v>
      </c>
      <c r="F33" s="9" t="s">
        <v>952</v>
      </c>
      <c r="G33" s="9"/>
      <c r="H33" s="64" t="s">
        <v>2117</v>
      </c>
    </row>
    <row r="34" customFormat="false" ht="15" hidden="false" customHeight="true" outlineLevel="0" collapsed="false">
      <c r="A34" s="68" t="s">
        <v>950</v>
      </c>
      <c r="B34" s="68" t="s">
        <v>953</v>
      </c>
      <c r="C34" s="68" t="s">
        <v>954</v>
      </c>
      <c r="D34" s="68" t="s">
        <v>1701</v>
      </c>
      <c r="E34" s="68" t="s">
        <v>217</v>
      </c>
      <c r="F34" s="68" t="s">
        <v>955</v>
      </c>
      <c r="G34" s="68"/>
      <c r="H34" s="64" t="s">
        <v>2118</v>
      </c>
    </row>
    <row r="35" customFormat="false" ht="15" hidden="false" customHeight="true" outlineLevel="0" collapsed="false">
      <c r="A35" s="9" t="s">
        <v>950</v>
      </c>
      <c r="B35" s="9" t="s">
        <v>1021</v>
      </c>
      <c r="C35" s="9" t="s">
        <v>954</v>
      </c>
      <c r="D35" s="9" t="s">
        <v>1701</v>
      </c>
      <c r="E35" s="9" t="s">
        <v>146</v>
      </c>
      <c r="F35" s="9"/>
      <c r="G35" s="9"/>
      <c r="H35" s="64" t="s">
        <v>2119</v>
      </c>
    </row>
    <row r="36" customFormat="false" ht="15" hidden="false" customHeight="true" outlineLevel="0" collapsed="false">
      <c r="A36" s="68" t="s">
        <v>950</v>
      </c>
      <c r="B36" s="68" t="s">
        <v>1022</v>
      </c>
      <c r="C36" s="68" t="s">
        <v>1019</v>
      </c>
      <c r="D36" s="68" t="s">
        <v>1701</v>
      </c>
      <c r="E36" s="68" t="s">
        <v>1023</v>
      </c>
      <c r="F36" s="68"/>
      <c r="G36" s="68"/>
      <c r="H36" s="64" t="s">
        <v>2120</v>
      </c>
    </row>
    <row r="37" customFormat="false" ht="15" hidden="false" customHeight="true" outlineLevel="0" collapsed="false">
      <c r="A37" s="9" t="s">
        <v>950</v>
      </c>
      <c r="B37" s="9" t="s">
        <v>956</v>
      </c>
      <c r="C37" s="9" t="s">
        <v>954</v>
      </c>
      <c r="D37" s="9" t="s">
        <v>1701</v>
      </c>
      <c r="E37" s="9" t="s">
        <v>957</v>
      </c>
      <c r="F37" s="9" t="s">
        <v>958</v>
      </c>
      <c r="G37" s="9"/>
      <c r="H37" s="64" t="s">
        <v>2121</v>
      </c>
    </row>
    <row r="38" customFormat="false" ht="15" hidden="false" customHeight="true" outlineLevel="0" collapsed="false">
      <c r="A38" s="68" t="s">
        <v>950</v>
      </c>
      <c r="B38" s="68" t="s">
        <v>1024</v>
      </c>
      <c r="C38" s="68" t="s">
        <v>1025</v>
      </c>
      <c r="D38" s="68" t="s">
        <v>1701</v>
      </c>
      <c r="E38" s="68" t="s">
        <v>146</v>
      </c>
      <c r="F38" s="68" t="s">
        <v>1026</v>
      </c>
      <c r="G38" s="68"/>
      <c r="H38" s="64" t="s">
        <v>2122</v>
      </c>
    </row>
    <row r="39" customFormat="false" ht="15" hidden="false" customHeight="true" outlineLevel="0" collapsed="false">
      <c r="A39" s="9" t="s">
        <v>950</v>
      </c>
      <c r="B39" s="9" t="s">
        <v>1027</v>
      </c>
      <c r="C39" s="9" t="s">
        <v>1025</v>
      </c>
      <c r="D39" s="9" t="s">
        <v>1701</v>
      </c>
      <c r="E39" s="9" t="s">
        <v>146</v>
      </c>
      <c r="F39" s="9"/>
      <c r="G39" s="9"/>
      <c r="H39" s="64" t="s">
        <v>2123</v>
      </c>
    </row>
    <row r="40" customFormat="false" ht="15" hidden="false" customHeight="true" outlineLevel="0" collapsed="false">
      <c r="A40" s="68" t="s">
        <v>896</v>
      </c>
      <c r="B40" s="68" t="s">
        <v>1028</v>
      </c>
      <c r="C40" s="68" t="s">
        <v>1029</v>
      </c>
      <c r="D40" s="68" t="s">
        <v>1701</v>
      </c>
      <c r="E40" s="68" t="s">
        <v>146</v>
      </c>
      <c r="F40" s="68" t="s">
        <v>1030</v>
      </c>
      <c r="G40" s="68"/>
      <c r="H40" s="64" t="s">
        <v>2124</v>
      </c>
    </row>
    <row r="41" customFormat="false" ht="15" hidden="false" customHeight="true" outlineLevel="0" collapsed="false">
      <c r="A41" s="9" t="s">
        <v>896</v>
      </c>
      <c r="B41" s="9" t="s">
        <v>897</v>
      </c>
      <c r="C41" s="9" t="s">
        <v>898</v>
      </c>
      <c r="D41" s="9" t="s">
        <v>1701</v>
      </c>
      <c r="E41" s="9" t="s">
        <v>899</v>
      </c>
      <c r="F41" s="9"/>
      <c r="G41" s="9"/>
      <c r="H41" s="64" t="s">
        <v>2125</v>
      </c>
    </row>
    <row r="42" customFormat="false" ht="15" hidden="false" customHeight="true" outlineLevel="0" collapsed="false">
      <c r="A42" s="68" t="s">
        <v>896</v>
      </c>
      <c r="B42" s="68" t="s">
        <v>900</v>
      </c>
      <c r="C42" s="68" t="s">
        <v>898</v>
      </c>
      <c r="D42" s="68" t="s">
        <v>1701</v>
      </c>
      <c r="E42" s="68" t="s">
        <v>893</v>
      </c>
      <c r="F42" s="68"/>
      <c r="G42" s="68"/>
      <c r="H42" s="64" t="s">
        <v>2126</v>
      </c>
    </row>
    <row r="43" customFormat="false" ht="15" hidden="false" customHeight="true" outlineLevel="0" collapsed="false">
      <c r="A43" s="9" t="s">
        <v>896</v>
      </c>
      <c r="B43" s="9" t="s">
        <v>901</v>
      </c>
      <c r="C43" s="9" t="s">
        <v>898</v>
      </c>
      <c r="D43" s="9" t="s">
        <v>1701</v>
      </c>
      <c r="E43" s="9" t="s">
        <v>893</v>
      </c>
      <c r="F43" s="9"/>
      <c r="G43" s="9"/>
      <c r="H43" s="64" t="s">
        <v>2127</v>
      </c>
    </row>
    <row r="44" customFormat="false" ht="15" hidden="false" customHeight="true" outlineLevel="0" collapsed="false">
      <c r="A44" s="68" t="s">
        <v>896</v>
      </c>
      <c r="B44" s="68" t="s">
        <v>902</v>
      </c>
      <c r="C44" s="68" t="s">
        <v>903</v>
      </c>
      <c r="D44" s="68" t="s">
        <v>1701</v>
      </c>
      <c r="E44" s="68" t="s">
        <v>893</v>
      </c>
      <c r="F44" s="68"/>
      <c r="G44" s="68"/>
      <c r="H44" s="64" t="s">
        <v>2128</v>
      </c>
    </row>
    <row r="45" customFormat="false" ht="15" hidden="false" customHeight="true" outlineLevel="0" collapsed="false">
      <c r="A45" s="9" t="s">
        <v>896</v>
      </c>
      <c r="B45" s="9" t="s">
        <v>904</v>
      </c>
      <c r="C45" s="9"/>
      <c r="D45" s="9" t="s">
        <v>1701</v>
      </c>
      <c r="E45" s="9" t="s">
        <v>893</v>
      </c>
      <c r="F45" s="9"/>
      <c r="G45" s="9"/>
      <c r="H45" s="64" t="s">
        <v>2129</v>
      </c>
    </row>
    <row r="46" customFormat="false" ht="15" hidden="false" customHeight="true" outlineLevel="0" collapsed="false">
      <c r="A46" s="68" t="s">
        <v>896</v>
      </c>
      <c r="B46" s="68" t="s">
        <v>905</v>
      </c>
      <c r="C46" s="68"/>
      <c r="D46" s="68" t="s">
        <v>1701</v>
      </c>
      <c r="E46" s="68" t="s">
        <v>893</v>
      </c>
      <c r="F46" s="68"/>
      <c r="G46" s="68"/>
      <c r="H46" s="64" t="s">
        <v>2130</v>
      </c>
    </row>
    <row r="47" customFormat="false" ht="15" hidden="false" customHeight="true" outlineLevel="0" collapsed="false">
      <c r="A47" s="9" t="s">
        <v>896</v>
      </c>
      <c r="B47" s="9" t="s">
        <v>906</v>
      </c>
      <c r="C47" s="9"/>
      <c r="D47" s="9" t="s">
        <v>1701</v>
      </c>
      <c r="E47" s="9" t="s">
        <v>893</v>
      </c>
      <c r="F47" s="9"/>
      <c r="G47" s="9"/>
      <c r="H47" s="64" t="s">
        <v>2131</v>
      </c>
    </row>
    <row r="48" customFormat="false" ht="15" hidden="false" customHeight="true" outlineLevel="0" collapsed="false">
      <c r="A48" s="68" t="s">
        <v>907</v>
      </c>
      <c r="B48" s="68" t="s">
        <v>1507</v>
      </c>
      <c r="C48" s="68" t="s">
        <v>1032</v>
      </c>
      <c r="D48" s="68" t="s">
        <v>1701</v>
      </c>
      <c r="E48" s="68" t="s">
        <v>1142</v>
      </c>
      <c r="F48" s="68" t="s">
        <v>1500</v>
      </c>
      <c r="G48" s="68"/>
      <c r="H48" s="64" t="s">
        <v>2132</v>
      </c>
    </row>
    <row r="49" customFormat="false" ht="15" hidden="false" customHeight="true" outlineLevel="0" collapsed="false">
      <c r="A49" s="9" t="s">
        <v>907</v>
      </c>
      <c r="B49" s="9" t="s">
        <v>1508</v>
      </c>
      <c r="C49" s="9" t="s">
        <v>1034</v>
      </c>
      <c r="D49" s="9" t="s">
        <v>1701</v>
      </c>
      <c r="E49" s="9" t="s">
        <v>1142</v>
      </c>
      <c r="F49" s="9" t="s">
        <v>1500</v>
      </c>
      <c r="G49" s="9"/>
      <c r="H49" s="64" t="s">
        <v>2133</v>
      </c>
    </row>
    <row r="50" customFormat="false" ht="15" hidden="false" customHeight="true" outlineLevel="0" collapsed="false">
      <c r="A50" s="68" t="s">
        <v>907</v>
      </c>
      <c r="B50" s="68" t="s">
        <v>1509</v>
      </c>
      <c r="C50" s="68" t="s">
        <v>1032</v>
      </c>
      <c r="D50" s="68" t="s">
        <v>1701</v>
      </c>
      <c r="E50" s="68" t="s">
        <v>1189</v>
      </c>
      <c r="F50" s="68" t="s">
        <v>1500</v>
      </c>
      <c r="G50" s="68"/>
      <c r="H50" s="64" t="s">
        <v>2134</v>
      </c>
    </row>
    <row r="51" customFormat="false" ht="15" hidden="false" customHeight="true" outlineLevel="0" collapsed="false">
      <c r="A51" s="9" t="s">
        <v>907</v>
      </c>
      <c r="B51" s="9" t="s">
        <v>1031</v>
      </c>
      <c r="C51" s="9" t="s">
        <v>1032</v>
      </c>
      <c r="D51" s="9" t="s">
        <v>1701</v>
      </c>
      <c r="E51" s="9" t="s">
        <v>146</v>
      </c>
      <c r="F51" s="9"/>
      <c r="G51" s="9"/>
      <c r="H51" s="64" t="s">
        <v>2135</v>
      </c>
    </row>
    <row r="52" customFormat="false" ht="15" hidden="false" customHeight="true" outlineLevel="0" collapsed="false">
      <c r="A52" s="68" t="s">
        <v>907</v>
      </c>
      <c r="B52" s="68" t="s">
        <v>1033</v>
      </c>
      <c r="C52" s="68" t="s">
        <v>1034</v>
      </c>
      <c r="D52" s="68" t="s">
        <v>1701</v>
      </c>
      <c r="E52" s="68" t="s">
        <v>146</v>
      </c>
      <c r="F52" s="68"/>
      <c r="G52" s="68"/>
      <c r="H52" s="64" t="s">
        <v>2136</v>
      </c>
    </row>
    <row r="53" customFormat="false" ht="15" hidden="false" customHeight="true" outlineLevel="0" collapsed="false">
      <c r="A53" s="9" t="s">
        <v>907</v>
      </c>
      <c r="B53" s="9" t="s">
        <v>1035</v>
      </c>
      <c r="C53" s="9" t="s">
        <v>1034</v>
      </c>
      <c r="D53" s="9" t="s">
        <v>1701</v>
      </c>
      <c r="E53" s="9" t="s">
        <v>1036</v>
      </c>
      <c r="F53" s="9" t="s">
        <v>1037</v>
      </c>
      <c r="G53" s="9"/>
      <c r="H53" s="64" t="s">
        <v>2137</v>
      </c>
    </row>
    <row r="54" customFormat="false" ht="15" hidden="false" customHeight="true" outlineLevel="0" collapsed="false">
      <c r="A54" s="68" t="s">
        <v>907</v>
      </c>
      <c r="B54" s="68" t="s">
        <v>1038</v>
      </c>
      <c r="C54" s="68" t="s">
        <v>1039</v>
      </c>
      <c r="D54" s="68" t="s">
        <v>1701</v>
      </c>
      <c r="E54" s="68" t="s">
        <v>146</v>
      </c>
      <c r="F54" s="68"/>
      <c r="G54" s="68"/>
      <c r="H54" s="64" t="s">
        <v>2138</v>
      </c>
    </row>
    <row r="55" customFormat="false" ht="15" hidden="false" customHeight="true" outlineLevel="0" collapsed="false">
      <c r="A55" s="9" t="s">
        <v>907</v>
      </c>
      <c r="B55" s="9" t="s">
        <v>908</v>
      </c>
      <c r="C55" s="9"/>
      <c r="D55" s="9" t="s">
        <v>1701</v>
      </c>
      <c r="E55" s="9" t="s">
        <v>909</v>
      </c>
      <c r="F55" s="9"/>
      <c r="G55" s="9"/>
      <c r="H55" s="64" t="s">
        <v>2139</v>
      </c>
    </row>
    <row r="56" customFormat="false" ht="15" hidden="false" customHeight="true" outlineLevel="0" collapsed="false">
      <c r="A56" s="68" t="s">
        <v>907</v>
      </c>
      <c r="B56" s="68" t="s">
        <v>2140</v>
      </c>
      <c r="C56" s="68" t="s">
        <v>1032</v>
      </c>
      <c r="D56" s="68" t="s">
        <v>1701</v>
      </c>
      <c r="E56" s="68" t="s">
        <v>1683</v>
      </c>
      <c r="F56" s="68"/>
      <c r="G56" s="68"/>
      <c r="H56" s="64" t="s">
        <v>2141</v>
      </c>
    </row>
    <row r="57" customFormat="false" ht="15" hidden="false" customHeight="true" outlineLevel="0" collapsed="false">
      <c r="A57" s="9" t="s">
        <v>907</v>
      </c>
      <c r="B57" s="9" t="s">
        <v>2142</v>
      </c>
      <c r="C57" s="9" t="s">
        <v>1672</v>
      </c>
      <c r="D57" s="9" t="s">
        <v>1701</v>
      </c>
      <c r="E57" s="9" t="s">
        <v>1135</v>
      </c>
      <c r="F57" s="9"/>
      <c r="G57" s="9"/>
      <c r="H57" s="64" t="s">
        <v>2143</v>
      </c>
    </row>
    <row r="58" customFormat="false" ht="15" hidden="false" customHeight="true" outlineLevel="0" collapsed="false">
      <c r="A58" s="68" t="s">
        <v>907</v>
      </c>
      <c r="B58" s="68" t="s">
        <v>2144</v>
      </c>
      <c r="C58" s="68" t="s">
        <v>1672</v>
      </c>
      <c r="D58" s="68" t="s">
        <v>1701</v>
      </c>
      <c r="E58" s="68" t="s">
        <v>1135</v>
      </c>
      <c r="F58" s="68"/>
      <c r="G58" s="68"/>
      <c r="H58" s="64" t="s">
        <v>2145</v>
      </c>
    </row>
    <row r="59" customFormat="false" ht="15" hidden="false" customHeight="true" outlineLevel="0" collapsed="false">
      <c r="A59" s="9" t="s">
        <v>907</v>
      </c>
      <c r="B59" s="9" t="s">
        <v>2146</v>
      </c>
      <c r="C59" s="9" t="s">
        <v>1032</v>
      </c>
      <c r="D59" s="9" t="s">
        <v>1701</v>
      </c>
      <c r="E59" s="9" t="s">
        <v>1135</v>
      </c>
      <c r="F59" s="9"/>
      <c r="G59" s="9"/>
      <c r="H59" s="64" t="s">
        <v>2147</v>
      </c>
    </row>
    <row r="60" customFormat="false" ht="15" hidden="false" customHeight="true" outlineLevel="0" collapsed="false">
      <c r="A60" s="68" t="s">
        <v>907</v>
      </c>
      <c r="B60" s="68" t="s">
        <v>2148</v>
      </c>
      <c r="C60" s="68" t="s">
        <v>1032</v>
      </c>
      <c r="D60" s="68" t="s">
        <v>1701</v>
      </c>
      <c r="E60" s="68" t="s">
        <v>1135</v>
      </c>
      <c r="F60" s="68"/>
      <c r="G60" s="68"/>
      <c r="H60" s="64" t="s">
        <v>2149</v>
      </c>
    </row>
    <row r="61" customFormat="false" ht="15" hidden="false" customHeight="true" outlineLevel="0" collapsed="false">
      <c r="A61" s="9" t="s">
        <v>907</v>
      </c>
      <c r="B61" s="9" t="s">
        <v>2150</v>
      </c>
      <c r="C61" s="9" t="s">
        <v>1034</v>
      </c>
      <c r="D61" s="9" t="s">
        <v>1701</v>
      </c>
      <c r="E61" s="9" t="s">
        <v>1135</v>
      </c>
      <c r="F61" s="9"/>
      <c r="G61" s="9"/>
      <c r="H61" s="64" t="s">
        <v>2151</v>
      </c>
    </row>
    <row r="62" customFormat="false" ht="15" hidden="false" customHeight="true" outlineLevel="0" collapsed="false">
      <c r="A62" s="68" t="s">
        <v>907</v>
      </c>
      <c r="B62" s="68" t="s">
        <v>2152</v>
      </c>
      <c r="C62" s="68" t="s">
        <v>1034</v>
      </c>
      <c r="D62" s="68" t="s">
        <v>1701</v>
      </c>
      <c r="E62" s="68" t="s">
        <v>1135</v>
      </c>
      <c r="F62" s="68"/>
      <c r="G62" s="68"/>
      <c r="H62" s="64" t="s">
        <v>2153</v>
      </c>
    </row>
    <row r="63" customFormat="false" ht="15" hidden="false" customHeight="true" outlineLevel="0" collapsed="false">
      <c r="A63" s="9" t="s">
        <v>907</v>
      </c>
      <c r="B63" s="9" t="s">
        <v>913</v>
      </c>
      <c r="C63" s="9"/>
      <c r="D63" s="9" t="s">
        <v>1701</v>
      </c>
      <c r="E63" s="9" t="s">
        <v>893</v>
      </c>
      <c r="F63" s="9"/>
      <c r="G63" s="9"/>
      <c r="H63" s="64" t="s">
        <v>2154</v>
      </c>
    </row>
    <row r="64" customFormat="false" ht="15" hidden="false" customHeight="true" outlineLevel="0" collapsed="false">
      <c r="A64" s="68" t="s">
        <v>907</v>
      </c>
      <c r="B64" s="68" t="s">
        <v>914</v>
      </c>
      <c r="C64" s="68"/>
      <c r="D64" s="68" t="s">
        <v>1701</v>
      </c>
      <c r="E64" s="68" t="s">
        <v>893</v>
      </c>
      <c r="F64" s="68"/>
      <c r="G64" s="68"/>
      <c r="H64" s="64" t="s">
        <v>2155</v>
      </c>
    </row>
    <row r="65" customFormat="false" ht="15" hidden="false" customHeight="true" outlineLevel="0" collapsed="false">
      <c r="A65" s="9" t="s">
        <v>907</v>
      </c>
      <c r="B65" s="9" t="s">
        <v>2156</v>
      </c>
      <c r="C65" s="9" t="s">
        <v>1034</v>
      </c>
      <c r="D65" s="9" t="s">
        <v>1701</v>
      </c>
      <c r="E65" s="9" t="s">
        <v>1533</v>
      </c>
      <c r="F65" s="9"/>
      <c r="G65" s="9"/>
      <c r="H65" s="64" t="s">
        <v>2157</v>
      </c>
    </row>
    <row r="66" customFormat="false" ht="15" hidden="false" customHeight="true" outlineLevel="0" collapsed="false">
      <c r="A66" s="68" t="s">
        <v>907</v>
      </c>
      <c r="B66" s="68" t="s">
        <v>1040</v>
      </c>
      <c r="C66" s="68" t="s">
        <v>1039</v>
      </c>
      <c r="D66" s="68" t="s">
        <v>1701</v>
      </c>
      <c r="E66" s="68" t="s">
        <v>146</v>
      </c>
      <c r="F66" s="68"/>
      <c r="G66" s="68"/>
      <c r="H66" s="64" t="s">
        <v>2158</v>
      </c>
    </row>
    <row r="67" customFormat="false" ht="15" hidden="false" customHeight="true" outlineLevel="0" collapsed="false">
      <c r="A67" s="9" t="s">
        <v>907</v>
      </c>
      <c r="B67" s="9" t="s">
        <v>1510</v>
      </c>
      <c r="C67" s="9"/>
      <c r="D67" s="9" t="s">
        <v>1701</v>
      </c>
      <c r="E67" s="9" t="s">
        <v>1511</v>
      </c>
      <c r="F67" s="9" t="s">
        <v>1512</v>
      </c>
      <c r="G67" s="9"/>
      <c r="H67" s="64" t="s">
        <v>2159</v>
      </c>
    </row>
    <row r="68" customFormat="false" ht="15" hidden="false" customHeight="true" outlineLevel="0" collapsed="false">
      <c r="A68" s="68" t="s">
        <v>907</v>
      </c>
      <c r="B68" s="68" t="s">
        <v>960</v>
      </c>
      <c r="C68" s="68"/>
      <c r="D68" s="68" t="s">
        <v>1701</v>
      </c>
      <c r="E68" s="68" t="s">
        <v>217</v>
      </c>
      <c r="F68" s="68" t="s">
        <v>961</v>
      </c>
      <c r="G68" s="68"/>
      <c r="H68" s="64" t="s">
        <v>2160</v>
      </c>
    </row>
    <row r="69" customFormat="false" ht="15" hidden="false" customHeight="true" outlineLevel="0" collapsed="false">
      <c r="A69" s="9" t="s">
        <v>915</v>
      </c>
      <c r="B69" s="9" t="s">
        <v>1513</v>
      </c>
      <c r="C69" s="9" t="s">
        <v>1029</v>
      </c>
      <c r="D69" s="9" t="s">
        <v>1701</v>
      </c>
      <c r="E69" s="9" t="s">
        <v>1186</v>
      </c>
      <c r="F69" s="9" t="s">
        <v>1514</v>
      </c>
      <c r="G69" s="9"/>
      <c r="H69" s="64" t="s">
        <v>2161</v>
      </c>
    </row>
    <row r="70" customFormat="false" ht="15" hidden="false" customHeight="true" outlineLevel="0" collapsed="false">
      <c r="A70" s="68" t="s">
        <v>915</v>
      </c>
      <c r="B70" s="68" t="s">
        <v>1515</v>
      </c>
      <c r="C70" s="68" t="s">
        <v>929</v>
      </c>
      <c r="D70" s="68" t="s">
        <v>1701</v>
      </c>
      <c r="E70" s="68" t="s">
        <v>1186</v>
      </c>
      <c r="F70" s="68" t="s">
        <v>1516</v>
      </c>
      <c r="G70" s="68"/>
      <c r="H70" s="64" t="s">
        <v>2162</v>
      </c>
    </row>
    <row r="71" customFormat="false" ht="15" hidden="false" customHeight="true" outlineLevel="0" collapsed="false">
      <c r="A71" s="9" t="s">
        <v>915</v>
      </c>
      <c r="B71" s="9" t="s">
        <v>1629</v>
      </c>
      <c r="C71" s="9" t="s">
        <v>1034</v>
      </c>
      <c r="D71" s="9" t="s">
        <v>1701</v>
      </c>
      <c r="E71" s="9" t="s">
        <v>1630</v>
      </c>
      <c r="F71" s="9"/>
      <c r="G71" s="9"/>
      <c r="H71" s="64" t="s">
        <v>2163</v>
      </c>
    </row>
    <row r="72" customFormat="false" ht="15" hidden="false" customHeight="true" outlineLevel="0" collapsed="false">
      <c r="A72" s="68" t="s">
        <v>915</v>
      </c>
      <c r="B72" s="68" t="s">
        <v>1632</v>
      </c>
      <c r="C72" s="68" t="s">
        <v>903</v>
      </c>
      <c r="D72" s="68" t="s">
        <v>1701</v>
      </c>
      <c r="E72" s="68" t="s">
        <v>1630</v>
      </c>
      <c r="F72" s="68"/>
      <c r="G72" s="68"/>
      <c r="H72" s="64" t="s">
        <v>2164</v>
      </c>
    </row>
    <row r="73" customFormat="false" ht="15" hidden="false" customHeight="true" outlineLevel="0" collapsed="false">
      <c r="A73" s="9" t="s">
        <v>915</v>
      </c>
      <c r="B73" s="9" t="s">
        <v>2165</v>
      </c>
      <c r="C73" s="9"/>
      <c r="D73" s="9" t="s">
        <v>1701</v>
      </c>
      <c r="E73" s="9" t="s">
        <v>1533</v>
      </c>
      <c r="F73" s="9"/>
      <c r="G73" s="9"/>
      <c r="H73" s="64" t="s">
        <v>2166</v>
      </c>
    </row>
    <row r="74" customFormat="false" ht="15" hidden="false" customHeight="true" outlineLevel="0" collapsed="false">
      <c r="A74" s="68" t="s">
        <v>915</v>
      </c>
      <c r="B74" s="68" t="s">
        <v>2167</v>
      </c>
      <c r="C74" s="68"/>
      <c r="D74" s="68" t="s">
        <v>1701</v>
      </c>
      <c r="E74" s="68" t="s">
        <v>1533</v>
      </c>
      <c r="F74" s="68"/>
      <c r="G74" s="68"/>
      <c r="H74" s="64" t="s">
        <v>2168</v>
      </c>
    </row>
    <row r="75" customFormat="false" ht="15" hidden="false" customHeight="true" outlineLevel="0" collapsed="false">
      <c r="A75" s="9" t="s">
        <v>915</v>
      </c>
      <c r="B75" s="9" t="s">
        <v>962</v>
      </c>
      <c r="C75" s="9"/>
      <c r="D75" s="9" t="s">
        <v>1701</v>
      </c>
      <c r="E75" s="9" t="s">
        <v>963</v>
      </c>
      <c r="F75" s="9"/>
      <c r="G75" s="9"/>
      <c r="H75" s="64" t="s">
        <v>2169</v>
      </c>
    </row>
    <row r="76" customFormat="false" ht="15" hidden="false" customHeight="true" outlineLevel="0" collapsed="false">
      <c r="A76" s="68" t="s">
        <v>915</v>
      </c>
      <c r="B76" s="68" t="s">
        <v>1041</v>
      </c>
      <c r="C76" s="68" t="s">
        <v>1034</v>
      </c>
      <c r="D76" s="68" t="s">
        <v>1701</v>
      </c>
      <c r="E76" s="68" t="s">
        <v>146</v>
      </c>
      <c r="F76" s="68"/>
      <c r="G76" s="68"/>
      <c r="H76" s="64" t="s">
        <v>2170</v>
      </c>
    </row>
    <row r="77" customFormat="false" ht="15" hidden="false" customHeight="true" outlineLevel="0" collapsed="false">
      <c r="A77" s="9" t="s">
        <v>915</v>
      </c>
      <c r="B77" s="9" t="s">
        <v>1042</v>
      </c>
      <c r="C77" s="9" t="s">
        <v>1034</v>
      </c>
      <c r="D77" s="9" t="s">
        <v>1701</v>
      </c>
      <c r="E77" s="9" t="s">
        <v>146</v>
      </c>
      <c r="F77" s="9"/>
      <c r="G77" s="9"/>
      <c r="H77" s="64" t="s">
        <v>2171</v>
      </c>
    </row>
    <row r="78" customFormat="false" ht="15" hidden="false" customHeight="true" outlineLevel="0" collapsed="false">
      <c r="A78" s="68" t="s">
        <v>915</v>
      </c>
      <c r="B78" s="68" t="s">
        <v>1043</v>
      </c>
      <c r="C78" s="68" t="s">
        <v>903</v>
      </c>
      <c r="D78" s="68" t="s">
        <v>1701</v>
      </c>
      <c r="E78" s="68" t="s">
        <v>146</v>
      </c>
      <c r="F78" s="68"/>
      <c r="G78" s="68"/>
      <c r="H78" s="64" t="s">
        <v>2172</v>
      </c>
    </row>
    <row r="79" customFormat="false" ht="15" hidden="false" customHeight="true" outlineLevel="0" collapsed="false">
      <c r="A79" s="9" t="s">
        <v>915</v>
      </c>
      <c r="B79" s="9" t="s">
        <v>2173</v>
      </c>
      <c r="C79" s="9" t="s">
        <v>1045</v>
      </c>
      <c r="D79" s="9" t="s">
        <v>1701</v>
      </c>
      <c r="E79" s="9" t="s">
        <v>1533</v>
      </c>
      <c r="F79" s="9"/>
      <c r="G79" s="9"/>
      <c r="H79" s="64" t="s">
        <v>2174</v>
      </c>
    </row>
    <row r="80" customFormat="false" ht="15" hidden="false" customHeight="true" outlineLevel="0" collapsed="false">
      <c r="A80" s="68" t="s">
        <v>915</v>
      </c>
      <c r="B80" s="68" t="s">
        <v>2175</v>
      </c>
      <c r="C80" s="68" t="s">
        <v>1045</v>
      </c>
      <c r="D80" s="68" t="s">
        <v>1701</v>
      </c>
      <c r="E80" s="68" t="s">
        <v>1533</v>
      </c>
      <c r="F80" s="68"/>
      <c r="G80" s="68"/>
      <c r="H80" s="64" t="s">
        <v>2176</v>
      </c>
    </row>
    <row r="81" customFormat="false" ht="15" hidden="false" customHeight="true" outlineLevel="0" collapsed="false">
      <c r="A81" s="9" t="s">
        <v>915</v>
      </c>
      <c r="B81" s="9" t="s">
        <v>2177</v>
      </c>
      <c r="C81" s="9" t="s">
        <v>1029</v>
      </c>
      <c r="D81" s="9" t="s">
        <v>1701</v>
      </c>
      <c r="E81" s="9" t="s">
        <v>1135</v>
      </c>
      <c r="F81" s="9"/>
      <c r="G81" s="9"/>
      <c r="H81" s="64" t="s">
        <v>2178</v>
      </c>
    </row>
    <row r="82" customFormat="false" ht="15" hidden="false" customHeight="true" outlineLevel="0" collapsed="false">
      <c r="A82" s="68" t="s">
        <v>915</v>
      </c>
      <c r="B82" s="68" t="s">
        <v>916</v>
      </c>
      <c r="C82" s="68"/>
      <c r="D82" s="68" t="s">
        <v>1701</v>
      </c>
      <c r="E82" s="68" t="s">
        <v>893</v>
      </c>
      <c r="F82" s="68"/>
      <c r="G82" s="68"/>
      <c r="H82" s="64" t="s">
        <v>2179</v>
      </c>
    </row>
    <row r="83" customFormat="false" ht="15" hidden="false" customHeight="true" outlineLevel="0" collapsed="false">
      <c r="A83" s="9" t="s">
        <v>915</v>
      </c>
      <c r="B83" s="9" t="s">
        <v>1044</v>
      </c>
      <c r="C83" s="9" t="s">
        <v>1045</v>
      </c>
      <c r="D83" s="9" t="s">
        <v>1701</v>
      </c>
      <c r="E83" s="9" t="s">
        <v>146</v>
      </c>
      <c r="F83" s="9" t="s">
        <v>1046</v>
      </c>
      <c r="G83" s="9"/>
      <c r="H83" s="64" t="s">
        <v>2180</v>
      </c>
    </row>
    <row r="84" customFormat="false" ht="15" hidden="false" customHeight="true" outlineLevel="0" collapsed="false">
      <c r="A84" s="68" t="s">
        <v>915</v>
      </c>
      <c r="B84" s="68" t="s">
        <v>2181</v>
      </c>
      <c r="C84" s="68" t="s">
        <v>1045</v>
      </c>
      <c r="D84" s="68" t="s">
        <v>1701</v>
      </c>
      <c r="E84" s="68" t="s">
        <v>1135</v>
      </c>
      <c r="F84" s="68"/>
      <c r="G84" s="68"/>
      <c r="H84" s="64" t="s">
        <v>2182</v>
      </c>
    </row>
    <row r="85" customFormat="false" ht="15" hidden="false" customHeight="true" outlineLevel="0" collapsed="false">
      <c r="A85" s="9" t="s">
        <v>1047</v>
      </c>
      <c r="B85" s="9" t="s">
        <v>1517</v>
      </c>
      <c r="C85" s="9" t="s">
        <v>965</v>
      </c>
      <c r="D85" s="9" t="s">
        <v>1701</v>
      </c>
      <c r="E85" s="9" t="s">
        <v>1186</v>
      </c>
      <c r="F85" s="9" t="s">
        <v>1518</v>
      </c>
      <c r="G85" s="9"/>
      <c r="H85" s="64" t="s">
        <v>2183</v>
      </c>
    </row>
    <row r="86" customFormat="false" ht="15" hidden="false" customHeight="true" outlineLevel="0" collapsed="false">
      <c r="A86" s="68" t="s">
        <v>1047</v>
      </c>
      <c r="B86" s="68" t="s">
        <v>1048</v>
      </c>
      <c r="C86" s="68" t="s">
        <v>1049</v>
      </c>
      <c r="D86" s="68" t="s">
        <v>1701</v>
      </c>
      <c r="E86" s="68" t="s">
        <v>146</v>
      </c>
      <c r="F86" s="68"/>
      <c r="G86" s="68"/>
      <c r="H86" s="64" t="s">
        <v>2184</v>
      </c>
    </row>
    <row r="87" customFormat="false" ht="15" hidden="false" customHeight="true" outlineLevel="0" collapsed="false">
      <c r="A87" s="9" t="s">
        <v>1047</v>
      </c>
      <c r="B87" s="9" t="s">
        <v>1050</v>
      </c>
      <c r="C87" s="9" t="s">
        <v>991</v>
      </c>
      <c r="D87" s="9" t="s">
        <v>1701</v>
      </c>
      <c r="E87" s="9" t="s">
        <v>146</v>
      </c>
      <c r="F87" s="9"/>
      <c r="G87" s="9"/>
      <c r="H87" s="64" t="s">
        <v>2185</v>
      </c>
    </row>
    <row r="88" customFormat="false" ht="15" hidden="false" customHeight="true" outlineLevel="0" collapsed="false">
      <c r="A88" s="68" t="s">
        <v>1047</v>
      </c>
      <c r="B88" s="68" t="s">
        <v>1051</v>
      </c>
      <c r="C88" s="68" t="s">
        <v>991</v>
      </c>
      <c r="D88" s="68" t="s">
        <v>1701</v>
      </c>
      <c r="E88" s="68" t="s">
        <v>146</v>
      </c>
      <c r="F88" s="68"/>
      <c r="G88" s="68"/>
      <c r="H88" s="64" t="s">
        <v>2186</v>
      </c>
    </row>
    <row r="89" customFormat="false" ht="15" hidden="false" customHeight="true" outlineLevel="0" collapsed="false">
      <c r="A89" s="9" t="s">
        <v>1047</v>
      </c>
      <c r="B89" s="9" t="s">
        <v>2187</v>
      </c>
      <c r="C89" s="9" t="s">
        <v>1049</v>
      </c>
      <c r="D89" s="9" t="s">
        <v>1701</v>
      </c>
      <c r="E89" s="9" t="s">
        <v>1135</v>
      </c>
      <c r="F89" s="9"/>
      <c r="G89" s="9"/>
      <c r="H89" s="64" t="s">
        <v>2188</v>
      </c>
    </row>
    <row r="90" customFormat="false" ht="15" hidden="false" customHeight="true" outlineLevel="0" collapsed="false">
      <c r="A90" s="68" t="s">
        <v>1047</v>
      </c>
      <c r="B90" s="68" t="s">
        <v>2189</v>
      </c>
      <c r="C90" s="68" t="s">
        <v>965</v>
      </c>
      <c r="D90" s="68" t="s">
        <v>1701</v>
      </c>
      <c r="E90" s="68" t="s">
        <v>1135</v>
      </c>
      <c r="F90" s="68"/>
      <c r="G90" s="68"/>
      <c r="H90" s="64" t="s">
        <v>2190</v>
      </c>
    </row>
    <row r="91" customFormat="false" ht="15" hidden="false" customHeight="true" outlineLevel="0" collapsed="false">
      <c r="A91" s="9" t="s">
        <v>1047</v>
      </c>
      <c r="B91" s="9" t="s">
        <v>2191</v>
      </c>
      <c r="C91" s="9" t="s">
        <v>965</v>
      </c>
      <c r="D91" s="9" t="s">
        <v>1701</v>
      </c>
      <c r="E91" s="9" t="s">
        <v>2192</v>
      </c>
      <c r="F91" s="9"/>
      <c r="G91" s="9"/>
      <c r="H91" s="64" t="s">
        <v>2193</v>
      </c>
    </row>
    <row r="92" customFormat="false" ht="15" hidden="false" customHeight="true" outlineLevel="0" collapsed="false">
      <c r="A92" s="68" t="s">
        <v>917</v>
      </c>
      <c r="B92" s="68" t="s">
        <v>2194</v>
      </c>
      <c r="C92" s="68" t="s">
        <v>919</v>
      </c>
      <c r="D92" s="68" t="s">
        <v>1701</v>
      </c>
      <c r="E92" s="68" t="s">
        <v>1186</v>
      </c>
      <c r="F92" s="68"/>
      <c r="G92" s="68"/>
      <c r="H92" s="64" t="s">
        <v>2195</v>
      </c>
    </row>
    <row r="93" customFormat="false" ht="15" hidden="false" customHeight="true" outlineLevel="0" collapsed="false">
      <c r="A93" s="9" t="s">
        <v>917</v>
      </c>
      <c r="B93" s="9" t="s">
        <v>1519</v>
      </c>
      <c r="C93" s="9" t="s">
        <v>968</v>
      </c>
      <c r="D93" s="9" t="s">
        <v>1701</v>
      </c>
      <c r="E93" s="9" t="s">
        <v>1520</v>
      </c>
      <c r="F93" s="9" t="s">
        <v>1352</v>
      </c>
      <c r="G93" s="9"/>
      <c r="H93" s="64" t="s">
        <v>2196</v>
      </c>
    </row>
    <row r="94" customFormat="false" ht="15" hidden="false" customHeight="true" outlineLevel="0" collapsed="false">
      <c r="A94" s="68" t="s">
        <v>917</v>
      </c>
      <c r="B94" s="68" t="s">
        <v>1521</v>
      </c>
      <c r="C94" s="68" t="s">
        <v>1522</v>
      </c>
      <c r="D94" s="68" t="s">
        <v>1701</v>
      </c>
      <c r="E94" s="68" t="s">
        <v>1186</v>
      </c>
      <c r="F94" s="68" t="s">
        <v>1523</v>
      </c>
      <c r="G94" s="68"/>
      <c r="H94" s="64" t="s">
        <v>2197</v>
      </c>
    </row>
    <row r="95" customFormat="false" ht="15" hidden="false" customHeight="true" outlineLevel="0" collapsed="false">
      <c r="A95" s="9" t="s">
        <v>917</v>
      </c>
      <c r="B95" s="9" t="s">
        <v>1524</v>
      </c>
      <c r="C95" s="9" t="s">
        <v>965</v>
      </c>
      <c r="D95" s="9" t="s">
        <v>1701</v>
      </c>
      <c r="E95" s="9" t="s">
        <v>1520</v>
      </c>
      <c r="F95" s="9" t="s">
        <v>1525</v>
      </c>
      <c r="G95" s="9"/>
      <c r="H95" s="64" t="s">
        <v>2198</v>
      </c>
    </row>
    <row r="96" customFormat="false" ht="15" hidden="false" customHeight="true" outlineLevel="0" collapsed="false">
      <c r="A96" s="68" t="s">
        <v>917</v>
      </c>
      <c r="B96" s="68" t="s">
        <v>1526</v>
      </c>
      <c r="C96" s="68" t="s">
        <v>919</v>
      </c>
      <c r="D96" s="68" t="s">
        <v>1701</v>
      </c>
      <c r="E96" s="68" t="s">
        <v>1527</v>
      </c>
      <c r="F96" s="68" t="s">
        <v>1528</v>
      </c>
      <c r="G96" s="68"/>
      <c r="H96" s="64" t="s">
        <v>2199</v>
      </c>
    </row>
    <row r="97" customFormat="false" ht="15" hidden="false" customHeight="true" outlineLevel="0" collapsed="false">
      <c r="A97" s="9" t="s">
        <v>917</v>
      </c>
      <c r="B97" s="9" t="s">
        <v>964</v>
      </c>
      <c r="C97" s="9" t="s">
        <v>965</v>
      </c>
      <c r="D97" s="9" t="s">
        <v>1701</v>
      </c>
      <c r="E97" s="9" t="s">
        <v>217</v>
      </c>
      <c r="F97" s="9" t="s">
        <v>966</v>
      </c>
      <c r="G97" s="9"/>
      <c r="H97" s="64" t="s">
        <v>2200</v>
      </c>
    </row>
    <row r="98" customFormat="false" ht="15" hidden="false" customHeight="true" outlineLevel="0" collapsed="false">
      <c r="A98" s="68" t="s">
        <v>917</v>
      </c>
      <c r="B98" s="68" t="s">
        <v>2201</v>
      </c>
      <c r="C98" s="68" t="s">
        <v>919</v>
      </c>
      <c r="D98" s="68" t="s">
        <v>1701</v>
      </c>
      <c r="E98" s="68" t="s">
        <v>1142</v>
      </c>
      <c r="F98" s="68"/>
      <c r="G98" s="68"/>
      <c r="H98" s="64" t="s">
        <v>2202</v>
      </c>
    </row>
    <row r="99" customFormat="false" ht="15" hidden="false" customHeight="true" outlineLevel="0" collapsed="false">
      <c r="A99" s="9" t="s">
        <v>917</v>
      </c>
      <c r="B99" s="9" t="s">
        <v>967</v>
      </c>
      <c r="C99" s="9" t="s">
        <v>968</v>
      </c>
      <c r="D99" s="9" t="s">
        <v>1701</v>
      </c>
      <c r="E99" s="9" t="s">
        <v>969</v>
      </c>
      <c r="F99" s="9" t="s">
        <v>970</v>
      </c>
      <c r="G99" s="9"/>
      <c r="H99" s="64" t="s">
        <v>2203</v>
      </c>
    </row>
    <row r="100" customFormat="false" ht="15" hidden="false" customHeight="true" outlineLevel="0" collapsed="false">
      <c r="A100" s="68" t="s">
        <v>917</v>
      </c>
      <c r="B100" s="68" t="s">
        <v>1529</v>
      </c>
      <c r="C100" s="68" t="s">
        <v>1530</v>
      </c>
      <c r="D100" s="68" t="s">
        <v>1701</v>
      </c>
      <c r="E100" s="68" t="s">
        <v>1500</v>
      </c>
      <c r="F100" s="68" t="s">
        <v>1531</v>
      </c>
      <c r="G100" s="68"/>
      <c r="H100" s="64" t="s">
        <v>2204</v>
      </c>
    </row>
    <row r="101" customFormat="false" ht="15" hidden="false" customHeight="true" outlineLevel="0" collapsed="false">
      <c r="A101" s="9" t="s">
        <v>917</v>
      </c>
      <c r="B101" s="9" t="s">
        <v>918</v>
      </c>
      <c r="C101" s="9" t="s">
        <v>919</v>
      </c>
      <c r="D101" s="9" t="s">
        <v>1701</v>
      </c>
      <c r="E101" s="9" t="s">
        <v>882</v>
      </c>
      <c r="F101" s="9" t="s">
        <v>920</v>
      </c>
      <c r="G101" s="9"/>
      <c r="H101" s="64" t="s">
        <v>2205</v>
      </c>
    </row>
    <row r="102" customFormat="false" ht="15" hidden="false" customHeight="true" outlineLevel="0" collapsed="false">
      <c r="A102" s="68" t="s">
        <v>917</v>
      </c>
      <c r="B102" s="68" t="s">
        <v>921</v>
      </c>
      <c r="C102" s="68" t="s">
        <v>922</v>
      </c>
      <c r="D102" s="68" t="s">
        <v>1701</v>
      </c>
      <c r="E102" s="68" t="s">
        <v>882</v>
      </c>
      <c r="F102" s="68" t="s">
        <v>923</v>
      </c>
      <c r="G102" s="68"/>
      <c r="H102" s="64" t="s">
        <v>2206</v>
      </c>
    </row>
    <row r="103" customFormat="false" ht="15" hidden="false" customHeight="true" outlineLevel="0" collapsed="false">
      <c r="A103" s="9" t="s">
        <v>917</v>
      </c>
      <c r="B103" s="9" t="s">
        <v>1532</v>
      </c>
      <c r="C103" s="9" t="s">
        <v>919</v>
      </c>
      <c r="D103" s="9" t="s">
        <v>1701</v>
      </c>
      <c r="E103" s="9" t="s">
        <v>1533</v>
      </c>
      <c r="F103" s="9" t="s">
        <v>1534</v>
      </c>
      <c r="G103" s="9"/>
      <c r="H103" s="64" t="s">
        <v>2207</v>
      </c>
    </row>
    <row r="104" customFormat="false" ht="15" hidden="false" customHeight="true" outlineLevel="0" collapsed="false">
      <c r="A104" s="68" t="s">
        <v>917</v>
      </c>
      <c r="B104" s="68" t="s">
        <v>1052</v>
      </c>
      <c r="C104" s="68" t="s">
        <v>968</v>
      </c>
      <c r="D104" s="68" t="s">
        <v>1701</v>
      </c>
      <c r="E104" s="68" t="s">
        <v>146</v>
      </c>
      <c r="F104" s="68" t="s">
        <v>1053</v>
      </c>
      <c r="G104" s="68"/>
      <c r="H104" s="64" t="s">
        <v>2208</v>
      </c>
    </row>
    <row r="105" customFormat="false" ht="15" hidden="false" customHeight="true" outlineLevel="0" collapsed="false">
      <c r="A105" s="9" t="s">
        <v>917</v>
      </c>
      <c r="B105" s="9" t="s">
        <v>1054</v>
      </c>
      <c r="C105" s="9" t="s">
        <v>965</v>
      </c>
      <c r="D105" s="9" t="s">
        <v>1701</v>
      </c>
      <c r="E105" s="9" t="s">
        <v>1055</v>
      </c>
      <c r="F105" s="9" t="s">
        <v>1056</v>
      </c>
      <c r="G105" s="9"/>
      <c r="H105" s="64" t="s">
        <v>2209</v>
      </c>
    </row>
    <row r="106" customFormat="false" ht="15" hidden="false" customHeight="true" outlineLevel="0" collapsed="false">
      <c r="A106" s="68" t="s">
        <v>917</v>
      </c>
      <c r="B106" s="68" t="s">
        <v>2210</v>
      </c>
      <c r="C106" s="68" t="s">
        <v>922</v>
      </c>
      <c r="D106" s="68" t="s">
        <v>1701</v>
      </c>
      <c r="E106" s="68" t="s">
        <v>1500</v>
      </c>
      <c r="F106" s="68"/>
      <c r="G106" s="68"/>
      <c r="H106" s="64" t="s">
        <v>2211</v>
      </c>
    </row>
    <row r="107" customFormat="false" ht="15" hidden="false" customHeight="true" outlineLevel="0" collapsed="false">
      <c r="A107" s="9" t="s">
        <v>917</v>
      </c>
      <c r="B107" s="9" t="s">
        <v>2212</v>
      </c>
      <c r="C107" s="9" t="s">
        <v>1674</v>
      </c>
      <c r="D107" s="9" t="s">
        <v>1701</v>
      </c>
      <c r="E107" s="9" t="s">
        <v>1502</v>
      </c>
      <c r="F107" s="9"/>
      <c r="G107" s="9"/>
      <c r="H107" s="64" t="s">
        <v>2213</v>
      </c>
    </row>
    <row r="108" customFormat="false" ht="15" hidden="false" customHeight="true" outlineLevel="0" collapsed="false">
      <c r="A108" s="68" t="s">
        <v>917</v>
      </c>
      <c r="B108" s="68" t="s">
        <v>2214</v>
      </c>
      <c r="C108" s="68" t="s">
        <v>929</v>
      </c>
      <c r="D108" s="68" t="s">
        <v>1701</v>
      </c>
      <c r="E108" s="68" t="s">
        <v>1135</v>
      </c>
      <c r="F108" s="68"/>
      <c r="G108" s="68"/>
      <c r="H108" s="64" t="s">
        <v>2215</v>
      </c>
    </row>
    <row r="109" customFormat="false" ht="15" hidden="false" customHeight="true" outlineLevel="0" collapsed="false">
      <c r="A109" s="9" t="s">
        <v>917</v>
      </c>
      <c r="B109" s="9" t="s">
        <v>924</v>
      </c>
      <c r="C109" s="9"/>
      <c r="D109" s="9" t="s">
        <v>1701</v>
      </c>
      <c r="E109" s="9" t="s">
        <v>893</v>
      </c>
      <c r="F109" s="9"/>
      <c r="G109" s="9"/>
      <c r="H109" s="64" t="s">
        <v>2216</v>
      </c>
    </row>
    <row r="110" customFormat="false" ht="15" hidden="false" customHeight="true" outlineLevel="0" collapsed="false">
      <c r="A110" s="68" t="s">
        <v>917</v>
      </c>
      <c r="B110" s="68" t="s">
        <v>2217</v>
      </c>
      <c r="C110" s="68" t="s">
        <v>929</v>
      </c>
      <c r="D110" s="68" t="s">
        <v>1701</v>
      </c>
      <c r="E110" s="68" t="s">
        <v>1186</v>
      </c>
      <c r="F110" s="68"/>
      <c r="G110" s="68"/>
      <c r="H110" s="64" t="s">
        <v>2218</v>
      </c>
    </row>
    <row r="111" customFormat="false" ht="15" hidden="false" customHeight="true" outlineLevel="0" collapsed="false">
      <c r="A111" s="9" t="s">
        <v>917</v>
      </c>
      <c r="B111" s="9" t="s">
        <v>1535</v>
      </c>
      <c r="C111" s="9" t="s">
        <v>929</v>
      </c>
      <c r="D111" s="9" t="s">
        <v>1701</v>
      </c>
      <c r="E111" s="9" t="s">
        <v>1536</v>
      </c>
      <c r="F111" s="9" t="s">
        <v>1537</v>
      </c>
      <c r="G111" s="9"/>
      <c r="H111" s="64" t="s">
        <v>2219</v>
      </c>
    </row>
    <row r="112" customFormat="false" ht="15" hidden="false" customHeight="true" outlineLevel="0" collapsed="false">
      <c r="A112" s="68" t="s">
        <v>917</v>
      </c>
      <c r="B112" s="68" t="s">
        <v>1538</v>
      </c>
      <c r="C112" s="68" t="s">
        <v>929</v>
      </c>
      <c r="D112" s="68" t="s">
        <v>1701</v>
      </c>
      <c r="E112" s="68" t="s">
        <v>1536</v>
      </c>
      <c r="F112" s="68" t="s">
        <v>1539</v>
      </c>
      <c r="G112" s="68"/>
      <c r="H112" s="64" t="s">
        <v>2220</v>
      </c>
    </row>
    <row r="113" customFormat="false" ht="15" hidden="false" customHeight="true" outlineLevel="0" collapsed="false">
      <c r="A113" s="9" t="s">
        <v>917</v>
      </c>
      <c r="B113" s="9" t="s">
        <v>1540</v>
      </c>
      <c r="C113" s="9" t="s">
        <v>929</v>
      </c>
      <c r="D113" s="9" t="s">
        <v>1701</v>
      </c>
      <c r="E113" s="9" t="s">
        <v>1541</v>
      </c>
      <c r="F113" s="9" t="s">
        <v>1542</v>
      </c>
      <c r="G113" s="9"/>
      <c r="H113" s="64" t="s">
        <v>2221</v>
      </c>
    </row>
    <row r="114" customFormat="false" ht="15" hidden="false" customHeight="true" outlineLevel="0" collapsed="false">
      <c r="A114" s="68" t="s">
        <v>925</v>
      </c>
      <c r="B114" s="68" t="s">
        <v>1543</v>
      </c>
      <c r="C114" s="68" t="s">
        <v>972</v>
      </c>
      <c r="D114" s="68" t="s">
        <v>1701</v>
      </c>
      <c r="E114" s="68" t="s">
        <v>1186</v>
      </c>
      <c r="F114" s="68" t="s">
        <v>1544</v>
      </c>
      <c r="G114" s="68"/>
      <c r="H114" s="64" t="s">
        <v>2222</v>
      </c>
    </row>
    <row r="115" customFormat="false" ht="15" hidden="false" customHeight="true" outlineLevel="0" collapsed="false">
      <c r="A115" s="9" t="s">
        <v>925</v>
      </c>
      <c r="B115" s="9" t="s">
        <v>971</v>
      </c>
      <c r="C115" s="9" t="s">
        <v>972</v>
      </c>
      <c r="D115" s="9" t="s">
        <v>1701</v>
      </c>
      <c r="E115" s="9" t="s">
        <v>217</v>
      </c>
      <c r="F115" s="9"/>
      <c r="G115" s="9"/>
      <c r="H115" s="64" t="s">
        <v>2223</v>
      </c>
    </row>
    <row r="116" customFormat="false" ht="15" hidden="false" customHeight="true" outlineLevel="0" collapsed="false">
      <c r="A116" s="68" t="s">
        <v>925</v>
      </c>
      <c r="B116" s="68" t="s">
        <v>2224</v>
      </c>
      <c r="C116" s="68" t="s">
        <v>1675</v>
      </c>
      <c r="D116" s="68" t="s">
        <v>1701</v>
      </c>
      <c r="E116" s="68" t="s">
        <v>1142</v>
      </c>
      <c r="F116" s="68"/>
      <c r="G116" s="68"/>
      <c r="H116" s="64" t="s">
        <v>2225</v>
      </c>
    </row>
    <row r="117" customFormat="false" ht="15" hidden="false" customHeight="true" outlineLevel="0" collapsed="false">
      <c r="A117" s="9" t="s">
        <v>925</v>
      </c>
      <c r="B117" s="9" t="s">
        <v>1057</v>
      </c>
      <c r="C117" s="9" t="s">
        <v>968</v>
      </c>
      <c r="D117" s="9" t="s">
        <v>1701</v>
      </c>
      <c r="E117" s="9" t="s">
        <v>146</v>
      </c>
      <c r="F117" s="9" t="s">
        <v>1058</v>
      </c>
      <c r="G117" s="9"/>
      <c r="H117" s="64" t="s">
        <v>2226</v>
      </c>
    </row>
    <row r="118" customFormat="false" ht="15" hidden="false" customHeight="true" outlineLevel="0" collapsed="false">
      <c r="A118" s="68" t="s">
        <v>925</v>
      </c>
      <c r="B118" s="68" t="s">
        <v>1059</v>
      </c>
      <c r="C118" s="68" t="s">
        <v>968</v>
      </c>
      <c r="D118" s="68" t="s">
        <v>1701</v>
      </c>
      <c r="E118" s="68" t="s">
        <v>146</v>
      </c>
      <c r="F118" s="68"/>
      <c r="G118" s="68"/>
      <c r="H118" s="64" t="s">
        <v>2227</v>
      </c>
    </row>
    <row r="119" customFormat="false" ht="15" hidden="false" customHeight="true" outlineLevel="0" collapsed="false">
      <c r="A119" s="9" t="s">
        <v>925</v>
      </c>
      <c r="B119" s="9" t="s">
        <v>1060</v>
      </c>
      <c r="C119" s="9" t="s">
        <v>1061</v>
      </c>
      <c r="D119" s="9" t="s">
        <v>1701</v>
      </c>
      <c r="E119" s="9" t="s">
        <v>146</v>
      </c>
      <c r="F119" s="9" t="s">
        <v>1062</v>
      </c>
      <c r="G119" s="9"/>
      <c r="H119" s="64" t="s">
        <v>2228</v>
      </c>
    </row>
    <row r="120" customFormat="false" ht="15" hidden="false" customHeight="true" outlineLevel="0" collapsed="false">
      <c r="A120" s="68" t="s">
        <v>925</v>
      </c>
      <c r="B120" s="68" t="s">
        <v>1063</v>
      </c>
      <c r="C120" s="68" t="s">
        <v>972</v>
      </c>
      <c r="D120" s="68" t="s">
        <v>1701</v>
      </c>
      <c r="E120" s="68" t="s">
        <v>146</v>
      </c>
      <c r="F120" s="68" t="s">
        <v>1058</v>
      </c>
      <c r="G120" s="68"/>
      <c r="H120" s="64" t="s">
        <v>2229</v>
      </c>
    </row>
    <row r="121" customFormat="false" ht="15" hidden="false" customHeight="true" outlineLevel="0" collapsed="false">
      <c r="A121" s="9" t="s">
        <v>925</v>
      </c>
      <c r="B121" s="9" t="s">
        <v>1064</v>
      </c>
      <c r="C121" s="9" t="s">
        <v>972</v>
      </c>
      <c r="D121" s="9" t="s">
        <v>1701</v>
      </c>
      <c r="E121" s="9" t="s">
        <v>146</v>
      </c>
      <c r="F121" s="9" t="s">
        <v>1065</v>
      </c>
      <c r="G121" s="9"/>
      <c r="H121" s="64" t="s">
        <v>2230</v>
      </c>
    </row>
    <row r="122" customFormat="false" ht="15" hidden="false" customHeight="true" outlineLevel="0" collapsed="false">
      <c r="A122" s="68" t="s">
        <v>925</v>
      </c>
      <c r="B122" s="68" t="s">
        <v>2231</v>
      </c>
      <c r="C122" s="68" t="s">
        <v>1068</v>
      </c>
      <c r="D122" s="68" t="s">
        <v>1701</v>
      </c>
      <c r="E122" s="68" t="s">
        <v>1533</v>
      </c>
      <c r="F122" s="68"/>
      <c r="G122" s="68"/>
      <c r="H122" s="64" t="s">
        <v>2232</v>
      </c>
    </row>
    <row r="123" customFormat="false" ht="23.25" hidden="false" customHeight="true" outlineLevel="0" collapsed="false">
      <c r="A123" s="9" t="s">
        <v>925</v>
      </c>
      <c r="B123" s="9" t="s">
        <v>973</v>
      </c>
      <c r="C123" s="9" t="s">
        <v>968</v>
      </c>
      <c r="D123" s="9" t="s">
        <v>1701</v>
      </c>
      <c r="E123" s="9" t="s">
        <v>974</v>
      </c>
      <c r="F123" s="9" t="s">
        <v>975</v>
      </c>
      <c r="G123" s="9"/>
      <c r="H123" s="64" t="s">
        <v>2233</v>
      </c>
    </row>
    <row r="124" customFormat="false" ht="15" hidden="false" customHeight="true" outlineLevel="0" collapsed="false">
      <c r="A124" s="68" t="s">
        <v>925</v>
      </c>
      <c r="B124" s="68" t="s">
        <v>1067</v>
      </c>
      <c r="C124" s="68" t="s">
        <v>1068</v>
      </c>
      <c r="D124" s="68" t="s">
        <v>1701</v>
      </c>
      <c r="E124" s="68" t="s">
        <v>1069</v>
      </c>
      <c r="F124" s="68"/>
      <c r="G124" s="68"/>
      <c r="H124" s="64" t="s">
        <v>2234</v>
      </c>
    </row>
    <row r="125" customFormat="false" ht="15" hidden="false" customHeight="true" outlineLevel="0" collapsed="false">
      <c r="A125" s="9" t="s">
        <v>925</v>
      </c>
      <c r="B125" s="9" t="s">
        <v>2235</v>
      </c>
      <c r="C125" s="9"/>
      <c r="D125" s="9" t="s">
        <v>1701</v>
      </c>
      <c r="E125" s="9" t="s">
        <v>1135</v>
      </c>
      <c r="F125" s="9"/>
      <c r="G125" s="9"/>
      <c r="H125" s="64" t="s">
        <v>2236</v>
      </c>
    </row>
    <row r="126" customFormat="false" ht="15" hidden="false" customHeight="true" outlineLevel="0" collapsed="false">
      <c r="A126" s="68" t="s">
        <v>925</v>
      </c>
      <c r="B126" s="68" t="s">
        <v>2237</v>
      </c>
      <c r="C126" s="68" t="s">
        <v>1675</v>
      </c>
      <c r="D126" s="68" t="s">
        <v>1701</v>
      </c>
      <c r="E126" s="68" t="s">
        <v>1135</v>
      </c>
      <c r="F126" s="68"/>
      <c r="G126" s="68"/>
      <c r="H126" s="64" t="s">
        <v>2238</v>
      </c>
    </row>
    <row r="127" customFormat="false" ht="15" hidden="false" customHeight="true" outlineLevel="0" collapsed="false">
      <c r="A127" s="9" t="s">
        <v>925</v>
      </c>
      <c r="B127" s="9" t="s">
        <v>926</v>
      </c>
      <c r="C127" s="9"/>
      <c r="D127" s="9" t="s">
        <v>1701</v>
      </c>
      <c r="E127" s="9" t="s">
        <v>882</v>
      </c>
      <c r="F127" s="9" t="s">
        <v>927</v>
      </c>
      <c r="G127" s="9"/>
      <c r="H127" s="64" t="s">
        <v>2239</v>
      </c>
    </row>
    <row r="128" customFormat="false" ht="15" hidden="false" customHeight="true" outlineLevel="0" collapsed="false">
      <c r="A128" s="68" t="s">
        <v>925</v>
      </c>
      <c r="B128" s="68" t="s">
        <v>976</v>
      </c>
      <c r="C128" s="68"/>
      <c r="D128" s="68" t="s">
        <v>1701</v>
      </c>
      <c r="E128" s="68" t="s">
        <v>217</v>
      </c>
      <c r="F128" s="68" t="s">
        <v>927</v>
      </c>
      <c r="G128" s="68"/>
      <c r="H128" s="64" t="s">
        <v>2240</v>
      </c>
    </row>
    <row r="129" customFormat="false" ht="15" hidden="false" customHeight="true" outlineLevel="0" collapsed="false">
      <c r="A129" s="9" t="s">
        <v>925</v>
      </c>
      <c r="B129" s="9" t="s">
        <v>1070</v>
      </c>
      <c r="C129" s="9" t="s">
        <v>929</v>
      </c>
      <c r="D129" s="9" t="s">
        <v>1701</v>
      </c>
      <c r="E129" s="9" t="s">
        <v>146</v>
      </c>
      <c r="F129" s="9" t="s">
        <v>1071</v>
      </c>
      <c r="G129" s="9"/>
      <c r="H129" s="64" t="s">
        <v>2241</v>
      </c>
    </row>
    <row r="130" customFormat="false" ht="15" hidden="false" customHeight="true" outlineLevel="0" collapsed="false">
      <c r="A130" s="68" t="s">
        <v>925</v>
      </c>
      <c r="B130" s="68" t="s">
        <v>928</v>
      </c>
      <c r="C130" s="68" t="s">
        <v>929</v>
      </c>
      <c r="D130" s="68" t="s">
        <v>1701</v>
      </c>
      <c r="E130" s="68" t="s">
        <v>930</v>
      </c>
      <c r="F130" s="68"/>
      <c r="G130" s="68"/>
      <c r="H130" s="64" t="s">
        <v>2242</v>
      </c>
    </row>
    <row r="131" customFormat="false" ht="15" hidden="false" customHeight="true" outlineLevel="0" collapsed="false">
      <c r="A131" s="9" t="s">
        <v>977</v>
      </c>
      <c r="B131" s="9" t="s">
        <v>978</v>
      </c>
      <c r="C131" s="9"/>
      <c r="D131" s="9" t="s">
        <v>1701</v>
      </c>
      <c r="E131" s="9" t="s">
        <v>217</v>
      </c>
      <c r="F131" s="9"/>
      <c r="G131" s="9"/>
      <c r="H131" s="64" t="s">
        <v>2243</v>
      </c>
    </row>
    <row r="132" customFormat="false" ht="15" hidden="false" customHeight="true" outlineLevel="0" collapsed="false">
      <c r="A132" s="68" t="s">
        <v>977</v>
      </c>
      <c r="B132" s="68" t="s">
        <v>1546</v>
      </c>
      <c r="C132" s="68" t="s">
        <v>1073</v>
      </c>
      <c r="D132" s="68" t="s">
        <v>1701</v>
      </c>
      <c r="E132" s="68" t="s">
        <v>1547</v>
      </c>
      <c r="F132" s="68" t="s">
        <v>1548</v>
      </c>
      <c r="G132" s="68"/>
      <c r="H132" s="64" t="s">
        <v>2244</v>
      </c>
    </row>
    <row r="133" customFormat="false" ht="15" hidden="false" customHeight="true" outlineLevel="0" collapsed="false">
      <c r="A133" s="9" t="s">
        <v>977</v>
      </c>
      <c r="B133" s="9" t="s">
        <v>2245</v>
      </c>
      <c r="C133" s="9" t="s">
        <v>1075</v>
      </c>
      <c r="D133" s="9" t="s">
        <v>1701</v>
      </c>
      <c r="E133" s="9" t="s">
        <v>1142</v>
      </c>
      <c r="F133" s="9"/>
      <c r="G133" s="9"/>
      <c r="H133" s="64" t="s">
        <v>2246</v>
      </c>
    </row>
    <row r="134" customFormat="false" ht="15" hidden="false" customHeight="true" outlineLevel="0" collapsed="false">
      <c r="A134" s="68" t="s">
        <v>977</v>
      </c>
      <c r="B134" s="68" t="s">
        <v>1072</v>
      </c>
      <c r="C134" s="68" t="s">
        <v>1073</v>
      </c>
      <c r="D134" s="68" t="s">
        <v>1701</v>
      </c>
      <c r="E134" s="68" t="s">
        <v>146</v>
      </c>
      <c r="F134" s="68"/>
      <c r="G134" s="68"/>
      <c r="H134" s="64" t="s">
        <v>2247</v>
      </c>
    </row>
    <row r="135" customFormat="false" ht="15" hidden="false" customHeight="true" outlineLevel="0" collapsed="false">
      <c r="A135" s="9" t="s">
        <v>977</v>
      </c>
      <c r="B135" s="9" t="s">
        <v>1549</v>
      </c>
      <c r="C135" s="9" t="s">
        <v>1073</v>
      </c>
      <c r="D135" s="9" t="s">
        <v>1701</v>
      </c>
      <c r="E135" s="9" t="s">
        <v>1533</v>
      </c>
      <c r="F135" s="9" t="s">
        <v>1550</v>
      </c>
      <c r="G135" s="9"/>
      <c r="H135" s="64" t="s">
        <v>2248</v>
      </c>
    </row>
    <row r="136" customFormat="false" ht="15" hidden="false" customHeight="true" outlineLevel="0" collapsed="false">
      <c r="A136" s="68" t="s">
        <v>977</v>
      </c>
      <c r="B136" s="68" t="s">
        <v>1074</v>
      </c>
      <c r="C136" s="68" t="s">
        <v>1075</v>
      </c>
      <c r="D136" s="68" t="s">
        <v>1701</v>
      </c>
      <c r="E136" s="68" t="s">
        <v>1076</v>
      </c>
      <c r="F136" s="68"/>
      <c r="G136" s="68"/>
      <c r="H136" s="64" t="s">
        <v>2249</v>
      </c>
    </row>
    <row r="137" customFormat="false" ht="15" hidden="false" customHeight="true" outlineLevel="0" collapsed="false">
      <c r="A137" s="9" t="s">
        <v>977</v>
      </c>
      <c r="B137" s="9" t="s">
        <v>979</v>
      </c>
      <c r="C137" s="9" t="s">
        <v>980</v>
      </c>
      <c r="D137" s="9" t="s">
        <v>1701</v>
      </c>
      <c r="E137" s="9" t="s">
        <v>981</v>
      </c>
      <c r="F137" s="9" t="s">
        <v>982</v>
      </c>
      <c r="G137" s="9"/>
      <c r="H137" s="64" t="s">
        <v>2250</v>
      </c>
    </row>
    <row r="138" customFormat="false" ht="15" hidden="false" customHeight="true" outlineLevel="0" collapsed="false">
      <c r="A138" s="68" t="s">
        <v>977</v>
      </c>
      <c r="B138" s="68" t="s">
        <v>1077</v>
      </c>
      <c r="C138" s="68" t="s">
        <v>980</v>
      </c>
      <c r="D138" s="68" t="s">
        <v>1701</v>
      </c>
      <c r="E138" s="68" t="s">
        <v>1078</v>
      </c>
      <c r="F138" s="68"/>
      <c r="G138" s="68"/>
      <c r="H138" s="64" t="s">
        <v>2251</v>
      </c>
    </row>
    <row r="139" customFormat="false" ht="15" hidden="false" customHeight="true" outlineLevel="0" collapsed="false">
      <c r="A139" s="9" t="s">
        <v>977</v>
      </c>
      <c r="B139" s="9" t="s">
        <v>1079</v>
      </c>
      <c r="C139" s="9" t="s">
        <v>1073</v>
      </c>
      <c r="D139" s="9" t="s">
        <v>1701</v>
      </c>
      <c r="E139" s="9" t="s">
        <v>1080</v>
      </c>
      <c r="F139" s="9"/>
      <c r="G139" s="9"/>
      <c r="H139" s="64" t="s">
        <v>2252</v>
      </c>
    </row>
    <row r="140" customFormat="false" ht="15" hidden="false" customHeight="true" outlineLevel="0" collapsed="false">
      <c r="A140" s="68" t="s">
        <v>977</v>
      </c>
      <c r="B140" s="68" t="s">
        <v>2253</v>
      </c>
      <c r="C140" s="68" t="s">
        <v>1073</v>
      </c>
      <c r="D140" s="68" t="s">
        <v>1701</v>
      </c>
      <c r="E140" s="68" t="s">
        <v>1677</v>
      </c>
      <c r="F140" s="68"/>
      <c r="G140" s="68"/>
      <c r="H140" s="64" t="s">
        <v>2254</v>
      </c>
    </row>
    <row r="141" customFormat="false" ht="15" hidden="false" customHeight="true" outlineLevel="0" collapsed="false">
      <c r="A141" s="9" t="s">
        <v>977</v>
      </c>
      <c r="B141" s="9" t="s">
        <v>2255</v>
      </c>
      <c r="C141" s="9" t="s">
        <v>1073</v>
      </c>
      <c r="D141" s="9" t="s">
        <v>1701</v>
      </c>
      <c r="E141" s="9" t="s">
        <v>1135</v>
      </c>
      <c r="F141" s="9"/>
      <c r="G141" s="9"/>
      <c r="H141" s="64" t="s">
        <v>2256</v>
      </c>
    </row>
    <row r="142" customFormat="false" ht="15" hidden="false" customHeight="true" outlineLevel="0" collapsed="false">
      <c r="A142" s="68" t="s">
        <v>977</v>
      </c>
      <c r="B142" s="68" t="s">
        <v>2257</v>
      </c>
      <c r="C142" s="68" t="s">
        <v>2258</v>
      </c>
      <c r="D142" s="68" t="s">
        <v>1701</v>
      </c>
      <c r="E142" s="68" t="s">
        <v>1135</v>
      </c>
      <c r="F142" s="68"/>
      <c r="G142" s="68"/>
      <c r="H142" s="64" t="s">
        <v>2259</v>
      </c>
    </row>
    <row r="143" customFormat="false" ht="15" hidden="false" customHeight="true" outlineLevel="0" collapsed="false">
      <c r="A143" s="9" t="s">
        <v>977</v>
      </c>
      <c r="B143" s="9" t="s">
        <v>2260</v>
      </c>
      <c r="C143" s="9"/>
      <c r="D143" s="9" t="s">
        <v>1701</v>
      </c>
      <c r="E143" s="9" t="s">
        <v>2261</v>
      </c>
      <c r="F143" s="9"/>
      <c r="G143" s="9"/>
      <c r="H143" s="64" t="s">
        <v>2262</v>
      </c>
    </row>
    <row r="144" customFormat="false" ht="15" hidden="false" customHeight="true" outlineLevel="0" collapsed="false">
      <c r="A144" s="68" t="s">
        <v>977</v>
      </c>
      <c r="B144" s="68" t="s">
        <v>1081</v>
      </c>
      <c r="C144" s="68" t="s">
        <v>1073</v>
      </c>
      <c r="D144" s="68" t="s">
        <v>1701</v>
      </c>
      <c r="E144" s="68" t="s">
        <v>1082</v>
      </c>
      <c r="F144" s="68" t="s">
        <v>1083</v>
      </c>
      <c r="G144" s="68"/>
      <c r="H144" s="64" t="s">
        <v>2263</v>
      </c>
    </row>
    <row r="145" customFormat="false" ht="15" hidden="false" customHeight="true" outlineLevel="0" collapsed="false">
      <c r="A145" s="9" t="s">
        <v>977</v>
      </c>
      <c r="B145" s="9" t="s">
        <v>1084</v>
      </c>
      <c r="C145" s="9" t="s">
        <v>1073</v>
      </c>
      <c r="D145" s="9" t="s">
        <v>1701</v>
      </c>
      <c r="E145" s="9" t="s">
        <v>1085</v>
      </c>
      <c r="F145" s="9"/>
      <c r="G145" s="9"/>
      <c r="H145" s="64" t="s">
        <v>2264</v>
      </c>
    </row>
    <row r="146" customFormat="false" ht="15" hidden="false" customHeight="true" outlineLevel="0" collapsed="false">
      <c r="A146" s="68" t="s">
        <v>932</v>
      </c>
      <c r="B146" s="68" t="s">
        <v>933</v>
      </c>
      <c r="C146" s="68"/>
      <c r="D146" s="68" t="s">
        <v>1701</v>
      </c>
      <c r="E146" s="68" t="s">
        <v>882</v>
      </c>
      <c r="F146" s="68" t="s">
        <v>934</v>
      </c>
      <c r="G146" s="68"/>
      <c r="H146" s="64" t="s">
        <v>2265</v>
      </c>
    </row>
    <row r="147" customFormat="false" ht="15" hidden="false" customHeight="true" outlineLevel="0" collapsed="false">
      <c r="A147" s="9" t="s">
        <v>932</v>
      </c>
      <c r="B147" s="9" t="s">
        <v>1552</v>
      </c>
      <c r="C147" s="9"/>
      <c r="D147" s="9" t="s">
        <v>1701</v>
      </c>
      <c r="E147" s="9" t="s">
        <v>1553</v>
      </c>
      <c r="F147" s="9" t="s">
        <v>1554</v>
      </c>
      <c r="G147" s="9"/>
      <c r="H147" s="64" t="s">
        <v>2266</v>
      </c>
    </row>
    <row r="148" customFormat="false" ht="15" hidden="false" customHeight="true" outlineLevel="0" collapsed="false">
      <c r="A148" s="68" t="s">
        <v>932</v>
      </c>
      <c r="B148" s="68" t="s">
        <v>1555</v>
      </c>
      <c r="C148" s="68" t="s">
        <v>1090</v>
      </c>
      <c r="D148" s="68" t="s">
        <v>1701</v>
      </c>
      <c r="E148" s="68" t="s">
        <v>1186</v>
      </c>
      <c r="F148" s="68" t="s">
        <v>1556</v>
      </c>
      <c r="G148" s="68"/>
      <c r="H148" s="64" t="s">
        <v>2267</v>
      </c>
    </row>
    <row r="149" customFormat="false" ht="15" hidden="false" customHeight="true" outlineLevel="0" collapsed="false">
      <c r="A149" s="9" t="s">
        <v>932</v>
      </c>
      <c r="B149" s="9" t="s">
        <v>2268</v>
      </c>
      <c r="C149" s="9"/>
      <c r="D149" s="9" t="s">
        <v>1701</v>
      </c>
      <c r="E149" s="9" t="s">
        <v>1186</v>
      </c>
      <c r="F149" s="9"/>
      <c r="G149" s="9"/>
      <c r="H149" s="64" t="s">
        <v>2269</v>
      </c>
    </row>
    <row r="150" customFormat="false" ht="15" hidden="false" customHeight="true" outlineLevel="0" collapsed="false">
      <c r="A150" s="68" t="s">
        <v>932</v>
      </c>
      <c r="B150" s="68" t="s">
        <v>984</v>
      </c>
      <c r="C150" s="68" t="s">
        <v>936</v>
      </c>
      <c r="D150" s="68" t="s">
        <v>1701</v>
      </c>
      <c r="E150" s="68" t="s">
        <v>985</v>
      </c>
      <c r="F150" s="68" t="s">
        <v>986</v>
      </c>
      <c r="G150" s="68"/>
      <c r="H150" s="64" t="s">
        <v>2270</v>
      </c>
    </row>
    <row r="151" customFormat="false" ht="15" hidden="false" customHeight="true" outlineLevel="0" collapsed="false">
      <c r="A151" s="9" t="s">
        <v>932</v>
      </c>
      <c r="B151" s="9" t="s">
        <v>1086</v>
      </c>
      <c r="C151" s="9" t="s">
        <v>929</v>
      </c>
      <c r="D151" s="9" t="s">
        <v>1701</v>
      </c>
      <c r="E151" s="9" t="s">
        <v>1087</v>
      </c>
      <c r="F151" s="9" t="s">
        <v>1088</v>
      </c>
      <c r="G151" s="9"/>
      <c r="H151" s="64" t="s">
        <v>2271</v>
      </c>
    </row>
    <row r="152" customFormat="false" ht="15" hidden="false" customHeight="true" outlineLevel="0" collapsed="false">
      <c r="A152" s="68" t="s">
        <v>932</v>
      </c>
      <c r="B152" s="68" t="s">
        <v>1089</v>
      </c>
      <c r="C152" s="68" t="s">
        <v>1090</v>
      </c>
      <c r="D152" s="68" t="s">
        <v>1701</v>
      </c>
      <c r="E152" s="68" t="s">
        <v>1091</v>
      </c>
      <c r="F152" s="68" t="s">
        <v>1092</v>
      </c>
      <c r="G152" s="68"/>
      <c r="H152" s="64" t="s">
        <v>2272</v>
      </c>
    </row>
    <row r="153" customFormat="false" ht="15" hidden="false" customHeight="true" outlineLevel="0" collapsed="false">
      <c r="A153" s="9" t="s">
        <v>932</v>
      </c>
      <c r="B153" s="9" t="s">
        <v>1093</v>
      </c>
      <c r="C153" s="9" t="s">
        <v>936</v>
      </c>
      <c r="D153" s="9" t="s">
        <v>1701</v>
      </c>
      <c r="E153" s="9" t="s">
        <v>146</v>
      </c>
      <c r="F153" s="9" t="s">
        <v>1094</v>
      </c>
      <c r="G153" s="9"/>
      <c r="H153" s="64" t="s">
        <v>2273</v>
      </c>
    </row>
    <row r="154" customFormat="false" ht="15" hidden="false" customHeight="true" outlineLevel="0" collapsed="false">
      <c r="A154" s="68" t="s">
        <v>932</v>
      </c>
      <c r="B154" s="68" t="s">
        <v>935</v>
      </c>
      <c r="C154" s="68" t="s">
        <v>936</v>
      </c>
      <c r="D154" s="68" t="s">
        <v>1701</v>
      </c>
      <c r="E154" s="68" t="s">
        <v>882</v>
      </c>
      <c r="F154" s="68" t="s">
        <v>937</v>
      </c>
      <c r="G154" s="68"/>
      <c r="H154" s="64" t="s">
        <v>2274</v>
      </c>
    </row>
    <row r="155" customFormat="false" ht="15" hidden="false" customHeight="true" outlineLevel="0" collapsed="false">
      <c r="A155" s="9" t="s">
        <v>932</v>
      </c>
      <c r="B155" s="9" t="s">
        <v>2275</v>
      </c>
      <c r="C155" s="9" t="s">
        <v>1090</v>
      </c>
      <c r="D155" s="9" t="s">
        <v>1701</v>
      </c>
      <c r="E155" s="9" t="s">
        <v>1135</v>
      </c>
      <c r="F155" s="9"/>
      <c r="G155" s="9"/>
      <c r="H155" s="64" t="s">
        <v>2276</v>
      </c>
    </row>
    <row r="156" customFormat="false" ht="15" hidden="false" customHeight="true" outlineLevel="0" collapsed="false">
      <c r="A156" s="68" t="s">
        <v>932</v>
      </c>
      <c r="B156" s="68" t="s">
        <v>938</v>
      </c>
      <c r="C156" s="68"/>
      <c r="D156" s="68" t="s">
        <v>1701</v>
      </c>
      <c r="E156" s="68" t="s">
        <v>893</v>
      </c>
      <c r="F156" s="68"/>
      <c r="G156" s="68"/>
      <c r="H156" s="64" t="s">
        <v>2277</v>
      </c>
    </row>
    <row r="157" customFormat="false" ht="15" hidden="false" customHeight="true" outlineLevel="0" collapsed="false">
      <c r="A157" s="9" t="s">
        <v>932</v>
      </c>
      <c r="B157" s="9" t="s">
        <v>1095</v>
      </c>
      <c r="C157" s="9"/>
      <c r="D157" s="9" t="s">
        <v>1701</v>
      </c>
      <c r="E157" s="9" t="s">
        <v>146</v>
      </c>
      <c r="F157" s="9"/>
      <c r="G157" s="9"/>
      <c r="H157" s="64" t="s">
        <v>2278</v>
      </c>
    </row>
    <row r="158" customFormat="false" ht="15" hidden="false" customHeight="true" outlineLevel="0" collapsed="false">
      <c r="A158" s="68" t="s">
        <v>932</v>
      </c>
      <c r="B158" s="68" t="s">
        <v>1096</v>
      </c>
      <c r="C158" s="68" t="s">
        <v>936</v>
      </c>
      <c r="D158" s="68" t="s">
        <v>1701</v>
      </c>
      <c r="E158" s="68" t="s">
        <v>1097</v>
      </c>
      <c r="F158" s="68" t="s">
        <v>1098</v>
      </c>
      <c r="G158" s="68"/>
      <c r="H158" s="64" t="s">
        <v>2279</v>
      </c>
    </row>
    <row r="159" customFormat="false" ht="15" hidden="false" customHeight="true" outlineLevel="0" collapsed="false">
      <c r="A159" s="9" t="s">
        <v>939</v>
      </c>
      <c r="B159" s="9" t="s">
        <v>940</v>
      </c>
      <c r="C159" s="9"/>
      <c r="D159" s="9" t="s">
        <v>1701</v>
      </c>
      <c r="E159" s="9" t="s">
        <v>893</v>
      </c>
      <c r="F159" s="9" t="s">
        <v>941</v>
      </c>
      <c r="G159" s="9"/>
      <c r="H159" s="64" t="s">
        <v>2280</v>
      </c>
    </row>
    <row r="160" customFormat="false" ht="15" hidden="false" customHeight="true" outlineLevel="0" collapsed="false">
      <c r="A160" s="68" t="s">
        <v>939</v>
      </c>
      <c r="B160" s="68" t="s">
        <v>1099</v>
      </c>
      <c r="C160" s="68" t="s">
        <v>1100</v>
      </c>
      <c r="D160" s="68" t="s">
        <v>1701</v>
      </c>
      <c r="E160" s="68" t="s">
        <v>1101</v>
      </c>
      <c r="F160" s="68" t="s">
        <v>993</v>
      </c>
      <c r="G160" s="68"/>
      <c r="H160" s="64" t="s">
        <v>2281</v>
      </c>
    </row>
    <row r="161" customFormat="false" ht="15" hidden="false" customHeight="true" outlineLevel="0" collapsed="false">
      <c r="A161" s="9" t="s">
        <v>939</v>
      </c>
      <c r="B161" s="9" t="s">
        <v>1557</v>
      </c>
      <c r="C161" s="9" t="s">
        <v>988</v>
      </c>
      <c r="D161" s="9" t="s">
        <v>1701</v>
      </c>
      <c r="E161" s="9" t="s">
        <v>1186</v>
      </c>
      <c r="F161" s="9" t="s">
        <v>993</v>
      </c>
      <c r="G161" s="9"/>
      <c r="H161" s="64" t="s">
        <v>2282</v>
      </c>
    </row>
    <row r="162" customFormat="false" ht="15" hidden="false" customHeight="true" outlineLevel="0" collapsed="false">
      <c r="A162" s="68" t="s">
        <v>939</v>
      </c>
      <c r="B162" s="68" t="s">
        <v>987</v>
      </c>
      <c r="C162" s="68" t="s">
        <v>988</v>
      </c>
      <c r="D162" s="68" t="s">
        <v>1701</v>
      </c>
      <c r="E162" s="68" t="s">
        <v>217</v>
      </c>
      <c r="F162" s="68" t="s">
        <v>989</v>
      </c>
      <c r="G162" s="68"/>
      <c r="H162" s="64" t="s">
        <v>2283</v>
      </c>
    </row>
    <row r="163" customFormat="false" ht="15" hidden="false" customHeight="true" outlineLevel="0" collapsed="false">
      <c r="A163" s="9" t="s">
        <v>939</v>
      </c>
      <c r="B163" s="9" t="s">
        <v>1102</v>
      </c>
      <c r="C163" s="9" t="s">
        <v>988</v>
      </c>
      <c r="D163" s="9" t="s">
        <v>1701</v>
      </c>
      <c r="E163" s="9" t="s">
        <v>146</v>
      </c>
      <c r="F163" s="9" t="s">
        <v>993</v>
      </c>
      <c r="G163" s="9"/>
      <c r="H163" s="64" t="s">
        <v>2284</v>
      </c>
    </row>
    <row r="164" customFormat="false" ht="15" hidden="false" customHeight="true" outlineLevel="0" collapsed="false">
      <c r="A164" s="68" t="s">
        <v>939</v>
      </c>
      <c r="B164" s="68" t="s">
        <v>1103</v>
      </c>
      <c r="C164" s="68" t="s">
        <v>1100</v>
      </c>
      <c r="D164" s="68" t="s">
        <v>1701</v>
      </c>
      <c r="E164" s="68" t="s">
        <v>146</v>
      </c>
      <c r="F164" s="68" t="s">
        <v>993</v>
      </c>
      <c r="G164" s="68"/>
      <c r="H164" s="64" t="s">
        <v>2285</v>
      </c>
    </row>
    <row r="165" customFormat="false" ht="15" hidden="false" customHeight="true" outlineLevel="0" collapsed="false">
      <c r="A165" s="9" t="s">
        <v>939</v>
      </c>
      <c r="B165" s="9" t="s">
        <v>1558</v>
      </c>
      <c r="C165" s="9" t="s">
        <v>1559</v>
      </c>
      <c r="D165" s="9" t="s">
        <v>1701</v>
      </c>
      <c r="E165" s="9" t="s">
        <v>1533</v>
      </c>
      <c r="F165" s="9" t="s">
        <v>1560</v>
      </c>
      <c r="G165" s="9"/>
      <c r="H165" s="64" t="s">
        <v>2286</v>
      </c>
    </row>
    <row r="166" customFormat="false" ht="15" hidden="false" customHeight="true" outlineLevel="0" collapsed="false">
      <c r="A166" s="68" t="s">
        <v>939</v>
      </c>
      <c r="B166" s="68" t="s">
        <v>1109</v>
      </c>
      <c r="C166" s="68" t="s">
        <v>1110</v>
      </c>
      <c r="D166" s="68" t="s">
        <v>1701</v>
      </c>
      <c r="E166" s="68" t="s">
        <v>1111</v>
      </c>
      <c r="F166" s="68" t="s">
        <v>941</v>
      </c>
      <c r="G166" s="68"/>
      <c r="H166" s="64" t="s">
        <v>2287</v>
      </c>
    </row>
    <row r="167" customFormat="false" ht="15" hidden="false" customHeight="true" outlineLevel="0" collapsed="false">
      <c r="A167" s="9" t="s">
        <v>939</v>
      </c>
      <c r="B167" s="9" t="s">
        <v>1561</v>
      </c>
      <c r="C167" s="9" t="s">
        <v>1110</v>
      </c>
      <c r="D167" s="9" t="s">
        <v>1701</v>
      </c>
      <c r="E167" s="9" t="s">
        <v>1186</v>
      </c>
      <c r="F167" s="9" t="s">
        <v>993</v>
      </c>
      <c r="G167" s="9"/>
      <c r="H167" s="64" t="s">
        <v>2288</v>
      </c>
    </row>
    <row r="168" customFormat="false" ht="15" hidden="false" customHeight="true" outlineLevel="0" collapsed="false">
      <c r="A168" s="68" t="s">
        <v>939</v>
      </c>
      <c r="B168" s="68" t="s">
        <v>990</v>
      </c>
      <c r="C168" s="68" t="s">
        <v>991</v>
      </c>
      <c r="D168" s="68" t="s">
        <v>1701</v>
      </c>
      <c r="E168" s="68" t="s">
        <v>992</v>
      </c>
      <c r="F168" s="68" t="s">
        <v>993</v>
      </c>
      <c r="G168" s="68"/>
      <c r="H168" s="64" t="s">
        <v>2289</v>
      </c>
    </row>
    <row r="169" customFormat="false" ht="15" hidden="false" customHeight="true" outlineLevel="0" collapsed="false">
      <c r="A169" s="9" t="s">
        <v>939</v>
      </c>
      <c r="B169" s="9" t="s">
        <v>1112</v>
      </c>
      <c r="C169" s="9" t="s">
        <v>991</v>
      </c>
      <c r="D169" s="9" t="s">
        <v>1701</v>
      </c>
      <c r="E169" s="9" t="s">
        <v>1113</v>
      </c>
      <c r="F169" s="9" t="s">
        <v>941</v>
      </c>
      <c r="G169" s="9"/>
      <c r="H169" s="64" t="s">
        <v>2290</v>
      </c>
    </row>
    <row r="170" customFormat="false" ht="15" hidden="false" customHeight="true" outlineLevel="0" collapsed="false">
      <c r="A170" s="68"/>
      <c r="B170" s="68"/>
      <c r="C170" s="68"/>
      <c r="D170" s="68"/>
      <c r="E170" s="68"/>
      <c r="F170" s="68"/>
      <c r="G170" s="68"/>
      <c r="H170" s="64" t="str">
        <f aca="false">IF(OR(A170="",B170=""),"",CONCATENATE("https://matarstund.is/serfaedi?id=",LOWER(SUBSTITUTE(B170," ","-"))))</f>
        <v/>
      </c>
    </row>
    <row r="171" customFormat="false" ht="15" hidden="false" customHeight="true" outlineLevel="0" collapsed="false">
      <c r="A171" s="9"/>
      <c r="B171" s="9"/>
      <c r="C171" s="9"/>
      <c r="D171" s="9"/>
      <c r="E171" s="9"/>
      <c r="F171" s="9"/>
      <c r="G171" s="9"/>
      <c r="H171" s="64" t="str">
        <f aca="false">IF(OR(A171="",B171=""),"",CONCATENATE("https://matarstund.is/serfaedi?id=",LOWER(SUBSTITUTE(B171," ","-"))))</f>
        <v/>
      </c>
    </row>
    <row r="172" customFormat="false" ht="15" hidden="false" customHeight="true" outlineLevel="0" collapsed="false">
      <c r="A172" s="68"/>
      <c r="B172" s="68"/>
      <c r="C172" s="68"/>
      <c r="D172" s="68"/>
      <c r="E172" s="68"/>
      <c r="F172" s="68"/>
      <c r="G172" s="68"/>
      <c r="H172" s="64" t="str">
        <f aca="false">IF(OR(A172="",B172=""),"",CONCATENATE("https://matarstund.is/serfaedi?id=",LOWER(SUBSTITUTE(B172," ","-"))))</f>
        <v/>
      </c>
    </row>
    <row r="173" customFormat="false" ht="15" hidden="false" customHeight="true" outlineLevel="0" collapsed="false">
      <c r="A173" s="9"/>
      <c r="B173" s="9"/>
      <c r="C173" s="9"/>
      <c r="D173" s="9"/>
      <c r="E173" s="9"/>
      <c r="F173" s="9"/>
      <c r="G173" s="9"/>
      <c r="H173" s="64" t="str">
        <f aca="false">IF(OR(A173="",B173=""),"",CONCATENATE("https://matarstund.is/serfaedi?id=",LOWER(SUBSTITUTE(B173," ","-"))))</f>
        <v/>
      </c>
    </row>
    <row r="174" customFormat="false" ht="15" hidden="false" customHeight="true" outlineLevel="0" collapsed="false">
      <c r="A174" s="68"/>
      <c r="B174" s="68"/>
      <c r="C174" s="68"/>
      <c r="D174" s="68"/>
      <c r="E174" s="68"/>
      <c r="F174" s="68"/>
      <c r="G174" s="68"/>
      <c r="H174" s="64" t="str">
        <f aca="false">IF(OR(A174="",B174=""),"",CONCATENATE("https://matarstund.is/serfaedi?id=",LOWER(SUBSTITUTE(B174," ","-"))))</f>
        <v/>
      </c>
    </row>
    <row r="175" customFormat="false" ht="15" hidden="false" customHeight="true" outlineLevel="0" collapsed="false">
      <c r="A175" s="9"/>
      <c r="B175" s="9"/>
      <c r="C175" s="9"/>
      <c r="D175" s="9"/>
      <c r="E175" s="9"/>
      <c r="F175" s="9"/>
      <c r="G175" s="9"/>
      <c r="H175" s="64" t="str">
        <f aca="false">IF(OR(A175="",B175=""),"",CONCATENATE("https://matarstund.is/serfaedi?id=",LOWER(SUBSTITUTE(B175," ","-"))))</f>
        <v/>
      </c>
    </row>
    <row r="176" customFormat="false" ht="15" hidden="false" customHeight="true" outlineLevel="0" collapsed="false">
      <c r="A176" s="68"/>
      <c r="B176" s="68"/>
      <c r="C176" s="68"/>
      <c r="D176" s="68"/>
      <c r="E176" s="68"/>
      <c r="F176" s="68"/>
      <c r="G176" s="68"/>
      <c r="H176" s="64" t="str">
        <f aca="false">IF(OR(A176="",B176=""),"",CONCATENATE("https://matarstund.is/serfaedi?id=",LOWER(SUBSTITUTE(B176," ","-"))))</f>
        <v/>
      </c>
    </row>
    <row r="177" customFormat="false" ht="15" hidden="false" customHeight="true" outlineLevel="0" collapsed="false">
      <c r="A177" s="9"/>
      <c r="B177" s="9"/>
      <c r="C177" s="9"/>
      <c r="D177" s="9"/>
      <c r="E177" s="9"/>
      <c r="F177" s="9"/>
      <c r="G177" s="9"/>
      <c r="H177" s="64" t="str">
        <f aca="false">IF(OR(A177="",B177=""),"",CONCATENATE("https://matarstund.is/serfaedi?id=",LOWER(SUBSTITUTE(B177," ","-"))))</f>
        <v/>
      </c>
    </row>
    <row r="178" customFormat="false" ht="15" hidden="false" customHeight="true" outlineLevel="0" collapsed="false">
      <c r="A178" s="68"/>
      <c r="B178" s="68"/>
      <c r="C178" s="68"/>
      <c r="D178" s="68"/>
      <c r="E178" s="68"/>
      <c r="F178" s="68"/>
      <c r="G178" s="68"/>
      <c r="H178" s="64" t="str">
        <f aca="false">IF(OR(A178="",B178=""),"",CONCATENATE("https://matarstund.is/serfaedi?id=",LOWER(SUBSTITUTE(B178," ","-"))))</f>
        <v/>
      </c>
    </row>
    <row r="179" customFormat="false" ht="15" hidden="false" customHeight="true" outlineLevel="0" collapsed="false">
      <c r="A179" s="9"/>
      <c r="B179" s="9"/>
      <c r="C179" s="9"/>
      <c r="D179" s="9"/>
      <c r="E179" s="9"/>
      <c r="F179" s="9"/>
      <c r="G179" s="9"/>
      <c r="H179" s="64" t="str">
        <f aca="false">IF(OR(A179="",B179=""),"",CONCATENATE("https://matarstund.is/serfaedi?id=",LOWER(SUBSTITUTE(B179," ","-"))))</f>
        <v/>
      </c>
    </row>
    <row r="180" customFormat="false" ht="15" hidden="false" customHeight="true" outlineLevel="0" collapsed="false">
      <c r="A180" s="68"/>
      <c r="B180" s="68"/>
      <c r="C180" s="68"/>
      <c r="D180" s="68"/>
      <c r="E180" s="68"/>
      <c r="F180" s="68"/>
      <c r="G180" s="68"/>
      <c r="H180" s="64" t="str">
        <f aca="false">IF(OR(A180="",B180=""),"",CONCATENATE("https://matarstund.is/serfaedi?id=",LOWER(SUBSTITUTE(B180," ","-"))))</f>
        <v/>
      </c>
    </row>
    <row r="181" customFormat="false" ht="15" hidden="false" customHeight="true" outlineLevel="0" collapsed="false">
      <c r="A181" s="9"/>
      <c r="B181" s="9"/>
      <c r="C181" s="9"/>
      <c r="D181" s="9"/>
      <c r="E181" s="9"/>
      <c r="F181" s="9"/>
      <c r="G181" s="9"/>
      <c r="H181" s="64" t="str">
        <f aca="false">IF(OR(A181="",B181=""),"",CONCATENATE("https://matarstund.is/serfaedi?id=",LOWER(SUBSTITUTE(B181," ","-"))))</f>
        <v/>
      </c>
    </row>
    <row r="182" customFormat="false" ht="15" hidden="false" customHeight="true" outlineLevel="0" collapsed="false">
      <c r="A182" s="68"/>
      <c r="B182" s="68"/>
      <c r="C182" s="68"/>
      <c r="D182" s="68"/>
      <c r="E182" s="68"/>
      <c r="F182" s="68"/>
      <c r="G182" s="68"/>
      <c r="H182" s="64" t="str">
        <f aca="false">IF(OR(A182="",B182=""),"",CONCATENATE("https://matarstund.is/serfaedi?id=",LOWER(SUBSTITUTE(B182," ","-"))))</f>
        <v/>
      </c>
    </row>
    <row r="183" customFormat="false" ht="15" hidden="false" customHeight="true" outlineLevel="0" collapsed="false">
      <c r="A183" s="9"/>
      <c r="B183" s="9"/>
      <c r="C183" s="9"/>
      <c r="D183" s="9"/>
      <c r="E183" s="9"/>
      <c r="F183" s="9"/>
      <c r="G183" s="9"/>
      <c r="H183" s="64" t="str">
        <f aca="false">IF(OR(A183="",B183=""),"",CONCATENATE("https://matarstund.is/serfaedi?id=",LOWER(SUBSTITUTE(B183," ","-"))))</f>
        <v/>
      </c>
    </row>
    <row r="184" customFormat="false" ht="15" hidden="false" customHeight="true" outlineLevel="0" collapsed="false">
      <c r="A184" s="68"/>
      <c r="B184" s="68"/>
      <c r="C184" s="68"/>
      <c r="D184" s="68"/>
      <c r="E184" s="68"/>
      <c r="F184" s="68"/>
      <c r="G184" s="68"/>
      <c r="H184" s="64" t="str">
        <f aca="false">IF(OR(A184="",B184=""),"",CONCATENATE("https://matarstund.is/serfaedi?id=",LOWER(SUBSTITUTE(B184," ","-"))))</f>
        <v/>
      </c>
    </row>
    <row r="185" customFormat="false" ht="15" hidden="false" customHeight="true" outlineLevel="0" collapsed="false">
      <c r="A185" s="9"/>
      <c r="B185" s="9"/>
      <c r="C185" s="9"/>
      <c r="D185" s="9"/>
      <c r="E185" s="9"/>
      <c r="F185" s="9"/>
      <c r="G185" s="9"/>
      <c r="H185" s="64" t="str">
        <f aca="false">IF(OR(A185="",B185=""),"",CONCATENATE("https://matarstund.is/serfaedi?id=",LOWER(SUBSTITUTE(B185," ","-"))))</f>
        <v/>
      </c>
    </row>
    <row r="186" customFormat="false" ht="15" hidden="false" customHeight="true" outlineLevel="0" collapsed="false">
      <c r="A186" s="68"/>
      <c r="B186" s="68"/>
      <c r="C186" s="68"/>
      <c r="D186" s="68"/>
      <c r="E186" s="68"/>
      <c r="F186" s="68"/>
      <c r="G186" s="68"/>
      <c r="H186" s="64" t="str">
        <f aca="false">IF(OR(A186="",B186=""),"",CONCATENATE("https://matarstund.is/serfaedi?id=",LOWER(SUBSTITUTE(B186," ","-"))))</f>
        <v/>
      </c>
    </row>
    <row r="187" customFormat="false" ht="15" hidden="false" customHeight="true" outlineLevel="0" collapsed="false">
      <c r="A187" s="9"/>
      <c r="B187" s="9"/>
      <c r="C187" s="9"/>
      <c r="D187" s="9"/>
      <c r="E187" s="9"/>
      <c r="F187" s="9"/>
      <c r="G187" s="9"/>
      <c r="H187" s="64" t="str">
        <f aca="false">IF(OR(A187="",B187=""),"",CONCATENATE("https://matarstund.is/serfaedi?id=",LOWER(SUBSTITUTE(B187," ","-"))))</f>
        <v/>
      </c>
    </row>
    <row r="188" customFormat="false" ht="15" hidden="false" customHeight="true" outlineLevel="0" collapsed="false">
      <c r="A188" s="68"/>
      <c r="B188" s="68"/>
      <c r="C188" s="68"/>
      <c r="D188" s="68"/>
      <c r="E188" s="68"/>
      <c r="F188" s="68"/>
      <c r="G188" s="68"/>
      <c r="H188" s="64" t="str">
        <f aca="false">IF(OR(A188="",B188=""),"",CONCATENATE("https://matarstund.is/serfaedi?id=",LOWER(SUBSTITUTE(B188," ","-"))))</f>
        <v/>
      </c>
    </row>
    <row r="189" customFormat="false" ht="15" hidden="false" customHeight="true" outlineLevel="0" collapsed="false">
      <c r="A189" s="9"/>
      <c r="B189" s="9"/>
      <c r="C189" s="9"/>
      <c r="D189" s="9"/>
      <c r="E189" s="9"/>
      <c r="F189" s="9"/>
      <c r="G189" s="9"/>
      <c r="H189" s="64" t="str">
        <f aca="false">IF(OR(A189="",B189=""),"",CONCATENATE("https://matarstund.is/serfaedi?id=",LOWER(SUBSTITUTE(B189," ","-"))))</f>
        <v/>
      </c>
    </row>
    <row r="190" customFormat="false" ht="15" hidden="false" customHeight="true" outlineLevel="0" collapsed="false">
      <c r="A190" s="68"/>
      <c r="B190" s="68"/>
      <c r="C190" s="68"/>
      <c r="D190" s="68"/>
      <c r="E190" s="68"/>
      <c r="F190" s="68"/>
      <c r="G190" s="68"/>
      <c r="H190" s="64" t="str">
        <f aca="false">IF(OR(A190="",B190=""),"",CONCATENATE("https://matarstund.is/serfaedi?id=",LOWER(SUBSTITUTE(B190," ","-"))))</f>
        <v/>
      </c>
    </row>
    <row r="191" customFormat="false" ht="15" hidden="false" customHeight="true" outlineLevel="0" collapsed="false">
      <c r="A191" s="9"/>
      <c r="B191" s="9"/>
      <c r="C191" s="9"/>
      <c r="D191" s="9"/>
      <c r="E191" s="9"/>
      <c r="F191" s="9"/>
      <c r="G191" s="9"/>
      <c r="H191" s="64" t="str">
        <f aca="false">IF(OR(A191="",B191=""),"",CONCATENATE("https://matarstund.is/serfaedi?id=",LOWER(SUBSTITUTE(B191," ","-"))))</f>
        <v/>
      </c>
    </row>
    <row r="192" customFormat="false" ht="15" hidden="false" customHeight="true" outlineLevel="0" collapsed="false">
      <c r="A192" s="68"/>
      <c r="B192" s="68"/>
      <c r="C192" s="68"/>
      <c r="D192" s="68"/>
      <c r="E192" s="68"/>
      <c r="F192" s="68"/>
      <c r="G192" s="68"/>
      <c r="H192" s="64" t="str">
        <f aca="false">IF(OR(A192="",B192=""),"",CONCATENATE("https://matarstund.is/serfaedi?id=",LOWER(SUBSTITUTE(B192," ","-"))))</f>
        <v/>
      </c>
    </row>
    <row r="193" customFormat="false" ht="15" hidden="false" customHeight="true" outlineLevel="0" collapsed="false">
      <c r="A193" s="9"/>
      <c r="B193" s="9"/>
      <c r="C193" s="9"/>
      <c r="D193" s="9"/>
      <c r="E193" s="9"/>
      <c r="F193" s="9"/>
      <c r="G193" s="9"/>
      <c r="H193" s="64" t="str">
        <f aca="false">IF(OR(A193="",B193=""),"",CONCATENATE("https://matarstund.is/serfaedi?id=",LOWER(SUBSTITUTE(B193," ","-"))))</f>
        <v/>
      </c>
    </row>
    <row r="194" customFormat="false" ht="15" hidden="false" customHeight="true" outlineLevel="0" collapsed="false">
      <c r="A194" s="68"/>
      <c r="B194" s="68"/>
      <c r="C194" s="68"/>
      <c r="D194" s="68"/>
      <c r="E194" s="68"/>
      <c r="F194" s="68"/>
      <c r="G194" s="68"/>
      <c r="H194" s="64" t="str">
        <f aca="false">IF(OR(A194="",B194=""),"",CONCATENATE("https://matarstund.is/serfaedi?id=",LOWER(SUBSTITUTE(B194," ","-"))))</f>
        <v/>
      </c>
    </row>
    <row r="195" customFormat="false" ht="15" hidden="false" customHeight="true" outlineLevel="0" collapsed="false">
      <c r="A195" s="9"/>
      <c r="B195" s="9"/>
      <c r="C195" s="9"/>
      <c r="D195" s="9"/>
      <c r="E195" s="9"/>
      <c r="F195" s="9"/>
      <c r="G195" s="9"/>
      <c r="H195" s="64" t="str">
        <f aca="false">IF(OR(A195="",B195=""),"",CONCATENATE("https://matarstund.is/serfaedi?id=",LOWER(SUBSTITUTE(B195," ","-"))))</f>
        <v/>
      </c>
    </row>
    <row r="196" customFormat="false" ht="15" hidden="false" customHeight="true" outlineLevel="0" collapsed="false">
      <c r="A196" s="68"/>
      <c r="B196" s="68"/>
      <c r="C196" s="68"/>
      <c r="D196" s="68"/>
      <c r="E196" s="68"/>
      <c r="F196" s="68"/>
      <c r="G196" s="68"/>
      <c r="H196" s="64" t="str">
        <f aca="false">IF(OR(A196="",B196=""),"",CONCATENATE("https://matarstund.is/serfaedi?id=",LOWER(SUBSTITUTE(B196," ","-"))))</f>
        <v/>
      </c>
    </row>
    <row r="197" customFormat="false" ht="15" hidden="false" customHeight="true" outlineLevel="0" collapsed="false">
      <c r="A197" s="9"/>
      <c r="B197" s="9"/>
      <c r="C197" s="9"/>
      <c r="D197" s="9"/>
      <c r="E197" s="9"/>
      <c r="F197" s="9"/>
      <c r="G197" s="9"/>
      <c r="H197" s="64" t="str">
        <f aca="false">IF(OR(A197="",B197=""),"",CONCATENATE("https://matarstund.is/serfaedi?id=",LOWER(SUBSTITUTE(B197," ","-"))))</f>
        <v/>
      </c>
    </row>
    <row r="198" customFormat="false" ht="15" hidden="false" customHeight="true" outlineLevel="0" collapsed="false">
      <c r="A198" s="68"/>
      <c r="B198" s="68"/>
      <c r="C198" s="68"/>
      <c r="D198" s="68"/>
      <c r="E198" s="68"/>
      <c r="F198" s="68"/>
      <c r="G198" s="68"/>
      <c r="H198" s="64" t="str">
        <f aca="false">IF(OR(A198="",B198=""),"",CONCATENATE("https://matarstund.is/serfaedi?id=",LOWER(SUBSTITUTE(B198," ","-"))))</f>
        <v/>
      </c>
    </row>
    <row r="199" customFormat="false" ht="15" hidden="false" customHeight="true" outlineLevel="0" collapsed="false">
      <c r="A199" s="9"/>
      <c r="B199" s="9"/>
      <c r="C199" s="9"/>
      <c r="D199" s="9"/>
      <c r="E199" s="9"/>
      <c r="F199" s="9"/>
      <c r="G199" s="9"/>
      <c r="H199" s="64" t="str">
        <f aca="false">IF(OR(A199="",B199=""),"",CONCATENATE("https://matarstund.is/serfaedi?id=",LOWER(SUBSTITUTE(B199," ","-"))))</f>
        <v/>
      </c>
    </row>
    <row r="200" customFormat="false" ht="15" hidden="false" customHeight="true" outlineLevel="0" collapsed="false">
      <c r="A200" s="68"/>
      <c r="B200" s="68"/>
      <c r="C200" s="68"/>
      <c r="D200" s="68"/>
      <c r="E200" s="68"/>
      <c r="F200" s="68"/>
      <c r="G200" s="68"/>
      <c r="H200" s="64" t="str">
        <f aca="false">IF(OR(A200="",B200=""),"",CONCATENATE("https://matarstund.is/serfaedi?id=",LOWER(SUBSTITUTE(B200," ","-"))))</f>
        <v/>
      </c>
    </row>
    <row r="201" customFormat="false" ht="15" hidden="false" customHeight="true" outlineLevel="0" collapsed="false">
      <c r="A201" s="9"/>
      <c r="B201" s="9"/>
      <c r="C201" s="9"/>
      <c r="D201" s="9"/>
      <c r="E201" s="9"/>
      <c r="F201" s="9"/>
      <c r="G201" s="9"/>
      <c r="H201" s="64" t="str">
        <f aca="false">IF(OR(A201="",B201=""),"",CONCATENATE("https://matarstund.is/serfaedi?id=",LOWER(SUBSTITUTE(B201," ","-"))))</f>
        <v/>
      </c>
    </row>
    <row r="202" customFormat="false" ht="15" hidden="false" customHeight="true" outlineLevel="0" collapsed="false">
      <c r="A202" s="68"/>
      <c r="B202" s="68"/>
      <c r="C202" s="68"/>
      <c r="D202" s="68"/>
      <c r="E202" s="68"/>
      <c r="F202" s="68"/>
      <c r="G202" s="68"/>
      <c r="H202" s="64" t="str">
        <f aca="false">IF(OR(A202="",B202=""),"",CONCATENATE("https://matarstund.is/serfaedi?id=",LOWER(SUBSTITUTE(B202," ","-"))))</f>
        <v/>
      </c>
    </row>
    <row r="203" customFormat="false" ht="15" hidden="false" customHeight="true" outlineLevel="0" collapsed="false">
      <c r="A203" s="9"/>
      <c r="B203" s="9"/>
      <c r="C203" s="9"/>
      <c r="D203" s="9"/>
      <c r="E203" s="9"/>
      <c r="F203" s="9"/>
      <c r="G203" s="9"/>
      <c r="H203" s="64" t="str">
        <f aca="false">IF(OR(A203="",B203=""),"",CONCATENATE("https://matarstund.is/serfaedi?id=",LOWER(SUBSTITUTE(B203," ","-"))))</f>
        <v/>
      </c>
    </row>
    <row r="204" customFormat="false" ht="15" hidden="false" customHeight="true" outlineLevel="0" collapsed="false">
      <c r="A204" s="68"/>
      <c r="B204" s="68"/>
      <c r="C204" s="68"/>
      <c r="D204" s="68"/>
      <c r="E204" s="68"/>
      <c r="F204" s="68"/>
      <c r="G204" s="68"/>
      <c r="H204" s="64" t="str">
        <f aca="false">IF(OR(A204="",B204=""),"",CONCATENATE("https://matarstund.is/serfaedi?id=",LOWER(SUBSTITUTE(B204," ","-"))))</f>
        <v/>
      </c>
    </row>
    <row r="205" customFormat="false" ht="15" hidden="false" customHeight="true" outlineLevel="0" collapsed="false">
      <c r="A205" s="9"/>
      <c r="B205" s="9"/>
      <c r="C205" s="9"/>
      <c r="D205" s="9"/>
      <c r="E205" s="9"/>
      <c r="F205" s="9"/>
      <c r="G205" s="9"/>
      <c r="H205" s="64" t="str">
        <f aca="false">IF(OR(A205="",B205=""),"",CONCATENATE("https://matarstund.is/serfaedi?id=",LOWER(SUBSTITUTE(B205," ","-"))))</f>
        <v/>
      </c>
    </row>
    <row r="206" customFormat="false" ht="15" hidden="false" customHeight="true" outlineLevel="0" collapsed="false">
      <c r="A206" s="68"/>
      <c r="B206" s="68"/>
      <c r="C206" s="68"/>
      <c r="D206" s="68"/>
      <c r="E206" s="68"/>
      <c r="F206" s="68"/>
      <c r="G206" s="68"/>
      <c r="H206" s="64" t="str">
        <f aca="false">IF(OR(A206="",B206=""),"",CONCATENATE("https://matarstund.is/serfaedi?id=",LOWER(SUBSTITUTE(B206," ","-"))))</f>
        <v/>
      </c>
    </row>
    <row r="207" customFormat="false" ht="15" hidden="false" customHeight="true" outlineLevel="0" collapsed="false">
      <c r="A207" s="9"/>
      <c r="B207" s="9"/>
      <c r="C207" s="9"/>
      <c r="D207" s="9"/>
      <c r="E207" s="9"/>
      <c r="F207" s="9"/>
      <c r="G207" s="9"/>
      <c r="H207" s="64" t="str">
        <f aca="false">IF(OR(A207="",B207=""),"",CONCATENATE("https://matarstund.is/serfaedi?id=",LOWER(SUBSTITUTE(B207," ","-"))))</f>
        <v/>
      </c>
    </row>
    <row r="208" customFormat="false" ht="15" hidden="false" customHeight="true" outlineLevel="0" collapsed="false">
      <c r="A208" s="68"/>
      <c r="B208" s="68"/>
      <c r="C208" s="68"/>
      <c r="D208" s="68"/>
      <c r="E208" s="68"/>
      <c r="F208" s="68"/>
      <c r="G208" s="68"/>
      <c r="H208" s="64" t="str">
        <f aca="false">IF(OR(A208="",B208=""),"",CONCATENATE("https://matarstund.is/serfaedi?id=",LOWER(SUBSTITUTE(B208," ","-"))))</f>
        <v/>
      </c>
    </row>
    <row r="209" customFormat="false" ht="15" hidden="false" customHeight="true" outlineLevel="0" collapsed="false">
      <c r="A209" s="9"/>
      <c r="B209" s="9"/>
      <c r="C209" s="9"/>
      <c r="D209" s="9"/>
      <c r="E209" s="9"/>
      <c r="F209" s="9"/>
      <c r="G209" s="9"/>
      <c r="H209" s="64" t="str">
        <f aca="false">IF(OR(A209="",B209=""),"",CONCATENATE("https://matarstund.is/serfaedi?id=",LOWER(SUBSTITUTE(B209," ","-"))))</f>
        <v/>
      </c>
    </row>
    <row r="210" customFormat="false" ht="15" hidden="false" customHeight="true" outlineLevel="0" collapsed="false">
      <c r="A210" s="68"/>
      <c r="B210" s="68"/>
      <c r="C210" s="68"/>
      <c r="D210" s="68"/>
      <c r="E210" s="68"/>
      <c r="F210" s="68"/>
      <c r="G210" s="68"/>
      <c r="H210" s="64" t="str">
        <f aca="false">IF(OR(A210="",B210=""),"",CONCATENATE("https://matarstund.is/serfaedi?id=",LOWER(SUBSTITUTE(B210," ","-"))))</f>
        <v/>
      </c>
    </row>
    <row r="211" customFormat="false" ht="15" hidden="false" customHeight="true" outlineLevel="0" collapsed="false">
      <c r="A211" s="9"/>
      <c r="B211" s="9"/>
      <c r="C211" s="9"/>
      <c r="D211" s="9"/>
      <c r="E211" s="9"/>
      <c r="F211" s="9"/>
      <c r="G211" s="9"/>
      <c r="H211" s="64" t="str">
        <f aca="false">IF(OR(A211="",B211=""),"",CONCATENATE("https://matarstund.is/serfaedi?id=",LOWER(SUBSTITUTE(B211," ","-"))))</f>
        <v/>
      </c>
    </row>
    <row r="212" customFormat="false" ht="15" hidden="false" customHeight="true" outlineLevel="0" collapsed="false">
      <c r="A212" s="68"/>
      <c r="B212" s="68"/>
      <c r="C212" s="68"/>
      <c r="D212" s="68"/>
      <c r="E212" s="68"/>
      <c r="F212" s="68"/>
      <c r="G212" s="68"/>
      <c r="H212" s="64" t="str">
        <f aca="false">IF(OR(A212="",B212=""),"",CONCATENATE("https://matarstund.is/serfaedi?id=",LOWER(SUBSTITUTE(B212," ","-"))))</f>
        <v/>
      </c>
    </row>
    <row r="213" customFormat="false" ht="15" hidden="false" customHeight="true" outlineLevel="0" collapsed="false">
      <c r="A213" s="9"/>
      <c r="B213" s="9"/>
      <c r="C213" s="9"/>
      <c r="D213" s="9"/>
      <c r="E213" s="9"/>
      <c r="F213" s="9"/>
      <c r="G213" s="9"/>
      <c r="H213" s="64" t="str">
        <f aca="false">IF(OR(A213="",B213=""),"",CONCATENATE("https://matarstund.is/serfaedi?id=",LOWER(SUBSTITUTE(B213," ","-"))))</f>
        <v/>
      </c>
    </row>
    <row r="214" customFormat="false" ht="15" hidden="false" customHeight="true" outlineLevel="0" collapsed="false">
      <c r="A214" s="68"/>
      <c r="B214" s="68"/>
      <c r="C214" s="68"/>
      <c r="D214" s="68"/>
      <c r="E214" s="68"/>
      <c r="F214" s="68"/>
      <c r="G214" s="68"/>
      <c r="H214" s="64" t="str">
        <f aca="false">IF(OR(A214="",B214=""),"",CONCATENATE("https://matarstund.is/serfaedi?id=",LOWER(SUBSTITUTE(B214," ","-"))))</f>
        <v/>
      </c>
    </row>
    <row r="215" customFormat="false" ht="15" hidden="false" customHeight="true" outlineLevel="0" collapsed="false">
      <c r="A215" s="9"/>
      <c r="B215" s="9"/>
      <c r="C215" s="9"/>
      <c r="D215" s="9"/>
      <c r="E215" s="9"/>
      <c r="F215" s="9"/>
      <c r="G215" s="9"/>
      <c r="H215" s="64" t="str">
        <f aca="false">IF(OR(A215="",B215=""),"",CONCATENATE("https://matarstund.is/serfaedi?id=",LOWER(SUBSTITUTE(B215," ","-"))))</f>
        <v/>
      </c>
    </row>
    <row r="216" customFormat="false" ht="15" hidden="false" customHeight="true" outlineLevel="0" collapsed="false">
      <c r="A216" s="68"/>
      <c r="B216" s="68"/>
      <c r="C216" s="68"/>
      <c r="D216" s="68"/>
      <c r="E216" s="68"/>
      <c r="F216" s="68"/>
      <c r="G216" s="68"/>
      <c r="H216" s="64" t="str">
        <f aca="false">IF(OR(A216="",B216=""),"",CONCATENATE("https://matarstund.is/serfaedi?id=",LOWER(SUBSTITUTE(B216," ","-"))))</f>
        <v/>
      </c>
    </row>
    <row r="217" customFormat="false" ht="15" hidden="false" customHeight="true" outlineLevel="0" collapsed="false">
      <c r="A217" s="9"/>
      <c r="B217" s="9"/>
      <c r="C217" s="9"/>
      <c r="D217" s="9"/>
      <c r="E217" s="9"/>
      <c r="F217" s="9"/>
      <c r="G217" s="9"/>
      <c r="H217" s="64" t="str">
        <f aca="false">IF(OR(A217="",B217=""),"",CONCATENATE("https://matarstund.is/serfaedi?id=",LOWER(SUBSTITUTE(B217," ","-"))))</f>
        <v/>
      </c>
    </row>
    <row r="218" customFormat="false" ht="15" hidden="false" customHeight="true" outlineLevel="0" collapsed="false">
      <c r="A218" s="68"/>
      <c r="B218" s="68"/>
      <c r="C218" s="68"/>
      <c r="D218" s="68"/>
      <c r="E218" s="68"/>
      <c r="F218" s="68"/>
      <c r="G218" s="68"/>
      <c r="H218" s="64" t="str">
        <f aca="false">IF(OR(A218="",B218=""),"",CONCATENATE("https://matarstund.is/serfaedi?id=",LOWER(SUBSTITUTE(B218," ","-"))))</f>
        <v/>
      </c>
    </row>
    <row r="219" customFormat="false" ht="15" hidden="false" customHeight="true" outlineLevel="0" collapsed="false">
      <c r="A219" s="9"/>
      <c r="B219" s="9"/>
      <c r="C219" s="9"/>
      <c r="D219" s="9"/>
      <c r="E219" s="9"/>
      <c r="F219" s="9"/>
      <c r="G219" s="9"/>
      <c r="H219" s="64" t="str">
        <f aca="false">IF(OR(A219="",B219=""),"",CONCATENATE("https://matarstund.is/serfaedi?id=",LOWER(SUBSTITUTE(B219," ","-"))))</f>
        <v/>
      </c>
    </row>
    <row r="220" customFormat="false" ht="15" hidden="false" customHeight="true" outlineLevel="0" collapsed="false">
      <c r="A220" s="68"/>
      <c r="B220" s="68"/>
      <c r="C220" s="68"/>
      <c r="D220" s="68"/>
      <c r="E220" s="68"/>
      <c r="F220" s="68"/>
      <c r="G220" s="68"/>
      <c r="H220" s="64" t="str">
        <f aca="false">IF(OR(A220="",B220=""),"",CONCATENATE("https://matarstund.is/serfaedi?id=",LOWER(SUBSTITUTE(B220," ","-"))))</f>
        <v/>
      </c>
    </row>
    <row r="221" customFormat="false" ht="15" hidden="false" customHeight="true" outlineLevel="0" collapsed="false">
      <c r="A221" s="9"/>
      <c r="B221" s="9"/>
      <c r="C221" s="9"/>
      <c r="D221" s="9"/>
      <c r="E221" s="9"/>
      <c r="F221" s="9"/>
      <c r="G221" s="9"/>
      <c r="H221" s="64" t="str">
        <f aca="false">IF(OR(A221="",B221=""),"",CONCATENATE("https://matarstund.is/serfaedi?id=",LOWER(SUBSTITUTE(B221," ","-"))))</f>
        <v/>
      </c>
    </row>
    <row r="222" customFormat="false" ht="15" hidden="false" customHeight="true" outlineLevel="0" collapsed="false">
      <c r="A222" s="68"/>
      <c r="B222" s="68"/>
      <c r="C222" s="68"/>
      <c r="D222" s="68"/>
      <c r="E222" s="68"/>
      <c r="F222" s="68"/>
      <c r="G222" s="68"/>
      <c r="H222" s="64" t="str">
        <f aca="false">IF(OR(A222="",B222=""),"",CONCATENATE("https://matarstund.is/serfaedi?id=",LOWER(SUBSTITUTE(B222," ","-"))))</f>
        <v/>
      </c>
    </row>
    <row r="223" customFormat="false" ht="15" hidden="false" customHeight="true" outlineLevel="0" collapsed="false">
      <c r="A223" s="9"/>
      <c r="B223" s="9"/>
      <c r="C223" s="9"/>
      <c r="D223" s="9"/>
      <c r="E223" s="9"/>
      <c r="F223" s="9"/>
      <c r="G223" s="9"/>
      <c r="H223" s="64" t="str">
        <f aca="false">IF(OR(A223="",B223=""),"",CONCATENATE("https://matarstund.is/serfaedi?id=",LOWER(SUBSTITUTE(B223," ","-"))))</f>
        <v/>
      </c>
    </row>
    <row r="224" customFormat="false" ht="15" hidden="false" customHeight="true" outlineLevel="0" collapsed="false">
      <c r="A224" s="68"/>
      <c r="B224" s="68"/>
      <c r="C224" s="68"/>
      <c r="D224" s="68"/>
      <c r="E224" s="68"/>
      <c r="F224" s="68"/>
      <c r="G224" s="68"/>
      <c r="H224" s="64" t="str">
        <f aca="false">IF(OR(A224="",B224=""),"",CONCATENATE("https://matarstund.is/serfaedi?id=",LOWER(SUBSTITUTE(B224," ","-"))))</f>
        <v/>
      </c>
    </row>
    <row r="225" customFormat="false" ht="15" hidden="false" customHeight="true" outlineLevel="0" collapsed="false">
      <c r="A225" s="9"/>
      <c r="B225" s="9"/>
      <c r="C225" s="9"/>
      <c r="D225" s="9"/>
      <c r="E225" s="9"/>
      <c r="F225" s="9"/>
      <c r="G225" s="9"/>
      <c r="H225" s="64" t="str">
        <f aca="false">IF(OR(A225="",B225=""),"",CONCATENATE("https://matarstund.is/serfaedi?id=",LOWER(SUBSTITUTE(B225," ","-"))))</f>
        <v/>
      </c>
    </row>
    <row r="226" customFormat="false" ht="15" hidden="false" customHeight="true" outlineLevel="0" collapsed="false">
      <c r="A226" s="68"/>
      <c r="B226" s="68"/>
      <c r="C226" s="68"/>
      <c r="D226" s="68"/>
      <c r="E226" s="68"/>
      <c r="F226" s="68"/>
      <c r="G226" s="68"/>
      <c r="H226" s="64" t="str">
        <f aca="false">IF(OR(A226="",B226=""),"",CONCATENATE("https://matarstund.is/serfaedi?id=",LOWER(SUBSTITUTE(B226," ","-"))))</f>
        <v/>
      </c>
    </row>
    <row r="227" customFormat="false" ht="15" hidden="false" customHeight="true" outlineLevel="0" collapsed="false">
      <c r="A227" s="9"/>
      <c r="B227" s="9"/>
      <c r="C227" s="9"/>
      <c r="D227" s="9"/>
      <c r="E227" s="9"/>
      <c r="F227" s="9"/>
      <c r="G227" s="9"/>
      <c r="H227" s="64" t="str">
        <f aca="false">IF(OR(A227="",B227=""),"",CONCATENATE("https://matarstund.is/serfaedi?id=",LOWER(SUBSTITUTE(B227," ","-"))))</f>
        <v/>
      </c>
    </row>
    <row r="228" customFormat="false" ht="15" hidden="false" customHeight="true" outlineLevel="0" collapsed="false">
      <c r="A228" s="68"/>
      <c r="B228" s="68"/>
      <c r="C228" s="68"/>
      <c r="D228" s="68"/>
      <c r="E228" s="68"/>
      <c r="F228" s="68"/>
      <c r="G228" s="68"/>
      <c r="H228" s="64" t="str">
        <f aca="false">IF(OR(A228="",B228=""),"",CONCATENATE("https://matarstund.is/serfaedi?id=",LOWER(SUBSTITUTE(B228," ","-"))))</f>
        <v/>
      </c>
    </row>
    <row r="229" customFormat="false" ht="15" hidden="false" customHeight="true" outlineLevel="0" collapsed="false">
      <c r="A229" s="9"/>
      <c r="B229" s="9"/>
      <c r="C229" s="9"/>
      <c r="D229" s="9"/>
      <c r="E229" s="9"/>
      <c r="F229" s="9"/>
      <c r="G229" s="9"/>
      <c r="H229" s="64" t="str">
        <f aca="false">IF(OR(A229="",B229=""),"",CONCATENATE("https://matarstund.is/serfaedi?id=",LOWER(SUBSTITUTE(B229," ","-"))))</f>
        <v/>
      </c>
    </row>
    <row r="230" customFormat="false" ht="15" hidden="false" customHeight="true" outlineLevel="0" collapsed="false">
      <c r="A230" s="68"/>
      <c r="B230" s="68"/>
      <c r="C230" s="68"/>
      <c r="D230" s="68"/>
      <c r="E230" s="68"/>
      <c r="F230" s="68"/>
      <c r="G230" s="68"/>
      <c r="H230" s="64" t="str">
        <f aca="false">IF(OR(A230="",B230=""),"",CONCATENATE("https://matarstund.is/serfaedi?id=",LOWER(SUBSTITUTE(B230," ","-"))))</f>
        <v/>
      </c>
    </row>
    <row r="231" customFormat="false" ht="15" hidden="false" customHeight="true" outlineLevel="0" collapsed="false">
      <c r="A231" s="9"/>
      <c r="B231" s="9"/>
      <c r="C231" s="9"/>
      <c r="D231" s="9"/>
      <c r="E231" s="9"/>
      <c r="F231" s="9"/>
      <c r="G231" s="9"/>
      <c r="H231" s="64" t="str">
        <f aca="false">IF(OR(A231="",B231=""),"",CONCATENATE("https://matarstund.is/serfaedi?id=",LOWER(SUBSTITUTE(B231," ","-"))))</f>
        <v/>
      </c>
    </row>
    <row r="232" customFormat="false" ht="15" hidden="false" customHeight="true" outlineLevel="0" collapsed="false">
      <c r="A232" s="68"/>
      <c r="B232" s="68"/>
      <c r="C232" s="68"/>
      <c r="D232" s="68"/>
      <c r="E232" s="68"/>
      <c r="F232" s="68"/>
      <c r="G232" s="68"/>
      <c r="H232" s="64" t="str">
        <f aca="false">IF(OR(A232="",B232=""),"",CONCATENATE("https://matarstund.is/serfaedi?id=",LOWER(SUBSTITUTE(B232," ","-"))))</f>
        <v/>
      </c>
    </row>
    <row r="233" customFormat="false" ht="15" hidden="false" customHeight="true" outlineLevel="0" collapsed="false">
      <c r="A233" s="9"/>
      <c r="B233" s="9"/>
      <c r="C233" s="9"/>
      <c r="D233" s="9"/>
      <c r="E233" s="9"/>
      <c r="F233" s="9"/>
      <c r="G233" s="9"/>
      <c r="H233" s="64" t="str">
        <f aca="false">IF(OR(A233="",B233=""),"",CONCATENATE("https://matarstund.is/serfaedi?id=",LOWER(SUBSTITUTE(B233," ","-"))))</f>
        <v/>
      </c>
    </row>
    <row r="234" customFormat="false" ht="15" hidden="false" customHeight="true" outlineLevel="0" collapsed="false">
      <c r="A234" s="68"/>
      <c r="B234" s="68"/>
      <c r="C234" s="68"/>
      <c r="D234" s="68"/>
      <c r="E234" s="68"/>
      <c r="F234" s="68"/>
      <c r="G234" s="68"/>
      <c r="H234" s="64" t="str">
        <f aca="false">IF(OR(A234="",B234=""),"",CONCATENATE("https://matarstund.is/serfaedi?id=",LOWER(SUBSTITUTE(B234," ","-"))))</f>
        <v/>
      </c>
    </row>
    <row r="235" customFormat="false" ht="15" hidden="false" customHeight="true" outlineLevel="0" collapsed="false">
      <c r="A235" s="9"/>
      <c r="B235" s="9"/>
      <c r="C235" s="9"/>
      <c r="D235" s="9"/>
      <c r="E235" s="9"/>
      <c r="F235" s="9"/>
      <c r="G235" s="9"/>
      <c r="H235" s="64" t="str">
        <f aca="false">IF(OR(A235="",B235=""),"",CONCATENATE("https://matarstund.is/serfaedi?id=",LOWER(SUBSTITUTE(B235," ","-"))))</f>
        <v/>
      </c>
    </row>
    <row r="236" customFormat="false" ht="15" hidden="false" customHeight="true" outlineLevel="0" collapsed="false">
      <c r="A236" s="68"/>
      <c r="B236" s="68"/>
      <c r="C236" s="68"/>
      <c r="D236" s="68"/>
      <c r="E236" s="68"/>
      <c r="F236" s="68"/>
      <c r="G236" s="68"/>
      <c r="H236" s="64" t="str">
        <f aca="false">IF(OR(A236="",B236=""),"",CONCATENATE("https://matarstund.is/serfaedi?id=",LOWER(SUBSTITUTE(B236," ","-"))))</f>
        <v/>
      </c>
    </row>
    <row r="237" customFormat="false" ht="15" hidden="false" customHeight="true" outlineLevel="0" collapsed="false">
      <c r="A237" s="9"/>
      <c r="B237" s="9"/>
      <c r="C237" s="9"/>
      <c r="D237" s="9"/>
      <c r="E237" s="9"/>
      <c r="F237" s="9"/>
      <c r="G237" s="9"/>
      <c r="H237" s="64" t="str">
        <f aca="false">IF(OR(A237="",B237=""),"",CONCATENATE("https://matarstund.is/serfaedi?id=",LOWER(SUBSTITUTE(B237," ","-"))))</f>
        <v/>
      </c>
    </row>
    <row r="238" customFormat="false" ht="15" hidden="false" customHeight="true" outlineLevel="0" collapsed="false">
      <c r="A238" s="68"/>
      <c r="B238" s="68"/>
      <c r="C238" s="68"/>
      <c r="D238" s="68"/>
      <c r="E238" s="68"/>
      <c r="F238" s="68"/>
      <c r="G238" s="68"/>
      <c r="H238" s="64" t="str">
        <f aca="false">IF(OR(A238="",B238=""),"",CONCATENATE("https://matarstund.is/serfaedi?id=",LOWER(SUBSTITUTE(B238," ","-"))))</f>
        <v/>
      </c>
    </row>
    <row r="239" customFormat="false" ht="15" hidden="false" customHeight="true" outlineLevel="0" collapsed="false">
      <c r="A239" s="9"/>
      <c r="B239" s="9"/>
      <c r="C239" s="9"/>
      <c r="D239" s="9"/>
      <c r="E239" s="9"/>
      <c r="F239" s="9"/>
      <c r="G239" s="9"/>
      <c r="H239" s="64" t="str">
        <f aca="false">IF(OR(A239="",B239=""),"",CONCATENATE("https://matarstund.is/serfaedi?id=",LOWER(SUBSTITUTE(B239," ","-"))))</f>
        <v/>
      </c>
    </row>
    <row r="240" customFormat="false" ht="15" hidden="false" customHeight="true" outlineLevel="0" collapsed="false">
      <c r="A240" s="68"/>
      <c r="B240" s="68"/>
      <c r="C240" s="68"/>
      <c r="D240" s="68"/>
      <c r="E240" s="68"/>
      <c r="F240" s="68"/>
      <c r="G240" s="68"/>
      <c r="H240" s="64" t="str">
        <f aca="false">IF(OR(A240="",B240=""),"",CONCATENATE("https://matarstund.is/serfaedi?id=",LOWER(SUBSTITUTE(B240," ","-"))))</f>
        <v/>
      </c>
    </row>
    <row r="241" customFormat="false" ht="15" hidden="false" customHeight="true" outlineLevel="0" collapsed="false">
      <c r="A241" s="9"/>
      <c r="B241" s="9"/>
      <c r="C241" s="9"/>
      <c r="D241" s="9"/>
      <c r="E241" s="9"/>
      <c r="F241" s="9"/>
      <c r="G241" s="9"/>
      <c r="H241" s="64" t="str">
        <f aca="false">IF(OR(A241="",B241=""),"",CONCATENATE("https://matarstund.is/serfaedi?id=",LOWER(SUBSTITUTE(B241," ","-"))))</f>
        <v/>
      </c>
    </row>
    <row r="242" customFormat="false" ht="15" hidden="false" customHeight="true" outlineLevel="0" collapsed="false">
      <c r="A242" s="68"/>
      <c r="B242" s="68"/>
      <c r="C242" s="68"/>
      <c r="D242" s="68"/>
      <c r="E242" s="68"/>
      <c r="F242" s="68"/>
      <c r="G242" s="68"/>
      <c r="H242" s="64" t="str">
        <f aca="false">IF(OR(A242="",B242=""),"",CONCATENATE("https://matarstund.is/serfaedi?id=",LOWER(SUBSTITUTE(B242," ","-"))))</f>
        <v/>
      </c>
    </row>
    <row r="243" customFormat="false" ht="15" hidden="false" customHeight="true" outlineLevel="0" collapsed="false">
      <c r="A243" s="9"/>
      <c r="B243" s="9"/>
      <c r="C243" s="9"/>
      <c r="D243" s="9"/>
      <c r="E243" s="9"/>
      <c r="F243" s="9"/>
      <c r="G243" s="9"/>
      <c r="H243" s="64" t="str">
        <f aca="false">IF(OR(A243="",B243=""),"",CONCATENATE("https://matarstund.is/serfaedi?id=",LOWER(SUBSTITUTE(B243," ","-"))))</f>
        <v/>
      </c>
    </row>
    <row r="244" customFormat="false" ht="15" hidden="false" customHeight="true" outlineLevel="0" collapsed="false">
      <c r="A244" s="68"/>
      <c r="B244" s="68"/>
      <c r="C244" s="68"/>
      <c r="D244" s="68"/>
      <c r="E244" s="68"/>
      <c r="F244" s="68"/>
      <c r="G244" s="68"/>
      <c r="H244" s="64" t="str">
        <f aca="false">IF(OR(A244="",B244=""),"",CONCATENATE("https://matarstund.is/serfaedi?id=",LOWER(SUBSTITUTE(B244," ","-"))))</f>
        <v/>
      </c>
    </row>
    <row r="245" customFormat="false" ht="15" hidden="false" customHeight="true" outlineLevel="0" collapsed="false">
      <c r="A245" s="9"/>
      <c r="B245" s="9"/>
      <c r="C245" s="9"/>
      <c r="D245" s="9"/>
      <c r="E245" s="9"/>
      <c r="F245" s="9"/>
      <c r="G245" s="9"/>
      <c r="H245" s="64" t="str">
        <f aca="false">IF(OR(A245="",B245=""),"",CONCATENATE("https://matarstund.is/serfaedi?id=",LOWER(SUBSTITUTE(B245," ","-"))))</f>
        <v/>
      </c>
    </row>
    <row r="246" customFormat="false" ht="15" hidden="false" customHeight="true" outlineLevel="0" collapsed="false">
      <c r="A246" s="68"/>
      <c r="B246" s="68"/>
      <c r="C246" s="68"/>
      <c r="D246" s="68"/>
      <c r="E246" s="68"/>
      <c r="F246" s="68"/>
      <c r="G246" s="68"/>
      <c r="H246" s="64" t="str">
        <f aca="false">IF(OR(A246="",B246=""),"",CONCATENATE("https://matarstund.is/serfaedi?id=",LOWER(SUBSTITUTE(B246," ","-"))))</f>
        <v/>
      </c>
    </row>
    <row r="247" customFormat="false" ht="15" hidden="false" customHeight="true" outlineLevel="0" collapsed="false">
      <c r="A247" s="9"/>
      <c r="B247" s="9"/>
      <c r="C247" s="9"/>
      <c r="D247" s="9"/>
      <c r="E247" s="9"/>
      <c r="F247" s="9"/>
      <c r="G247" s="9"/>
      <c r="H247" s="64" t="str">
        <f aca="false">IF(OR(A247="",B247=""),"",CONCATENATE("https://matarstund.is/serfaedi?id=",LOWER(SUBSTITUTE(B247," ","-"))))</f>
        <v/>
      </c>
    </row>
    <row r="248" customFormat="false" ht="15" hidden="false" customHeight="true" outlineLevel="0" collapsed="false">
      <c r="A248" s="68"/>
      <c r="B248" s="68"/>
      <c r="C248" s="68"/>
      <c r="D248" s="68"/>
      <c r="E248" s="68"/>
      <c r="F248" s="68"/>
      <c r="G248" s="68"/>
      <c r="H248" s="64" t="str">
        <f aca="false">IF(OR(A248="",B248=""),"",CONCATENATE("https://matarstund.is/serfaedi?id=",LOWER(SUBSTITUTE(B248," ","-"))))</f>
        <v/>
      </c>
    </row>
    <row r="249" customFormat="false" ht="15" hidden="false" customHeight="true" outlineLevel="0" collapsed="false">
      <c r="A249" s="9"/>
      <c r="B249" s="9"/>
      <c r="C249" s="9"/>
      <c r="D249" s="9"/>
      <c r="E249" s="9"/>
      <c r="F249" s="9"/>
      <c r="G249" s="9"/>
      <c r="H249" s="64" t="str">
        <f aca="false">IF(OR(A249="",B249=""),"",CONCATENATE("https://matarstund.is/serfaedi?id=",LOWER(SUBSTITUTE(B249," ","-"))))</f>
        <v/>
      </c>
    </row>
    <row r="250" customFormat="false" ht="15" hidden="false" customHeight="true" outlineLevel="0" collapsed="false">
      <c r="A250" s="68"/>
      <c r="B250" s="68"/>
      <c r="C250" s="68"/>
      <c r="D250" s="68"/>
      <c r="E250" s="68"/>
      <c r="F250" s="68"/>
      <c r="G250" s="68"/>
      <c r="H250" s="64" t="str">
        <f aca="false">IF(OR(A250="",B250=""),"",CONCATENATE("https://matarstund.is/serfaedi?id=",LOWER(SUBSTITUTE(B250," ","-"))))</f>
        <v/>
      </c>
    </row>
    <row r="251" customFormat="false" ht="15" hidden="false" customHeight="true" outlineLevel="0" collapsed="false">
      <c r="A251" s="9"/>
      <c r="B251" s="9"/>
      <c r="C251" s="9"/>
      <c r="D251" s="9"/>
      <c r="E251" s="9"/>
      <c r="F251" s="9"/>
      <c r="G251" s="9"/>
      <c r="H251" s="64" t="str">
        <f aca="false">IF(OR(A251="",B251=""),"",CONCATENATE("https://matarstund.is/serfaedi?id=",LOWER(SUBSTITUTE(B251," ","-"))))</f>
        <v/>
      </c>
    </row>
    <row r="252" customFormat="false" ht="15" hidden="false" customHeight="true" outlineLevel="0" collapsed="false">
      <c r="A252" s="68"/>
      <c r="B252" s="68"/>
      <c r="C252" s="68"/>
      <c r="D252" s="68"/>
      <c r="E252" s="68"/>
      <c r="F252" s="68"/>
      <c r="G252" s="68"/>
      <c r="H252" s="64" t="str">
        <f aca="false">IF(OR(A252="",B252=""),"",CONCATENATE("https://matarstund.is/serfaedi?id=",LOWER(SUBSTITUTE(B252," ","-"))))</f>
        <v/>
      </c>
    </row>
    <row r="253" customFormat="false" ht="15" hidden="false" customHeight="true" outlineLevel="0" collapsed="false">
      <c r="A253" s="9"/>
      <c r="B253" s="9"/>
      <c r="C253" s="9"/>
      <c r="D253" s="9"/>
      <c r="E253" s="9"/>
      <c r="F253" s="9"/>
      <c r="G253" s="9"/>
      <c r="H253" s="64" t="str">
        <f aca="false">IF(OR(A253="",B253=""),"",CONCATENATE("https://matarstund.is/serfaedi?id=",LOWER(SUBSTITUTE(B253," ","-"))))</f>
        <v/>
      </c>
    </row>
    <row r="254" customFormat="false" ht="15" hidden="false" customHeight="true" outlineLevel="0" collapsed="false">
      <c r="A254" s="68"/>
      <c r="B254" s="68"/>
      <c r="C254" s="68"/>
      <c r="D254" s="68"/>
      <c r="E254" s="68"/>
      <c r="F254" s="68"/>
      <c r="G254" s="68"/>
      <c r="H254" s="64" t="str">
        <f aca="false">IF(OR(A254="",B254=""),"",CONCATENATE("https://matarstund.is/serfaedi?id=",LOWER(SUBSTITUTE(B254," ","-"))))</f>
        <v/>
      </c>
    </row>
    <row r="255" customFormat="false" ht="15" hidden="false" customHeight="true" outlineLevel="0" collapsed="false">
      <c r="A255" s="9"/>
      <c r="B255" s="9"/>
      <c r="C255" s="9"/>
      <c r="D255" s="9"/>
      <c r="E255" s="9"/>
      <c r="F255" s="9"/>
      <c r="G255" s="9"/>
      <c r="H255" s="64" t="str">
        <f aca="false">IF(OR(A255="",B255=""),"",CONCATENATE("https://matarstund.is/serfaedi?id=",LOWER(SUBSTITUTE(B255," ","-"))))</f>
        <v/>
      </c>
    </row>
    <row r="256" customFormat="false" ht="15" hidden="false" customHeight="true" outlineLevel="0" collapsed="false">
      <c r="A256" s="68"/>
      <c r="B256" s="68"/>
      <c r="C256" s="68"/>
      <c r="D256" s="68"/>
      <c r="E256" s="68"/>
      <c r="F256" s="68"/>
      <c r="G256" s="68"/>
      <c r="H256" s="64" t="str">
        <f aca="false">IF(OR(A256="",B256=""),"",CONCATENATE("https://matarstund.is/serfaedi?id=",LOWER(SUBSTITUTE(B256," ","-"))))</f>
        <v/>
      </c>
    </row>
    <row r="257" customFormat="false" ht="15" hidden="false" customHeight="true" outlineLevel="0" collapsed="false">
      <c r="A257" s="9"/>
      <c r="B257" s="9"/>
      <c r="C257" s="9"/>
      <c r="D257" s="9"/>
      <c r="E257" s="9"/>
      <c r="F257" s="9"/>
      <c r="G257" s="9"/>
      <c r="H257" s="64" t="str">
        <f aca="false">IF(OR(A257="",B257=""),"",CONCATENATE("https://matarstund.is/serfaedi?id=",LOWER(SUBSTITUTE(B257," ","-"))))</f>
        <v/>
      </c>
    </row>
    <row r="258" customFormat="false" ht="15" hidden="false" customHeight="true" outlineLevel="0" collapsed="false">
      <c r="A258" s="68"/>
      <c r="B258" s="68"/>
      <c r="C258" s="68"/>
      <c r="D258" s="68"/>
      <c r="E258" s="68"/>
      <c r="F258" s="68"/>
      <c r="G258" s="68"/>
      <c r="H258" s="64" t="str">
        <f aca="false">IF(OR(A258="",B258=""),"",CONCATENATE("https://matarstund.is/serfaedi?id=",LOWER(SUBSTITUTE(B258," ","-"))))</f>
        <v/>
      </c>
    </row>
    <row r="259" customFormat="false" ht="15" hidden="false" customHeight="true" outlineLevel="0" collapsed="false">
      <c r="A259" s="9"/>
      <c r="B259" s="9"/>
      <c r="C259" s="9"/>
      <c r="D259" s="9"/>
      <c r="E259" s="9"/>
      <c r="F259" s="9"/>
      <c r="G259" s="9"/>
      <c r="H259" s="64" t="str">
        <f aca="false">IF(OR(A259="",B259=""),"",CONCATENATE("https://matarstund.is/serfaedi?id=",LOWER(SUBSTITUTE(B259," ","-"))))</f>
        <v/>
      </c>
    </row>
    <row r="260" customFormat="false" ht="15" hidden="false" customHeight="true" outlineLevel="0" collapsed="false">
      <c r="A260" s="68"/>
      <c r="B260" s="68"/>
      <c r="C260" s="68"/>
      <c r="D260" s="68"/>
      <c r="E260" s="68"/>
      <c r="F260" s="68"/>
      <c r="G260" s="68"/>
      <c r="H260" s="64" t="str">
        <f aca="false">IF(OR(A260="",B260=""),"",CONCATENATE("https://matarstund.is/serfaedi?id=",LOWER(SUBSTITUTE(B260," ","-"))))</f>
        <v/>
      </c>
    </row>
    <row r="261" customFormat="false" ht="15" hidden="false" customHeight="true" outlineLevel="0" collapsed="false">
      <c r="A261" s="9"/>
      <c r="B261" s="9"/>
      <c r="C261" s="9"/>
      <c r="D261" s="9"/>
      <c r="E261" s="9"/>
      <c r="F261" s="9"/>
      <c r="G261" s="9"/>
      <c r="H261" s="64" t="str">
        <f aca="false">IF(OR(A261="",B261=""),"",CONCATENATE("https://matarstund.is/serfaedi?id=",LOWER(SUBSTITUTE(B261," ","-"))))</f>
        <v/>
      </c>
    </row>
    <row r="262" customFormat="false" ht="15" hidden="false" customHeight="true" outlineLevel="0" collapsed="false">
      <c r="A262" s="68"/>
      <c r="B262" s="68"/>
      <c r="C262" s="68"/>
      <c r="D262" s="68"/>
      <c r="E262" s="68"/>
      <c r="F262" s="68"/>
      <c r="G262" s="68"/>
      <c r="H262" s="64" t="str">
        <f aca="false">IF(OR(A262="",B262=""),"",CONCATENATE("https://matarstund.is/serfaedi?id=",LOWER(SUBSTITUTE(B262," ","-"))))</f>
        <v/>
      </c>
    </row>
    <row r="263" customFormat="false" ht="15" hidden="false" customHeight="true" outlineLevel="0" collapsed="false">
      <c r="A263" s="9"/>
      <c r="B263" s="9"/>
      <c r="C263" s="9"/>
      <c r="D263" s="9"/>
      <c r="E263" s="9"/>
      <c r="F263" s="9"/>
      <c r="G263" s="9"/>
      <c r="H263" s="64" t="str">
        <f aca="false">IF(OR(A263="",B263=""),"",CONCATENATE("https://matarstund.is/serfaedi?id=",LOWER(SUBSTITUTE(B263," ","-"))))</f>
        <v/>
      </c>
    </row>
    <row r="264" customFormat="false" ht="15" hidden="false" customHeight="true" outlineLevel="0" collapsed="false">
      <c r="A264" s="68"/>
      <c r="B264" s="68"/>
      <c r="C264" s="68"/>
      <c r="D264" s="68"/>
      <c r="E264" s="68"/>
      <c r="F264" s="68"/>
      <c r="G264" s="68"/>
      <c r="H264" s="64" t="str">
        <f aca="false">IF(OR(A264="",B264=""),"",CONCATENATE("https://matarstund.is/serfaedi?id=",LOWER(SUBSTITUTE(B264," ","-"))))</f>
        <v/>
      </c>
    </row>
    <row r="265" customFormat="false" ht="15" hidden="false" customHeight="true" outlineLevel="0" collapsed="false">
      <c r="A265" s="9"/>
      <c r="B265" s="9"/>
      <c r="C265" s="9"/>
      <c r="D265" s="9"/>
      <c r="E265" s="9"/>
      <c r="F265" s="9"/>
      <c r="G265" s="9"/>
      <c r="H265" s="64" t="str">
        <f aca="false">IF(OR(A265="",B265=""),"",CONCATENATE("https://matarstund.is/serfaedi?id=",LOWER(SUBSTITUTE(B265," ","-"))))</f>
        <v/>
      </c>
    </row>
    <row r="266" customFormat="false" ht="15" hidden="false" customHeight="true" outlineLevel="0" collapsed="false">
      <c r="A266" s="68"/>
      <c r="B266" s="68"/>
      <c r="C266" s="68"/>
      <c r="D266" s="68"/>
      <c r="E266" s="68"/>
      <c r="F266" s="68"/>
      <c r="G266" s="68"/>
      <c r="H266" s="64" t="str">
        <f aca="false">IF(OR(A266="",B266=""),"",CONCATENATE("https://matarstund.is/serfaedi?id=",LOWER(SUBSTITUTE(B266," ","-"))))</f>
        <v/>
      </c>
    </row>
    <row r="267" customFormat="false" ht="15" hidden="false" customHeight="true" outlineLevel="0" collapsed="false">
      <c r="A267" s="9"/>
      <c r="B267" s="9"/>
      <c r="C267" s="9"/>
      <c r="D267" s="9"/>
      <c r="E267" s="9"/>
      <c r="F267" s="9"/>
      <c r="G267" s="9"/>
      <c r="H267" s="64" t="str">
        <f aca="false">IF(OR(A267="",B267=""),"",CONCATENATE("https://matarstund.is/serfaedi?id=",LOWER(SUBSTITUTE(B267," ","-"))))</f>
        <v/>
      </c>
    </row>
    <row r="268" customFormat="false" ht="15" hidden="false" customHeight="true" outlineLevel="0" collapsed="false">
      <c r="A268" s="68"/>
      <c r="B268" s="68"/>
      <c r="C268" s="68"/>
      <c r="D268" s="68"/>
      <c r="E268" s="68"/>
      <c r="F268" s="68"/>
      <c r="G268" s="68"/>
      <c r="H268" s="64" t="str">
        <f aca="false">IF(OR(A268="",B268=""),"",CONCATENATE("https://matarstund.is/serfaedi?id=",LOWER(SUBSTITUTE(B268," ","-"))))</f>
        <v/>
      </c>
    </row>
    <row r="269" customFormat="false" ht="15" hidden="false" customHeight="true" outlineLevel="0" collapsed="false">
      <c r="A269" s="9"/>
      <c r="B269" s="9"/>
      <c r="C269" s="9"/>
      <c r="D269" s="9"/>
      <c r="E269" s="9"/>
      <c r="F269" s="9"/>
      <c r="G269" s="9"/>
      <c r="H269" s="64" t="str">
        <f aca="false">IF(OR(A269="",B269=""),"",CONCATENATE("https://matarstund.is/serfaedi?id=",LOWER(SUBSTITUTE(B269," ","-"))))</f>
        <v/>
      </c>
    </row>
    <row r="270" customFormat="false" ht="15" hidden="false" customHeight="true" outlineLevel="0" collapsed="false">
      <c r="A270" s="68"/>
      <c r="B270" s="68"/>
      <c r="C270" s="68"/>
      <c r="D270" s="68"/>
      <c r="E270" s="68"/>
      <c r="F270" s="68"/>
      <c r="G270" s="68"/>
      <c r="H270" s="64" t="str">
        <f aca="false">IF(OR(A270="",B270=""),"",CONCATENATE("https://matarstund.is/serfaedi?id=",LOWER(SUBSTITUTE(B270," ","-"))))</f>
        <v/>
      </c>
    </row>
    <row r="271" customFormat="false" ht="15" hidden="false" customHeight="true" outlineLevel="0" collapsed="false">
      <c r="A271" s="9"/>
      <c r="B271" s="9"/>
      <c r="C271" s="9"/>
      <c r="D271" s="9"/>
      <c r="E271" s="9"/>
      <c r="F271" s="9"/>
      <c r="G271" s="9"/>
      <c r="H271" s="64" t="str">
        <f aca="false">IF(OR(A271="",B271=""),"",CONCATENATE("https://matarstund.is/serfaedi?id=",LOWER(SUBSTITUTE(B271," ","-"))))</f>
        <v/>
      </c>
    </row>
    <row r="272" customFormat="false" ht="15" hidden="false" customHeight="true" outlineLevel="0" collapsed="false">
      <c r="A272" s="68"/>
      <c r="B272" s="68"/>
      <c r="C272" s="68"/>
      <c r="D272" s="68"/>
      <c r="E272" s="68"/>
      <c r="F272" s="68"/>
      <c r="G272" s="68"/>
      <c r="H272" s="64" t="str">
        <f aca="false">IF(OR(A272="",B272=""),"",CONCATENATE("https://matarstund.is/serfaedi?id=",LOWER(SUBSTITUTE(B272," ","-"))))</f>
        <v/>
      </c>
    </row>
    <row r="273" customFormat="false" ht="15" hidden="false" customHeight="true" outlineLevel="0" collapsed="false">
      <c r="A273" s="9"/>
      <c r="B273" s="9"/>
      <c r="C273" s="9"/>
      <c r="D273" s="9"/>
      <c r="E273" s="9"/>
      <c r="F273" s="9"/>
      <c r="G273" s="9"/>
      <c r="H273" s="64" t="str">
        <f aca="false">IF(OR(A273="",B273=""),"",CONCATENATE("https://matarstund.is/serfaedi?id=",LOWER(SUBSTITUTE(B273," ","-"))))</f>
        <v/>
      </c>
    </row>
    <row r="274" customFormat="false" ht="15" hidden="false" customHeight="true" outlineLevel="0" collapsed="false">
      <c r="A274" s="68"/>
      <c r="B274" s="68"/>
      <c r="C274" s="68"/>
      <c r="D274" s="68"/>
      <c r="E274" s="68"/>
      <c r="F274" s="68"/>
      <c r="G274" s="68"/>
      <c r="H274" s="64" t="str">
        <f aca="false">IF(OR(A274="",B274=""),"",CONCATENATE("https://matarstund.is/serfaedi?id=",LOWER(SUBSTITUTE(B274," ","-"))))</f>
        <v/>
      </c>
    </row>
    <row r="275" customFormat="false" ht="15" hidden="false" customHeight="true" outlineLevel="0" collapsed="false">
      <c r="A275" s="9"/>
      <c r="B275" s="9"/>
      <c r="C275" s="9"/>
      <c r="D275" s="9"/>
      <c r="E275" s="9"/>
      <c r="F275" s="9"/>
      <c r="G275" s="9"/>
      <c r="H275" s="64" t="str">
        <f aca="false">IF(OR(A275="",B275=""),"",CONCATENATE("https://matarstund.is/serfaedi?id=",LOWER(SUBSTITUTE(B275," ","-"))))</f>
        <v/>
      </c>
    </row>
    <row r="276" customFormat="false" ht="15" hidden="false" customHeight="true" outlineLevel="0" collapsed="false">
      <c r="A276" s="68"/>
      <c r="B276" s="68"/>
      <c r="C276" s="68"/>
      <c r="D276" s="68"/>
      <c r="E276" s="68"/>
      <c r="F276" s="68"/>
      <c r="G276" s="68"/>
      <c r="H276" s="64" t="str">
        <f aca="false">IF(OR(A276="",B276=""),"",CONCATENATE("https://matarstund.is/serfaedi?id=",LOWER(SUBSTITUTE(B276," ","-"))))</f>
        <v/>
      </c>
    </row>
    <row r="277" customFormat="false" ht="15" hidden="false" customHeight="true" outlineLevel="0" collapsed="false">
      <c r="A277" s="9"/>
      <c r="B277" s="9"/>
      <c r="C277" s="9"/>
      <c r="D277" s="9"/>
      <c r="E277" s="9"/>
      <c r="F277" s="9"/>
      <c r="G277" s="9"/>
      <c r="H277" s="64" t="str">
        <f aca="false">IF(OR(A277="",B277=""),"",CONCATENATE("https://matarstund.is/serfaedi?id=",LOWER(SUBSTITUTE(B277," ","-"))))</f>
        <v/>
      </c>
    </row>
    <row r="278" customFormat="false" ht="15" hidden="false" customHeight="true" outlineLevel="0" collapsed="false">
      <c r="A278" s="68"/>
      <c r="B278" s="68"/>
      <c r="C278" s="68"/>
      <c r="D278" s="68"/>
      <c r="E278" s="68"/>
      <c r="F278" s="68"/>
      <c r="G278" s="68"/>
      <c r="H278" s="64" t="str">
        <f aca="false">IF(OR(A278="",B278=""),"",CONCATENATE("https://matarstund.is/serfaedi?id=",LOWER(SUBSTITUTE(B278," ","-"))))</f>
        <v/>
      </c>
    </row>
    <row r="279" customFormat="false" ht="15" hidden="false" customHeight="true" outlineLevel="0" collapsed="false">
      <c r="A279" s="9"/>
      <c r="B279" s="9"/>
      <c r="C279" s="9"/>
      <c r="D279" s="9"/>
      <c r="E279" s="9"/>
      <c r="F279" s="9"/>
      <c r="G279" s="9"/>
      <c r="H279" s="64" t="str">
        <f aca="false">IF(OR(A279="",B279=""),"",CONCATENATE("https://matarstund.is/serfaedi?id=",LOWER(SUBSTITUTE(B279," ","-"))))</f>
        <v/>
      </c>
    </row>
    <row r="280" customFormat="false" ht="15" hidden="false" customHeight="true" outlineLevel="0" collapsed="false">
      <c r="A280" s="68"/>
      <c r="B280" s="68"/>
      <c r="C280" s="68"/>
      <c r="D280" s="68"/>
      <c r="E280" s="68"/>
      <c r="F280" s="68"/>
      <c r="G280" s="68"/>
      <c r="H280" s="64" t="str">
        <f aca="false">IF(OR(A280="",B280=""),"",CONCATENATE("https://matarstund.is/serfaedi?id=",LOWER(SUBSTITUTE(B280," ","-"))))</f>
        <v/>
      </c>
    </row>
    <row r="281" customFormat="false" ht="15" hidden="false" customHeight="true" outlineLevel="0" collapsed="false">
      <c r="A281" s="9"/>
      <c r="B281" s="9"/>
      <c r="C281" s="9"/>
      <c r="D281" s="9"/>
      <c r="E281" s="9"/>
      <c r="F281" s="9"/>
      <c r="G281" s="9"/>
      <c r="H281" s="64" t="str">
        <f aca="false">IF(OR(A281="",B281=""),"",CONCATENATE("https://matarstund.is/serfaedi?id=",LOWER(SUBSTITUTE(B281," ","-"))))</f>
        <v/>
      </c>
    </row>
    <row r="282" customFormat="false" ht="15" hidden="false" customHeight="true" outlineLevel="0" collapsed="false">
      <c r="A282" s="68"/>
      <c r="B282" s="68"/>
      <c r="C282" s="68"/>
      <c r="D282" s="68"/>
      <c r="E282" s="68"/>
      <c r="F282" s="68"/>
      <c r="G282" s="68"/>
      <c r="H282" s="64" t="str">
        <f aca="false">IF(OR(A282="",B282=""),"",CONCATENATE("https://matarstund.is/serfaedi?id=",LOWER(SUBSTITUTE(B282," ","-"))))</f>
        <v/>
      </c>
    </row>
    <row r="283" customFormat="false" ht="15" hidden="false" customHeight="true" outlineLevel="0" collapsed="false">
      <c r="A283" s="9"/>
      <c r="B283" s="9"/>
      <c r="C283" s="9"/>
      <c r="D283" s="9"/>
      <c r="E283" s="9"/>
      <c r="F283" s="9"/>
      <c r="G283" s="9"/>
      <c r="H283" s="64" t="str">
        <f aca="false">IF(OR(A283="",B283=""),"",CONCATENATE("https://matarstund.is/serfaedi?id=",LOWER(SUBSTITUTE(B283," ","-"))))</f>
        <v/>
      </c>
    </row>
    <row r="284" customFormat="false" ht="15" hidden="false" customHeight="true" outlineLevel="0" collapsed="false">
      <c r="A284" s="68"/>
      <c r="B284" s="68"/>
      <c r="C284" s="68"/>
      <c r="D284" s="68"/>
      <c r="E284" s="68"/>
      <c r="F284" s="68"/>
      <c r="G284" s="68"/>
      <c r="H284" s="64" t="str">
        <f aca="false">IF(OR(A284="",B284=""),"",CONCATENATE("https://matarstund.is/serfaedi?id=",LOWER(SUBSTITUTE(B284," ","-"))))</f>
        <v/>
      </c>
    </row>
    <row r="285" customFormat="false" ht="15" hidden="false" customHeight="true" outlineLevel="0" collapsed="false">
      <c r="A285" s="9"/>
      <c r="B285" s="9"/>
      <c r="C285" s="9"/>
      <c r="D285" s="9"/>
      <c r="E285" s="9"/>
      <c r="F285" s="9"/>
      <c r="G285" s="9"/>
      <c r="H285" s="64" t="str">
        <f aca="false">IF(OR(A285="",B285=""),"",CONCATENATE("https://matarstund.is/serfaedi?id=",LOWER(SUBSTITUTE(B285," ","-"))))</f>
        <v/>
      </c>
    </row>
    <row r="286" customFormat="false" ht="15" hidden="false" customHeight="true" outlineLevel="0" collapsed="false">
      <c r="A286" s="68"/>
      <c r="B286" s="68"/>
      <c r="C286" s="68"/>
      <c r="D286" s="68"/>
      <c r="E286" s="68"/>
      <c r="F286" s="68"/>
      <c r="G286" s="68"/>
      <c r="H286" s="64" t="str">
        <f aca="false">IF(OR(A286="",B286=""),"",CONCATENATE("https://matarstund.is/serfaedi?id=",LOWER(SUBSTITUTE(B286," ","-"))))</f>
        <v/>
      </c>
    </row>
    <row r="287" customFormat="false" ht="15" hidden="false" customHeight="true" outlineLevel="0" collapsed="false">
      <c r="A287" s="9"/>
      <c r="B287" s="9"/>
      <c r="C287" s="9"/>
      <c r="D287" s="9"/>
      <c r="E287" s="9"/>
      <c r="F287" s="9"/>
      <c r="G287" s="9"/>
      <c r="H287" s="64" t="str">
        <f aca="false">IF(OR(A287="",B287=""),"",CONCATENATE("https://matarstund.is/serfaedi?id=",LOWER(SUBSTITUTE(B287," ","-"))))</f>
        <v/>
      </c>
    </row>
    <row r="288" customFormat="false" ht="15" hidden="false" customHeight="true" outlineLevel="0" collapsed="false">
      <c r="A288" s="68"/>
      <c r="B288" s="68"/>
      <c r="C288" s="68"/>
      <c r="D288" s="68"/>
      <c r="E288" s="68"/>
      <c r="F288" s="68"/>
      <c r="G288" s="68"/>
      <c r="H288" s="64" t="str">
        <f aca="false">IF(OR(A288="",B288=""),"",CONCATENATE("https://matarstund.is/serfaedi?id=",LOWER(SUBSTITUTE(B288," ","-"))))</f>
        <v/>
      </c>
    </row>
    <row r="289" customFormat="false" ht="15" hidden="false" customHeight="true" outlineLevel="0" collapsed="false">
      <c r="A289" s="9"/>
      <c r="B289" s="9"/>
      <c r="C289" s="9"/>
      <c r="D289" s="9"/>
      <c r="E289" s="9"/>
      <c r="F289" s="9"/>
      <c r="G289" s="9"/>
      <c r="H289" s="64" t="str">
        <f aca="false">IF(OR(A289="",B289=""),"",CONCATENATE("https://matarstund.is/serfaedi?id=",LOWER(SUBSTITUTE(B289," ","-"))))</f>
        <v/>
      </c>
    </row>
    <row r="290" customFormat="false" ht="15" hidden="false" customHeight="true" outlineLevel="0" collapsed="false">
      <c r="A290" s="68"/>
      <c r="B290" s="68"/>
      <c r="C290" s="68"/>
      <c r="D290" s="68"/>
      <c r="E290" s="68"/>
      <c r="F290" s="68"/>
      <c r="G290" s="68"/>
      <c r="H290" s="64" t="str">
        <f aca="false">IF(OR(A290="",B290=""),"",CONCATENATE("https://matarstund.is/serfaedi?id=",LOWER(SUBSTITUTE(B290," ","-"))))</f>
        <v/>
      </c>
    </row>
    <row r="291" customFormat="false" ht="15" hidden="false" customHeight="true" outlineLevel="0" collapsed="false">
      <c r="A291" s="9"/>
      <c r="B291" s="9"/>
      <c r="C291" s="9"/>
      <c r="D291" s="9"/>
      <c r="E291" s="9"/>
      <c r="F291" s="9"/>
      <c r="G291" s="9"/>
      <c r="H291" s="64" t="str">
        <f aca="false">IF(OR(A291="",B291=""),"",CONCATENATE("https://matarstund.is/serfaedi?id=",LOWER(SUBSTITUTE(B291," ","-"))))</f>
        <v/>
      </c>
    </row>
    <row r="292" customFormat="false" ht="15" hidden="false" customHeight="true" outlineLevel="0" collapsed="false">
      <c r="A292" s="68"/>
      <c r="B292" s="68"/>
      <c r="C292" s="68"/>
      <c r="D292" s="68"/>
      <c r="E292" s="68"/>
      <c r="F292" s="68"/>
      <c r="G292" s="68"/>
      <c r="H292" s="64" t="str">
        <f aca="false">IF(OR(A292="",B292=""),"",CONCATENATE("https://matarstund.is/serfaedi?id=",LOWER(SUBSTITUTE(B292," ","-"))))</f>
        <v/>
      </c>
    </row>
    <row r="293" customFormat="false" ht="15" hidden="false" customHeight="true" outlineLevel="0" collapsed="false">
      <c r="A293" s="9"/>
      <c r="B293" s="9"/>
      <c r="C293" s="9"/>
      <c r="D293" s="9"/>
      <c r="E293" s="9"/>
      <c r="F293" s="9"/>
      <c r="G293" s="9"/>
      <c r="H293" s="64" t="str">
        <f aca="false">IF(OR(A293="",B293=""),"",CONCATENATE("https://matarstund.is/serfaedi?id=",LOWER(SUBSTITUTE(B293," ","-"))))</f>
        <v/>
      </c>
    </row>
    <row r="294" customFormat="false" ht="15" hidden="false" customHeight="true" outlineLevel="0" collapsed="false">
      <c r="A294" s="68"/>
      <c r="B294" s="68"/>
      <c r="C294" s="68"/>
      <c r="D294" s="68"/>
      <c r="E294" s="68"/>
      <c r="F294" s="68"/>
      <c r="G294" s="68"/>
      <c r="H294" s="64" t="str">
        <f aca="false">IF(OR(A294="",B294=""),"",CONCATENATE("https://matarstund.is/serfaedi?id=",LOWER(SUBSTITUTE(B294," ","-"))))</f>
        <v/>
      </c>
    </row>
    <row r="295" customFormat="false" ht="15" hidden="false" customHeight="true" outlineLevel="0" collapsed="false">
      <c r="A295" s="9"/>
      <c r="B295" s="9"/>
      <c r="C295" s="9"/>
      <c r="D295" s="9"/>
      <c r="E295" s="9"/>
      <c r="F295" s="9"/>
      <c r="G295" s="9"/>
      <c r="H295" s="64" t="str">
        <f aca="false">IF(OR(A295="",B295=""),"",CONCATENATE("https://matarstund.is/serfaedi?id=",LOWER(SUBSTITUTE(B295," ","-"))))</f>
        <v/>
      </c>
    </row>
    <row r="296" customFormat="false" ht="15" hidden="false" customHeight="true" outlineLevel="0" collapsed="false">
      <c r="A296" s="68"/>
      <c r="B296" s="68"/>
      <c r="C296" s="68"/>
      <c r="D296" s="68"/>
      <c r="E296" s="68"/>
      <c r="F296" s="68"/>
      <c r="G296" s="68"/>
      <c r="H296" s="64" t="str">
        <f aca="false">IF(OR(A296="",B296=""),"",CONCATENATE("https://matarstund.is/serfaedi?id=",LOWER(SUBSTITUTE(B296," ","-"))))</f>
        <v/>
      </c>
    </row>
    <row r="297" customFormat="false" ht="15" hidden="false" customHeight="true" outlineLevel="0" collapsed="false">
      <c r="A297" s="9"/>
      <c r="B297" s="9"/>
      <c r="C297" s="9"/>
      <c r="D297" s="9"/>
      <c r="E297" s="9"/>
      <c r="F297" s="9"/>
      <c r="G297" s="9"/>
      <c r="H297" s="64" t="str">
        <f aca="false">IF(OR(A297="",B297=""),"",CONCATENATE("https://matarstund.is/serfaedi?id=",LOWER(SUBSTITUTE(B297," ","-"))))</f>
        <v/>
      </c>
    </row>
    <row r="298" customFormat="false" ht="15" hidden="false" customHeight="true" outlineLevel="0" collapsed="false">
      <c r="A298" s="68"/>
      <c r="B298" s="68"/>
      <c r="C298" s="68"/>
      <c r="D298" s="68"/>
      <c r="E298" s="68"/>
      <c r="F298" s="68"/>
      <c r="G298" s="68"/>
      <c r="H298" s="64" t="str">
        <f aca="false">IF(OR(A298="",B298=""),"",CONCATENATE("https://matarstund.is/serfaedi?id=",LOWER(SUBSTITUTE(B298," ","-"))))</f>
        <v/>
      </c>
    </row>
    <row r="299" customFormat="false" ht="15" hidden="false" customHeight="true" outlineLevel="0" collapsed="false">
      <c r="A299" s="9"/>
      <c r="B299" s="9"/>
      <c r="C299" s="9"/>
      <c r="D299" s="9"/>
      <c r="E299" s="9"/>
      <c r="F299" s="9"/>
      <c r="G299" s="9"/>
      <c r="H299" s="64" t="str">
        <f aca="false">IF(OR(A299="",B299=""),"",CONCATENATE("https://matarstund.is/serfaedi?id=",LOWER(SUBSTITUTE(B299," ","-"))))</f>
        <v/>
      </c>
    </row>
    <row r="300" customFormat="false" ht="15" hidden="false" customHeight="true" outlineLevel="0" collapsed="false">
      <c r="A300" s="68"/>
      <c r="B300" s="68"/>
      <c r="C300" s="68"/>
      <c r="D300" s="68"/>
      <c r="E300" s="68"/>
      <c r="F300" s="68"/>
      <c r="G300" s="68"/>
      <c r="H300" s="64" t="str">
        <f aca="false">IF(OR(A300="",B300=""),"",CONCATENATE("https://matarstund.is/serfaedi?id=",LOWER(SUBSTITUTE(B300," ","-"))))</f>
        <v/>
      </c>
    </row>
    <row r="301" customFormat="false" ht="15" hidden="false" customHeight="true" outlineLevel="0" collapsed="false">
      <c r="A301" s="9"/>
      <c r="B301" s="9"/>
      <c r="C301" s="9"/>
      <c r="D301" s="9"/>
      <c r="E301" s="9"/>
      <c r="F301" s="9"/>
      <c r="G301" s="9"/>
      <c r="H301" s="64" t="str">
        <f aca="false">IF(OR(A301="",B301=""),"",CONCATENATE("https://matarstund.is/serfaedi?id=",LOWER(SUBSTITUTE(B301," ","-"))))</f>
        <v/>
      </c>
    </row>
    <row r="302" customFormat="false" ht="15" hidden="false" customHeight="true" outlineLevel="0" collapsed="false">
      <c r="A302" s="68"/>
      <c r="B302" s="68"/>
      <c r="C302" s="68"/>
      <c r="D302" s="68"/>
      <c r="E302" s="68"/>
      <c r="F302" s="68"/>
      <c r="G302" s="68"/>
      <c r="H302" s="64" t="str">
        <f aca="false">IF(OR(A302="",B302=""),"",CONCATENATE("https://matarstund.is/serfaedi?id=",LOWER(SUBSTITUTE(B302," ","-"))))</f>
        <v/>
      </c>
    </row>
    <row r="303" customFormat="false" ht="15" hidden="false" customHeight="true" outlineLevel="0" collapsed="false">
      <c r="A303" s="9"/>
      <c r="B303" s="9"/>
      <c r="C303" s="9"/>
      <c r="D303" s="9"/>
      <c r="E303" s="9"/>
      <c r="F303" s="9"/>
      <c r="G303" s="9"/>
      <c r="H303" s="64" t="str">
        <f aca="false">IF(OR(A303="",B303=""),"",CONCATENATE("https://matarstund.is/serfaedi?id=",LOWER(SUBSTITUTE(B303," ","-"))))</f>
        <v/>
      </c>
    </row>
    <row r="304" customFormat="false" ht="15" hidden="false" customHeight="true" outlineLevel="0" collapsed="false">
      <c r="A304" s="68"/>
      <c r="B304" s="68"/>
      <c r="C304" s="68"/>
      <c r="D304" s="68"/>
      <c r="E304" s="68"/>
      <c r="F304" s="68"/>
      <c r="G304" s="68"/>
      <c r="H304" s="64" t="str">
        <f aca="false">IF(OR(A304="",B304=""),"",CONCATENATE("https://matarstund.is/serfaedi?id=",LOWER(SUBSTITUTE(B304," ","-"))))</f>
        <v/>
      </c>
    </row>
    <row r="305" customFormat="false" ht="15" hidden="false" customHeight="true" outlineLevel="0" collapsed="false">
      <c r="A305" s="9"/>
      <c r="B305" s="9"/>
      <c r="C305" s="9"/>
      <c r="D305" s="9"/>
      <c r="E305" s="9"/>
      <c r="F305" s="9"/>
      <c r="G305" s="9"/>
      <c r="H305" s="64" t="str">
        <f aca="false">IF(OR(A305="",B305=""),"",CONCATENATE("https://matarstund.is/serfaedi?id=",LOWER(SUBSTITUTE(B305," ","-"))))</f>
        <v/>
      </c>
    </row>
    <row r="306" customFormat="false" ht="15" hidden="false" customHeight="true" outlineLevel="0" collapsed="false">
      <c r="A306" s="68"/>
      <c r="B306" s="68"/>
      <c r="C306" s="68"/>
      <c r="D306" s="68"/>
      <c r="E306" s="68"/>
      <c r="F306" s="68"/>
      <c r="G306" s="68"/>
      <c r="H306" s="64" t="str">
        <f aca="false">IF(OR(A306="",B306=""),"",CONCATENATE("https://matarstund.is/serfaedi?id=",LOWER(SUBSTITUTE(B306," ","-"))))</f>
        <v/>
      </c>
    </row>
    <row r="307" customFormat="false" ht="15" hidden="false" customHeight="true" outlineLevel="0" collapsed="false">
      <c r="A307" s="9"/>
      <c r="B307" s="9"/>
      <c r="C307" s="9"/>
      <c r="D307" s="9"/>
      <c r="E307" s="9"/>
      <c r="F307" s="9"/>
      <c r="G307" s="9"/>
      <c r="H307" s="64" t="str">
        <f aca="false">IF(OR(A307="",B307=""),"",CONCATENATE("https://matarstund.is/serfaedi?id=",LOWER(SUBSTITUTE(B307," ","-"))))</f>
        <v/>
      </c>
    </row>
    <row r="308" customFormat="false" ht="15" hidden="false" customHeight="true" outlineLevel="0" collapsed="false">
      <c r="A308" s="68"/>
      <c r="B308" s="68"/>
      <c r="C308" s="68"/>
      <c r="D308" s="68"/>
      <c r="E308" s="68"/>
      <c r="F308" s="68"/>
      <c r="G308" s="68"/>
      <c r="H308" s="64" t="str">
        <f aca="false">IF(OR(A308="",B308=""),"",CONCATENATE("https://matarstund.is/serfaedi?id=",LOWER(SUBSTITUTE(B308," ","-"))))</f>
        <v/>
      </c>
    </row>
    <row r="309" customFormat="false" ht="15" hidden="false" customHeight="true" outlineLevel="0" collapsed="false">
      <c r="A309" s="9"/>
      <c r="B309" s="9"/>
      <c r="C309" s="9"/>
      <c r="D309" s="9"/>
      <c r="E309" s="9"/>
      <c r="F309" s="9"/>
      <c r="G309" s="9"/>
      <c r="H309" s="64" t="str">
        <f aca="false">IF(OR(A309="",B309=""),"",CONCATENATE("https://matarstund.is/serfaedi?id=",LOWER(SUBSTITUTE(B309," ","-"))))</f>
        <v/>
      </c>
    </row>
    <row r="310" customFormat="false" ht="15" hidden="false" customHeight="true" outlineLevel="0" collapsed="false">
      <c r="A310" s="68"/>
      <c r="B310" s="68"/>
      <c r="C310" s="68"/>
      <c r="D310" s="68"/>
      <c r="E310" s="68"/>
      <c r="F310" s="68"/>
      <c r="G310" s="68"/>
      <c r="H310" s="64" t="str">
        <f aca="false">IF(OR(A310="",B310=""),"",CONCATENATE("https://matarstund.is/serfaedi?id=",LOWER(SUBSTITUTE(B310," ","-"))))</f>
        <v/>
      </c>
    </row>
    <row r="311" customFormat="false" ht="15" hidden="false" customHeight="true" outlineLevel="0" collapsed="false">
      <c r="A311" s="9"/>
      <c r="B311" s="9"/>
      <c r="C311" s="9"/>
      <c r="D311" s="9"/>
      <c r="E311" s="9"/>
      <c r="F311" s="9"/>
      <c r="G311" s="9"/>
      <c r="H311" s="64" t="str">
        <f aca="false">IF(OR(A311="",B311=""),"",CONCATENATE("https://matarstund.is/serfaedi?id=",LOWER(SUBSTITUTE(B311," ","-"))))</f>
        <v/>
      </c>
    </row>
    <row r="312" customFormat="false" ht="15" hidden="false" customHeight="true" outlineLevel="0" collapsed="false">
      <c r="A312" s="68"/>
      <c r="B312" s="68"/>
      <c r="C312" s="68"/>
      <c r="D312" s="68"/>
      <c r="E312" s="68"/>
      <c r="F312" s="68"/>
      <c r="G312" s="68"/>
      <c r="H312" s="64" t="str">
        <f aca="false">IF(OR(A312="",B312=""),"",CONCATENATE("https://matarstund.is/serfaedi?id=",LOWER(SUBSTITUTE(B312," ","-"))))</f>
        <v/>
      </c>
    </row>
    <row r="313" customFormat="false" ht="15" hidden="false" customHeight="true" outlineLevel="0" collapsed="false">
      <c r="A313" s="9"/>
      <c r="B313" s="9"/>
      <c r="C313" s="9"/>
      <c r="D313" s="9"/>
      <c r="E313" s="9"/>
      <c r="F313" s="9"/>
      <c r="G313" s="9"/>
      <c r="H313" s="64" t="str">
        <f aca="false">IF(OR(A313="",B313=""),"",CONCATENATE("https://matarstund.is/serfaedi?id=",LOWER(SUBSTITUTE(B313," ","-"))))</f>
        <v/>
      </c>
    </row>
    <row r="314" customFormat="false" ht="15" hidden="false" customHeight="true" outlineLevel="0" collapsed="false">
      <c r="A314" s="68"/>
      <c r="B314" s="68"/>
      <c r="C314" s="68"/>
      <c r="D314" s="68"/>
      <c r="E314" s="68"/>
      <c r="F314" s="68"/>
      <c r="G314" s="68"/>
      <c r="H314" s="64" t="str">
        <f aca="false">IF(OR(A314="",B314=""),"",CONCATENATE("https://matarstund.is/serfaedi?id=",LOWER(SUBSTITUTE(B314," ","-"))))</f>
        <v/>
      </c>
    </row>
    <row r="315" customFormat="false" ht="15" hidden="false" customHeight="true" outlineLevel="0" collapsed="false">
      <c r="A315" s="9"/>
      <c r="B315" s="9"/>
      <c r="C315" s="9"/>
      <c r="D315" s="9"/>
      <c r="E315" s="9"/>
      <c r="F315" s="9"/>
      <c r="G315" s="9"/>
      <c r="H315" s="64" t="str">
        <f aca="false">IF(OR(A315="",B315=""),"",CONCATENATE("https://matarstund.is/serfaedi?id=",LOWER(SUBSTITUTE(B315," ","-"))))</f>
        <v/>
      </c>
    </row>
    <row r="316" customFormat="false" ht="15" hidden="false" customHeight="true" outlineLevel="0" collapsed="false">
      <c r="A316" s="68"/>
      <c r="B316" s="68"/>
      <c r="C316" s="68"/>
      <c r="D316" s="68"/>
      <c r="E316" s="68"/>
      <c r="F316" s="68"/>
      <c r="G316" s="68"/>
      <c r="H316" s="64" t="str">
        <f aca="false">IF(OR(A316="",B316=""),"",CONCATENATE("https://matarstund.is/serfaedi?id=",LOWER(SUBSTITUTE(B316," ","-"))))</f>
        <v/>
      </c>
    </row>
    <row r="317" customFormat="false" ht="15" hidden="false" customHeight="true" outlineLevel="0" collapsed="false">
      <c r="A317" s="9"/>
      <c r="B317" s="9"/>
      <c r="C317" s="9"/>
      <c r="D317" s="9"/>
      <c r="E317" s="9"/>
      <c r="F317" s="9"/>
      <c r="G317" s="9"/>
      <c r="H317" s="64" t="str">
        <f aca="false">IF(OR(A317="",B317=""),"",CONCATENATE("https://matarstund.is/serfaedi?id=",LOWER(SUBSTITUTE(B317," ","-"))))</f>
        <v/>
      </c>
    </row>
    <row r="318" customFormat="false" ht="15" hidden="false" customHeight="true" outlineLevel="0" collapsed="false">
      <c r="A318" s="68"/>
      <c r="B318" s="68"/>
      <c r="C318" s="68"/>
      <c r="D318" s="68"/>
      <c r="E318" s="68"/>
      <c r="F318" s="68"/>
      <c r="G318" s="68"/>
      <c r="H318" s="64" t="str">
        <f aca="false">IF(OR(A318="",B318=""),"",CONCATENATE("https://matarstund.is/serfaedi?id=",LOWER(SUBSTITUTE(B318," ","-"))))</f>
        <v/>
      </c>
    </row>
    <row r="319" customFormat="false" ht="15" hidden="false" customHeight="true" outlineLevel="0" collapsed="false">
      <c r="A319" s="9"/>
      <c r="B319" s="9"/>
      <c r="C319" s="9"/>
      <c r="D319" s="9"/>
      <c r="E319" s="9"/>
      <c r="F319" s="9"/>
      <c r="G319" s="9"/>
      <c r="H319" s="64" t="str">
        <f aca="false">IF(OR(A319="",B319=""),"",CONCATENATE("https://matarstund.is/serfaedi?id=",LOWER(SUBSTITUTE(B319," ","-"))))</f>
        <v/>
      </c>
    </row>
    <row r="320" customFormat="false" ht="15" hidden="false" customHeight="true" outlineLevel="0" collapsed="false">
      <c r="A320" s="68"/>
      <c r="B320" s="68"/>
      <c r="C320" s="68"/>
      <c r="D320" s="68"/>
      <c r="E320" s="68"/>
      <c r="F320" s="68"/>
      <c r="G320" s="68"/>
      <c r="H320" s="64" t="str">
        <f aca="false">IF(OR(A320="",B320=""),"",CONCATENATE("https://matarstund.is/serfaedi?id=",LOWER(SUBSTITUTE(B320," ","-"))))</f>
        <v/>
      </c>
    </row>
    <row r="321" customFormat="false" ht="15" hidden="false" customHeight="true" outlineLevel="0" collapsed="false">
      <c r="A321" s="9"/>
      <c r="B321" s="9"/>
      <c r="C321" s="9"/>
      <c r="D321" s="9"/>
      <c r="E321" s="9"/>
      <c r="F321" s="9"/>
      <c r="G321" s="9"/>
      <c r="H321" s="64" t="str">
        <f aca="false">IF(OR(A321="",B321=""),"",CONCATENATE("https://matarstund.is/serfaedi?id=",LOWER(SUBSTITUTE(B321," ","-"))))</f>
        <v/>
      </c>
    </row>
    <row r="322" customFormat="false" ht="15" hidden="false" customHeight="true" outlineLevel="0" collapsed="false">
      <c r="A322" s="68"/>
      <c r="B322" s="68"/>
      <c r="C322" s="68"/>
      <c r="D322" s="68"/>
      <c r="E322" s="68"/>
      <c r="F322" s="68"/>
      <c r="G322" s="68"/>
      <c r="H322" s="64" t="str">
        <f aca="false">IF(OR(A322="",B322=""),"",CONCATENATE("https://matarstund.is/serfaedi?id=",LOWER(SUBSTITUTE(B322," ","-"))))</f>
        <v/>
      </c>
    </row>
    <row r="323" customFormat="false" ht="15" hidden="false" customHeight="true" outlineLevel="0" collapsed="false">
      <c r="A323" s="9"/>
      <c r="B323" s="9"/>
      <c r="C323" s="9"/>
      <c r="D323" s="9"/>
      <c r="E323" s="9"/>
      <c r="F323" s="9"/>
      <c r="G323" s="9"/>
      <c r="H323" s="64" t="str">
        <f aca="false">IF(OR(A323="",B323=""),"",CONCATENATE("https://matarstund.is/serfaedi?id=",LOWER(SUBSTITUTE(B323," ","-"))))</f>
        <v/>
      </c>
    </row>
    <row r="324" customFormat="false" ht="15" hidden="false" customHeight="true" outlineLevel="0" collapsed="false">
      <c r="A324" s="68"/>
      <c r="B324" s="68"/>
      <c r="C324" s="68"/>
      <c r="D324" s="68"/>
      <c r="E324" s="68"/>
      <c r="F324" s="68"/>
      <c r="G324" s="68"/>
      <c r="H324" s="64" t="str">
        <f aca="false">IF(OR(A324="",B324=""),"",CONCATENATE("https://matarstund.is/serfaedi?id=",LOWER(SUBSTITUTE(B324," ","-"))))</f>
        <v/>
      </c>
    </row>
    <row r="325" customFormat="false" ht="15" hidden="false" customHeight="true" outlineLevel="0" collapsed="false">
      <c r="A325" s="9"/>
      <c r="B325" s="9"/>
      <c r="C325" s="9"/>
      <c r="D325" s="9"/>
      <c r="E325" s="9"/>
      <c r="F325" s="9"/>
      <c r="G325" s="9"/>
      <c r="H325" s="64" t="str">
        <f aca="false">IF(OR(A325="",B325=""),"",CONCATENATE("https://matarstund.is/serfaedi?id=",LOWER(SUBSTITUTE(B325," ","-"))))</f>
        <v/>
      </c>
    </row>
    <row r="326" customFormat="false" ht="15" hidden="false" customHeight="true" outlineLevel="0" collapsed="false">
      <c r="A326" s="68"/>
      <c r="B326" s="68"/>
      <c r="C326" s="68"/>
      <c r="D326" s="68"/>
      <c r="E326" s="68"/>
      <c r="F326" s="68"/>
      <c r="G326" s="68"/>
      <c r="H326" s="64" t="str">
        <f aca="false">IF(OR(A326="",B326=""),"",CONCATENATE("https://matarstund.is/serfaedi?id=",LOWER(SUBSTITUTE(B326," ","-"))))</f>
        <v/>
      </c>
    </row>
    <row r="327" customFormat="false" ht="15" hidden="false" customHeight="true" outlineLevel="0" collapsed="false">
      <c r="A327" s="9"/>
      <c r="B327" s="9"/>
      <c r="C327" s="9"/>
      <c r="D327" s="9"/>
      <c r="E327" s="9"/>
      <c r="F327" s="9"/>
      <c r="G327" s="9"/>
      <c r="H327" s="64" t="str">
        <f aca="false">IF(OR(A327="",B327=""),"",CONCATENATE("https://matarstund.is/serfaedi?id=",LOWER(SUBSTITUTE(B327," ","-"))))</f>
        <v/>
      </c>
    </row>
    <row r="328" customFormat="false" ht="15" hidden="false" customHeight="true" outlineLevel="0" collapsed="false">
      <c r="A328" s="68"/>
      <c r="B328" s="68"/>
      <c r="C328" s="68"/>
      <c r="D328" s="68"/>
      <c r="E328" s="68"/>
      <c r="F328" s="68"/>
      <c r="G328" s="68"/>
      <c r="H328" s="64" t="str">
        <f aca="false">IF(OR(A328="",B328=""),"",CONCATENATE("https://matarstund.is/serfaedi?id=",LOWER(SUBSTITUTE(B328," ","-"))))</f>
        <v/>
      </c>
    </row>
    <row r="329" customFormat="false" ht="15" hidden="false" customHeight="true" outlineLevel="0" collapsed="false">
      <c r="A329" s="9"/>
      <c r="B329" s="9"/>
      <c r="C329" s="9"/>
      <c r="D329" s="9"/>
      <c r="E329" s="9"/>
      <c r="F329" s="9"/>
      <c r="G329" s="9"/>
      <c r="H329" s="64" t="str">
        <f aca="false">IF(OR(A329="",B329=""),"",CONCATENATE("https://matarstund.is/serfaedi?id=",LOWER(SUBSTITUTE(B329," ","-"))))</f>
        <v/>
      </c>
    </row>
    <row r="330" customFormat="false" ht="15" hidden="false" customHeight="true" outlineLevel="0" collapsed="false">
      <c r="A330" s="68"/>
      <c r="B330" s="68"/>
      <c r="C330" s="68"/>
      <c r="D330" s="68"/>
      <c r="E330" s="68"/>
      <c r="F330" s="68"/>
      <c r="G330" s="68"/>
      <c r="H330" s="64" t="str">
        <f aca="false">IF(OR(A330="",B330=""),"",CONCATENATE("https://matarstund.is/serfaedi?id=",LOWER(SUBSTITUTE(B330," ","-"))))</f>
        <v/>
      </c>
    </row>
    <row r="331" customFormat="false" ht="15" hidden="false" customHeight="true" outlineLevel="0" collapsed="false">
      <c r="A331" s="9"/>
      <c r="B331" s="9"/>
      <c r="C331" s="9"/>
      <c r="D331" s="9"/>
      <c r="E331" s="9"/>
      <c r="F331" s="9"/>
      <c r="G331" s="9"/>
      <c r="H331" s="64" t="str">
        <f aca="false">IF(OR(A331="",B331=""),"",CONCATENATE("https://matarstund.is/serfaedi?id=",LOWER(SUBSTITUTE(B331," ","-"))))</f>
        <v/>
      </c>
    </row>
    <row r="332" customFormat="false" ht="15" hidden="false" customHeight="true" outlineLevel="0" collapsed="false">
      <c r="A332" s="68"/>
      <c r="B332" s="68"/>
      <c r="C332" s="68"/>
      <c r="D332" s="68"/>
      <c r="E332" s="68"/>
      <c r="F332" s="68"/>
      <c r="G332" s="68"/>
      <c r="H332" s="64" t="str">
        <f aca="false">IF(OR(A332="",B332=""),"",CONCATENATE("https://matarstund.is/serfaedi?id=",LOWER(SUBSTITUTE(B332," ","-"))))</f>
        <v/>
      </c>
    </row>
    <row r="333" customFormat="false" ht="15" hidden="false" customHeight="true" outlineLevel="0" collapsed="false">
      <c r="A333" s="9"/>
      <c r="B333" s="9"/>
      <c r="C333" s="9"/>
      <c r="D333" s="9"/>
      <c r="E333" s="9"/>
      <c r="F333" s="9"/>
      <c r="G333" s="9"/>
      <c r="H333" s="64" t="str">
        <f aca="false">IF(OR(A333="",B333=""),"",CONCATENATE("https://matarstund.is/serfaedi?id=",LOWER(SUBSTITUTE(B333," ","-"))))</f>
        <v/>
      </c>
    </row>
    <row r="334" customFormat="false" ht="15" hidden="false" customHeight="true" outlineLevel="0" collapsed="false">
      <c r="A334" s="68"/>
      <c r="B334" s="68"/>
      <c r="C334" s="68"/>
      <c r="D334" s="68"/>
      <c r="E334" s="68"/>
      <c r="F334" s="68"/>
      <c r="G334" s="68"/>
      <c r="H334" s="64" t="str">
        <f aca="false">IF(OR(A334="",B334=""),"",CONCATENATE("https://matarstund.is/serfaedi?id=",LOWER(SUBSTITUTE(B334," ","-"))))</f>
        <v/>
      </c>
    </row>
    <row r="335" customFormat="false" ht="15" hidden="false" customHeight="true" outlineLevel="0" collapsed="false">
      <c r="A335" s="9"/>
      <c r="B335" s="9"/>
      <c r="C335" s="9"/>
      <c r="D335" s="9"/>
      <c r="E335" s="9"/>
      <c r="F335" s="9"/>
      <c r="G335" s="9"/>
      <c r="H335" s="64" t="str">
        <f aca="false">IF(OR(A335="",B335=""),"",CONCATENATE("https://matarstund.is/serfaedi?id=",LOWER(SUBSTITUTE(B335," ","-"))))</f>
        <v/>
      </c>
    </row>
    <row r="336" customFormat="false" ht="15" hidden="false" customHeight="true" outlineLevel="0" collapsed="false">
      <c r="A336" s="68"/>
      <c r="B336" s="68"/>
      <c r="C336" s="68"/>
      <c r="D336" s="68"/>
      <c r="E336" s="68"/>
      <c r="F336" s="68"/>
      <c r="G336" s="68"/>
      <c r="H336" s="64" t="str">
        <f aca="false">IF(OR(A336="",B336=""),"",CONCATENATE("https://matarstund.is/serfaedi?id=",LOWER(SUBSTITUTE(B336," ","-"))))</f>
        <v/>
      </c>
    </row>
    <row r="337" customFormat="false" ht="15" hidden="false" customHeight="true" outlineLevel="0" collapsed="false">
      <c r="A337" s="9"/>
      <c r="B337" s="9"/>
      <c r="C337" s="9"/>
      <c r="D337" s="9"/>
      <c r="E337" s="9"/>
      <c r="F337" s="9"/>
      <c r="G337" s="9"/>
      <c r="H337" s="64" t="str">
        <f aca="false">IF(OR(A337="",B337=""),"",CONCATENATE("https://matarstund.is/serfaedi?id=",LOWER(SUBSTITUTE(B337," ","-"))))</f>
        <v/>
      </c>
    </row>
    <row r="338" customFormat="false" ht="15" hidden="false" customHeight="true" outlineLevel="0" collapsed="false">
      <c r="A338" s="68"/>
      <c r="B338" s="68"/>
      <c r="C338" s="68"/>
      <c r="D338" s="68"/>
      <c r="E338" s="68"/>
      <c r="F338" s="68"/>
      <c r="G338" s="68"/>
      <c r="H338" s="64" t="str">
        <f aca="false">IF(OR(A338="",B338=""),"",CONCATENATE("https://matarstund.is/serfaedi?id=",LOWER(SUBSTITUTE(B338," ","-"))))</f>
        <v/>
      </c>
    </row>
    <row r="339" customFormat="false" ht="15" hidden="false" customHeight="true" outlineLevel="0" collapsed="false">
      <c r="A339" s="9"/>
      <c r="B339" s="9"/>
      <c r="C339" s="9"/>
      <c r="D339" s="9"/>
      <c r="E339" s="9"/>
      <c r="F339" s="9"/>
      <c r="G339" s="9"/>
      <c r="H339" s="64" t="str">
        <f aca="false">IF(OR(A339="",B339=""),"",CONCATENATE("https://matarstund.is/serfaedi?id=",LOWER(SUBSTITUTE(B339," ","-"))))</f>
        <v/>
      </c>
    </row>
    <row r="340" customFormat="false" ht="15" hidden="false" customHeight="true" outlineLevel="0" collapsed="false">
      <c r="A340" s="68"/>
      <c r="B340" s="68"/>
      <c r="C340" s="68"/>
      <c r="D340" s="68"/>
      <c r="E340" s="68"/>
      <c r="F340" s="68"/>
      <c r="G340" s="68"/>
      <c r="H340" s="64" t="str">
        <f aca="false">IF(OR(A340="",B340=""),"",CONCATENATE("https://matarstund.is/serfaedi?id=",LOWER(SUBSTITUTE(B340," ","-"))))</f>
        <v/>
      </c>
    </row>
    <row r="341" customFormat="false" ht="15" hidden="false" customHeight="true" outlineLevel="0" collapsed="false">
      <c r="A341" s="9"/>
      <c r="B341" s="9"/>
      <c r="C341" s="9"/>
      <c r="D341" s="9"/>
      <c r="E341" s="9"/>
      <c r="F341" s="9"/>
      <c r="G341" s="9"/>
      <c r="H341" s="64" t="str">
        <f aca="false">IF(OR(A341="",B341=""),"",CONCATENATE("https://matarstund.is/serfaedi?id=",LOWER(SUBSTITUTE(B341," ","-"))))</f>
        <v/>
      </c>
    </row>
    <row r="342" customFormat="false" ht="15" hidden="false" customHeight="true" outlineLevel="0" collapsed="false">
      <c r="A342" s="68"/>
      <c r="B342" s="68"/>
      <c r="C342" s="68"/>
      <c r="D342" s="68"/>
      <c r="E342" s="68"/>
      <c r="F342" s="68"/>
      <c r="G342" s="68"/>
      <c r="H342" s="64" t="str">
        <f aca="false">IF(OR(A342="",B342=""),"",CONCATENATE("https://matarstund.is/serfaedi?id=",LOWER(SUBSTITUTE(B342," ","-"))))</f>
        <v/>
      </c>
    </row>
    <row r="343" customFormat="false" ht="15" hidden="false" customHeight="true" outlineLevel="0" collapsed="false">
      <c r="A343" s="9"/>
      <c r="B343" s="9"/>
      <c r="C343" s="9"/>
      <c r="D343" s="9"/>
      <c r="E343" s="9"/>
      <c r="F343" s="9"/>
      <c r="G343" s="9"/>
      <c r="H343" s="64" t="str">
        <f aca="false">IF(OR(A343="",B343=""),"",CONCATENATE("https://matarstund.is/serfaedi?id=",LOWER(SUBSTITUTE(B343," ","-"))))</f>
        <v/>
      </c>
    </row>
    <row r="344" customFormat="false" ht="15" hidden="false" customHeight="true" outlineLevel="0" collapsed="false">
      <c r="A344" s="68"/>
      <c r="B344" s="68"/>
      <c r="C344" s="68"/>
      <c r="D344" s="68"/>
      <c r="E344" s="68"/>
      <c r="F344" s="68"/>
      <c r="G344" s="68"/>
      <c r="H344" s="64" t="str">
        <f aca="false">IF(OR(A344="",B344=""),"",CONCATENATE("https://matarstund.is/serfaedi?id=",LOWER(SUBSTITUTE(B344," ","-"))))</f>
        <v/>
      </c>
    </row>
    <row r="345" customFormat="false" ht="15" hidden="false" customHeight="true" outlineLevel="0" collapsed="false">
      <c r="A345" s="9"/>
      <c r="B345" s="9"/>
      <c r="C345" s="9"/>
      <c r="D345" s="9"/>
      <c r="E345" s="9"/>
      <c r="F345" s="9"/>
      <c r="G345" s="9"/>
      <c r="H345" s="64" t="str">
        <f aca="false">IF(OR(A345="",B345=""),"",CONCATENATE("https://matarstund.is/serfaedi?id=",LOWER(SUBSTITUTE(B345," ","-"))))</f>
        <v/>
      </c>
    </row>
    <row r="346" customFormat="false" ht="15" hidden="false" customHeight="true" outlineLevel="0" collapsed="false">
      <c r="A346" s="68"/>
      <c r="B346" s="68"/>
      <c r="C346" s="68"/>
      <c r="D346" s="68"/>
      <c r="E346" s="68"/>
      <c r="F346" s="68"/>
      <c r="G346" s="68"/>
      <c r="H346" s="64" t="str">
        <f aca="false">IF(OR(A346="",B346=""),"",CONCATENATE("https://matarstund.is/serfaedi?id=",LOWER(SUBSTITUTE(B346," ","-"))))</f>
        <v/>
      </c>
    </row>
    <row r="347" customFormat="false" ht="15" hidden="false" customHeight="true" outlineLevel="0" collapsed="false">
      <c r="A347" s="9"/>
      <c r="B347" s="9"/>
      <c r="C347" s="9"/>
      <c r="D347" s="9"/>
      <c r="E347" s="9"/>
      <c r="F347" s="9"/>
      <c r="G347" s="9"/>
      <c r="H347" s="64" t="str">
        <f aca="false">IF(OR(A347="",B347=""),"",CONCATENATE("https://matarstund.is/serfaedi?id=",LOWER(SUBSTITUTE(B347," ","-"))))</f>
        <v/>
      </c>
    </row>
    <row r="348" customFormat="false" ht="15" hidden="false" customHeight="true" outlineLevel="0" collapsed="false">
      <c r="A348" s="68"/>
      <c r="B348" s="68"/>
      <c r="C348" s="68"/>
      <c r="D348" s="68"/>
      <c r="E348" s="68"/>
      <c r="F348" s="68"/>
      <c r="G348" s="68"/>
      <c r="H348" s="64" t="str">
        <f aca="false">IF(OR(A348="",B348=""),"",CONCATENATE("https://matarstund.is/serfaedi?id=",LOWER(SUBSTITUTE(B348," ","-"))))</f>
        <v/>
      </c>
    </row>
    <row r="349" customFormat="false" ht="15" hidden="false" customHeight="true" outlineLevel="0" collapsed="false">
      <c r="A349" s="9"/>
      <c r="B349" s="9"/>
      <c r="C349" s="9"/>
      <c r="D349" s="9"/>
      <c r="E349" s="9"/>
      <c r="F349" s="9"/>
      <c r="G349" s="9"/>
      <c r="H349" s="64" t="str">
        <f aca="false">IF(OR(A349="",B349=""),"",CONCATENATE("https://matarstund.is/serfaedi?id=",LOWER(SUBSTITUTE(B349," ","-"))))</f>
        <v/>
      </c>
    </row>
    <row r="350" customFormat="false" ht="15" hidden="false" customHeight="true" outlineLevel="0" collapsed="false">
      <c r="A350" s="68"/>
      <c r="B350" s="68"/>
      <c r="C350" s="68"/>
      <c r="D350" s="68"/>
      <c r="E350" s="68"/>
      <c r="F350" s="68"/>
      <c r="G350" s="68"/>
      <c r="H350" s="64" t="str">
        <f aca="false">IF(OR(A350="",B350=""),"",CONCATENATE("https://matarstund.is/serfaedi?id=",LOWER(SUBSTITUTE(B350," ","-"))))</f>
        <v/>
      </c>
    </row>
    <row r="351" customFormat="false" ht="15" hidden="false" customHeight="true" outlineLevel="0" collapsed="false">
      <c r="A351" s="9"/>
      <c r="B351" s="9"/>
      <c r="C351" s="9"/>
      <c r="D351" s="9"/>
      <c r="E351" s="9"/>
      <c r="F351" s="9"/>
      <c r="G351" s="9"/>
      <c r="H351" s="64" t="str">
        <f aca="false">IF(OR(A351="",B351=""),"",CONCATENATE("https://matarstund.is/serfaedi?id=",LOWER(SUBSTITUTE(B351," ","-"))))</f>
        <v/>
      </c>
    </row>
    <row r="352" customFormat="false" ht="15" hidden="false" customHeight="true" outlineLevel="0" collapsed="false">
      <c r="A352" s="68"/>
      <c r="B352" s="68"/>
      <c r="C352" s="68"/>
      <c r="D352" s="68"/>
      <c r="E352" s="68"/>
      <c r="F352" s="68"/>
      <c r="G352" s="68"/>
      <c r="H352" s="64" t="str">
        <f aca="false">IF(OR(A352="",B352=""),"",CONCATENATE("https://matarstund.is/serfaedi?id=",LOWER(SUBSTITUTE(B352," ","-"))))</f>
        <v/>
      </c>
    </row>
    <row r="353" customFormat="false" ht="15" hidden="false" customHeight="true" outlineLevel="0" collapsed="false">
      <c r="A353" s="9"/>
      <c r="B353" s="9"/>
      <c r="C353" s="9"/>
      <c r="D353" s="9"/>
      <c r="E353" s="9"/>
      <c r="F353" s="9"/>
      <c r="G353" s="9"/>
      <c r="H353" s="64" t="str">
        <f aca="false">IF(OR(A353="",B353=""),"",CONCATENATE("https://matarstund.is/serfaedi?id=",LOWER(SUBSTITUTE(B353," ","-"))))</f>
        <v/>
      </c>
    </row>
    <row r="354" customFormat="false" ht="15" hidden="false" customHeight="true" outlineLevel="0" collapsed="false">
      <c r="A354" s="68"/>
      <c r="B354" s="68"/>
      <c r="C354" s="68"/>
      <c r="D354" s="68"/>
      <c r="E354" s="68"/>
      <c r="F354" s="68"/>
      <c r="G354" s="68"/>
      <c r="H354" s="64" t="str">
        <f aca="false">IF(OR(A354="",B354=""),"",CONCATENATE("https://matarstund.is/serfaedi?id=",LOWER(SUBSTITUTE(B354," ","-"))))</f>
        <v/>
      </c>
    </row>
    <row r="355" customFormat="false" ht="15" hidden="false" customHeight="true" outlineLevel="0" collapsed="false">
      <c r="A355" s="9"/>
      <c r="B355" s="9"/>
      <c r="C355" s="9"/>
      <c r="D355" s="9"/>
      <c r="E355" s="9"/>
      <c r="F355" s="9"/>
      <c r="G355" s="9"/>
      <c r="H355" s="64" t="str">
        <f aca="false">IF(OR(A355="",B355=""),"",CONCATENATE("https://matarstund.is/serfaedi?id=",LOWER(SUBSTITUTE(B355," ","-"))))</f>
        <v/>
      </c>
    </row>
    <row r="356" customFormat="false" ht="15" hidden="false" customHeight="true" outlineLevel="0" collapsed="false">
      <c r="A356" s="68"/>
      <c r="B356" s="68"/>
      <c r="C356" s="68"/>
      <c r="D356" s="68"/>
      <c r="E356" s="68"/>
      <c r="F356" s="68"/>
      <c r="G356" s="68"/>
      <c r="H356" s="64" t="str">
        <f aca="false">IF(OR(A356="",B356=""),"",CONCATENATE("https://matarstund.is/serfaedi?id=",LOWER(SUBSTITUTE(B356," ","-"))))</f>
        <v/>
      </c>
    </row>
    <row r="357" customFormat="false" ht="15" hidden="false" customHeight="true" outlineLevel="0" collapsed="false">
      <c r="A357" s="9"/>
      <c r="B357" s="9"/>
      <c r="C357" s="9"/>
      <c r="D357" s="9"/>
      <c r="E357" s="9"/>
      <c r="F357" s="9"/>
      <c r="G357" s="9"/>
      <c r="H357" s="64" t="str">
        <f aca="false">IF(OR(A357="",B357=""),"",CONCATENATE("https://matarstund.is/serfaedi?id=",LOWER(SUBSTITUTE(B357," ","-"))))</f>
        <v/>
      </c>
    </row>
    <row r="358" customFormat="false" ht="15" hidden="false" customHeight="true" outlineLevel="0" collapsed="false">
      <c r="A358" s="68"/>
      <c r="B358" s="68"/>
      <c r="C358" s="68"/>
      <c r="D358" s="68"/>
      <c r="E358" s="68"/>
      <c r="F358" s="68"/>
      <c r="G358" s="68"/>
      <c r="H358" s="64" t="str">
        <f aca="false">IF(OR(A358="",B358=""),"",CONCATENATE("https://matarstund.is/serfaedi?id=",LOWER(SUBSTITUTE(B358," ","-"))))</f>
        <v/>
      </c>
    </row>
    <row r="359" customFormat="false" ht="15" hidden="false" customHeight="true" outlineLevel="0" collapsed="false">
      <c r="A359" s="9"/>
      <c r="B359" s="9"/>
      <c r="C359" s="9"/>
      <c r="D359" s="9"/>
      <c r="E359" s="9"/>
      <c r="F359" s="9"/>
      <c r="G359" s="9"/>
      <c r="H359" s="64" t="str">
        <f aca="false">IF(OR(A359="",B359=""),"",CONCATENATE("https://matarstund.is/serfaedi?id=",LOWER(SUBSTITUTE(B359," ","-"))))</f>
        <v/>
      </c>
    </row>
    <row r="360" customFormat="false" ht="15" hidden="false" customHeight="true" outlineLevel="0" collapsed="false">
      <c r="A360" s="68"/>
      <c r="B360" s="68"/>
      <c r="C360" s="68"/>
      <c r="D360" s="68"/>
      <c r="E360" s="68"/>
      <c r="F360" s="68"/>
      <c r="G360" s="68"/>
      <c r="H360" s="64" t="str">
        <f aca="false">IF(OR(A360="",B360=""),"",CONCATENATE("https://matarstund.is/serfaedi?id=",LOWER(SUBSTITUTE(B360," ","-"))))</f>
        <v/>
      </c>
    </row>
    <row r="361" customFormat="false" ht="15" hidden="false" customHeight="true" outlineLevel="0" collapsed="false">
      <c r="A361" s="9"/>
      <c r="B361" s="9"/>
      <c r="C361" s="9"/>
      <c r="D361" s="9"/>
      <c r="E361" s="9"/>
      <c r="F361" s="9"/>
      <c r="G361" s="9"/>
      <c r="H361" s="64" t="str">
        <f aca="false">IF(OR(A361="",B361=""),"",CONCATENATE("https://matarstund.is/serfaedi?id=",LOWER(SUBSTITUTE(B361," ","-"))))</f>
        <v/>
      </c>
    </row>
    <row r="362" customFormat="false" ht="15" hidden="false" customHeight="true" outlineLevel="0" collapsed="false">
      <c r="A362" s="68"/>
      <c r="B362" s="68"/>
      <c r="C362" s="68"/>
      <c r="D362" s="68"/>
      <c r="E362" s="68"/>
      <c r="F362" s="68"/>
      <c r="G362" s="68"/>
      <c r="H362" s="64" t="str">
        <f aca="false">IF(OR(A362="",B362=""),"",CONCATENATE("https://matarstund.is/serfaedi?id=",LOWER(SUBSTITUTE(B362," ","-"))))</f>
        <v/>
      </c>
    </row>
    <row r="363" customFormat="false" ht="15" hidden="false" customHeight="true" outlineLevel="0" collapsed="false">
      <c r="A363" s="9"/>
      <c r="B363" s="9"/>
      <c r="C363" s="9"/>
      <c r="D363" s="9"/>
      <c r="E363" s="9"/>
      <c r="F363" s="9"/>
      <c r="G363" s="9"/>
      <c r="H363" s="64" t="str">
        <f aca="false">IF(OR(A363="",B363=""),"",CONCATENATE("https://matarstund.is/serfaedi?id=",LOWER(SUBSTITUTE(B363," ","-"))))</f>
        <v/>
      </c>
    </row>
    <row r="364" customFormat="false" ht="15" hidden="false" customHeight="true" outlineLevel="0" collapsed="false">
      <c r="A364" s="68"/>
      <c r="B364" s="68"/>
      <c r="C364" s="68"/>
      <c r="D364" s="68"/>
      <c r="E364" s="68"/>
      <c r="F364" s="68"/>
      <c r="G364" s="68"/>
      <c r="H364" s="64" t="str">
        <f aca="false">IF(OR(A364="",B364=""),"",CONCATENATE("https://matarstund.is/serfaedi?id=",LOWER(SUBSTITUTE(B364," ","-"))))</f>
        <v/>
      </c>
    </row>
    <row r="365" customFormat="false" ht="15" hidden="false" customHeight="true" outlineLevel="0" collapsed="false">
      <c r="A365" s="9"/>
      <c r="B365" s="9"/>
      <c r="C365" s="9"/>
      <c r="D365" s="9"/>
      <c r="E365" s="9"/>
      <c r="F365" s="9"/>
      <c r="G365" s="9"/>
      <c r="H365" s="64" t="str">
        <f aca="false">IF(OR(A365="",B365=""),"",CONCATENATE("https://matarstund.is/serfaedi?id=",LOWER(SUBSTITUTE(B365," ","-"))))</f>
        <v/>
      </c>
    </row>
    <row r="366" customFormat="false" ht="15" hidden="false" customHeight="true" outlineLevel="0" collapsed="false">
      <c r="A366" s="68"/>
      <c r="B366" s="68"/>
      <c r="C366" s="68"/>
      <c r="D366" s="68"/>
      <c r="E366" s="68"/>
      <c r="F366" s="68"/>
      <c r="G366" s="68"/>
      <c r="H366" s="64" t="str">
        <f aca="false">IF(OR(A366="",B366=""),"",CONCATENATE("https://matarstund.is/serfaedi?id=",LOWER(SUBSTITUTE(B366," ","-"))))</f>
        <v/>
      </c>
    </row>
    <row r="367" customFormat="false" ht="15" hidden="false" customHeight="true" outlineLevel="0" collapsed="false">
      <c r="A367" s="9"/>
      <c r="B367" s="9"/>
      <c r="C367" s="9"/>
      <c r="D367" s="9"/>
      <c r="E367" s="9"/>
      <c r="F367" s="9"/>
      <c r="G367" s="9"/>
      <c r="H367" s="64" t="str">
        <f aca="false">IF(OR(A367="",B367=""),"",CONCATENATE("https://matarstund.is/serfaedi?id=",LOWER(SUBSTITUTE(B367," ","-"))))</f>
        <v/>
      </c>
    </row>
    <row r="368" customFormat="false" ht="15" hidden="false" customHeight="true" outlineLevel="0" collapsed="false">
      <c r="A368" s="68"/>
      <c r="B368" s="68"/>
      <c r="C368" s="68"/>
      <c r="D368" s="68"/>
      <c r="E368" s="68"/>
      <c r="F368" s="68"/>
      <c r="G368" s="68"/>
      <c r="H368" s="64" t="str">
        <f aca="false">IF(OR(A368="",B368=""),"",CONCATENATE("https://matarstund.is/serfaedi?id=",LOWER(SUBSTITUTE(B368," ","-"))))</f>
        <v/>
      </c>
    </row>
    <row r="369" customFormat="false" ht="15" hidden="false" customHeight="true" outlineLevel="0" collapsed="false">
      <c r="A369" s="9"/>
      <c r="B369" s="9"/>
      <c r="C369" s="9"/>
      <c r="D369" s="9"/>
      <c r="E369" s="9"/>
      <c r="F369" s="9"/>
      <c r="G369" s="9"/>
      <c r="H369" s="64" t="str">
        <f aca="false">IF(OR(A369="",B369=""),"",CONCATENATE("https://matarstund.is/serfaedi?id=",LOWER(SUBSTITUTE(B369," ","-"))))</f>
        <v/>
      </c>
    </row>
    <row r="370" customFormat="false" ht="15" hidden="false" customHeight="true" outlineLevel="0" collapsed="false">
      <c r="A370" s="68"/>
      <c r="B370" s="68"/>
      <c r="C370" s="68"/>
      <c r="D370" s="68"/>
      <c r="E370" s="68"/>
      <c r="F370" s="68"/>
      <c r="G370" s="68"/>
      <c r="H370" s="64" t="str">
        <f aca="false">IF(OR(A370="",B370=""),"",CONCATENATE("https://matarstund.is/serfaedi?id=",LOWER(SUBSTITUTE(B370," ","-"))))</f>
        <v/>
      </c>
    </row>
    <row r="371" customFormat="false" ht="15" hidden="false" customHeight="true" outlineLevel="0" collapsed="false">
      <c r="A371" s="9"/>
      <c r="B371" s="9"/>
      <c r="C371" s="9"/>
      <c r="D371" s="9"/>
      <c r="E371" s="9"/>
      <c r="F371" s="9"/>
      <c r="G371" s="9"/>
      <c r="H371" s="64" t="str">
        <f aca="false">IF(OR(A371="",B371=""),"",CONCATENATE("https://matarstund.is/serfaedi?id=",LOWER(SUBSTITUTE(B371," ","-"))))</f>
        <v/>
      </c>
    </row>
    <row r="372" customFormat="false" ht="15" hidden="false" customHeight="true" outlineLevel="0" collapsed="false">
      <c r="A372" s="68"/>
      <c r="B372" s="68"/>
      <c r="C372" s="68"/>
      <c r="D372" s="68"/>
      <c r="E372" s="68"/>
      <c r="F372" s="68"/>
      <c r="G372" s="68"/>
      <c r="H372" s="64" t="str">
        <f aca="false">IF(OR(A372="",B372=""),"",CONCATENATE("https://matarstund.is/serfaedi?id=",LOWER(SUBSTITUTE(B372," ","-"))))</f>
        <v/>
      </c>
    </row>
    <row r="373" customFormat="false" ht="15" hidden="false" customHeight="true" outlineLevel="0" collapsed="false">
      <c r="A373" s="9"/>
      <c r="B373" s="9"/>
      <c r="C373" s="9"/>
      <c r="D373" s="9"/>
      <c r="E373" s="9"/>
      <c r="F373" s="9"/>
      <c r="G373" s="9"/>
      <c r="H373" s="64" t="str">
        <f aca="false">IF(OR(A373="",B373=""),"",CONCATENATE("https://matarstund.is/serfaedi?id=",LOWER(SUBSTITUTE(B373," ","-"))))</f>
        <v/>
      </c>
    </row>
    <row r="374" customFormat="false" ht="15" hidden="false" customHeight="true" outlineLevel="0" collapsed="false">
      <c r="A374" s="68"/>
      <c r="B374" s="68"/>
      <c r="C374" s="68"/>
      <c r="D374" s="68"/>
      <c r="E374" s="68"/>
      <c r="F374" s="68"/>
      <c r="G374" s="68"/>
      <c r="H374" s="64" t="str">
        <f aca="false">IF(OR(A374="",B374=""),"",CONCATENATE("https://matarstund.is/serfaedi?id=",LOWER(SUBSTITUTE(B374," ","-"))))</f>
        <v/>
      </c>
    </row>
    <row r="375" customFormat="false" ht="15" hidden="false" customHeight="true" outlineLevel="0" collapsed="false">
      <c r="A375" s="9"/>
      <c r="B375" s="9"/>
      <c r="C375" s="9"/>
      <c r="D375" s="9"/>
      <c r="E375" s="9"/>
      <c r="F375" s="9"/>
      <c r="G375" s="9"/>
      <c r="H375" s="64" t="str">
        <f aca="false">IF(OR(A375="",B375=""),"",CONCATENATE("https://matarstund.is/serfaedi?id=",LOWER(SUBSTITUTE(B375," ","-"))))</f>
        <v/>
      </c>
    </row>
    <row r="376" customFormat="false" ht="15" hidden="false" customHeight="true" outlineLevel="0" collapsed="false">
      <c r="A376" s="68"/>
      <c r="B376" s="68"/>
      <c r="C376" s="68"/>
      <c r="D376" s="68"/>
      <c r="E376" s="68"/>
      <c r="F376" s="68"/>
      <c r="G376" s="68"/>
      <c r="H376" s="64" t="str">
        <f aca="false">IF(OR(A376="",B376=""),"",CONCATENATE("https://matarstund.is/serfaedi?id=",LOWER(SUBSTITUTE(B376," ","-"))))</f>
        <v/>
      </c>
    </row>
    <row r="377" customFormat="false" ht="15" hidden="false" customHeight="true" outlineLevel="0" collapsed="false">
      <c r="A377" s="9"/>
      <c r="B377" s="9"/>
      <c r="C377" s="9"/>
      <c r="D377" s="9"/>
      <c r="E377" s="9"/>
      <c r="F377" s="9"/>
      <c r="G377" s="9"/>
      <c r="H377" s="64" t="str">
        <f aca="false">IF(OR(A377="",B377=""),"",CONCATENATE("https://matarstund.is/serfaedi?id=",LOWER(SUBSTITUTE(B377," ","-"))))</f>
        <v/>
      </c>
    </row>
    <row r="378" customFormat="false" ht="15" hidden="false" customHeight="true" outlineLevel="0" collapsed="false">
      <c r="A378" s="68"/>
      <c r="B378" s="68"/>
      <c r="C378" s="68"/>
      <c r="D378" s="68"/>
      <c r="E378" s="68"/>
      <c r="F378" s="68"/>
      <c r="G378" s="68"/>
      <c r="H378" s="64" t="str">
        <f aca="false">IF(OR(A378="",B378=""),"",CONCATENATE("https://matarstund.is/serfaedi?id=",LOWER(SUBSTITUTE(B378," ","-"))))</f>
        <v/>
      </c>
    </row>
    <row r="379" customFormat="false" ht="15" hidden="false" customHeight="true" outlineLevel="0" collapsed="false">
      <c r="A379" s="9"/>
      <c r="B379" s="9"/>
      <c r="C379" s="9"/>
      <c r="D379" s="9"/>
      <c r="E379" s="9"/>
      <c r="F379" s="9"/>
      <c r="G379" s="9"/>
      <c r="H379" s="64" t="str">
        <f aca="false">IF(OR(A379="",B379=""),"",CONCATENATE("https://matarstund.is/serfaedi?id=",LOWER(SUBSTITUTE(B379," ","-"))))</f>
        <v/>
      </c>
    </row>
    <row r="380" customFormat="false" ht="15" hidden="false" customHeight="true" outlineLevel="0" collapsed="false">
      <c r="A380" s="68"/>
      <c r="B380" s="68"/>
      <c r="C380" s="68"/>
      <c r="D380" s="68"/>
      <c r="E380" s="68"/>
      <c r="F380" s="68"/>
      <c r="G380" s="68"/>
      <c r="H380" s="64" t="str">
        <f aca="false">IF(OR(A380="",B380=""),"",CONCATENATE("https://matarstund.is/serfaedi?id=",LOWER(SUBSTITUTE(B380," ","-"))))</f>
        <v/>
      </c>
    </row>
    <row r="381" customFormat="false" ht="15" hidden="false" customHeight="true" outlineLevel="0" collapsed="false">
      <c r="A381" s="9"/>
      <c r="B381" s="9"/>
      <c r="C381" s="9"/>
      <c r="D381" s="9"/>
      <c r="E381" s="9"/>
      <c r="F381" s="9"/>
      <c r="G381" s="9"/>
      <c r="H381" s="64" t="str">
        <f aca="false">IF(OR(A381="",B381=""),"",CONCATENATE("https://matarstund.is/serfaedi?id=",LOWER(SUBSTITUTE(B381," ","-"))))</f>
        <v/>
      </c>
    </row>
    <row r="382" customFormat="false" ht="15" hidden="false" customHeight="true" outlineLevel="0" collapsed="false">
      <c r="A382" s="68"/>
      <c r="B382" s="68"/>
      <c r="C382" s="68"/>
      <c r="D382" s="68"/>
      <c r="E382" s="68"/>
      <c r="F382" s="68"/>
      <c r="G382" s="68"/>
      <c r="H382" s="64" t="str">
        <f aca="false">IF(OR(A382="",B382=""),"",CONCATENATE("https://matarstund.is/serfaedi?id=",LOWER(SUBSTITUTE(B382," ","-"))))</f>
        <v/>
      </c>
    </row>
    <row r="383" customFormat="false" ht="15" hidden="false" customHeight="true" outlineLevel="0" collapsed="false">
      <c r="A383" s="9"/>
      <c r="B383" s="9"/>
      <c r="C383" s="9"/>
      <c r="D383" s="9"/>
      <c r="E383" s="9"/>
      <c r="F383" s="9"/>
      <c r="G383" s="9"/>
      <c r="H383" s="64" t="str">
        <f aca="false">IF(OR(A383="",B383=""),"",CONCATENATE("https://matarstund.is/serfaedi?id=",LOWER(SUBSTITUTE(B383," ","-"))))</f>
        <v/>
      </c>
    </row>
    <row r="384" customFormat="false" ht="15" hidden="false" customHeight="true" outlineLevel="0" collapsed="false">
      <c r="A384" s="68"/>
      <c r="B384" s="68"/>
      <c r="C384" s="68"/>
      <c r="D384" s="68"/>
      <c r="E384" s="68"/>
      <c r="F384" s="68"/>
      <c r="G384" s="68"/>
      <c r="H384" s="64" t="str">
        <f aca="false">IF(OR(A384="",B384=""),"",CONCATENATE("https://matarstund.is/serfaedi?id=",LOWER(SUBSTITUTE(B384," ","-"))))</f>
        <v/>
      </c>
    </row>
    <row r="385" customFormat="false" ht="15" hidden="false" customHeight="true" outlineLevel="0" collapsed="false">
      <c r="A385" s="9"/>
      <c r="B385" s="9"/>
      <c r="C385" s="9"/>
      <c r="D385" s="9"/>
      <c r="E385" s="9"/>
      <c r="F385" s="9"/>
      <c r="G385" s="9"/>
      <c r="H385" s="64" t="str">
        <f aca="false">IF(OR(A385="",B385=""),"",CONCATENATE("https://matarstund.is/serfaedi?id=",LOWER(SUBSTITUTE(B385," ","-"))))</f>
        <v/>
      </c>
    </row>
    <row r="386" customFormat="false" ht="15" hidden="false" customHeight="true" outlineLevel="0" collapsed="false">
      <c r="A386" s="68"/>
      <c r="B386" s="68"/>
      <c r="C386" s="68"/>
      <c r="D386" s="68"/>
      <c r="E386" s="68"/>
      <c r="F386" s="68"/>
      <c r="G386" s="68"/>
      <c r="H386" s="64" t="str">
        <f aca="false">IF(OR(A386="",B386=""),"",CONCATENATE("https://matarstund.is/serfaedi?id=",LOWER(SUBSTITUTE(B386," ","-"))))</f>
        <v/>
      </c>
    </row>
    <row r="387" customFormat="false" ht="15" hidden="false" customHeight="true" outlineLevel="0" collapsed="false">
      <c r="A387" s="9"/>
      <c r="B387" s="9"/>
      <c r="C387" s="9"/>
      <c r="D387" s="9"/>
      <c r="E387" s="9"/>
      <c r="F387" s="9"/>
      <c r="G387" s="9"/>
      <c r="H387" s="64" t="str">
        <f aca="false">IF(OR(A387="",B387=""),"",CONCATENATE("https://matarstund.is/serfaedi?id=",LOWER(SUBSTITUTE(B387," ","-"))))</f>
        <v/>
      </c>
    </row>
    <row r="388" customFormat="false" ht="15" hidden="false" customHeight="true" outlineLevel="0" collapsed="false">
      <c r="A388" s="68"/>
      <c r="B388" s="68"/>
      <c r="C388" s="68"/>
      <c r="D388" s="68"/>
      <c r="E388" s="68"/>
      <c r="F388" s="68"/>
      <c r="G388" s="68"/>
      <c r="H388" s="64" t="str">
        <f aca="false">IF(OR(A388="",B388=""),"",CONCATENATE("https://matarstund.is/serfaedi?id=",LOWER(SUBSTITUTE(B388," ","-"))))</f>
        <v/>
      </c>
    </row>
    <row r="389" customFormat="false" ht="15" hidden="false" customHeight="true" outlineLevel="0" collapsed="false">
      <c r="A389" s="9"/>
      <c r="B389" s="9"/>
      <c r="C389" s="9"/>
      <c r="D389" s="9"/>
      <c r="E389" s="9"/>
      <c r="F389" s="9"/>
      <c r="G389" s="9"/>
      <c r="H389" s="64" t="str">
        <f aca="false">IF(OR(A389="",B389=""),"",CONCATENATE("https://matarstund.is/serfaedi?id=",LOWER(SUBSTITUTE(B389," ","-"))))</f>
        <v/>
      </c>
    </row>
    <row r="390" customFormat="false" ht="15" hidden="false" customHeight="true" outlineLevel="0" collapsed="false">
      <c r="A390" s="68"/>
      <c r="B390" s="68"/>
      <c r="C390" s="68"/>
      <c r="D390" s="68"/>
      <c r="E390" s="68"/>
      <c r="F390" s="68"/>
      <c r="G390" s="68"/>
      <c r="H390" s="64" t="str">
        <f aca="false">IF(OR(A390="",B390=""),"",CONCATENATE("https://matarstund.is/serfaedi?id=",LOWER(SUBSTITUTE(B390," ","-"))))</f>
        <v/>
      </c>
    </row>
    <row r="391" customFormat="false" ht="15" hidden="false" customHeight="true" outlineLevel="0" collapsed="false">
      <c r="A391" s="9"/>
      <c r="B391" s="9"/>
      <c r="C391" s="9"/>
      <c r="D391" s="9"/>
      <c r="E391" s="9"/>
      <c r="F391" s="9"/>
      <c r="G391" s="9"/>
      <c r="H391" s="64" t="str">
        <f aca="false">IF(OR(A391="",B391=""),"",CONCATENATE("https://matarstund.is/serfaedi?id=",LOWER(SUBSTITUTE(B391," ","-"))))</f>
        <v/>
      </c>
    </row>
    <row r="392" customFormat="false" ht="15" hidden="false" customHeight="true" outlineLevel="0" collapsed="false">
      <c r="A392" s="68"/>
      <c r="B392" s="68"/>
      <c r="C392" s="68"/>
      <c r="D392" s="68"/>
      <c r="E392" s="68"/>
      <c r="F392" s="68"/>
      <c r="G392" s="68"/>
      <c r="H392" s="64" t="str">
        <f aca="false">IF(OR(A392="",B392=""),"",CONCATENATE("https://matarstund.is/serfaedi?id=",LOWER(SUBSTITUTE(B392," ","-"))))</f>
        <v/>
      </c>
    </row>
    <row r="393" customFormat="false" ht="15" hidden="false" customHeight="true" outlineLevel="0" collapsed="false">
      <c r="A393" s="9"/>
      <c r="B393" s="9"/>
      <c r="C393" s="9"/>
      <c r="D393" s="9"/>
      <c r="E393" s="9"/>
      <c r="F393" s="9"/>
      <c r="G393" s="9"/>
      <c r="H393" s="64" t="str">
        <f aca="false">IF(OR(A393="",B393=""),"",CONCATENATE("https://matarstund.is/serfaedi?id=",LOWER(SUBSTITUTE(B393," ","-"))))</f>
        <v/>
      </c>
    </row>
    <row r="394" customFormat="false" ht="15" hidden="false" customHeight="true" outlineLevel="0" collapsed="false">
      <c r="A394" s="68"/>
      <c r="B394" s="68"/>
      <c r="C394" s="68"/>
      <c r="D394" s="68"/>
      <c r="E394" s="68"/>
      <c r="F394" s="68"/>
      <c r="G394" s="68"/>
      <c r="H394" s="64" t="str">
        <f aca="false">IF(OR(A394="",B394=""),"",CONCATENATE("https://matarstund.is/serfaedi?id=",LOWER(SUBSTITUTE(B394," ","-"))))</f>
        <v/>
      </c>
    </row>
    <row r="395" customFormat="false" ht="15" hidden="false" customHeight="true" outlineLevel="0" collapsed="false">
      <c r="A395" s="9"/>
      <c r="B395" s="9"/>
      <c r="C395" s="9"/>
      <c r="D395" s="9"/>
      <c r="E395" s="9"/>
      <c r="F395" s="9"/>
      <c r="G395" s="9"/>
      <c r="H395" s="64" t="str">
        <f aca="false">IF(OR(A395="",B395=""),"",CONCATENATE("https://matarstund.is/serfaedi?id=",LOWER(SUBSTITUTE(B395," ","-"))))</f>
        <v/>
      </c>
    </row>
    <row r="396" customFormat="false" ht="15" hidden="false" customHeight="true" outlineLevel="0" collapsed="false">
      <c r="A396" s="68"/>
      <c r="B396" s="68"/>
      <c r="C396" s="68"/>
      <c r="D396" s="68"/>
      <c r="E396" s="68"/>
      <c r="F396" s="68"/>
      <c r="G396" s="68"/>
      <c r="H396" s="64" t="str">
        <f aca="false">IF(OR(A396="",B396=""),"",CONCATENATE("https://matarstund.is/serfaedi?id=",LOWER(SUBSTITUTE(B396," ","-"))))</f>
        <v/>
      </c>
    </row>
    <row r="397" customFormat="false" ht="15" hidden="false" customHeight="true" outlineLevel="0" collapsed="false">
      <c r="A397" s="9"/>
      <c r="B397" s="9"/>
      <c r="C397" s="9"/>
      <c r="D397" s="9"/>
      <c r="E397" s="9"/>
      <c r="F397" s="9"/>
      <c r="G397" s="9"/>
      <c r="H397" s="64" t="str">
        <f aca="false">IF(OR(A397="",B397=""),"",CONCATENATE("https://matarstund.is/serfaedi?id=",LOWER(SUBSTITUTE(B397," ","-"))))</f>
        <v/>
      </c>
    </row>
    <row r="398" customFormat="false" ht="15" hidden="false" customHeight="true" outlineLevel="0" collapsed="false">
      <c r="A398" s="68"/>
      <c r="B398" s="68"/>
      <c r="C398" s="68"/>
      <c r="D398" s="68"/>
      <c r="E398" s="68"/>
      <c r="F398" s="68"/>
      <c r="G398" s="68"/>
      <c r="H398" s="64" t="str">
        <f aca="false">IF(OR(A398="",B398=""),"",CONCATENATE("https://matarstund.is/serfaedi?id=",LOWER(SUBSTITUTE(B398," ","-"))))</f>
        <v/>
      </c>
    </row>
    <row r="399" customFormat="false" ht="15" hidden="false" customHeight="true" outlineLevel="0" collapsed="false">
      <c r="A399" s="9"/>
      <c r="B399" s="9"/>
      <c r="C399" s="9"/>
      <c r="D399" s="9"/>
      <c r="E399" s="9"/>
      <c r="F399" s="9"/>
      <c r="G399" s="9"/>
      <c r="H399" s="64" t="str">
        <f aca="false">IF(OR(A399="",B399=""),"",CONCATENATE("https://matarstund.is/serfaedi?id=",LOWER(SUBSTITUTE(B399," ","-"))))</f>
        <v/>
      </c>
    </row>
    <row r="400" customFormat="false" ht="15" hidden="false" customHeight="true" outlineLevel="0" collapsed="false">
      <c r="A400" s="68"/>
      <c r="B400" s="68"/>
      <c r="C400" s="68"/>
      <c r="D400" s="68"/>
      <c r="E400" s="68"/>
      <c r="F400" s="68"/>
      <c r="G400" s="68"/>
      <c r="H400" s="64" t="str">
        <f aca="false">IF(OR(A400="",B400=""),"",CONCATENATE("https://matarstund.is/serfaedi?id=",LOWER(SUBSTITUTE(B400," ","-"))))</f>
        <v/>
      </c>
    </row>
    <row r="401" customFormat="false" ht="15" hidden="false" customHeight="true" outlineLevel="0" collapsed="false">
      <c r="A401" s="9"/>
      <c r="B401" s="9"/>
      <c r="C401" s="9"/>
      <c r="D401" s="9"/>
      <c r="E401" s="9"/>
      <c r="F401" s="9"/>
      <c r="G401" s="9"/>
      <c r="H401" s="64" t="str">
        <f aca="false">IF(OR(A401="",B401=""),"",CONCATENATE("https://matarstund.is/serfaedi?id=",LOWER(SUBSTITUTE(B401," ","-"))))</f>
        <v/>
      </c>
    </row>
    <row r="402" customFormat="false" ht="15" hidden="false" customHeight="true" outlineLevel="0" collapsed="false">
      <c r="A402" s="68"/>
      <c r="B402" s="68"/>
      <c r="C402" s="68"/>
      <c r="D402" s="68"/>
      <c r="E402" s="68"/>
      <c r="F402" s="68"/>
      <c r="G402" s="68"/>
      <c r="H402" s="64" t="str">
        <f aca="false">IF(OR(A402="",B402=""),"",CONCATENATE("https://matarstund.is/serfaedi?id=",LOWER(SUBSTITUTE(B402," ","-"))))</f>
        <v/>
      </c>
    </row>
    <row r="403" customFormat="false" ht="15" hidden="false" customHeight="true" outlineLevel="0" collapsed="false">
      <c r="A403" s="9"/>
      <c r="B403" s="9"/>
      <c r="C403" s="9"/>
      <c r="D403" s="9"/>
      <c r="E403" s="9"/>
      <c r="F403" s="9"/>
      <c r="G403" s="9"/>
      <c r="H403" s="64" t="str">
        <f aca="false">IF(OR(A403="",B403=""),"",CONCATENATE("https://matarstund.is/serfaedi?id=",LOWER(SUBSTITUTE(B403," ","-"))))</f>
        <v/>
      </c>
    </row>
    <row r="404" customFormat="false" ht="15" hidden="false" customHeight="true" outlineLevel="0" collapsed="false">
      <c r="A404" s="68"/>
      <c r="B404" s="68"/>
      <c r="C404" s="68"/>
      <c r="D404" s="68"/>
      <c r="E404" s="68"/>
      <c r="F404" s="68"/>
      <c r="G404" s="68"/>
      <c r="H404" s="64" t="str">
        <f aca="false">IF(OR(A404="",B404=""),"",CONCATENATE("https://matarstund.is/serfaedi?id=",LOWER(SUBSTITUTE(B404," ","-"))))</f>
        <v/>
      </c>
    </row>
    <row r="405" customFormat="false" ht="15" hidden="false" customHeight="true" outlineLevel="0" collapsed="false">
      <c r="A405" s="9"/>
      <c r="B405" s="9"/>
      <c r="C405" s="9"/>
      <c r="D405" s="9"/>
      <c r="E405" s="9"/>
      <c r="F405" s="9"/>
      <c r="G405" s="9"/>
      <c r="H405" s="64" t="str">
        <f aca="false">IF(OR(A405="",B405=""),"",CONCATENATE("https://matarstund.is/serfaedi?id=",LOWER(SUBSTITUTE(B405," ","-"))))</f>
        <v/>
      </c>
    </row>
    <row r="406" customFormat="false" ht="15" hidden="false" customHeight="true" outlineLevel="0" collapsed="false">
      <c r="A406" s="68"/>
      <c r="B406" s="68"/>
      <c r="C406" s="68"/>
      <c r="D406" s="68"/>
      <c r="E406" s="68"/>
      <c r="F406" s="68"/>
      <c r="G406" s="68"/>
      <c r="H406" s="64" t="str">
        <f aca="false">IF(OR(A406="",B406=""),"",CONCATENATE("https://matarstund.is/serfaedi?id=",LOWER(SUBSTITUTE(B406," ","-"))))</f>
        <v/>
      </c>
    </row>
    <row r="407" customFormat="false" ht="15" hidden="false" customHeight="true" outlineLevel="0" collapsed="false">
      <c r="A407" s="9"/>
      <c r="B407" s="9"/>
      <c r="C407" s="9"/>
      <c r="D407" s="9"/>
      <c r="E407" s="9"/>
      <c r="F407" s="9"/>
      <c r="G407" s="9"/>
      <c r="H407" s="64" t="str">
        <f aca="false">IF(OR(A407="",B407=""),"",CONCATENATE("https://matarstund.is/serfaedi?id=",LOWER(SUBSTITUTE(B407," ","-"))))</f>
        <v/>
      </c>
    </row>
    <row r="408" customFormat="false" ht="15" hidden="false" customHeight="true" outlineLevel="0" collapsed="false">
      <c r="A408" s="68"/>
      <c r="B408" s="68"/>
      <c r="C408" s="68"/>
      <c r="D408" s="68"/>
      <c r="E408" s="68"/>
      <c r="F408" s="68"/>
      <c r="G408" s="68"/>
      <c r="H408" s="64" t="str">
        <f aca="false">IF(OR(A408="",B408=""),"",CONCATENATE("https://matarstund.is/serfaedi?id=",LOWER(SUBSTITUTE(B408," ","-"))))</f>
        <v/>
      </c>
    </row>
    <row r="409" customFormat="false" ht="15" hidden="false" customHeight="true" outlineLevel="0" collapsed="false">
      <c r="A409" s="9"/>
      <c r="B409" s="9"/>
      <c r="C409" s="9"/>
      <c r="D409" s="9"/>
      <c r="E409" s="9"/>
      <c r="F409" s="9"/>
      <c r="G409" s="9"/>
      <c r="H409" s="64" t="str">
        <f aca="false">IF(OR(A409="",B409=""),"",CONCATENATE("https://matarstund.is/serfaedi?id=",LOWER(SUBSTITUTE(B409," ","-"))))</f>
        <v/>
      </c>
    </row>
    <row r="410" customFormat="false" ht="15" hidden="false" customHeight="true" outlineLevel="0" collapsed="false">
      <c r="A410" s="68"/>
      <c r="B410" s="68"/>
      <c r="C410" s="68"/>
      <c r="D410" s="68"/>
      <c r="E410" s="68"/>
      <c r="F410" s="68"/>
      <c r="G410" s="68"/>
      <c r="H410" s="64" t="str">
        <f aca="false">IF(OR(A410="",B410=""),"",CONCATENATE("https://matarstund.is/serfaedi?id=",LOWER(SUBSTITUTE(B410," ","-"))))</f>
        <v/>
      </c>
    </row>
    <row r="411" customFormat="false" ht="15" hidden="false" customHeight="true" outlineLevel="0" collapsed="false">
      <c r="A411" s="9"/>
      <c r="B411" s="9"/>
      <c r="C411" s="9"/>
      <c r="D411" s="9"/>
      <c r="E411" s="9"/>
      <c r="F411" s="9"/>
      <c r="G411" s="9"/>
      <c r="H411" s="64" t="str">
        <f aca="false">IF(OR(A411="",B411=""),"",CONCATENATE("https://matarstund.is/serfaedi?id=",LOWER(SUBSTITUTE(B411," ","-"))))</f>
        <v/>
      </c>
    </row>
    <row r="412" customFormat="false" ht="15" hidden="false" customHeight="true" outlineLevel="0" collapsed="false">
      <c r="A412" s="68"/>
      <c r="B412" s="68"/>
      <c r="C412" s="68"/>
      <c r="D412" s="68"/>
      <c r="E412" s="68"/>
      <c r="F412" s="68"/>
      <c r="G412" s="68"/>
      <c r="H412" s="64" t="str">
        <f aca="false">IF(OR(A412="",B412=""),"",CONCATENATE("https://matarstund.is/serfaedi?id=",LOWER(SUBSTITUTE(B412," ","-"))))</f>
        <v/>
      </c>
    </row>
    <row r="413" customFormat="false" ht="15" hidden="false" customHeight="true" outlineLevel="0" collapsed="false">
      <c r="A413" s="9"/>
      <c r="B413" s="9"/>
      <c r="C413" s="9"/>
      <c r="D413" s="9"/>
      <c r="E413" s="9"/>
      <c r="F413" s="9"/>
      <c r="G413" s="9"/>
      <c r="H413" s="64" t="str">
        <f aca="false">IF(OR(A413="",B413=""),"",CONCATENATE("https://matarstund.is/serfaedi?id=",LOWER(SUBSTITUTE(B413," ","-"))))</f>
        <v/>
      </c>
    </row>
    <row r="414" customFormat="false" ht="15" hidden="false" customHeight="true" outlineLevel="0" collapsed="false">
      <c r="A414" s="68"/>
      <c r="B414" s="68"/>
      <c r="C414" s="68"/>
      <c r="D414" s="68"/>
      <c r="E414" s="68"/>
      <c r="F414" s="68"/>
      <c r="G414" s="68"/>
      <c r="H414" s="64" t="str">
        <f aca="false">IF(OR(A414="",B414=""),"",CONCATENATE("https://matarstund.is/serfaedi?id=",LOWER(SUBSTITUTE(B414," ","-"))))</f>
        <v/>
      </c>
    </row>
    <row r="415" customFormat="false" ht="15" hidden="false" customHeight="true" outlineLevel="0" collapsed="false">
      <c r="A415" s="9"/>
      <c r="B415" s="9"/>
      <c r="C415" s="9"/>
      <c r="D415" s="9"/>
      <c r="E415" s="9"/>
      <c r="F415" s="9"/>
      <c r="G415" s="9"/>
      <c r="H415" s="64" t="str">
        <f aca="false">IF(OR(A415="",B415=""),"",CONCATENATE("https://matarstund.is/serfaedi?id=",LOWER(SUBSTITUTE(B415," ","-"))))</f>
        <v/>
      </c>
    </row>
    <row r="416" customFormat="false" ht="15" hidden="false" customHeight="true" outlineLevel="0" collapsed="false">
      <c r="A416" s="68"/>
      <c r="B416" s="68"/>
      <c r="C416" s="68"/>
      <c r="D416" s="68"/>
      <c r="E416" s="68"/>
      <c r="F416" s="68"/>
      <c r="G416" s="68"/>
      <c r="H416" s="64" t="str">
        <f aca="false">IF(OR(A416="",B416=""),"",CONCATENATE("https://matarstund.is/serfaedi?id=",LOWER(SUBSTITUTE(B416," ","-"))))</f>
        <v/>
      </c>
    </row>
    <row r="417" customFormat="false" ht="15" hidden="false" customHeight="true" outlineLevel="0" collapsed="false">
      <c r="A417" s="9"/>
      <c r="B417" s="9"/>
      <c r="C417" s="9"/>
      <c r="D417" s="9"/>
      <c r="E417" s="9"/>
      <c r="F417" s="9"/>
      <c r="G417" s="9"/>
      <c r="H417" s="64" t="str">
        <f aca="false">IF(OR(A417="",B417=""),"",CONCATENATE("https://matarstund.is/serfaedi?id=",LOWER(SUBSTITUTE(B417," ","-"))))</f>
        <v/>
      </c>
    </row>
    <row r="418" customFormat="false" ht="15" hidden="false" customHeight="true" outlineLevel="0" collapsed="false">
      <c r="A418" s="68"/>
      <c r="B418" s="68"/>
      <c r="C418" s="68"/>
      <c r="D418" s="68"/>
      <c r="E418" s="68"/>
      <c r="F418" s="68"/>
      <c r="G418" s="68"/>
      <c r="H418" s="64" t="str">
        <f aca="false">IF(OR(A418="",B418=""),"",CONCATENATE("https://matarstund.is/serfaedi?id=",LOWER(SUBSTITUTE(B418," ","-"))))</f>
        <v/>
      </c>
    </row>
    <row r="419" customFormat="false" ht="15" hidden="false" customHeight="true" outlineLevel="0" collapsed="false">
      <c r="A419" s="9"/>
      <c r="B419" s="9"/>
      <c r="C419" s="9"/>
      <c r="D419" s="9"/>
      <c r="E419" s="9"/>
      <c r="F419" s="9"/>
      <c r="G419" s="9"/>
      <c r="H419" s="64" t="str">
        <f aca="false">IF(OR(A419="",B419=""),"",CONCATENATE("https://matarstund.is/serfaedi?id=",LOWER(SUBSTITUTE(B419," ","-"))))</f>
        <v/>
      </c>
    </row>
    <row r="420" customFormat="false" ht="15" hidden="false" customHeight="true" outlineLevel="0" collapsed="false">
      <c r="A420" s="68"/>
      <c r="B420" s="68"/>
      <c r="C420" s="68"/>
      <c r="D420" s="68"/>
      <c r="E420" s="68"/>
      <c r="F420" s="68"/>
      <c r="G420" s="68"/>
      <c r="H420" s="64" t="str">
        <f aca="false">IF(OR(A420="",B420=""),"",CONCATENATE("https://matarstund.is/serfaedi?id=",LOWER(SUBSTITUTE(B420," ","-"))))</f>
        <v/>
      </c>
    </row>
    <row r="421" customFormat="false" ht="15" hidden="false" customHeight="true" outlineLevel="0" collapsed="false">
      <c r="A421" s="9"/>
      <c r="B421" s="9"/>
      <c r="C421" s="9"/>
      <c r="D421" s="9"/>
      <c r="E421" s="9"/>
      <c r="F421" s="9"/>
      <c r="G421" s="9"/>
      <c r="H421" s="64" t="str">
        <f aca="false">IF(OR(A421="",B421=""),"",CONCATENATE("https://matarstund.is/serfaedi?id=",LOWER(SUBSTITUTE(B421," ","-"))))</f>
        <v/>
      </c>
    </row>
    <row r="422" customFormat="false" ht="15" hidden="false" customHeight="true" outlineLevel="0" collapsed="false">
      <c r="A422" s="68"/>
      <c r="B422" s="68"/>
      <c r="C422" s="68"/>
      <c r="D422" s="68"/>
      <c r="E422" s="68"/>
      <c r="F422" s="68"/>
      <c r="G422" s="68"/>
      <c r="H422" s="64" t="str">
        <f aca="false">IF(OR(A422="",B422=""),"",CONCATENATE("https://matarstund.is/serfaedi?id=",LOWER(SUBSTITUTE(B422," ","-"))))</f>
        <v/>
      </c>
    </row>
    <row r="423" customFormat="false" ht="15" hidden="false" customHeight="true" outlineLevel="0" collapsed="false">
      <c r="A423" s="9"/>
      <c r="B423" s="9"/>
      <c r="C423" s="9"/>
      <c r="D423" s="9"/>
      <c r="E423" s="9"/>
      <c r="F423" s="9"/>
      <c r="G423" s="9"/>
      <c r="H423" s="64" t="str">
        <f aca="false">IF(OR(A423="",B423=""),"",CONCATENATE("https://matarstund.is/serfaedi?id=",LOWER(SUBSTITUTE(B423," ","-"))))</f>
        <v/>
      </c>
    </row>
    <row r="424" customFormat="false" ht="15" hidden="false" customHeight="true" outlineLevel="0" collapsed="false">
      <c r="A424" s="68"/>
      <c r="B424" s="68"/>
      <c r="C424" s="68"/>
      <c r="D424" s="68"/>
      <c r="E424" s="68"/>
      <c r="F424" s="68"/>
      <c r="G424" s="68"/>
      <c r="H424" s="64" t="str">
        <f aca="false">IF(OR(A424="",B424=""),"",CONCATENATE("https://matarstund.is/serfaedi?id=",LOWER(SUBSTITUTE(B424," ","-"))))</f>
        <v/>
      </c>
    </row>
    <row r="425" customFormat="false" ht="15" hidden="false" customHeight="true" outlineLevel="0" collapsed="false">
      <c r="A425" s="9"/>
      <c r="B425" s="9"/>
      <c r="C425" s="9"/>
      <c r="D425" s="9"/>
      <c r="E425" s="9"/>
      <c r="F425" s="9"/>
      <c r="G425" s="9"/>
      <c r="H425" s="64" t="str">
        <f aca="false">IF(OR(A425="",B425=""),"",CONCATENATE("https://matarstund.is/serfaedi?id=",LOWER(SUBSTITUTE(B425," ","-"))))</f>
        <v/>
      </c>
    </row>
    <row r="426" customFormat="false" ht="15" hidden="false" customHeight="true" outlineLevel="0" collapsed="false">
      <c r="A426" s="68"/>
      <c r="B426" s="68"/>
      <c r="C426" s="68"/>
      <c r="D426" s="68"/>
      <c r="E426" s="68"/>
      <c r="F426" s="68"/>
      <c r="G426" s="68"/>
      <c r="H426" s="64" t="str">
        <f aca="false">IF(OR(A426="",B426=""),"",CONCATENATE("https://matarstund.is/serfaedi?id=",LOWER(SUBSTITUTE(B426," ","-"))))</f>
        <v/>
      </c>
    </row>
    <row r="427" customFormat="false" ht="15" hidden="false" customHeight="true" outlineLevel="0" collapsed="false">
      <c r="A427" s="9"/>
      <c r="B427" s="9"/>
      <c r="C427" s="9"/>
      <c r="D427" s="9"/>
      <c r="E427" s="9"/>
      <c r="F427" s="9"/>
      <c r="G427" s="9"/>
      <c r="H427" s="64" t="str">
        <f aca="false">IF(OR(A427="",B427=""),"",CONCATENATE("https://matarstund.is/serfaedi?id=",LOWER(SUBSTITUTE(B427," ","-"))))</f>
        <v/>
      </c>
    </row>
    <row r="428" customFormat="false" ht="15" hidden="false" customHeight="true" outlineLevel="0" collapsed="false">
      <c r="A428" s="68"/>
      <c r="B428" s="68"/>
      <c r="C428" s="68"/>
      <c r="D428" s="68"/>
      <c r="E428" s="68"/>
      <c r="F428" s="68"/>
      <c r="G428" s="68"/>
      <c r="H428" s="64" t="str">
        <f aca="false">IF(OR(A428="",B428=""),"",CONCATENATE("https://matarstund.is/serfaedi?id=",LOWER(SUBSTITUTE(B428," ","-"))))</f>
        <v/>
      </c>
    </row>
    <row r="429" customFormat="false" ht="15" hidden="false" customHeight="true" outlineLevel="0" collapsed="false">
      <c r="A429" s="9"/>
      <c r="B429" s="9"/>
      <c r="C429" s="9"/>
      <c r="D429" s="9"/>
      <c r="E429" s="9"/>
      <c r="F429" s="9"/>
      <c r="G429" s="9"/>
      <c r="H429" s="64" t="str">
        <f aca="false">IF(OR(A429="",B429=""),"",CONCATENATE("https://matarstund.is/serfaedi?id=",LOWER(SUBSTITUTE(B429," ","-"))))</f>
        <v/>
      </c>
    </row>
    <row r="430" customFormat="false" ht="15" hidden="false" customHeight="true" outlineLevel="0" collapsed="false">
      <c r="A430" s="68"/>
      <c r="B430" s="68"/>
      <c r="C430" s="68"/>
      <c r="D430" s="68"/>
      <c r="E430" s="68"/>
      <c r="F430" s="68"/>
      <c r="G430" s="68"/>
      <c r="H430" s="64" t="str">
        <f aca="false">IF(OR(A430="",B430=""),"",CONCATENATE("https://matarstund.is/serfaedi?id=",LOWER(SUBSTITUTE(B430," ","-"))))</f>
        <v/>
      </c>
    </row>
    <row r="431" customFormat="false" ht="15" hidden="false" customHeight="true" outlineLevel="0" collapsed="false">
      <c r="A431" s="9"/>
      <c r="B431" s="9"/>
      <c r="C431" s="9"/>
      <c r="D431" s="9"/>
      <c r="E431" s="9"/>
      <c r="F431" s="9"/>
      <c r="G431" s="9"/>
      <c r="H431" s="64" t="str">
        <f aca="false">IF(OR(A431="",B431=""),"",CONCATENATE("https://matarstund.is/serfaedi?id=",LOWER(SUBSTITUTE(B431," ","-"))))</f>
        <v/>
      </c>
    </row>
    <row r="432" customFormat="false" ht="15" hidden="false" customHeight="true" outlineLevel="0" collapsed="false">
      <c r="A432" s="68"/>
      <c r="B432" s="68"/>
      <c r="C432" s="68"/>
      <c r="D432" s="68"/>
      <c r="E432" s="68"/>
      <c r="F432" s="68"/>
      <c r="G432" s="68"/>
      <c r="H432" s="64" t="str">
        <f aca="false">IF(OR(A432="",B432=""),"",CONCATENATE("https://matarstund.is/serfaedi?id=",LOWER(SUBSTITUTE(B432," ","-"))))</f>
        <v/>
      </c>
    </row>
    <row r="433" customFormat="false" ht="15" hidden="false" customHeight="true" outlineLevel="0" collapsed="false">
      <c r="A433" s="9"/>
      <c r="B433" s="9"/>
      <c r="C433" s="9"/>
      <c r="D433" s="9"/>
      <c r="E433" s="9"/>
      <c r="F433" s="9"/>
      <c r="G433" s="9"/>
      <c r="H433" s="64" t="str">
        <f aca="false">IF(OR(A433="",B433=""),"",CONCATENATE("https://matarstund.is/serfaedi?id=",LOWER(SUBSTITUTE(B433," ","-"))))</f>
        <v/>
      </c>
    </row>
    <row r="434" customFormat="false" ht="15" hidden="false" customHeight="true" outlineLevel="0" collapsed="false">
      <c r="A434" s="68"/>
      <c r="B434" s="68"/>
      <c r="C434" s="68"/>
      <c r="D434" s="68"/>
      <c r="E434" s="68"/>
      <c r="F434" s="68"/>
      <c r="G434" s="68"/>
      <c r="H434" s="64" t="str">
        <f aca="false">IF(OR(A434="",B434=""),"",CONCATENATE("https://matarstund.is/serfaedi?id=",LOWER(SUBSTITUTE(B434," ","-"))))</f>
        <v/>
      </c>
    </row>
    <row r="435" customFormat="false" ht="15" hidden="false" customHeight="true" outlineLevel="0" collapsed="false">
      <c r="A435" s="9"/>
      <c r="B435" s="9"/>
      <c r="C435" s="9"/>
      <c r="D435" s="9"/>
      <c r="E435" s="9"/>
      <c r="F435" s="9"/>
      <c r="G435" s="9"/>
      <c r="H435" s="64" t="str">
        <f aca="false">IF(OR(A435="",B435=""),"",CONCATENATE("https://matarstund.is/serfaedi?id=",LOWER(SUBSTITUTE(B435," ","-"))))</f>
        <v/>
      </c>
    </row>
    <row r="436" customFormat="false" ht="15" hidden="false" customHeight="true" outlineLevel="0" collapsed="false">
      <c r="A436" s="68"/>
      <c r="B436" s="68"/>
      <c r="C436" s="68"/>
      <c r="D436" s="68"/>
      <c r="E436" s="68"/>
      <c r="F436" s="68"/>
      <c r="G436" s="68"/>
      <c r="H436" s="64" t="str">
        <f aca="false">IF(OR(A436="",B436=""),"",CONCATENATE("https://matarstund.is/serfaedi?id=",LOWER(SUBSTITUTE(B436," ","-"))))</f>
        <v/>
      </c>
    </row>
    <row r="437" customFormat="false" ht="15" hidden="false" customHeight="true" outlineLevel="0" collapsed="false">
      <c r="A437" s="9"/>
      <c r="B437" s="9"/>
      <c r="C437" s="9"/>
      <c r="D437" s="9"/>
      <c r="E437" s="9"/>
      <c r="F437" s="9"/>
      <c r="G437" s="9"/>
      <c r="H437" s="64" t="str">
        <f aca="false">IF(OR(A437="",B437=""),"",CONCATENATE("https://matarstund.is/serfaedi?id=",LOWER(SUBSTITUTE(B437," ","-"))))</f>
        <v/>
      </c>
    </row>
    <row r="438" customFormat="false" ht="15" hidden="false" customHeight="true" outlineLevel="0" collapsed="false">
      <c r="A438" s="68"/>
      <c r="B438" s="68"/>
      <c r="C438" s="68"/>
      <c r="D438" s="68"/>
      <c r="E438" s="68"/>
      <c r="F438" s="68"/>
      <c r="G438" s="68"/>
      <c r="H438" s="64" t="str">
        <f aca="false">IF(OR(A438="",B438=""),"",CONCATENATE("https://matarstund.is/serfaedi?id=",LOWER(SUBSTITUTE(B438," ","-"))))</f>
        <v/>
      </c>
    </row>
    <row r="439" customFormat="false" ht="15" hidden="false" customHeight="true" outlineLevel="0" collapsed="false">
      <c r="A439" s="9"/>
      <c r="B439" s="9"/>
      <c r="C439" s="9"/>
      <c r="D439" s="9"/>
      <c r="E439" s="9"/>
      <c r="F439" s="9"/>
      <c r="G439" s="9"/>
      <c r="H439" s="64" t="str">
        <f aca="false">IF(OR(A439="",B439=""),"",CONCATENATE("https://matarstund.is/serfaedi?id=",LOWER(SUBSTITUTE(B439," ","-"))))</f>
        <v/>
      </c>
    </row>
    <row r="440" customFormat="false" ht="15" hidden="false" customHeight="true" outlineLevel="0" collapsed="false">
      <c r="A440" s="68"/>
      <c r="B440" s="68"/>
      <c r="C440" s="68"/>
      <c r="D440" s="68"/>
      <c r="E440" s="68"/>
      <c r="F440" s="68"/>
      <c r="G440" s="68"/>
      <c r="H440" s="64" t="str">
        <f aca="false">IF(OR(A440="",B440=""),"",CONCATENATE("https://matarstund.is/serfaedi?id=",LOWER(SUBSTITUTE(B440," ","-"))))</f>
        <v/>
      </c>
    </row>
    <row r="441" customFormat="false" ht="15" hidden="false" customHeight="true" outlineLevel="0" collapsed="false">
      <c r="A441" s="9"/>
      <c r="B441" s="9"/>
      <c r="C441" s="9"/>
      <c r="D441" s="9"/>
      <c r="E441" s="9"/>
      <c r="F441" s="9"/>
      <c r="G441" s="9"/>
      <c r="H441" s="64" t="str">
        <f aca="false">IF(OR(A441="",B441=""),"",CONCATENATE("https://matarstund.is/serfaedi?id=",LOWER(SUBSTITUTE(B441," ","-"))))</f>
        <v/>
      </c>
    </row>
    <row r="442" customFormat="false" ht="15" hidden="false" customHeight="true" outlineLevel="0" collapsed="false">
      <c r="A442" s="68"/>
      <c r="B442" s="68"/>
      <c r="C442" s="68"/>
      <c r="D442" s="68"/>
      <c r="E442" s="68"/>
      <c r="F442" s="68"/>
      <c r="G442" s="68"/>
      <c r="H442" s="64" t="str">
        <f aca="false">IF(OR(A442="",B442=""),"",CONCATENATE("https://matarstund.is/serfaedi?id=",LOWER(SUBSTITUTE(B442," ","-"))))</f>
        <v/>
      </c>
    </row>
    <row r="443" customFormat="false" ht="15" hidden="false" customHeight="true" outlineLevel="0" collapsed="false">
      <c r="A443" s="9"/>
      <c r="B443" s="9"/>
      <c r="C443" s="9"/>
      <c r="D443" s="9"/>
      <c r="E443" s="9"/>
      <c r="F443" s="9"/>
      <c r="G443" s="9"/>
      <c r="H443" s="64" t="str">
        <f aca="false">IF(OR(A443="",B443=""),"",CONCATENATE("https://matarstund.is/serfaedi?id=",LOWER(SUBSTITUTE(B443," ","-"))))</f>
        <v/>
      </c>
    </row>
    <row r="444" customFormat="false" ht="15" hidden="false" customHeight="true" outlineLevel="0" collapsed="false">
      <c r="A444" s="68"/>
      <c r="B444" s="68"/>
      <c r="C444" s="68"/>
      <c r="D444" s="68"/>
      <c r="E444" s="68"/>
      <c r="F444" s="68"/>
      <c r="G444" s="68"/>
      <c r="H444" s="64" t="str">
        <f aca="false">IF(OR(A444="",B444=""),"",CONCATENATE("https://matarstund.is/serfaedi?id=",LOWER(SUBSTITUTE(B444," ","-"))))</f>
        <v/>
      </c>
    </row>
    <row r="445" customFormat="false" ht="15" hidden="false" customHeight="true" outlineLevel="0" collapsed="false">
      <c r="A445" s="9"/>
      <c r="B445" s="9"/>
      <c r="C445" s="9"/>
      <c r="D445" s="9"/>
      <c r="E445" s="9"/>
      <c r="F445" s="9"/>
      <c r="G445" s="9"/>
      <c r="H445" s="64" t="str">
        <f aca="false">IF(OR(A445="",B445=""),"",CONCATENATE("https://matarstund.is/serfaedi?id=",LOWER(SUBSTITUTE(B445," ","-"))))</f>
        <v/>
      </c>
    </row>
    <row r="446" customFormat="false" ht="15" hidden="false" customHeight="true" outlineLevel="0" collapsed="false">
      <c r="A446" s="68"/>
      <c r="B446" s="68"/>
      <c r="C446" s="68"/>
      <c r="D446" s="68"/>
      <c r="E446" s="68"/>
      <c r="F446" s="68"/>
      <c r="G446" s="68"/>
      <c r="H446" s="64" t="str">
        <f aca="false">IF(OR(A446="",B446=""),"",CONCATENATE("https://matarstund.is/serfaedi?id=",LOWER(SUBSTITUTE(B446," ","-"))))</f>
        <v/>
      </c>
    </row>
    <row r="447" customFormat="false" ht="15" hidden="false" customHeight="true" outlineLevel="0" collapsed="false">
      <c r="A447" s="9"/>
      <c r="B447" s="9"/>
      <c r="C447" s="9"/>
      <c r="D447" s="9"/>
      <c r="E447" s="9"/>
      <c r="F447" s="9"/>
      <c r="G447" s="9"/>
      <c r="H447" s="64" t="str">
        <f aca="false">IF(OR(A447="",B447=""),"",CONCATENATE("https://matarstund.is/serfaedi?id=",LOWER(SUBSTITUTE(B447," ","-"))))</f>
        <v/>
      </c>
    </row>
    <row r="448" customFormat="false" ht="15" hidden="false" customHeight="true" outlineLevel="0" collapsed="false">
      <c r="A448" s="68"/>
      <c r="B448" s="68"/>
      <c r="C448" s="68"/>
      <c r="D448" s="68"/>
      <c r="E448" s="68"/>
      <c r="F448" s="68"/>
      <c r="G448" s="68"/>
      <c r="H448" s="64" t="str">
        <f aca="false">IF(OR(A448="",B448=""),"",CONCATENATE("https://matarstund.is/serfaedi?id=",LOWER(SUBSTITUTE(B448," ","-"))))</f>
        <v/>
      </c>
    </row>
    <row r="449" customFormat="false" ht="15" hidden="false" customHeight="true" outlineLevel="0" collapsed="false">
      <c r="A449" s="9"/>
      <c r="B449" s="9"/>
      <c r="C449" s="9"/>
      <c r="D449" s="9"/>
      <c r="E449" s="9"/>
      <c r="F449" s="9"/>
      <c r="G449" s="9"/>
      <c r="H449" s="64" t="str">
        <f aca="false">IF(OR(A449="",B449=""),"",CONCATENATE("https://matarstund.is/serfaedi?id=",LOWER(SUBSTITUTE(B449," ","-"))))</f>
        <v/>
      </c>
    </row>
    <row r="450" customFormat="false" ht="15" hidden="false" customHeight="true" outlineLevel="0" collapsed="false">
      <c r="A450" s="68"/>
      <c r="B450" s="68"/>
      <c r="C450" s="68"/>
      <c r="D450" s="68"/>
      <c r="E450" s="68"/>
      <c r="F450" s="68"/>
      <c r="G450" s="68"/>
      <c r="H450" s="64" t="str">
        <f aca="false">IF(OR(A450="",B450=""),"",CONCATENATE("https://matarstund.is/serfaedi?id=",LOWER(SUBSTITUTE(B450," ","-"))))</f>
        <v/>
      </c>
    </row>
    <row r="451" customFormat="false" ht="15" hidden="false" customHeight="true" outlineLevel="0" collapsed="false">
      <c r="A451" s="9"/>
      <c r="B451" s="9"/>
      <c r="C451" s="9"/>
      <c r="D451" s="9"/>
      <c r="E451" s="9"/>
      <c r="F451" s="9"/>
      <c r="G451" s="9"/>
      <c r="H451" s="64" t="str">
        <f aca="false">IF(OR(A451="",B451=""),"",CONCATENATE("https://matarstund.is/serfaedi?id=",LOWER(SUBSTITUTE(B451," ","-"))))</f>
        <v/>
      </c>
    </row>
    <row r="452" customFormat="false" ht="15" hidden="false" customHeight="true" outlineLevel="0" collapsed="false">
      <c r="A452" s="68"/>
      <c r="B452" s="68"/>
      <c r="C452" s="68"/>
      <c r="D452" s="68"/>
      <c r="E452" s="68"/>
      <c r="F452" s="68"/>
      <c r="G452" s="68"/>
      <c r="H452" s="64" t="str">
        <f aca="false">IF(OR(A452="",B452=""),"",CONCATENATE("https://matarstund.is/serfaedi?id=",LOWER(SUBSTITUTE(B452," ","-"))))</f>
        <v/>
      </c>
    </row>
    <row r="453" customFormat="false" ht="15" hidden="false" customHeight="true" outlineLevel="0" collapsed="false">
      <c r="A453" s="9"/>
      <c r="B453" s="9"/>
      <c r="C453" s="9"/>
      <c r="D453" s="9"/>
      <c r="E453" s="9"/>
      <c r="F453" s="9"/>
      <c r="G453" s="9"/>
      <c r="H453" s="64" t="str">
        <f aca="false">IF(OR(A453="",B453=""),"",CONCATENATE("https://matarstund.is/serfaedi?id=",LOWER(SUBSTITUTE(B453," ","-"))))</f>
        <v/>
      </c>
    </row>
    <row r="454" customFormat="false" ht="15" hidden="false" customHeight="true" outlineLevel="0" collapsed="false">
      <c r="A454" s="68"/>
      <c r="B454" s="68"/>
      <c r="C454" s="68"/>
      <c r="D454" s="68"/>
      <c r="E454" s="68"/>
      <c r="F454" s="68"/>
      <c r="G454" s="68"/>
      <c r="H454" s="64" t="str">
        <f aca="false">IF(OR(A454="",B454=""),"",CONCATENATE("https://matarstund.is/serfaedi?id=",LOWER(SUBSTITUTE(B454," ","-"))))</f>
        <v/>
      </c>
    </row>
    <row r="455" customFormat="false" ht="15" hidden="false" customHeight="true" outlineLevel="0" collapsed="false">
      <c r="A455" s="9"/>
      <c r="B455" s="9"/>
      <c r="C455" s="9"/>
      <c r="D455" s="9"/>
      <c r="E455" s="9"/>
      <c r="F455" s="9"/>
      <c r="G455" s="9"/>
      <c r="H455" s="64" t="str">
        <f aca="false">IF(OR(A455="",B455=""),"",CONCATENATE("https://matarstund.is/serfaedi?id=",LOWER(SUBSTITUTE(B455," ","-"))))</f>
        <v/>
      </c>
    </row>
    <row r="456" customFormat="false" ht="15" hidden="false" customHeight="true" outlineLevel="0" collapsed="false">
      <c r="A456" s="68"/>
      <c r="B456" s="68"/>
      <c r="C456" s="68"/>
      <c r="D456" s="68"/>
      <c r="E456" s="68"/>
      <c r="F456" s="68"/>
      <c r="G456" s="68"/>
      <c r="H456" s="64" t="str">
        <f aca="false">IF(OR(A456="",B456=""),"",CONCATENATE("https://matarstund.is/serfaedi?id=",LOWER(SUBSTITUTE(B456," ","-"))))</f>
        <v/>
      </c>
    </row>
    <row r="457" customFormat="false" ht="15" hidden="false" customHeight="true" outlineLevel="0" collapsed="false">
      <c r="A457" s="9"/>
      <c r="B457" s="9"/>
      <c r="C457" s="9"/>
      <c r="D457" s="9"/>
      <c r="E457" s="9"/>
      <c r="F457" s="9"/>
      <c r="G457" s="9"/>
      <c r="H457" s="64" t="str">
        <f aca="false">IF(OR(A457="",B457=""),"",CONCATENATE("https://matarstund.is/serfaedi?id=",LOWER(SUBSTITUTE(B457," ","-"))))</f>
        <v/>
      </c>
    </row>
    <row r="458" customFormat="false" ht="15" hidden="false" customHeight="true" outlineLevel="0" collapsed="false">
      <c r="A458" s="68"/>
      <c r="B458" s="68"/>
      <c r="C458" s="68"/>
      <c r="D458" s="68"/>
      <c r="E458" s="68"/>
      <c r="F458" s="68"/>
      <c r="G458" s="68"/>
      <c r="H458" s="64" t="str">
        <f aca="false">IF(OR(A458="",B458=""),"",CONCATENATE("https://matarstund.is/serfaedi?id=",LOWER(SUBSTITUTE(B458," ","-"))))</f>
        <v/>
      </c>
    </row>
    <row r="459" customFormat="false" ht="15" hidden="false" customHeight="true" outlineLevel="0" collapsed="false">
      <c r="A459" s="9"/>
      <c r="B459" s="9"/>
      <c r="C459" s="9"/>
      <c r="D459" s="9"/>
      <c r="E459" s="9"/>
      <c r="F459" s="9"/>
      <c r="G459" s="9"/>
      <c r="H459" s="64" t="str">
        <f aca="false">IF(OR(A459="",B459=""),"",CONCATENATE("https://matarstund.is/serfaedi?id=",LOWER(SUBSTITUTE(B459," ","-"))))</f>
        <v/>
      </c>
    </row>
    <row r="460" customFormat="false" ht="15" hidden="false" customHeight="true" outlineLevel="0" collapsed="false">
      <c r="A460" s="68"/>
      <c r="B460" s="68"/>
      <c r="C460" s="68"/>
      <c r="D460" s="68"/>
      <c r="E460" s="68"/>
      <c r="F460" s="68"/>
      <c r="G460" s="68"/>
      <c r="H460" s="64" t="str">
        <f aca="false">IF(OR(A460="",B460=""),"",CONCATENATE("https://matarstund.is/serfaedi?id=",LOWER(SUBSTITUTE(B460," ","-"))))</f>
        <v/>
      </c>
    </row>
    <row r="461" customFormat="false" ht="15" hidden="false" customHeight="true" outlineLevel="0" collapsed="false">
      <c r="A461" s="9"/>
      <c r="B461" s="9"/>
      <c r="C461" s="9"/>
      <c r="D461" s="9"/>
      <c r="E461" s="9"/>
      <c r="F461" s="9"/>
      <c r="G461" s="9"/>
      <c r="H461" s="64" t="str">
        <f aca="false">IF(OR(A461="",B461=""),"",CONCATENATE("https://matarstund.is/serfaedi?id=",LOWER(SUBSTITUTE(B461," ","-"))))</f>
        <v/>
      </c>
    </row>
    <row r="462" customFormat="false" ht="15" hidden="false" customHeight="true" outlineLevel="0" collapsed="false">
      <c r="A462" s="68"/>
      <c r="B462" s="68"/>
      <c r="C462" s="68"/>
      <c r="D462" s="68"/>
      <c r="E462" s="68"/>
      <c r="F462" s="68"/>
      <c r="G462" s="68"/>
      <c r="H462" s="64" t="str">
        <f aca="false">IF(OR(A462="",B462=""),"",CONCATENATE("https://matarstund.is/serfaedi?id=",LOWER(SUBSTITUTE(B462," ","-"))))</f>
        <v/>
      </c>
    </row>
    <row r="463" customFormat="false" ht="15" hidden="false" customHeight="true" outlineLevel="0" collapsed="false">
      <c r="A463" s="9"/>
      <c r="B463" s="9"/>
      <c r="C463" s="9"/>
      <c r="D463" s="9"/>
      <c r="E463" s="9"/>
      <c r="F463" s="9"/>
      <c r="G463" s="9"/>
      <c r="H463" s="64" t="str">
        <f aca="false">IF(OR(A463="",B463=""),"",CONCATENATE("https://matarstund.is/serfaedi?id=",LOWER(SUBSTITUTE(B463," ","-"))))</f>
        <v/>
      </c>
    </row>
    <row r="464" customFormat="false" ht="15" hidden="false" customHeight="true" outlineLevel="0" collapsed="false">
      <c r="A464" s="68"/>
      <c r="B464" s="68"/>
      <c r="C464" s="68"/>
      <c r="D464" s="68"/>
      <c r="E464" s="68"/>
      <c r="F464" s="68"/>
      <c r="G464" s="68"/>
      <c r="H464" s="64" t="str">
        <f aca="false">IF(OR(A464="",B464=""),"",CONCATENATE("https://matarstund.is/serfaedi?id=",LOWER(SUBSTITUTE(B464," ","-"))))</f>
        <v/>
      </c>
    </row>
    <row r="465" customFormat="false" ht="15" hidden="false" customHeight="true" outlineLevel="0" collapsed="false">
      <c r="A465" s="9"/>
      <c r="B465" s="9"/>
      <c r="C465" s="9"/>
      <c r="D465" s="9"/>
      <c r="E465" s="9"/>
      <c r="F465" s="9"/>
      <c r="G465" s="9"/>
      <c r="H465" s="64" t="str">
        <f aca="false">IF(OR(A465="",B465=""),"",CONCATENATE("https://matarstund.is/serfaedi?id=",LOWER(SUBSTITUTE(B465," ","-"))))</f>
        <v/>
      </c>
    </row>
    <row r="466" customFormat="false" ht="15" hidden="false" customHeight="true" outlineLevel="0" collapsed="false">
      <c r="A466" s="68"/>
      <c r="B466" s="68"/>
      <c r="C466" s="68"/>
      <c r="D466" s="68"/>
      <c r="E466" s="68"/>
      <c r="F466" s="68"/>
      <c r="G466" s="68"/>
      <c r="H466" s="64" t="str">
        <f aca="false">IF(OR(A466="",B466=""),"",CONCATENATE("https://matarstund.is/serfaedi?id=",LOWER(SUBSTITUTE(B466," ","-"))))</f>
        <v/>
      </c>
    </row>
    <row r="467" customFormat="false" ht="15" hidden="false" customHeight="true" outlineLevel="0" collapsed="false">
      <c r="A467" s="9"/>
      <c r="B467" s="9"/>
      <c r="C467" s="9"/>
      <c r="D467" s="9"/>
      <c r="E467" s="9"/>
      <c r="F467" s="9"/>
      <c r="G467" s="9"/>
      <c r="H467" s="64" t="str">
        <f aca="false">IF(OR(A467="",B467=""),"",CONCATENATE("https://matarstund.is/serfaedi?id=",LOWER(SUBSTITUTE(B467," ","-"))))</f>
        <v/>
      </c>
    </row>
    <row r="468" customFormat="false" ht="15" hidden="false" customHeight="true" outlineLevel="0" collapsed="false">
      <c r="A468" s="68"/>
      <c r="B468" s="68"/>
      <c r="C468" s="68"/>
      <c r="D468" s="68"/>
      <c r="E468" s="68"/>
      <c r="F468" s="68"/>
      <c r="G468" s="68"/>
      <c r="H468" s="64" t="str">
        <f aca="false">IF(OR(A468="",B468=""),"",CONCATENATE("https://matarstund.is/serfaedi?id=",LOWER(SUBSTITUTE(B468," ","-"))))</f>
        <v/>
      </c>
    </row>
    <row r="469" customFormat="false" ht="15" hidden="false" customHeight="true" outlineLevel="0" collapsed="false">
      <c r="A469" s="9"/>
      <c r="B469" s="9"/>
      <c r="C469" s="9"/>
      <c r="D469" s="9"/>
      <c r="E469" s="9"/>
      <c r="F469" s="9"/>
      <c r="G469" s="9"/>
      <c r="H469" s="64" t="str">
        <f aca="false">IF(OR(A469="",B469=""),"",CONCATENATE("https://matarstund.is/serfaedi?id=",LOWER(SUBSTITUTE(B469," ","-"))))</f>
        <v/>
      </c>
    </row>
    <row r="470" customFormat="false" ht="15" hidden="false" customHeight="true" outlineLevel="0" collapsed="false">
      <c r="A470" s="68"/>
      <c r="B470" s="68"/>
      <c r="C470" s="68"/>
      <c r="D470" s="68"/>
      <c r="E470" s="68"/>
      <c r="F470" s="68"/>
      <c r="G470" s="68"/>
      <c r="H470" s="64" t="str">
        <f aca="false">IF(OR(A470="",B470=""),"",CONCATENATE("https://matarstund.is/serfaedi?id=",LOWER(SUBSTITUTE(B470," ","-"))))</f>
        <v/>
      </c>
    </row>
    <row r="471" customFormat="false" ht="15" hidden="false" customHeight="true" outlineLevel="0" collapsed="false">
      <c r="A471" s="9"/>
      <c r="B471" s="9"/>
      <c r="C471" s="9"/>
      <c r="D471" s="9"/>
      <c r="E471" s="9"/>
      <c r="F471" s="9"/>
      <c r="G471" s="9"/>
      <c r="H471" s="64" t="str">
        <f aca="false">IF(OR(A471="",B471=""),"",CONCATENATE("https://matarstund.is/serfaedi?id=",LOWER(SUBSTITUTE(B471," ","-"))))</f>
        <v/>
      </c>
    </row>
    <row r="472" customFormat="false" ht="15" hidden="false" customHeight="true" outlineLevel="0" collapsed="false">
      <c r="A472" s="68"/>
      <c r="B472" s="68"/>
      <c r="C472" s="68"/>
      <c r="D472" s="68"/>
      <c r="E472" s="68"/>
      <c r="F472" s="68"/>
      <c r="G472" s="68"/>
      <c r="H472" s="64" t="str">
        <f aca="false">IF(OR(A472="",B472=""),"",CONCATENATE("https://matarstund.is/serfaedi?id=",LOWER(SUBSTITUTE(B472," ","-"))))</f>
        <v/>
      </c>
    </row>
    <row r="473" customFormat="false" ht="15" hidden="false" customHeight="true" outlineLevel="0" collapsed="false">
      <c r="A473" s="9"/>
      <c r="B473" s="9"/>
      <c r="C473" s="9"/>
      <c r="D473" s="9"/>
      <c r="E473" s="9"/>
      <c r="F473" s="9"/>
      <c r="G473" s="9"/>
      <c r="H473" s="64" t="str">
        <f aca="false">IF(OR(A473="",B473=""),"",CONCATENATE("https://matarstund.is/serfaedi?id=",LOWER(SUBSTITUTE(B473," ","-"))))</f>
        <v/>
      </c>
    </row>
    <row r="474" customFormat="false" ht="15" hidden="false" customHeight="true" outlineLevel="0" collapsed="false">
      <c r="A474" s="68"/>
      <c r="B474" s="68"/>
      <c r="C474" s="68"/>
      <c r="D474" s="68"/>
      <c r="E474" s="68"/>
      <c r="F474" s="68"/>
      <c r="G474" s="68"/>
      <c r="H474" s="64" t="str">
        <f aca="false">IF(OR(A474="",B474=""),"",CONCATENATE("https://matarstund.is/serfaedi?id=",LOWER(SUBSTITUTE(B474," ","-"))))</f>
        <v/>
      </c>
    </row>
    <row r="475" customFormat="false" ht="15" hidden="false" customHeight="true" outlineLevel="0" collapsed="false">
      <c r="A475" s="9"/>
      <c r="B475" s="9"/>
      <c r="C475" s="9"/>
      <c r="D475" s="9"/>
      <c r="E475" s="9"/>
      <c r="F475" s="9"/>
      <c r="G475" s="9"/>
      <c r="H475" s="64" t="str">
        <f aca="false">IF(OR(A475="",B475=""),"",CONCATENATE("https://matarstund.is/serfaedi?id=",LOWER(SUBSTITUTE(B475," ","-"))))</f>
        <v/>
      </c>
    </row>
    <row r="476" customFormat="false" ht="15" hidden="false" customHeight="true" outlineLevel="0" collapsed="false">
      <c r="A476" s="68"/>
      <c r="B476" s="68"/>
      <c r="C476" s="68"/>
      <c r="D476" s="68"/>
      <c r="E476" s="68"/>
      <c r="F476" s="68"/>
      <c r="G476" s="68"/>
      <c r="H476" s="64" t="str">
        <f aca="false">IF(OR(A476="",B476=""),"",CONCATENATE("https://matarstund.is/serfaedi?id=",LOWER(SUBSTITUTE(B476," ","-"))))</f>
        <v/>
      </c>
    </row>
    <row r="477" customFormat="false" ht="15" hidden="false" customHeight="true" outlineLevel="0" collapsed="false">
      <c r="A477" s="9"/>
      <c r="B477" s="9"/>
      <c r="C477" s="9"/>
      <c r="D477" s="9"/>
      <c r="E477" s="9"/>
      <c r="F477" s="9"/>
      <c r="G477" s="9"/>
      <c r="H477" s="64" t="str">
        <f aca="false">IF(OR(A477="",B477=""),"",CONCATENATE("https://matarstund.is/serfaedi?id=",LOWER(SUBSTITUTE(B477," ","-"))))</f>
        <v/>
      </c>
    </row>
    <row r="478" customFormat="false" ht="15" hidden="false" customHeight="true" outlineLevel="0" collapsed="false">
      <c r="A478" s="68"/>
      <c r="B478" s="68"/>
      <c r="C478" s="68"/>
      <c r="D478" s="68"/>
      <c r="E478" s="68"/>
      <c r="F478" s="68"/>
      <c r="G478" s="68"/>
      <c r="H478" s="64" t="str">
        <f aca="false">IF(OR(A478="",B478=""),"",CONCATENATE("https://matarstund.is/serfaedi?id=",LOWER(SUBSTITUTE(B478," ","-"))))</f>
        <v/>
      </c>
    </row>
    <row r="479" customFormat="false" ht="15" hidden="false" customHeight="true" outlineLevel="0" collapsed="false">
      <c r="A479" s="9"/>
      <c r="B479" s="9"/>
      <c r="C479" s="9"/>
      <c r="D479" s="9"/>
      <c r="E479" s="9"/>
      <c r="F479" s="9"/>
      <c r="G479" s="9"/>
      <c r="H479" s="64" t="str">
        <f aca="false">IF(OR(A479="",B479=""),"",CONCATENATE("https://matarstund.is/serfaedi?id=",LOWER(SUBSTITUTE(B479," ","-"))))</f>
        <v/>
      </c>
    </row>
    <row r="480" customFormat="false" ht="15" hidden="false" customHeight="true" outlineLevel="0" collapsed="false">
      <c r="A480" s="68"/>
      <c r="B480" s="68"/>
      <c r="C480" s="68"/>
      <c r="D480" s="68"/>
      <c r="E480" s="68"/>
      <c r="F480" s="68"/>
      <c r="G480" s="68"/>
      <c r="H480" s="64" t="str">
        <f aca="false">IF(OR(A480="",B480=""),"",CONCATENATE("https://matarstund.is/serfaedi?id=",LOWER(SUBSTITUTE(B480," ","-"))))</f>
        <v/>
      </c>
    </row>
    <row r="481" customFormat="false" ht="15" hidden="false" customHeight="true" outlineLevel="0" collapsed="false">
      <c r="A481" s="9"/>
      <c r="B481" s="9"/>
      <c r="C481" s="9"/>
      <c r="D481" s="9"/>
      <c r="E481" s="9"/>
      <c r="F481" s="9"/>
      <c r="G481" s="9"/>
      <c r="H481" s="64" t="str">
        <f aca="false">IF(OR(A481="",B481=""),"",CONCATENATE("https://matarstund.is/serfaedi?id=",LOWER(SUBSTITUTE(B481," ","-"))))</f>
        <v/>
      </c>
    </row>
    <row r="482" customFormat="false" ht="15" hidden="false" customHeight="true" outlineLevel="0" collapsed="false">
      <c r="A482" s="68"/>
      <c r="B482" s="68"/>
      <c r="C482" s="68"/>
      <c r="D482" s="68"/>
      <c r="E482" s="68"/>
      <c r="F482" s="68"/>
      <c r="G482" s="68"/>
      <c r="H482" s="64" t="str">
        <f aca="false">IF(OR(A482="",B482=""),"",CONCATENATE("https://matarstund.is/serfaedi?id=",LOWER(SUBSTITUTE(B482," ","-"))))</f>
        <v/>
      </c>
    </row>
    <row r="483" customFormat="false" ht="15" hidden="false" customHeight="true" outlineLevel="0" collapsed="false">
      <c r="A483" s="9"/>
      <c r="B483" s="9"/>
      <c r="C483" s="9"/>
      <c r="D483" s="9"/>
      <c r="E483" s="9"/>
      <c r="F483" s="9"/>
      <c r="G483" s="9"/>
      <c r="H483" s="64" t="str">
        <f aca="false">IF(OR(A483="",B483=""),"",CONCATENATE("https://matarstund.is/serfaedi?id=",LOWER(SUBSTITUTE(B483," ","-"))))</f>
        <v/>
      </c>
    </row>
    <row r="484" customFormat="false" ht="15" hidden="false" customHeight="true" outlineLevel="0" collapsed="false">
      <c r="A484" s="68"/>
      <c r="B484" s="68"/>
      <c r="C484" s="68"/>
      <c r="D484" s="68"/>
      <c r="E484" s="68"/>
      <c r="F484" s="68"/>
      <c r="G484" s="68"/>
      <c r="H484" s="64" t="str">
        <f aca="false">IF(OR(A484="",B484=""),"",CONCATENATE("https://matarstund.is/serfaedi?id=",LOWER(SUBSTITUTE(B484," ","-"))))</f>
        <v/>
      </c>
    </row>
    <row r="485" customFormat="false" ht="15" hidden="false" customHeight="true" outlineLevel="0" collapsed="false">
      <c r="A485" s="9"/>
      <c r="B485" s="9"/>
      <c r="C485" s="9"/>
      <c r="D485" s="9"/>
      <c r="E485" s="9"/>
      <c r="F485" s="9"/>
      <c r="G485" s="9"/>
      <c r="H485" s="64" t="str">
        <f aca="false">IF(OR(A485="",B485=""),"",CONCATENATE("https://matarstund.is/serfaedi?id=",LOWER(SUBSTITUTE(B485," ","-"))))</f>
        <v/>
      </c>
    </row>
    <row r="486" customFormat="false" ht="15" hidden="false" customHeight="true" outlineLevel="0" collapsed="false">
      <c r="A486" s="68"/>
      <c r="B486" s="68"/>
      <c r="C486" s="68"/>
      <c r="D486" s="68"/>
      <c r="E486" s="68"/>
      <c r="F486" s="68"/>
      <c r="G486" s="68"/>
      <c r="H486" s="64" t="str">
        <f aca="false">IF(OR(A486="",B486=""),"",CONCATENATE("https://matarstund.is/serfaedi?id=",LOWER(SUBSTITUTE(B486," ","-"))))</f>
        <v/>
      </c>
    </row>
    <row r="487" customFormat="false" ht="15" hidden="false" customHeight="true" outlineLevel="0" collapsed="false">
      <c r="A487" s="9"/>
      <c r="B487" s="9"/>
      <c r="C487" s="9"/>
      <c r="D487" s="9"/>
      <c r="E487" s="9"/>
      <c r="F487" s="9"/>
      <c r="G487" s="9"/>
      <c r="H487" s="64" t="str">
        <f aca="false">IF(OR(A487="",B487=""),"",CONCATENATE("https://matarstund.is/serfaedi?id=",LOWER(SUBSTITUTE(B487," ","-"))))</f>
        <v/>
      </c>
    </row>
    <row r="488" customFormat="false" ht="15" hidden="false" customHeight="true" outlineLevel="0" collapsed="false">
      <c r="A488" s="68"/>
      <c r="B488" s="68"/>
      <c r="C488" s="68"/>
      <c r="D488" s="68"/>
      <c r="E488" s="68"/>
      <c r="F488" s="68"/>
      <c r="G488" s="68"/>
      <c r="H488" s="64" t="str">
        <f aca="false">IF(OR(A488="",B488=""),"",CONCATENATE("https://matarstund.is/serfaedi?id=",LOWER(SUBSTITUTE(B488," ","-"))))</f>
        <v/>
      </c>
    </row>
    <row r="489" customFormat="false" ht="15" hidden="false" customHeight="true" outlineLevel="0" collapsed="false">
      <c r="A489" s="9"/>
      <c r="B489" s="9"/>
      <c r="C489" s="9"/>
      <c r="D489" s="9"/>
      <c r="E489" s="9"/>
      <c r="F489" s="9"/>
      <c r="G489" s="9"/>
      <c r="H489" s="64" t="str">
        <f aca="false">IF(OR(A489="",B489=""),"",CONCATENATE("https://matarstund.is/serfaedi?id=",LOWER(SUBSTITUTE(B489," ","-"))))</f>
        <v/>
      </c>
    </row>
    <row r="490" customFormat="false" ht="15" hidden="false" customHeight="true" outlineLevel="0" collapsed="false">
      <c r="A490" s="68"/>
      <c r="B490" s="68"/>
      <c r="C490" s="68"/>
      <c r="D490" s="68"/>
      <c r="E490" s="68"/>
      <c r="F490" s="68"/>
      <c r="G490" s="68"/>
      <c r="H490" s="64" t="str">
        <f aca="false">IF(OR(A490="",B490=""),"",CONCATENATE("https://matarstund.is/serfaedi?id=",LOWER(SUBSTITUTE(B490," ","-"))))</f>
        <v/>
      </c>
    </row>
    <row r="491" customFormat="false" ht="15" hidden="false" customHeight="true" outlineLevel="0" collapsed="false">
      <c r="A491" s="9"/>
      <c r="B491" s="9"/>
      <c r="C491" s="9"/>
      <c r="D491" s="9"/>
      <c r="E491" s="9"/>
      <c r="F491" s="9"/>
      <c r="G491" s="9"/>
      <c r="H491" s="64" t="str">
        <f aca="false">IF(OR(A491="",B491=""),"",CONCATENATE("https://matarstund.is/serfaedi?id=",LOWER(SUBSTITUTE(B491," ","-"))))</f>
        <v/>
      </c>
    </row>
    <row r="492" customFormat="false" ht="15" hidden="false" customHeight="true" outlineLevel="0" collapsed="false">
      <c r="A492" s="68"/>
      <c r="B492" s="68"/>
      <c r="C492" s="68"/>
      <c r="D492" s="68"/>
      <c r="E492" s="68"/>
      <c r="F492" s="68"/>
      <c r="G492" s="68"/>
      <c r="H492" s="64" t="str">
        <f aca="false">IF(OR(A492="",B492=""),"",CONCATENATE("https://matarstund.is/serfaedi?id=",LOWER(SUBSTITUTE(B492," ","-"))))</f>
        <v/>
      </c>
    </row>
    <row r="493" customFormat="false" ht="15" hidden="false" customHeight="true" outlineLevel="0" collapsed="false">
      <c r="A493" s="9"/>
      <c r="B493" s="9"/>
      <c r="C493" s="9"/>
      <c r="D493" s="9"/>
      <c r="E493" s="9"/>
      <c r="F493" s="9"/>
      <c r="G493" s="9"/>
      <c r="H493" s="64" t="str">
        <f aca="false">IF(OR(A493="",B493=""),"",CONCATENATE("https://matarstund.is/serfaedi?id=",LOWER(SUBSTITUTE(B493," ","-"))))</f>
        <v/>
      </c>
    </row>
    <row r="494" customFormat="false" ht="15" hidden="false" customHeight="true" outlineLevel="0" collapsed="false">
      <c r="A494" s="68"/>
      <c r="B494" s="68"/>
      <c r="C494" s="68"/>
      <c r="D494" s="68"/>
      <c r="E494" s="68"/>
      <c r="F494" s="68"/>
      <c r="G494" s="68"/>
      <c r="H494" s="64" t="str">
        <f aca="false">IF(OR(A494="",B494=""),"",CONCATENATE("https://matarstund.is/serfaedi?id=",LOWER(SUBSTITUTE(B494," ","-"))))</f>
        <v/>
      </c>
    </row>
    <row r="495" customFormat="false" ht="15" hidden="false" customHeight="true" outlineLevel="0" collapsed="false">
      <c r="A495" s="9"/>
      <c r="B495" s="9"/>
      <c r="C495" s="9"/>
      <c r="D495" s="9"/>
      <c r="E495" s="9"/>
      <c r="F495" s="9"/>
      <c r="G495" s="9"/>
      <c r="H495" s="64" t="str">
        <f aca="false">IF(OR(A495="",B495=""),"",CONCATENATE("https://matarstund.is/serfaedi?id=",LOWER(SUBSTITUTE(B495," ","-"))))</f>
        <v/>
      </c>
    </row>
    <row r="496" customFormat="false" ht="15" hidden="false" customHeight="true" outlineLevel="0" collapsed="false">
      <c r="A496" s="68"/>
      <c r="B496" s="68"/>
      <c r="C496" s="68"/>
      <c r="D496" s="68"/>
      <c r="E496" s="68"/>
      <c r="F496" s="68"/>
      <c r="G496" s="68"/>
      <c r="H496" s="64" t="str">
        <f aca="false">IF(OR(A496="",B496=""),"",CONCATENATE("https://matarstund.is/serfaedi?id=",LOWER(SUBSTITUTE(B496," ","-"))))</f>
        <v/>
      </c>
    </row>
    <row r="497" customFormat="false" ht="15" hidden="false" customHeight="true" outlineLevel="0" collapsed="false">
      <c r="A497" s="9"/>
      <c r="B497" s="9"/>
      <c r="C497" s="9"/>
      <c r="D497" s="9"/>
      <c r="E497" s="9"/>
      <c r="F497" s="9"/>
      <c r="G497" s="9"/>
      <c r="H497" s="64" t="str">
        <f aca="false">IF(OR(A497="",B497=""),"",CONCATENATE("https://matarstund.is/serfaedi?id=",LOWER(SUBSTITUTE(B497," ","-"))))</f>
        <v/>
      </c>
    </row>
    <row r="498" customFormat="false" ht="15" hidden="false" customHeight="true" outlineLevel="0" collapsed="false">
      <c r="A498" s="68"/>
      <c r="B498" s="68"/>
      <c r="C498" s="68"/>
      <c r="D498" s="68"/>
      <c r="E498" s="68"/>
      <c r="F498" s="68"/>
      <c r="G498" s="68"/>
      <c r="H498" s="64" t="str">
        <f aca="false">IF(OR(A498="",B498=""),"",CONCATENATE("https://matarstund.is/serfaedi?id=",LOWER(SUBSTITUTE(B498," ","-"))))</f>
        <v/>
      </c>
    </row>
    <row r="499" customFormat="false" ht="15" hidden="false" customHeight="true" outlineLevel="0" collapsed="false">
      <c r="A499" s="9"/>
      <c r="B499" s="9"/>
      <c r="C499" s="9"/>
      <c r="D499" s="9"/>
      <c r="E499" s="9"/>
      <c r="F499" s="9"/>
      <c r="G499" s="9"/>
      <c r="H499" s="64" t="str">
        <f aca="false">IF(OR(A499="",B499=""),"",CONCATENATE("https://matarstund.is/serfaedi?id=",LOWER(SUBSTITUTE(B499," ","-"))))</f>
        <v/>
      </c>
    </row>
    <row r="500" customFormat="false" ht="15" hidden="false" customHeight="true" outlineLevel="0" collapsed="false">
      <c r="A500" s="68"/>
      <c r="B500" s="68"/>
      <c r="C500" s="68"/>
      <c r="D500" s="68"/>
      <c r="E500" s="68"/>
      <c r="F500" s="68"/>
      <c r="G500" s="68"/>
      <c r="H500" s="64" t="str">
        <f aca="false">IF(OR(A500="",B500=""),"",CONCATENATE("https://matarstund.is/serfaedi?id=",LOWER(SUBSTITUTE(B500," ","-"))))</f>
        <v/>
      </c>
    </row>
    <row r="501" customFormat="false" ht="15" hidden="false" customHeight="true" outlineLevel="0" collapsed="false">
      <c r="A501" s="9"/>
      <c r="B501" s="9"/>
      <c r="C501" s="9"/>
      <c r="D501" s="9"/>
      <c r="E501" s="9"/>
      <c r="F501" s="9"/>
      <c r="G501" s="9"/>
      <c r="H501" s="64" t="str">
        <f aca="false">IF(OR(A501="",B501=""),"",CONCATENATE("https://matarstund.is/serfaedi?id=",LOWER(SUBSTITUTE(B501," ","-"))))</f>
        <v/>
      </c>
    </row>
    <row r="502" customFormat="false" ht="15" hidden="false" customHeight="true" outlineLevel="0" collapsed="false">
      <c r="A502" s="68"/>
      <c r="B502" s="68"/>
      <c r="C502" s="68"/>
      <c r="D502" s="68"/>
      <c r="E502" s="68"/>
      <c r="F502" s="68"/>
      <c r="G502" s="68"/>
      <c r="H502" s="64" t="str">
        <f aca="false">IF(OR(A502="",B502=""),"",CONCATENATE("https://matarstund.is/serfaedi?id=",LOWER(SUBSTITUTE(B502," ","-"))))</f>
        <v/>
      </c>
    </row>
    <row r="503" customFormat="false" ht="15" hidden="false" customHeight="true" outlineLevel="0" collapsed="false">
      <c r="A503" s="9"/>
      <c r="B503" s="9"/>
      <c r="C503" s="9"/>
      <c r="D503" s="9"/>
      <c r="E503" s="9"/>
      <c r="F503" s="9"/>
      <c r="G503" s="9"/>
      <c r="H503" s="64" t="str">
        <f aca="false">IF(OR(A503="",B503=""),"",CONCATENATE("https://matarstund.is/serfaedi?id=",LOWER(SUBSTITUTE(B503," ","-"))))</f>
        <v/>
      </c>
    </row>
    <row r="504" customFormat="false" ht="15" hidden="false" customHeight="true" outlineLevel="0" collapsed="false">
      <c r="A504" s="68"/>
      <c r="B504" s="68"/>
      <c r="C504" s="68"/>
      <c r="D504" s="68"/>
      <c r="E504" s="68"/>
      <c r="F504" s="68"/>
      <c r="G504" s="68"/>
      <c r="H504" s="64" t="str">
        <f aca="false">IF(OR(A504="",B504=""),"",CONCATENATE("https://matarstund.is/serfaedi?id=",LOWER(SUBSTITUTE(B504," ","-"))))</f>
        <v/>
      </c>
    </row>
    <row r="505" customFormat="false" ht="15" hidden="false" customHeight="true" outlineLevel="0" collapsed="false">
      <c r="A505" s="9"/>
      <c r="B505" s="9"/>
      <c r="C505" s="9"/>
      <c r="D505" s="9"/>
      <c r="E505" s="9"/>
      <c r="F505" s="9"/>
      <c r="G505" s="9"/>
      <c r="H505" s="64" t="str">
        <f aca="false">IF(OR(A505="",B505=""),"",CONCATENATE("https://matarstund.is/serfaedi?id=",LOWER(SUBSTITUTE(B505," ","-"))))</f>
        <v/>
      </c>
    </row>
    <row r="506" customFormat="false" ht="15" hidden="false" customHeight="true" outlineLevel="0" collapsed="false">
      <c r="A506" s="68"/>
      <c r="B506" s="68"/>
      <c r="C506" s="68"/>
      <c r="D506" s="68"/>
      <c r="E506" s="68"/>
      <c r="F506" s="68"/>
      <c r="G506" s="68"/>
      <c r="H506" s="64" t="str">
        <f aca="false">IF(OR(A506="",B506=""),"",CONCATENATE("https://matarstund.is/serfaedi?id=",LOWER(SUBSTITUTE(B506," ","-"))))</f>
        <v/>
      </c>
    </row>
    <row r="507" customFormat="false" ht="15" hidden="false" customHeight="true" outlineLevel="0" collapsed="false">
      <c r="A507" s="9"/>
      <c r="B507" s="9"/>
      <c r="C507" s="9"/>
      <c r="D507" s="9"/>
      <c r="E507" s="9"/>
      <c r="F507" s="9"/>
      <c r="G507" s="9"/>
      <c r="H507" s="64" t="str">
        <f aca="false">IF(OR(A507="",B507=""),"",CONCATENATE("https://matarstund.is/serfaedi?id=",LOWER(SUBSTITUTE(B507," ","-"))))</f>
        <v/>
      </c>
    </row>
    <row r="508" customFormat="false" ht="15" hidden="false" customHeight="true" outlineLevel="0" collapsed="false">
      <c r="A508" s="68"/>
      <c r="B508" s="68"/>
      <c r="C508" s="68"/>
      <c r="D508" s="68"/>
      <c r="E508" s="68"/>
      <c r="F508" s="68"/>
      <c r="G508" s="68"/>
      <c r="H508" s="64" t="str">
        <f aca="false">IF(OR(A508="",B508=""),"",CONCATENATE("https://matarstund.is/serfaedi?id=",LOWER(SUBSTITUTE(B508," ","-"))))</f>
        <v/>
      </c>
    </row>
    <row r="509" customFormat="false" ht="15" hidden="false" customHeight="true" outlineLevel="0" collapsed="false">
      <c r="A509" s="9"/>
      <c r="B509" s="9"/>
      <c r="C509" s="9"/>
      <c r="D509" s="9"/>
      <c r="E509" s="9"/>
      <c r="F509" s="9"/>
      <c r="G509" s="9"/>
      <c r="H509" s="64" t="str">
        <f aca="false">IF(OR(A509="",B509=""),"",CONCATENATE("https://matarstund.is/serfaedi?id=",LOWER(SUBSTITUTE(B509," ","-"))))</f>
        <v/>
      </c>
    </row>
    <row r="510" customFormat="false" ht="15" hidden="false" customHeight="true" outlineLevel="0" collapsed="false">
      <c r="A510" s="68"/>
      <c r="B510" s="68"/>
      <c r="C510" s="68"/>
      <c r="D510" s="68"/>
      <c r="E510" s="68"/>
      <c r="F510" s="68"/>
      <c r="G510" s="68"/>
      <c r="H510" s="64" t="str">
        <f aca="false">IF(OR(A510="",B510=""),"",CONCATENATE("https://matarstund.is/serfaedi?id=",LOWER(SUBSTITUTE(B510," ","-"))))</f>
        <v/>
      </c>
    </row>
    <row r="511" customFormat="false" ht="15" hidden="false" customHeight="true" outlineLevel="0" collapsed="false">
      <c r="A511" s="9"/>
      <c r="B511" s="9"/>
      <c r="C511" s="9"/>
      <c r="D511" s="9"/>
      <c r="E511" s="9"/>
      <c r="F511" s="9"/>
      <c r="G511" s="9"/>
      <c r="H511" s="64" t="str">
        <f aca="false">IF(OR(A511="",B511=""),"",CONCATENATE("https://matarstund.is/serfaedi?id=",LOWER(SUBSTITUTE(B511," ","-"))))</f>
        <v/>
      </c>
    </row>
    <row r="512" customFormat="false" ht="15" hidden="false" customHeight="true" outlineLevel="0" collapsed="false">
      <c r="A512" s="68"/>
      <c r="B512" s="68"/>
      <c r="C512" s="68"/>
      <c r="D512" s="68"/>
      <c r="E512" s="68"/>
      <c r="F512" s="68"/>
      <c r="G512" s="68"/>
      <c r="H512" s="64" t="str">
        <f aca="false">IF(OR(A512="",B512=""),"",CONCATENATE("https://matarstund.is/serfaedi?id=",LOWER(SUBSTITUTE(B512," ","-"))))</f>
        <v/>
      </c>
    </row>
    <row r="513" customFormat="false" ht="15" hidden="false" customHeight="true" outlineLevel="0" collapsed="false">
      <c r="A513" s="9"/>
      <c r="B513" s="9"/>
      <c r="C513" s="9"/>
      <c r="D513" s="9"/>
      <c r="E513" s="9"/>
      <c r="F513" s="9"/>
      <c r="G513" s="9"/>
      <c r="H513" s="64" t="str">
        <f aca="false">IF(OR(A513="",B513=""),"",CONCATENATE("https://matarstund.is/serfaedi?id=",LOWER(SUBSTITUTE(B513," ","-"))))</f>
        <v/>
      </c>
    </row>
    <row r="514" customFormat="false" ht="15" hidden="false" customHeight="true" outlineLevel="0" collapsed="false">
      <c r="A514" s="68"/>
      <c r="B514" s="68"/>
      <c r="C514" s="68"/>
      <c r="D514" s="68"/>
      <c r="E514" s="68"/>
      <c r="F514" s="68"/>
      <c r="G514" s="68"/>
      <c r="H514" s="64" t="str">
        <f aca="false">IF(OR(A514="",B514=""),"",CONCATENATE("https://matarstund.is/serfaedi?id=",LOWER(SUBSTITUTE(B514," ","-"))))</f>
        <v/>
      </c>
    </row>
    <row r="515" customFormat="false" ht="15" hidden="false" customHeight="true" outlineLevel="0" collapsed="false">
      <c r="A515" s="9"/>
      <c r="B515" s="9"/>
      <c r="C515" s="9"/>
      <c r="D515" s="9"/>
      <c r="E515" s="9"/>
      <c r="F515" s="9"/>
      <c r="G515" s="9"/>
      <c r="H515" s="64" t="str">
        <f aca="false">IF(OR(A515="",B515=""),"",CONCATENATE("https://matarstund.is/serfaedi?id=",LOWER(SUBSTITUTE(B515," ","-"))))</f>
        <v/>
      </c>
    </row>
    <row r="516" customFormat="false" ht="15" hidden="false" customHeight="true" outlineLevel="0" collapsed="false">
      <c r="A516" s="68"/>
      <c r="B516" s="68"/>
      <c r="C516" s="68"/>
      <c r="D516" s="68"/>
      <c r="E516" s="68"/>
      <c r="F516" s="68"/>
      <c r="G516" s="68"/>
      <c r="H516" s="64" t="str">
        <f aca="false">IF(OR(A516="",B516=""),"",CONCATENATE("https://matarstund.is/serfaedi?id=",LOWER(SUBSTITUTE(B516," ","-"))))</f>
        <v/>
      </c>
    </row>
    <row r="517" customFormat="false" ht="15" hidden="false" customHeight="true" outlineLevel="0" collapsed="false">
      <c r="A517" s="9"/>
      <c r="B517" s="9"/>
      <c r="C517" s="9"/>
      <c r="D517" s="9"/>
      <c r="E517" s="9"/>
      <c r="F517" s="9"/>
      <c r="G517" s="9"/>
      <c r="H517" s="64" t="str">
        <f aca="false">IF(OR(A517="",B517=""),"",CONCATENATE("https://matarstund.is/serfaedi?id=",LOWER(SUBSTITUTE(B517," ","-"))))</f>
        <v/>
      </c>
    </row>
    <row r="518" customFormat="false" ht="15" hidden="false" customHeight="true" outlineLevel="0" collapsed="false">
      <c r="A518" s="68"/>
      <c r="B518" s="68"/>
      <c r="C518" s="68"/>
      <c r="D518" s="68"/>
      <c r="E518" s="68"/>
      <c r="F518" s="68"/>
      <c r="G518" s="68"/>
      <c r="H518" s="64" t="str">
        <f aca="false">IF(OR(A518="",B518=""),"",CONCATENATE("https://matarstund.is/serfaedi?id=",LOWER(SUBSTITUTE(B518," ","-"))))</f>
        <v/>
      </c>
    </row>
    <row r="519" customFormat="false" ht="15" hidden="false" customHeight="true" outlineLevel="0" collapsed="false">
      <c r="A519" s="9"/>
      <c r="B519" s="9"/>
      <c r="C519" s="9"/>
      <c r="D519" s="9"/>
      <c r="E519" s="9"/>
      <c r="F519" s="9"/>
      <c r="G519" s="9"/>
      <c r="H519" s="64" t="str">
        <f aca="false">IF(OR(A519="",B519=""),"",CONCATENATE("https://matarstund.is/serfaedi?id=",LOWER(SUBSTITUTE(B519," ","-"))))</f>
        <v/>
      </c>
    </row>
    <row r="520" customFormat="false" ht="15" hidden="false" customHeight="true" outlineLevel="0" collapsed="false">
      <c r="A520" s="68"/>
      <c r="B520" s="68"/>
      <c r="C520" s="68"/>
      <c r="D520" s="68"/>
      <c r="E520" s="68"/>
      <c r="F520" s="68"/>
      <c r="G520" s="68"/>
      <c r="H520" s="64" t="str">
        <f aca="false">IF(OR(A520="",B520=""),"",CONCATENATE("https://matarstund.is/serfaedi?id=",LOWER(SUBSTITUTE(B520," ","-"))))</f>
        <v/>
      </c>
    </row>
    <row r="521" customFormat="false" ht="15" hidden="false" customHeight="true" outlineLevel="0" collapsed="false">
      <c r="A521" s="9"/>
      <c r="B521" s="9"/>
      <c r="C521" s="9"/>
      <c r="D521" s="9"/>
      <c r="E521" s="9"/>
      <c r="F521" s="9"/>
      <c r="G521" s="9"/>
      <c r="H521" s="64" t="str">
        <f aca="false">IF(OR(A521="",B521=""),"",CONCATENATE("https://matarstund.is/serfaedi?id=",LOWER(SUBSTITUTE(B521," ","-"))))</f>
        <v/>
      </c>
    </row>
    <row r="522" customFormat="false" ht="15" hidden="false" customHeight="true" outlineLevel="0" collapsed="false">
      <c r="A522" s="68"/>
      <c r="B522" s="68"/>
      <c r="C522" s="68"/>
      <c r="D522" s="68"/>
      <c r="E522" s="68"/>
      <c r="F522" s="68"/>
      <c r="G522" s="68"/>
      <c r="H522" s="64" t="str">
        <f aca="false">IF(OR(A522="",B522=""),"",CONCATENATE("https://matarstund.is/serfaedi?id=",LOWER(SUBSTITUTE(B522," ","-"))))</f>
        <v/>
      </c>
    </row>
    <row r="523" customFormat="false" ht="15" hidden="false" customHeight="true" outlineLevel="0" collapsed="false">
      <c r="A523" s="9"/>
      <c r="B523" s="9"/>
      <c r="C523" s="9"/>
      <c r="D523" s="9"/>
      <c r="E523" s="9"/>
      <c r="F523" s="9"/>
      <c r="G523" s="9"/>
      <c r="H523" s="64" t="str">
        <f aca="false">IF(OR(A523="",B523=""),"",CONCATENATE("https://matarstund.is/serfaedi?id=",LOWER(SUBSTITUTE(B523," ","-"))))</f>
        <v/>
      </c>
    </row>
    <row r="524" customFormat="false" ht="15" hidden="false" customHeight="true" outlineLevel="0" collapsed="false">
      <c r="A524" s="68"/>
      <c r="B524" s="68"/>
      <c r="C524" s="68"/>
      <c r="D524" s="68"/>
      <c r="E524" s="68"/>
      <c r="F524" s="68"/>
      <c r="G524" s="68"/>
      <c r="H524" s="64" t="str">
        <f aca="false">IF(OR(A524="",B524=""),"",CONCATENATE("https://matarstund.is/serfaedi?id=",LOWER(SUBSTITUTE(B524," ","-"))))</f>
        <v/>
      </c>
    </row>
    <row r="525" customFormat="false" ht="15" hidden="false" customHeight="true" outlineLevel="0" collapsed="false">
      <c r="A525" s="9"/>
      <c r="B525" s="9"/>
      <c r="C525" s="9"/>
      <c r="D525" s="9"/>
      <c r="E525" s="9"/>
      <c r="F525" s="9"/>
      <c r="G525" s="9"/>
      <c r="H525" s="64" t="str">
        <f aca="false">IF(OR(A525="",B525=""),"",CONCATENATE("https://matarstund.is/serfaedi?id=",LOWER(SUBSTITUTE(B525," ","-"))))</f>
        <v/>
      </c>
    </row>
    <row r="526" customFormat="false" ht="15" hidden="false" customHeight="true" outlineLevel="0" collapsed="false">
      <c r="A526" s="68"/>
      <c r="B526" s="68"/>
      <c r="C526" s="68"/>
      <c r="D526" s="68"/>
      <c r="E526" s="68"/>
      <c r="F526" s="68"/>
      <c r="G526" s="68"/>
      <c r="H526" s="64" t="str">
        <f aca="false">IF(OR(A526="",B526=""),"",CONCATENATE("https://matarstund.is/serfaedi?id=",LOWER(SUBSTITUTE(B526," ","-"))))</f>
        <v/>
      </c>
    </row>
    <row r="527" customFormat="false" ht="15" hidden="false" customHeight="true" outlineLevel="0" collapsed="false">
      <c r="A527" s="9"/>
      <c r="B527" s="9"/>
      <c r="C527" s="9"/>
      <c r="D527" s="9"/>
      <c r="E527" s="9"/>
      <c r="F527" s="9"/>
      <c r="G527" s="9"/>
      <c r="H527" s="64" t="str">
        <f aca="false">IF(OR(A527="",B527=""),"",CONCATENATE("https://matarstund.is/serfaedi?id=",LOWER(SUBSTITUTE(B527," ","-"))))</f>
        <v/>
      </c>
    </row>
    <row r="528" customFormat="false" ht="15" hidden="false" customHeight="true" outlineLevel="0" collapsed="false">
      <c r="A528" s="68"/>
      <c r="B528" s="68"/>
      <c r="C528" s="68"/>
      <c r="D528" s="68"/>
      <c r="E528" s="68"/>
      <c r="F528" s="68"/>
      <c r="G528" s="68"/>
      <c r="H528" s="64" t="str">
        <f aca="false">IF(OR(A528="",B528=""),"",CONCATENATE("https://matarstund.is/serfaedi?id=",LOWER(SUBSTITUTE(B528," ","-"))))</f>
        <v/>
      </c>
    </row>
    <row r="529" customFormat="false" ht="15" hidden="false" customHeight="true" outlineLevel="0" collapsed="false">
      <c r="A529" s="9"/>
      <c r="B529" s="9"/>
      <c r="C529" s="9"/>
      <c r="D529" s="9"/>
      <c r="E529" s="9"/>
      <c r="F529" s="9"/>
      <c r="G529" s="9"/>
      <c r="H529" s="64" t="str">
        <f aca="false">IF(OR(A529="",B529=""),"",CONCATENATE("https://matarstund.is/serfaedi?id=",LOWER(SUBSTITUTE(B529," ","-"))))</f>
        <v/>
      </c>
    </row>
    <row r="530" customFormat="false" ht="15" hidden="false" customHeight="true" outlineLevel="0" collapsed="false">
      <c r="A530" s="68"/>
      <c r="B530" s="68"/>
      <c r="C530" s="68"/>
      <c r="D530" s="68"/>
      <c r="E530" s="68"/>
      <c r="F530" s="68"/>
      <c r="G530" s="68"/>
      <c r="H530" s="64" t="str">
        <f aca="false">IF(OR(A530="",B530=""),"",CONCATENATE("https://matarstund.is/serfaedi?id=",LOWER(SUBSTITUTE(B530," ","-"))))</f>
        <v/>
      </c>
    </row>
    <row r="531" customFormat="false" ht="15" hidden="false" customHeight="true" outlineLevel="0" collapsed="false">
      <c r="A531" s="9"/>
      <c r="B531" s="9"/>
      <c r="C531" s="9"/>
      <c r="D531" s="9"/>
      <c r="E531" s="9"/>
      <c r="F531" s="9"/>
      <c r="G531" s="9"/>
      <c r="H531" s="64" t="str">
        <f aca="false">IF(OR(A531="",B531=""),"",CONCATENATE("https://matarstund.is/serfaedi?id=",LOWER(SUBSTITUTE(B531," ","-"))))</f>
        <v/>
      </c>
    </row>
    <row r="532" customFormat="false" ht="15" hidden="false" customHeight="true" outlineLevel="0" collapsed="false">
      <c r="A532" s="68"/>
      <c r="B532" s="68"/>
      <c r="C532" s="68"/>
      <c r="D532" s="68"/>
      <c r="E532" s="68"/>
      <c r="F532" s="68"/>
      <c r="G532" s="68"/>
      <c r="H532" s="64" t="str">
        <f aca="false">IF(OR(A532="",B532=""),"",CONCATENATE("https://matarstund.is/serfaedi?id=",LOWER(SUBSTITUTE(B532," ","-"))))</f>
        <v/>
      </c>
    </row>
    <row r="533" customFormat="false" ht="15" hidden="false" customHeight="true" outlineLevel="0" collapsed="false">
      <c r="A533" s="9"/>
      <c r="B533" s="9"/>
      <c r="C533" s="9"/>
      <c r="D533" s="9"/>
      <c r="E533" s="9"/>
      <c r="F533" s="9"/>
      <c r="G533" s="9"/>
      <c r="H533" s="64" t="str">
        <f aca="false">IF(OR(A533="",B533=""),"",CONCATENATE("https://matarstund.is/serfaedi?id=",LOWER(SUBSTITUTE(B533," ","-"))))</f>
        <v/>
      </c>
    </row>
    <row r="534" customFormat="false" ht="15" hidden="false" customHeight="true" outlineLevel="0" collapsed="false">
      <c r="A534" s="68"/>
      <c r="B534" s="68"/>
      <c r="C534" s="68"/>
      <c r="D534" s="68"/>
      <c r="E534" s="68"/>
      <c r="F534" s="68"/>
      <c r="G534" s="68"/>
      <c r="H534" s="64" t="str">
        <f aca="false">IF(OR(A534="",B534=""),"",CONCATENATE("https://matarstund.is/serfaedi?id=",LOWER(SUBSTITUTE(B534," ","-"))))</f>
        <v/>
      </c>
    </row>
    <row r="535" customFormat="false" ht="15" hidden="false" customHeight="true" outlineLevel="0" collapsed="false">
      <c r="A535" s="9"/>
      <c r="B535" s="9"/>
      <c r="C535" s="9"/>
      <c r="D535" s="9"/>
      <c r="E535" s="9"/>
      <c r="F535" s="9"/>
      <c r="G535" s="9"/>
      <c r="H535" s="64" t="str">
        <f aca="false">IF(OR(A535="",B535=""),"",CONCATENATE("https://matarstund.is/serfaedi?id=",LOWER(SUBSTITUTE(B535," ","-"))))</f>
        <v/>
      </c>
    </row>
    <row r="536" customFormat="false" ht="15" hidden="false" customHeight="true" outlineLevel="0" collapsed="false">
      <c r="A536" s="68"/>
      <c r="B536" s="68"/>
      <c r="C536" s="68"/>
      <c r="D536" s="68"/>
      <c r="E536" s="68"/>
      <c r="F536" s="68"/>
      <c r="G536" s="68"/>
      <c r="H536" s="64" t="str">
        <f aca="false">IF(OR(A536="",B536=""),"",CONCATENATE("https://matarstund.is/serfaedi?id=",LOWER(SUBSTITUTE(B536," ","-"))))</f>
        <v/>
      </c>
    </row>
    <row r="537" customFormat="false" ht="15" hidden="false" customHeight="true" outlineLevel="0" collapsed="false">
      <c r="A537" s="9"/>
      <c r="B537" s="9"/>
      <c r="C537" s="9"/>
      <c r="D537" s="9"/>
      <c r="E537" s="9"/>
      <c r="F537" s="9"/>
      <c r="G537" s="9"/>
      <c r="H537" s="64" t="str">
        <f aca="false">IF(OR(A537="",B537=""),"",CONCATENATE("https://matarstund.is/serfaedi?id=",LOWER(SUBSTITUTE(B537," ","-"))))</f>
        <v/>
      </c>
    </row>
    <row r="538" customFormat="false" ht="15" hidden="false" customHeight="true" outlineLevel="0" collapsed="false">
      <c r="A538" s="68"/>
      <c r="B538" s="68"/>
      <c r="C538" s="68"/>
      <c r="D538" s="68"/>
      <c r="E538" s="68"/>
      <c r="F538" s="68"/>
      <c r="G538" s="68"/>
      <c r="H538" s="64" t="str">
        <f aca="false">IF(OR(A538="",B538=""),"",CONCATENATE("https://matarstund.is/serfaedi?id=",LOWER(SUBSTITUTE(B538," ","-"))))</f>
        <v/>
      </c>
    </row>
    <row r="539" customFormat="false" ht="15" hidden="false" customHeight="true" outlineLevel="0" collapsed="false">
      <c r="A539" s="9"/>
      <c r="B539" s="9"/>
      <c r="C539" s="9"/>
      <c r="D539" s="9"/>
      <c r="E539" s="9"/>
      <c r="F539" s="9"/>
      <c r="G539" s="9"/>
      <c r="H539" s="64" t="str">
        <f aca="false">IF(OR(A539="",B539=""),"",CONCATENATE("https://matarstund.is/serfaedi?id=",LOWER(SUBSTITUTE(B539," ","-"))))</f>
        <v/>
      </c>
    </row>
    <row r="540" customFormat="false" ht="15" hidden="false" customHeight="true" outlineLevel="0" collapsed="false">
      <c r="A540" s="68"/>
      <c r="B540" s="68"/>
      <c r="C540" s="68"/>
      <c r="D540" s="68"/>
      <c r="E540" s="68"/>
      <c r="F540" s="68"/>
      <c r="G540" s="68"/>
      <c r="H540" s="64" t="str">
        <f aca="false">IF(OR(A540="",B540=""),"",CONCATENATE("https://matarstund.is/serfaedi?id=",LOWER(SUBSTITUTE(B540," ","-"))))</f>
        <v/>
      </c>
    </row>
    <row r="541" customFormat="false" ht="15" hidden="false" customHeight="true" outlineLevel="0" collapsed="false">
      <c r="A541" s="9"/>
      <c r="B541" s="9"/>
      <c r="C541" s="9"/>
      <c r="D541" s="9"/>
      <c r="E541" s="9"/>
      <c r="F541" s="9"/>
      <c r="G541" s="9"/>
      <c r="H541" s="64" t="str">
        <f aca="false">IF(OR(A541="",B541=""),"",CONCATENATE("https://matarstund.is/serfaedi?id=",LOWER(SUBSTITUTE(B541," ","-"))))</f>
        <v/>
      </c>
    </row>
    <row r="542" customFormat="false" ht="15" hidden="false" customHeight="true" outlineLevel="0" collapsed="false">
      <c r="A542" s="68"/>
      <c r="B542" s="68"/>
      <c r="C542" s="68"/>
      <c r="D542" s="68"/>
      <c r="E542" s="68"/>
      <c r="F542" s="68"/>
      <c r="G542" s="68"/>
      <c r="H542" s="64" t="str">
        <f aca="false">IF(OR(A542="",B542=""),"",CONCATENATE("https://matarstund.is/serfaedi?id=",LOWER(SUBSTITUTE(B542," ","-"))))</f>
        <v/>
      </c>
    </row>
    <row r="543" customFormat="false" ht="15" hidden="false" customHeight="true" outlineLevel="0" collapsed="false">
      <c r="A543" s="9"/>
      <c r="B543" s="9"/>
      <c r="C543" s="9"/>
      <c r="D543" s="9"/>
      <c r="E543" s="9"/>
      <c r="F543" s="9"/>
      <c r="G543" s="9"/>
      <c r="H543" s="64" t="str">
        <f aca="false">IF(OR(A543="",B543=""),"",CONCATENATE("https://matarstund.is/serfaedi?id=",LOWER(SUBSTITUTE(B543," ","-"))))</f>
        <v/>
      </c>
    </row>
    <row r="544" customFormat="false" ht="15" hidden="false" customHeight="true" outlineLevel="0" collapsed="false">
      <c r="A544" s="68"/>
      <c r="B544" s="68"/>
      <c r="C544" s="68"/>
      <c r="D544" s="68"/>
      <c r="E544" s="68"/>
      <c r="F544" s="68"/>
      <c r="G544" s="68"/>
      <c r="H544" s="64" t="str">
        <f aca="false">IF(OR(A544="",B544=""),"",CONCATENATE("https://matarstund.is/serfaedi?id=",LOWER(SUBSTITUTE(B544," ","-"))))</f>
        <v/>
      </c>
    </row>
    <row r="545" customFormat="false" ht="15" hidden="false" customHeight="true" outlineLevel="0" collapsed="false">
      <c r="A545" s="9"/>
      <c r="B545" s="9"/>
      <c r="C545" s="9"/>
      <c r="D545" s="9"/>
      <c r="E545" s="9"/>
      <c r="F545" s="9"/>
      <c r="G545" s="9"/>
      <c r="H545" s="64" t="str">
        <f aca="false">IF(OR(A545="",B545=""),"",CONCATENATE("https://matarstund.is/serfaedi?id=",LOWER(SUBSTITUTE(B545," ","-"))))</f>
        <v/>
      </c>
    </row>
    <row r="546" customFormat="false" ht="15" hidden="false" customHeight="true" outlineLevel="0" collapsed="false">
      <c r="A546" s="68"/>
      <c r="B546" s="68"/>
      <c r="C546" s="68"/>
      <c r="D546" s="68"/>
      <c r="E546" s="68"/>
      <c r="F546" s="68"/>
      <c r="G546" s="68"/>
      <c r="H546" s="64" t="str">
        <f aca="false">IF(OR(A546="",B546=""),"",CONCATENATE("https://matarstund.is/serfaedi?id=",LOWER(SUBSTITUTE(B546," ","-"))))</f>
        <v/>
      </c>
    </row>
    <row r="547" customFormat="false" ht="15" hidden="false" customHeight="true" outlineLevel="0" collapsed="false">
      <c r="A547" s="9"/>
      <c r="B547" s="9"/>
      <c r="C547" s="9"/>
      <c r="D547" s="9"/>
      <c r="E547" s="9"/>
      <c r="F547" s="9"/>
      <c r="G547" s="9"/>
      <c r="H547" s="64" t="str">
        <f aca="false">IF(OR(A547="",B547=""),"",CONCATENATE("https://matarstund.is/serfaedi?id=",LOWER(SUBSTITUTE(B547," ","-"))))</f>
        <v/>
      </c>
    </row>
    <row r="548" customFormat="false" ht="15" hidden="false" customHeight="true" outlineLevel="0" collapsed="false">
      <c r="A548" s="68"/>
      <c r="B548" s="68"/>
      <c r="C548" s="68"/>
      <c r="D548" s="68"/>
      <c r="E548" s="68"/>
      <c r="F548" s="68"/>
      <c r="G548" s="68"/>
      <c r="H548" s="64" t="str">
        <f aca="false">IF(OR(A548="",B548=""),"",CONCATENATE("https://matarstund.is/serfaedi?id=",LOWER(SUBSTITUTE(B548," ","-"))))</f>
        <v/>
      </c>
    </row>
    <row r="549" customFormat="false" ht="15" hidden="false" customHeight="true" outlineLevel="0" collapsed="false">
      <c r="A549" s="9"/>
      <c r="B549" s="9"/>
      <c r="C549" s="9"/>
      <c r="D549" s="9"/>
      <c r="E549" s="9"/>
      <c r="F549" s="9"/>
      <c r="G549" s="9"/>
      <c r="H549" s="64" t="str">
        <f aca="false">IF(OR(A549="",B549=""),"",CONCATENATE("https://matarstund.is/serfaedi?id=",LOWER(SUBSTITUTE(B549," ","-"))))</f>
        <v/>
      </c>
    </row>
    <row r="550" customFormat="false" ht="15" hidden="false" customHeight="true" outlineLevel="0" collapsed="false">
      <c r="A550" s="68"/>
      <c r="B550" s="68"/>
      <c r="C550" s="68"/>
      <c r="D550" s="68"/>
      <c r="E550" s="68"/>
      <c r="F550" s="68"/>
      <c r="G550" s="68"/>
      <c r="H550" s="64" t="str">
        <f aca="false">IF(OR(A550="",B550=""),"",CONCATENATE("https://matarstund.is/serfaedi?id=",LOWER(SUBSTITUTE(B550," ","-"))))</f>
        <v/>
      </c>
    </row>
    <row r="551" customFormat="false" ht="15" hidden="false" customHeight="true" outlineLevel="0" collapsed="false">
      <c r="A551" s="9"/>
      <c r="B551" s="9"/>
      <c r="C551" s="9"/>
      <c r="D551" s="9"/>
      <c r="E551" s="9"/>
      <c r="F551" s="9"/>
      <c r="G551" s="9"/>
      <c r="H551" s="64" t="str">
        <f aca="false">IF(OR(A551="",B551=""),"",CONCATENATE("https://matarstund.is/serfaedi?id=",LOWER(SUBSTITUTE(B551," ","-"))))</f>
        <v/>
      </c>
    </row>
    <row r="552" customFormat="false" ht="15" hidden="false" customHeight="true" outlineLevel="0" collapsed="false">
      <c r="A552" s="68"/>
      <c r="B552" s="68"/>
      <c r="C552" s="68"/>
      <c r="D552" s="68"/>
      <c r="E552" s="68"/>
      <c r="F552" s="68"/>
      <c r="G552" s="68"/>
      <c r="H552" s="64" t="str">
        <f aca="false">IF(OR(A552="",B552=""),"",CONCATENATE("https://matarstund.is/serfaedi?id=",LOWER(SUBSTITUTE(B552," ","-"))))</f>
        <v/>
      </c>
    </row>
    <row r="553" customFormat="false" ht="15" hidden="false" customHeight="true" outlineLevel="0" collapsed="false">
      <c r="A553" s="9"/>
      <c r="B553" s="9"/>
      <c r="C553" s="9"/>
      <c r="D553" s="9"/>
      <c r="E553" s="9"/>
      <c r="F553" s="9"/>
      <c r="G553" s="9"/>
      <c r="H553" s="64" t="str">
        <f aca="false">IF(OR(A553="",B553=""),"",CONCATENATE("https://matarstund.is/serfaedi?id=",LOWER(SUBSTITUTE(B553," ","-"))))</f>
        <v/>
      </c>
    </row>
    <row r="554" customFormat="false" ht="15" hidden="false" customHeight="true" outlineLevel="0" collapsed="false">
      <c r="A554" s="68"/>
      <c r="B554" s="68"/>
      <c r="C554" s="68"/>
      <c r="D554" s="68"/>
      <c r="E554" s="68"/>
      <c r="F554" s="68"/>
      <c r="G554" s="68"/>
      <c r="H554" s="64" t="str">
        <f aca="false">IF(OR(A554="",B554=""),"",CONCATENATE("https://matarstund.is/serfaedi?id=",LOWER(SUBSTITUTE(B554," ","-"))))</f>
        <v/>
      </c>
    </row>
    <row r="555" customFormat="false" ht="15" hidden="false" customHeight="true" outlineLevel="0" collapsed="false">
      <c r="A555" s="9"/>
      <c r="B555" s="9"/>
      <c r="C555" s="9"/>
      <c r="D555" s="9"/>
      <c r="E555" s="9"/>
      <c r="F555" s="9"/>
      <c r="G555" s="9"/>
      <c r="H555" s="64" t="str">
        <f aca="false">IF(OR(A555="",B555=""),"",CONCATENATE("https://matarstund.is/serfaedi?id=",LOWER(SUBSTITUTE(B555," ","-"))))</f>
        <v/>
      </c>
    </row>
    <row r="556" customFormat="false" ht="15" hidden="false" customHeight="true" outlineLevel="0" collapsed="false">
      <c r="A556" s="68"/>
      <c r="B556" s="68"/>
      <c r="C556" s="68"/>
      <c r="D556" s="68"/>
      <c r="E556" s="68"/>
      <c r="F556" s="68"/>
      <c r="G556" s="68"/>
      <c r="H556" s="64" t="str">
        <f aca="false">IF(OR(A556="",B556=""),"",CONCATENATE("https://matarstund.is/serfaedi?id=",LOWER(SUBSTITUTE(B556," ","-"))))</f>
        <v/>
      </c>
    </row>
    <row r="557" customFormat="false" ht="15" hidden="false" customHeight="true" outlineLevel="0" collapsed="false">
      <c r="A557" s="9"/>
      <c r="B557" s="9"/>
      <c r="C557" s="9"/>
      <c r="D557" s="9"/>
      <c r="E557" s="9"/>
      <c r="F557" s="9"/>
      <c r="G557" s="9"/>
      <c r="H557" s="64" t="str">
        <f aca="false">IF(OR(A557="",B557=""),"",CONCATENATE("https://matarstund.is/serfaedi?id=",LOWER(SUBSTITUTE(B557," ","-"))))</f>
        <v/>
      </c>
    </row>
    <row r="558" customFormat="false" ht="15" hidden="false" customHeight="true" outlineLevel="0" collapsed="false">
      <c r="A558" s="68"/>
      <c r="B558" s="68"/>
      <c r="C558" s="68"/>
      <c r="D558" s="68"/>
      <c r="E558" s="68"/>
      <c r="F558" s="68"/>
      <c r="G558" s="68"/>
      <c r="H558" s="64" t="str">
        <f aca="false">IF(OR(A558="",B558=""),"",CONCATENATE("https://matarstund.is/serfaedi?id=",LOWER(SUBSTITUTE(B558," ","-"))))</f>
        <v/>
      </c>
    </row>
    <row r="559" customFormat="false" ht="15" hidden="false" customHeight="true" outlineLevel="0" collapsed="false">
      <c r="A559" s="9"/>
      <c r="B559" s="9"/>
      <c r="C559" s="9"/>
      <c r="D559" s="9"/>
      <c r="E559" s="9"/>
      <c r="F559" s="9"/>
      <c r="G559" s="9"/>
      <c r="H559" s="64" t="str">
        <f aca="false">IF(OR(A559="",B559=""),"",CONCATENATE("https://matarstund.is/serfaedi?id=",LOWER(SUBSTITUTE(B559," ","-"))))</f>
        <v/>
      </c>
    </row>
    <row r="560" customFormat="false" ht="15" hidden="false" customHeight="true" outlineLevel="0" collapsed="false">
      <c r="A560" s="68"/>
      <c r="B560" s="68"/>
      <c r="C560" s="68"/>
      <c r="D560" s="68"/>
      <c r="E560" s="68"/>
      <c r="F560" s="68"/>
      <c r="G560" s="68"/>
      <c r="H560" s="64" t="str">
        <f aca="false">IF(OR(A560="",B560=""),"",CONCATENATE("https://matarstund.is/serfaedi?id=",LOWER(SUBSTITUTE(B560," ","-"))))</f>
        <v/>
      </c>
    </row>
    <row r="561" customFormat="false" ht="15" hidden="false" customHeight="true" outlineLevel="0" collapsed="false">
      <c r="A561" s="9"/>
      <c r="B561" s="9"/>
      <c r="C561" s="9"/>
      <c r="D561" s="9"/>
      <c r="E561" s="9"/>
      <c r="F561" s="9"/>
      <c r="G561" s="9"/>
      <c r="H561" s="64" t="str">
        <f aca="false">IF(OR(A561="",B561=""),"",CONCATENATE("https://matarstund.is/serfaedi?id=",LOWER(SUBSTITUTE(B561," ","-"))))</f>
        <v/>
      </c>
    </row>
    <row r="562" customFormat="false" ht="15" hidden="false" customHeight="true" outlineLevel="0" collapsed="false">
      <c r="A562" s="68"/>
      <c r="B562" s="68"/>
      <c r="C562" s="68"/>
      <c r="D562" s="68"/>
      <c r="E562" s="68"/>
      <c r="F562" s="68"/>
      <c r="G562" s="68"/>
      <c r="H562" s="64" t="str">
        <f aca="false">IF(OR(A562="",B562=""),"",CONCATENATE("https://matarstund.is/serfaedi?id=",LOWER(SUBSTITUTE(B562," ","-"))))</f>
        <v/>
      </c>
    </row>
    <row r="563" customFormat="false" ht="15" hidden="false" customHeight="true" outlineLevel="0" collapsed="false">
      <c r="A563" s="9"/>
      <c r="B563" s="9"/>
      <c r="C563" s="9"/>
      <c r="D563" s="9"/>
      <c r="E563" s="9"/>
      <c r="F563" s="9"/>
      <c r="G563" s="9"/>
      <c r="H563" s="64" t="str">
        <f aca="false">IF(OR(A563="",B563=""),"",CONCATENATE("https://matarstund.is/serfaedi?id=",LOWER(SUBSTITUTE(B563," ","-"))))</f>
        <v/>
      </c>
    </row>
    <row r="564" customFormat="false" ht="15" hidden="false" customHeight="true" outlineLevel="0" collapsed="false">
      <c r="A564" s="68"/>
      <c r="B564" s="68"/>
      <c r="C564" s="68"/>
      <c r="D564" s="68"/>
      <c r="E564" s="68"/>
      <c r="F564" s="68"/>
      <c r="G564" s="68"/>
      <c r="H564" s="64" t="str">
        <f aca="false">IF(OR(A564="",B564=""),"",CONCATENATE("https://matarstund.is/serfaedi?id=",LOWER(SUBSTITUTE(B564," ","-"))))</f>
        <v/>
      </c>
    </row>
    <row r="565" customFormat="false" ht="15" hidden="false" customHeight="true" outlineLevel="0" collapsed="false">
      <c r="A565" s="9"/>
      <c r="B565" s="9"/>
      <c r="C565" s="9"/>
      <c r="D565" s="9"/>
      <c r="E565" s="9"/>
      <c r="F565" s="9"/>
      <c r="G565" s="9"/>
      <c r="H565" s="64" t="str">
        <f aca="false">IF(OR(A565="",B565=""),"",CONCATENATE("https://matarstund.is/serfaedi?id=",LOWER(SUBSTITUTE(B565," ","-"))))</f>
        <v/>
      </c>
    </row>
    <row r="566" customFormat="false" ht="15" hidden="false" customHeight="true" outlineLevel="0" collapsed="false">
      <c r="A566" s="68"/>
      <c r="B566" s="68"/>
      <c r="C566" s="68"/>
      <c r="D566" s="68"/>
      <c r="E566" s="68"/>
      <c r="F566" s="68"/>
      <c r="G566" s="68"/>
      <c r="H566" s="64" t="str">
        <f aca="false">IF(OR(A566="",B566=""),"",CONCATENATE("https://matarstund.is/serfaedi?id=",LOWER(SUBSTITUTE(B566," ","-"))))</f>
        <v/>
      </c>
    </row>
    <row r="567" customFormat="false" ht="15" hidden="false" customHeight="true" outlineLevel="0" collapsed="false">
      <c r="A567" s="9"/>
      <c r="B567" s="9"/>
      <c r="C567" s="9"/>
      <c r="D567" s="9"/>
      <c r="E567" s="9"/>
      <c r="F567" s="9"/>
      <c r="G567" s="9"/>
      <c r="H567" s="64" t="str">
        <f aca="false">IF(OR(A567="",B567=""),"",CONCATENATE("https://matarstund.is/serfaedi?id=",LOWER(SUBSTITUTE(B567," ","-"))))</f>
        <v/>
      </c>
    </row>
    <row r="568" customFormat="false" ht="15" hidden="false" customHeight="true" outlineLevel="0" collapsed="false">
      <c r="A568" s="68"/>
      <c r="B568" s="68"/>
      <c r="C568" s="68"/>
      <c r="D568" s="68"/>
      <c r="E568" s="68"/>
      <c r="F568" s="68"/>
      <c r="G568" s="68"/>
      <c r="H568" s="64" t="str">
        <f aca="false">IF(OR(A568="",B568=""),"",CONCATENATE("https://matarstund.is/serfaedi?id=",LOWER(SUBSTITUTE(B568," ","-"))))</f>
        <v/>
      </c>
    </row>
    <row r="569" customFormat="false" ht="15" hidden="false" customHeight="true" outlineLevel="0" collapsed="false">
      <c r="A569" s="9"/>
      <c r="B569" s="9"/>
      <c r="C569" s="9"/>
      <c r="D569" s="9"/>
      <c r="E569" s="9"/>
      <c r="F569" s="9"/>
      <c r="G569" s="9"/>
      <c r="H569" s="64" t="str">
        <f aca="false">IF(OR(A569="",B569=""),"",CONCATENATE("https://matarstund.is/serfaedi?id=",LOWER(SUBSTITUTE(B569," ","-"))))</f>
        <v/>
      </c>
    </row>
    <row r="570" customFormat="false" ht="15" hidden="false" customHeight="true" outlineLevel="0" collapsed="false">
      <c r="A570" s="68"/>
      <c r="B570" s="68"/>
      <c r="C570" s="68"/>
      <c r="D570" s="68"/>
      <c r="E570" s="68"/>
      <c r="F570" s="68"/>
      <c r="G570" s="68"/>
      <c r="H570" s="64" t="str">
        <f aca="false">IF(OR(A570="",B570=""),"",CONCATENATE("https://matarstund.is/serfaedi?id=",LOWER(SUBSTITUTE(B570," ","-"))))</f>
        <v/>
      </c>
    </row>
    <row r="571" customFormat="false" ht="15" hidden="false" customHeight="true" outlineLevel="0" collapsed="false">
      <c r="A571" s="9"/>
      <c r="B571" s="9"/>
      <c r="C571" s="9"/>
      <c r="D571" s="9"/>
      <c r="E571" s="9"/>
      <c r="F571" s="9"/>
      <c r="G571" s="9"/>
      <c r="H571" s="64" t="str">
        <f aca="false">IF(OR(A571="",B571=""),"",CONCATENATE("https://matarstund.is/serfaedi?id=",LOWER(SUBSTITUTE(B571," ","-"))))</f>
        <v/>
      </c>
    </row>
    <row r="572" customFormat="false" ht="15" hidden="false" customHeight="true" outlineLevel="0" collapsed="false">
      <c r="A572" s="68"/>
      <c r="B572" s="68"/>
      <c r="C572" s="68"/>
      <c r="D572" s="68"/>
      <c r="E572" s="68"/>
      <c r="F572" s="68"/>
      <c r="G572" s="68"/>
      <c r="H572" s="64" t="str">
        <f aca="false">IF(OR(A572="",B572=""),"",CONCATENATE("https://matarstund.is/serfaedi?id=",LOWER(SUBSTITUTE(B572," ","-"))))</f>
        <v/>
      </c>
    </row>
    <row r="573" customFormat="false" ht="15" hidden="false" customHeight="true" outlineLevel="0" collapsed="false">
      <c r="A573" s="9"/>
      <c r="B573" s="9"/>
      <c r="C573" s="9"/>
      <c r="D573" s="9"/>
      <c r="E573" s="9"/>
      <c r="F573" s="9"/>
      <c r="G573" s="9"/>
      <c r="H573" s="64" t="str">
        <f aca="false">IF(OR(A573="",B573=""),"",CONCATENATE("https://matarstund.is/serfaedi?id=",LOWER(SUBSTITUTE(B573," ","-"))))</f>
        <v/>
      </c>
    </row>
    <row r="574" customFormat="false" ht="15" hidden="false" customHeight="true" outlineLevel="0" collapsed="false">
      <c r="A574" s="68"/>
      <c r="B574" s="68"/>
      <c r="C574" s="68"/>
      <c r="D574" s="68"/>
      <c r="E574" s="68"/>
      <c r="F574" s="68"/>
      <c r="G574" s="68"/>
      <c r="H574" s="64" t="str">
        <f aca="false">IF(OR(A574="",B574=""),"",CONCATENATE("https://matarstund.is/serfaedi?id=",LOWER(SUBSTITUTE(B574," ","-"))))</f>
        <v/>
      </c>
    </row>
    <row r="575" customFormat="false" ht="15" hidden="false" customHeight="true" outlineLevel="0" collapsed="false">
      <c r="A575" s="9"/>
      <c r="B575" s="9"/>
      <c r="C575" s="9"/>
      <c r="D575" s="9"/>
      <c r="E575" s="9"/>
      <c r="F575" s="9"/>
      <c r="G575" s="9"/>
      <c r="H575" s="64" t="str">
        <f aca="false">IF(OR(A575="",B575=""),"",CONCATENATE("https://matarstund.is/serfaedi?id=",LOWER(SUBSTITUTE(B575," ","-"))))</f>
        <v/>
      </c>
    </row>
    <row r="576" customFormat="false" ht="15" hidden="false" customHeight="true" outlineLevel="0" collapsed="false">
      <c r="A576" s="68"/>
      <c r="B576" s="68"/>
      <c r="C576" s="68"/>
      <c r="D576" s="68"/>
      <c r="E576" s="68"/>
      <c r="F576" s="68"/>
      <c r="G576" s="68"/>
      <c r="H576" s="64" t="str">
        <f aca="false">IF(OR(A576="",B576=""),"",CONCATENATE("https://matarstund.is/serfaedi?id=",LOWER(SUBSTITUTE(B576," ","-"))))</f>
        <v/>
      </c>
    </row>
    <row r="577" customFormat="false" ht="15" hidden="false" customHeight="true" outlineLevel="0" collapsed="false">
      <c r="A577" s="9"/>
      <c r="B577" s="9"/>
      <c r="C577" s="9"/>
      <c r="D577" s="9"/>
      <c r="E577" s="9"/>
      <c r="F577" s="9"/>
      <c r="G577" s="9"/>
      <c r="H577" s="64" t="str">
        <f aca="false">IF(OR(A577="",B577=""),"",CONCATENATE("https://matarstund.is/serfaedi?id=",LOWER(SUBSTITUTE(B577," ","-"))))</f>
        <v/>
      </c>
    </row>
    <row r="578" customFormat="false" ht="15" hidden="false" customHeight="true" outlineLevel="0" collapsed="false">
      <c r="A578" s="68"/>
      <c r="B578" s="68"/>
      <c r="C578" s="68"/>
      <c r="D578" s="68"/>
      <c r="E578" s="68"/>
      <c r="F578" s="68"/>
      <c r="G578" s="68"/>
      <c r="H578" s="64" t="str">
        <f aca="false">IF(OR(A578="",B578=""),"",CONCATENATE("https://matarstund.is/serfaedi?id=",LOWER(SUBSTITUTE(B578," ","-"))))</f>
        <v/>
      </c>
    </row>
    <row r="579" customFormat="false" ht="15" hidden="false" customHeight="true" outlineLevel="0" collapsed="false">
      <c r="A579" s="9"/>
      <c r="B579" s="9"/>
      <c r="C579" s="9"/>
      <c r="D579" s="9"/>
      <c r="E579" s="9"/>
      <c r="F579" s="9"/>
      <c r="G579" s="9"/>
      <c r="H579" s="64" t="str">
        <f aca="false">IF(OR(A579="",B579=""),"",CONCATENATE("https://matarstund.is/serfaedi?id=",LOWER(SUBSTITUTE(B579," ","-"))))</f>
        <v/>
      </c>
    </row>
    <row r="580" customFormat="false" ht="15" hidden="false" customHeight="true" outlineLevel="0" collapsed="false">
      <c r="A580" s="68"/>
      <c r="B580" s="68"/>
      <c r="C580" s="68"/>
      <c r="D580" s="68"/>
      <c r="E580" s="68"/>
      <c r="F580" s="68"/>
      <c r="G580" s="68"/>
      <c r="H580" s="64" t="str">
        <f aca="false">IF(OR(A580="",B580=""),"",CONCATENATE("https://matarstund.is/serfaedi?id=",LOWER(SUBSTITUTE(B580," ","-"))))</f>
        <v/>
      </c>
    </row>
    <row r="581" customFormat="false" ht="15" hidden="false" customHeight="true" outlineLevel="0" collapsed="false">
      <c r="A581" s="9"/>
      <c r="B581" s="9"/>
      <c r="C581" s="9"/>
      <c r="D581" s="9"/>
      <c r="E581" s="9"/>
      <c r="F581" s="9"/>
      <c r="G581" s="9"/>
      <c r="H581" s="64" t="str">
        <f aca="false">IF(OR(A581="",B581=""),"",CONCATENATE("https://matarstund.is/serfaedi?id=",LOWER(SUBSTITUTE(B581," ","-"))))</f>
        <v/>
      </c>
    </row>
    <row r="582" customFormat="false" ht="15" hidden="false" customHeight="true" outlineLevel="0" collapsed="false">
      <c r="A582" s="68"/>
      <c r="B582" s="68"/>
      <c r="C582" s="68"/>
      <c r="D582" s="68"/>
      <c r="E582" s="68"/>
      <c r="F582" s="68"/>
      <c r="G582" s="68"/>
      <c r="H582" s="64" t="str">
        <f aca="false">IF(OR(A582="",B582=""),"",CONCATENATE("https://matarstund.is/serfaedi?id=",LOWER(SUBSTITUTE(B582," ","-"))))</f>
        <v/>
      </c>
    </row>
    <row r="583" customFormat="false" ht="15" hidden="false" customHeight="true" outlineLevel="0" collapsed="false">
      <c r="A583" s="9"/>
      <c r="B583" s="9"/>
      <c r="C583" s="9"/>
      <c r="D583" s="9"/>
      <c r="E583" s="9"/>
      <c r="F583" s="9"/>
      <c r="G583" s="9"/>
      <c r="H583" s="64" t="str">
        <f aca="false">IF(OR(A583="",B583=""),"",CONCATENATE("https://matarstund.is/serfaedi?id=",LOWER(SUBSTITUTE(B583," ","-"))))</f>
        <v/>
      </c>
    </row>
    <row r="584" customFormat="false" ht="15" hidden="false" customHeight="true" outlineLevel="0" collapsed="false">
      <c r="A584" s="68"/>
      <c r="B584" s="68"/>
      <c r="C584" s="68"/>
      <c r="D584" s="68"/>
      <c r="E584" s="68"/>
      <c r="F584" s="68"/>
      <c r="G584" s="68"/>
      <c r="H584" s="64" t="str">
        <f aca="false">IF(OR(A584="",B584=""),"",CONCATENATE("https://matarstund.is/serfaedi?id=",LOWER(SUBSTITUTE(B584," ","-"))))</f>
        <v/>
      </c>
    </row>
    <row r="585" customFormat="false" ht="15" hidden="false" customHeight="true" outlineLevel="0" collapsed="false">
      <c r="A585" s="9"/>
      <c r="B585" s="9"/>
      <c r="C585" s="9"/>
      <c r="D585" s="9"/>
      <c r="E585" s="9"/>
      <c r="F585" s="9"/>
      <c r="G585" s="9"/>
      <c r="H585" s="64" t="str">
        <f aca="false">IF(OR(A585="",B585=""),"",CONCATENATE("https://matarstund.is/serfaedi?id=",LOWER(SUBSTITUTE(B585," ","-"))))</f>
        <v/>
      </c>
    </row>
    <row r="586" customFormat="false" ht="15" hidden="false" customHeight="true" outlineLevel="0" collapsed="false">
      <c r="A586" s="68"/>
      <c r="B586" s="68"/>
      <c r="C586" s="68"/>
      <c r="D586" s="68"/>
      <c r="E586" s="68"/>
      <c r="F586" s="68"/>
      <c r="G586" s="68"/>
      <c r="H586" s="64" t="str">
        <f aca="false">IF(OR(A586="",B586=""),"",CONCATENATE("https://matarstund.is/serfaedi?id=",LOWER(SUBSTITUTE(B586," ","-"))))</f>
        <v/>
      </c>
    </row>
    <row r="587" customFormat="false" ht="15" hidden="false" customHeight="true" outlineLevel="0" collapsed="false">
      <c r="A587" s="9"/>
      <c r="B587" s="9"/>
      <c r="C587" s="9"/>
      <c r="D587" s="9"/>
      <c r="E587" s="9"/>
      <c r="F587" s="9"/>
      <c r="G587" s="9"/>
      <c r="H587" s="64" t="str">
        <f aca="false">IF(OR(A587="",B587=""),"",CONCATENATE("https://matarstund.is/serfaedi?id=",LOWER(SUBSTITUTE(B587," ","-"))))</f>
        <v/>
      </c>
    </row>
    <row r="588" customFormat="false" ht="15" hidden="false" customHeight="true" outlineLevel="0" collapsed="false">
      <c r="A588" s="68"/>
      <c r="B588" s="68"/>
      <c r="C588" s="68"/>
      <c r="D588" s="68"/>
      <c r="E588" s="68"/>
      <c r="F588" s="68"/>
      <c r="G588" s="68"/>
      <c r="H588" s="64" t="str">
        <f aca="false">IF(OR(A588="",B588=""),"",CONCATENATE("https://matarstund.is/serfaedi?id=",LOWER(SUBSTITUTE(B588," ","-"))))</f>
        <v/>
      </c>
    </row>
    <row r="589" customFormat="false" ht="15" hidden="false" customHeight="true" outlineLevel="0" collapsed="false">
      <c r="A589" s="9"/>
      <c r="B589" s="9"/>
      <c r="C589" s="9"/>
      <c r="D589" s="9"/>
      <c r="E589" s="9"/>
      <c r="F589" s="9"/>
      <c r="G589" s="9"/>
      <c r="H589" s="64" t="str">
        <f aca="false">IF(OR(A589="",B589=""),"",CONCATENATE("https://matarstund.is/serfaedi?id=",LOWER(SUBSTITUTE(B589," ","-"))))</f>
        <v/>
      </c>
    </row>
    <row r="590" customFormat="false" ht="15" hidden="false" customHeight="true" outlineLevel="0" collapsed="false">
      <c r="A590" s="68"/>
      <c r="B590" s="68"/>
      <c r="C590" s="68"/>
      <c r="D590" s="68"/>
      <c r="E590" s="68"/>
      <c r="F590" s="68"/>
      <c r="G590" s="68"/>
      <c r="H590" s="64" t="str">
        <f aca="false">IF(OR(A590="",B590=""),"",CONCATENATE("https://matarstund.is/serfaedi?id=",LOWER(SUBSTITUTE(B590," ","-"))))</f>
        <v/>
      </c>
    </row>
    <row r="591" customFormat="false" ht="15" hidden="false" customHeight="true" outlineLevel="0" collapsed="false">
      <c r="A591" s="9"/>
      <c r="B591" s="9"/>
      <c r="C591" s="9"/>
      <c r="D591" s="9"/>
      <c r="E591" s="9"/>
      <c r="F591" s="9"/>
      <c r="G591" s="9"/>
      <c r="H591" s="64" t="str">
        <f aca="false">IF(OR(A591="",B591=""),"",CONCATENATE("https://matarstund.is/serfaedi?id=",LOWER(SUBSTITUTE(B591," ","-"))))</f>
        <v/>
      </c>
    </row>
    <row r="592" customFormat="false" ht="15" hidden="false" customHeight="true" outlineLevel="0" collapsed="false">
      <c r="A592" s="68"/>
      <c r="B592" s="68"/>
      <c r="C592" s="68"/>
      <c r="D592" s="68"/>
      <c r="E592" s="68"/>
      <c r="F592" s="68"/>
      <c r="G592" s="68"/>
      <c r="H592" s="64" t="str">
        <f aca="false">IF(OR(A592="",B592=""),"",CONCATENATE("https://matarstund.is/serfaedi?id=",LOWER(SUBSTITUTE(B592," ","-"))))</f>
        <v/>
      </c>
    </row>
    <row r="593" customFormat="false" ht="15" hidden="false" customHeight="true" outlineLevel="0" collapsed="false">
      <c r="A593" s="9"/>
      <c r="B593" s="9"/>
      <c r="C593" s="9"/>
      <c r="D593" s="9"/>
      <c r="E593" s="9"/>
      <c r="F593" s="9"/>
      <c r="G593" s="9"/>
      <c r="H593" s="64" t="str">
        <f aca="false">IF(OR(A593="",B593=""),"",CONCATENATE("https://matarstund.is/serfaedi?id=",LOWER(SUBSTITUTE(B593," ","-"))))</f>
        <v/>
      </c>
    </row>
    <row r="594" customFormat="false" ht="15" hidden="false" customHeight="true" outlineLevel="0" collapsed="false">
      <c r="A594" s="68"/>
      <c r="B594" s="68"/>
      <c r="C594" s="68"/>
      <c r="D594" s="68"/>
      <c r="E594" s="68"/>
      <c r="F594" s="68"/>
      <c r="G594" s="68"/>
      <c r="H594" s="64" t="str">
        <f aca="false">IF(OR(A594="",B594=""),"",CONCATENATE("https://matarstund.is/serfaedi?id=",LOWER(SUBSTITUTE(B594," ","-"))))</f>
        <v/>
      </c>
    </row>
    <row r="595" customFormat="false" ht="15" hidden="false" customHeight="true" outlineLevel="0" collapsed="false">
      <c r="A595" s="9"/>
      <c r="B595" s="9"/>
      <c r="C595" s="9"/>
      <c r="D595" s="9"/>
      <c r="E595" s="9"/>
      <c r="F595" s="9"/>
      <c r="G595" s="9"/>
      <c r="H595" s="64" t="str">
        <f aca="false">IF(OR(A595="",B595=""),"",CONCATENATE("https://matarstund.is/serfaedi?id=",LOWER(SUBSTITUTE(B595," ","-"))))</f>
        <v/>
      </c>
    </row>
    <row r="596" customFormat="false" ht="15" hidden="false" customHeight="true" outlineLevel="0" collapsed="false">
      <c r="A596" s="68"/>
      <c r="B596" s="68"/>
      <c r="C596" s="68"/>
      <c r="D596" s="68"/>
      <c r="E596" s="68"/>
      <c r="F596" s="68"/>
      <c r="G596" s="68"/>
      <c r="H596" s="64" t="str">
        <f aca="false">IF(OR(A596="",B596=""),"",CONCATENATE("https://matarstund.is/serfaedi?id=",LOWER(SUBSTITUTE(B596," ","-"))))</f>
        <v/>
      </c>
    </row>
    <row r="597" customFormat="false" ht="15" hidden="false" customHeight="true" outlineLevel="0" collapsed="false">
      <c r="A597" s="9"/>
      <c r="B597" s="9"/>
      <c r="C597" s="9"/>
      <c r="D597" s="9"/>
      <c r="E597" s="9"/>
      <c r="F597" s="9"/>
      <c r="G597" s="9"/>
      <c r="H597" s="64" t="str">
        <f aca="false">IF(OR(A597="",B597=""),"",CONCATENATE("https://matarstund.is/serfaedi?id=",LOWER(SUBSTITUTE(B597," ","-"))))</f>
        <v/>
      </c>
    </row>
    <row r="598" customFormat="false" ht="15" hidden="false" customHeight="true" outlineLevel="0" collapsed="false">
      <c r="A598" s="68"/>
      <c r="B598" s="68"/>
      <c r="C598" s="68"/>
      <c r="D598" s="68"/>
      <c r="E598" s="68"/>
      <c r="F598" s="68"/>
      <c r="G598" s="68"/>
      <c r="H598" s="64" t="str">
        <f aca="false">IF(OR(A598="",B598=""),"",CONCATENATE("https://matarstund.is/serfaedi?id=",LOWER(SUBSTITUTE(B598," ","-"))))</f>
        <v/>
      </c>
    </row>
    <row r="599" customFormat="false" ht="15" hidden="false" customHeight="true" outlineLevel="0" collapsed="false">
      <c r="A599" s="9"/>
      <c r="B599" s="9"/>
      <c r="C599" s="9"/>
      <c r="D599" s="9"/>
      <c r="E599" s="9"/>
      <c r="F599" s="9"/>
      <c r="G599" s="9"/>
      <c r="H599" s="64" t="str">
        <f aca="false">IF(OR(A599="",B599=""),"",CONCATENATE("https://matarstund.is/serfaedi?id=",LOWER(SUBSTITUTE(B599," ","-"))))</f>
        <v/>
      </c>
    </row>
    <row r="600" customFormat="false" ht="15" hidden="false" customHeight="true" outlineLevel="0" collapsed="false">
      <c r="A600" s="68"/>
      <c r="B600" s="68"/>
      <c r="C600" s="68"/>
      <c r="D600" s="68"/>
      <c r="E600" s="68"/>
      <c r="F600" s="68"/>
      <c r="G600" s="68"/>
      <c r="H600" s="64" t="str">
        <f aca="false">IF(OR(A600="",B600=""),"",CONCATENATE("https://matarstund.is/serfaedi?id=",LOWER(SUBSTITUTE(B600," ","-"))))</f>
        <v/>
      </c>
    </row>
    <row r="601" customFormat="false" ht="15" hidden="false" customHeight="true" outlineLevel="0" collapsed="false">
      <c r="A601" s="9"/>
      <c r="B601" s="9"/>
      <c r="C601" s="9"/>
      <c r="D601" s="9"/>
      <c r="E601" s="9"/>
      <c r="F601" s="9"/>
      <c r="G601" s="9"/>
      <c r="H601" s="64" t="str">
        <f aca="false">IF(OR(A601="",B601=""),"",CONCATENATE("https://matarstund.is/serfaedi?id=",LOWER(SUBSTITUTE(B601," ","-"))))</f>
        <v/>
      </c>
    </row>
    <row r="602" customFormat="false" ht="15" hidden="false" customHeight="true" outlineLevel="0" collapsed="false">
      <c r="A602" s="68"/>
      <c r="B602" s="68"/>
      <c r="C602" s="68"/>
      <c r="D602" s="68"/>
      <c r="E602" s="68"/>
      <c r="F602" s="68"/>
      <c r="G602" s="68"/>
      <c r="H602" s="64" t="str">
        <f aca="false">IF(OR(A602="",B602=""),"",CONCATENATE("https://matarstund.is/serfaedi?id=",LOWER(SUBSTITUTE(B602," ","-"))))</f>
        <v/>
      </c>
    </row>
    <row r="603" customFormat="false" ht="15" hidden="false" customHeight="true" outlineLevel="0" collapsed="false">
      <c r="A603" s="9"/>
      <c r="B603" s="9"/>
      <c r="C603" s="9"/>
      <c r="D603" s="9"/>
      <c r="E603" s="9"/>
      <c r="F603" s="9"/>
      <c r="G603" s="9"/>
      <c r="H603" s="64" t="str">
        <f aca="false">IF(OR(A603="",B603=""),"",CONCATENATE("https://matarstund.is/serfaedi?id=",LOWER(SUBSTITUTE(B603," ","-"))))</f>
        <v/>
      </c>
    </row>
    <row r="604" customFormat="false" ht="15" hidden="false" customHeight="true" outlineLevel="0" collapsed="false">
      <c r="A604" s="68"/>
      <c r="B604" s="68"/>
      <c r="C604" s="68"/>
      <c r="D604" s="68"/>
      <c r="E604" s="68"/>
      <c r="F604" s="68"/>
      <c r="G604" s="68"/>
      <c r="H604" s="64" t="str">
        <f aca="false">IF(OR(A604="",B604=""),"",CONCATENATE("https://matarstund.is/serfaedi?id=",LOWER(SUBSTITUTE(B604," ","-"))))</f>
        <v/>
      </c>
    </row>
    <row r="605" customFormat="false" ht="15" hidden="false" customHeight="true" outlineLevel="0" collapsed="false">
      <c r="A605" s="9"/>
      <c r="B605" s="9"/>
      <c r="C605" s="9"/>
      <c r="D605" s="9"/>
      <c r="E605" s="9"/>
      <c r="F605" s="9"/>
      <c r="G605" s="9"/>
      <c r="H605" s="64" t="str">
        <f aca="false">IF(OR(A605="",B605=""),"",CONCATENATE("https://matarstund.is/serfaedi?id=",LOWER(SUBSTITUTE(B605," ","-"))))</f>
        <v/>
      </c>
    </row>
    <row r="606" customFormat="false" ht="15" hidden="false" customHeight="true" outlineLevel="0" collapsed="false">
      <c r="A606" s="68"/>
      <c r="B606" s="68"/>
      <c r="C606" s="68"/>
      <c r="D606" s="68"/>
      <c r="E606" s="68"/>
      <c r="F606" s="68"/>
      <c r="G606" s="68"/>
      <c r="H606" s="64" t="str">
        <f aca="false">IF(OR(A606="",B606=""),"",CONCATENATE("https://matarstund.is/serfaedi?id=",LOWER(SUBSTITUTE(B606," ","-"))))</f>
        <v/>
      </c>
    </row>
    <row r="607" customFormat="false" ht="15" hidden="false" customHeight="true" outlineLevel="0" collapsed="false">
      <c r="A607" s="9"/>
      <c r="B607" s="9"/>
      <c r="C607" s="9"/>
      <c r="D607" s="9"/>
      <c r="E607" s="9"/>
      <c r="F607" s="9"/>
      <c r="G607" s="9"/>
      <c r="H607" s="64" t="str">
        <f aca="false">IF(OR(A607="",B607=""),"",CONCATENATE("https://matarstund.is/serfaedi?id=",LOWER(SUBSTITUTE(B607," ","-"))))</f>
        <v/>
      </c>
    </row>
    <row r="608" customFormat="false" ht="15" hidden="false" customHeight="true" outlineLevel="0" collapsed="false">
      <c r="A608" s="68"/>
      <c r="B608" s="68"/>
      <c r="C608" s="68"/>
      <c r="D608" s="68"/>
      <c r="E608" s="68"/>
      <c r="F608" s="68"/>
      <c r="G608" s="68"/>
      <c r="H608" s="64" t="str">
        <f aca="false">IF(OR(A608="",B608=""),"",CONCATENATE("https://matarstund.is/serfaedi?id=",LOWER(SUBSTITUTE(B608," ","-"))))</f>
        <v/>
      </c>
    </row>
    <row r="609" customFormat="false" ht="15" hidden="false" customHeight="true" outlineLevel="0" collapsed="false">
      <c r="A609" s="9"/>
      <c r="B609" s="9"/>
      <c r="C609" s="9"/>
      <c r="D609" s="9"/>
      <c r="E609" s="9"/>
      <c r="F609" s="9"/>
      <c r="G609" s="9"/>
      <c r="H609" s="64" t="str">
        <f aca="false">IF(OR(A609="",B609=""),"",CONCATENATE("https://matarstund.is/serfaedi?id=",LOWER(SUBSTITUTE(B609," ","-"))))</f>
        <v/>
      </c>
    </row>
    <row r="610" customFormat="false" ht="15" hidden="false" customHeight="true" outlineLevel="0" collapsed="false">
      <c r="A610" s="68"/>
      <c r="B610" s="68"/>
      <c r="C610" s="68"/>
      <c r="D610" s="68"/>
      <c r="E610" s="68"/>
      <c r="F610" s="68"/>
      <c r="G610" s="68"/>
      <c r="H610" s="64" t="str">
        <f aca="false">IF(OR(A610="",B610=""),"",CONCATENATE("https://matarstund.is/serfaedi?id=",LOWER(SUBSTITUTE(B610," ","-"))))</f>
        <v/>
      </c>
    </row>
    <row r="611" customFormat="false" ht="15" hidden="false" customHeight="true" outlineLevel="0" collapsed="false">
      <c r="A611" s="9"/>
      <c r="B611" s="9"/>
      <c r="C611" s="9"/>
      <c r="D611" s="9"/>
      <c r="E611" s="9"/>
      <c r="F611" s="9"/>
      <c r="G611" s="9"/>
      <c r="H611" s="64" t="str">
        <f aca="false">IF(OR(A611="",B611=""),"",CONCATENATE("https://matarstund.is/serfaedi?id=",LOWER(SUBSTITUTE(B611," ","-"))))</f>
        <v/>
      </c>
    </row>
    <row r="612" customFormat="false" ht="15" hidden="false" customHeight="true" outlineLevel="0" collapsed="false">
      <c r="A612" s="68"/>
      <c r="B612" s="68"/>
      <c r="C612" s="68"/>
      <c r="D612" s="68"/>
      <c r="E612" s="68"/>
      <c r="F612" s="68"/>
      <c r="G612" s="68"/>
      <c r="H612" s="64" t="str">
        <f aca="false">IF(OR(A612="",B612=""),"",CONCATENATE("https://matarstund.is/serfaedi?id=",LOWER(SUBSTITUTE(B612," ","-"))))</f>
        <v/>
      </c>
    </row>
    <row r="613" customFormat="false" ht="15" hidden="false" customHeight="true" outlineLevel="0" collapsed="false">
      <c r="A613" s="9"/>
      <c r="B613" s="9"/>
      <c r="C613" s="9"/>
      <c r="D613" s="9"/>
      <c r="E613" s="9"/>
      <c r="F613" s="9"/>
      <c r="G613" s="9"/>
      <c r="H613" s="64" t="str">
        <f aca="false">IF(OR(A613="",B613=""),"",CONCATENATE("https://matarstund.is/serfaedi?id=",LOWER(SUBSTITUTE(B613," ","-"))))</f>
        <v/>
      </c>
    </row>
    <row r="614" customFormat="false" ht="15" hidden="false" customHeight="true" outlineLevel="0" collapsed="false">
      <c r="A614" s="68"/>
      <c r="B614" s="68"/>
      <c r="C614" s="68"/>
      <c r="D614" s="68"/>
      <c r="E614" s="68"/>
      <c r="F614" s="68"/>
      <c r="G614" s="68"/>
      <c r="H614" s="64" t="str">
        <f aca="false">IF(OR(A614="",B614=""),"",CONCATENATE("https://matarstund.is/serfaedi?id=",LOWER(SUBSTITUTE(B614," ","-"))))</f>
        <v/>
      </c>
    </row>
    <row r="615" customFormat="false" ht="15" hidden="false" customHeight="true" outlineLevel="0" collapsed="false">
      <c r="A615" s="9"/>
      <c r="B615" s="9"/>
      <c r="C615" s="9"/>
      <c r="D615" s="9"/>
      <c r="E615" s="9"/>
      <c r="F615" s="9"/>
      <c r="G615" s="9"/>
      <c r="H615" s="64" t="str">
        <f aca="false">IF(OR(A615="",B615=""),"",CONCATENATE("https://matarstund.is/serfaedi?id=",LOWER(SUBSTITUTE(B615," ","-"))))</f>
        <v/>
      </c>
    </row>
    <row r="616" customFormat="false" ht="15" hidden="false" customHeight="true" outlineLevel="0" collapsed="false">
      <c r="A616" s="68"/>
      <c r="B616" s="68"/>
      <c r="C616" s="68"/>
      <c r="D616" s="68"/>
      <c r="E616" s="68"/>
      <c r="F616" s="68"/>
      <c r="G616" s="68"/>
      <c r="H616" s="64" t="str">
        <f aca="false">IF(OR(A616="",B616=""),"",CONCATENATE("https://matarstund.is/serfaedi?id=",LOWER(SUBSTITUTE(B616," ","-"))))</f>
        <v/>
      </c>
    </row>
    <row r="617" customFormat="false" ht="15" hidden="false" customHeight="true" outlineLevel="0" collapsed="false">
      <c r="A617" s="9"/>
      <c r="B617" s="9"/>
      <c r="C617" s="9"/>
      <c r="D617" s="9"/>
      <c r="E617" s="9"/>
      <c r="F617" s="9"/>
      <c r="G617" s="9"/>
      <c r="H617" s="64" t="str">
        <f aca="false">IF(OR(A617="",B617=""),"",CONCATENATE("https://matarstund.is/serfaedi?id=",LOWER(SUBSTITUTE(B617," ","-"))))</f>
        <v/>
      </c>
    </row>
    <row r="618" customFormat="false" ht="15" hidden="false" customHeight="true" outlineLevel="0" collapsed="false">
      <c r="A618" s="68"/>
      <c r="B618" s="68"/>
      <c r="C618" s="68"/>
      <c r="D618" s="68"/>
      <c r="E618" s="68"/>
      <c r="F618" s="68"/>
      <c r="G618" s="68"/>
      <c r="H618" s="64" t="str">
        <f aca="false">IF(OR(A618="",B618=""),"",CONCATENATE("https://matarstund.is/serfaedi?id=",LOWER(SUBSTITUTE(B618," ","-"))))</f>
        <v/>
      </c>
    </row>
    <row r="619" customFormat="false" ht="15" hidden="false" customHeight="true" outlineLevel="0" collapsed="false">
      <c r="A619" s="9"/>
      <c r="B619" s="9"/>
      <c r="C619" s="9"/>
      <c r="D619" s="9"/>
      <c r="E619" s="9"/>
      <c r="F619" s="9"/>
      <c r="G619" s="9"/>
      <c r="H619" s="64" t="str">
        <f aca="false">IF(OR(A619="",B619=""),"",CONCATENATE("https://matarstund.is/serfaedi?id=",LOWER(SUBSTITUTE(B619," ","-"))))</f>
        <v/>
      </c>
    </row>
    <row r="620" customFormat="false" ht="15" hidden="false" customHeight="true" outlineLevel="0" collapsed="false">
      <c r="A620" s="68"/>
      <c r="B620" s="68"/>
      <c r="C620" s="68"/>
      <c r="D620" s="68"/>
      <c r="E620" s="68"/>
      <c r="F620" s="68"/>
      <c r="G620" s="68"/>
      <c r="H620" s="64" t="str">
        <f aca="false">IF(OR(A620="",B620=""),"",CONCATENATE("https://matarstund.is/serfaedi?id=",LOWER(SUBSTITUTE(B620," ","-"))))</f>
        <v/>
      </c>
    </row>
    <row r="621" customFormat="false" ht="15" hidden="false" customHeight="true" outlineLevel="0" collapsed="false">
      <c r="A621" s="9"/>
      <c r="B621" s="9"/>
      <c r="C621" s="9"/>
      <c r="D621" s="9"/>
      <c r="E621" s="9"/>
      <c r="F621" s="9"/>
      <c r="G621" s="9"/>
      <c r="H621" s="64" t="str">
        <f aca="false">IF(OR(A621="",B621=""),"",CONCATENATE("https://matarstund.is/serfaedi?id=",LOWER(SUBSTITUTE(B621," ","-"))))</f>
        <v/>
      </c>
    </row>
    <row r="622" customFormat="false" ht="15" hidden="false" customHeight="true" outlineLevel="0" collapsed="false">
      <c r="A622" s="68"/>
      <c r="B622" s="68"/>
      <c r="C622" s="68"/>
      <c r="D622" s="68"/>
      <c r="E622" s="68"/>
      <c r="F622" s="68"/>
      <c r="G622" s="68"/>
      <c r="H622" s="64" t="str">
        <f aca="false">IF(OR(A622="",B622=""),"",CONCATENATE("https://matarstund.is/serfaedi?id=",LOWER(SUBSTITUTE(B622," ","-"))))</f>
        <v/>
      </c>
    </row>
    <row r="623" customFormat="false" ht="15" hidden="false" customHeight="true" outlineLevel="0" collapsed="false">
      <c r="A623" s="9"/>
      <c r="B623" s="9"/>
      <c r="C623" s="9"/>
      <c r="D623" s="9"/>
      <c r="E623" s="9"/>
      <c r="F623" s="9"/>
      <c r="G623" s="9"/>
      <c r="H623" s="64" t="str">
        <f aca="false">IF(OR(A623="",B623=""),"",CONCATENATE("https://matarstund.is/serfaedi?id=",LOWER(SUBSTITUTE(B623," ","-"))))</f>
        <v/>
      </c>
    </row>
    <row r="624" customFormat="false" ht="15" hidden="false" customHeight="true" outlineLevel="0" collapsed="false">
      <c r="A624" s="68"/>
      <c r="B624" s="68"/>
      <c r="C624" s="68"/>
      <c r="D624" s="68"/>
      <c r="E624" s="68"/>
      <c r="F624" s="68"/>
      <c r="G624" s="68"/>
      <c r="H624" s="64" t="str">
        <f aca="false">IF(OR(A624="",B624=""),"",CONCATENATE("https://matarstund.is/serfaedi?id=",LOWER(SUBSTITUTE(B624," ","-"))))</f>
        <v/>
      </c>
    </row>
    <row r="625" customFormat="false" ht="15" hidden="false" customHeight="true" outlineLevel="0" collapsed="false">
      <c r="A625" s="9"/>
      <c r="B625" s="9"/>
      <c r="C625" s="9"/>
      <c r="D625" s="9"/>
      <c r="E625" s="9"/>
      <c r="F625" s="9"/>
      <c r="G625" s="9"/>
      <c r="H625" s="64" t="str">
        <f aca="false">IF(OR(A625="",B625=""),"",CONCATENATE("https://matarstund.is/serfaedi?id=",LOWER(SUBSTITUTE(B625," ","-"))))</f>
        <v/>
      </c>
    </row>
    <row r="626" customFormat="false" ht="15" hidden="false" customHeight="true" outlineLevel="0" collapsed="false">
      <c r="A626" s="68"/>
      <c r="B626" s="68"/>
      <c r="C626" s="68"/>
      <c r="D626" s="68"/>
      <c r="E626" s="68"/>
      <c r="F626" s="68"/>
      <c r="G626" s="68"/>
      <c r="H626" s="64" t="str">
        <f aca="false">IF(OR(A626="",B626=""),"",CONCATENATE("https://matarstund.is/serfaedi?id=",LOWER(SUBSTITUTE(B626," ","-"))))</f>
        <v/>
      </c>
    </row>
    <row r="627" customFormat="false" ht="15" hidden="false" customHeight="true" outlineLevel="0" collapsed="false">
      <c r="A627" s="9"/>
      <c r="B627" s="9"/>
      <c r="C627" s="9"/>
      <c r="D627" s="9"/>
      <c r="E627" s="9"/>
      <c r="F627" s="9"/>
      <c r="G627" s="9"/>
      <c r="H627" s="64" t="str">
        <f aca="false">IF(OR(A627="",B627=""),"",CONCATENATE("https://matarstund.is/serfaedi?id=",LOWER(SUBSTITUTE(B627," ","-"))))</f>
        <v/>
      </c>
    </row>
    <row r="628" customFormat="false" ht="15" hidden="false" customHeight="true" outlineLevel="0" collapsed="false">
      <c r="A628" s="68"/>
      <c r="B628" s="68"/>
      <c r="C628" s="68"/>
      <c r="D628" s="68"/>
      <c r="E628" s="68"/>
      <c r="F628" s="68"/>
      <c r="G628" s="68"/>
      <c r="H628" s="64" t="str">
        <f aca="false">IF(OR(A628="",B628=""),"",CONCATENATE("https://matarstund.is/serfaedi?id=",LOWER(SUBSTITUTE(B628," ","-"))))</f>
        <v/>
      </c>
    </row>
    <row r="629" customFormat="false" ht="15" hidden="false" customHeight="true" outlineLevel="0" collapsed="false">
      <c r="A629" s="9"/>
      <c r="B629" s="9"/>
      <c r="C629" s="9"/>
      <c r="D629" s="9"/>
      <c r="E629" s="9"/>
      <c r="F629" s="9"/>
      <c r="G629" s="9"/>
      <c r="H629" s="64" t="str">
        <f aca="false">IF(OR(A629="",B629=""),"",CONCATENATE("https://matarstund.is/serfaedi?id=",LOWER(SUBSTITUTE(B629," ","-"))))</f>
        <v/>
      </c>
    </row>
    <row r="630" customFormat="false" ht="15" hidden="false" customHeight="true" outlineLevel="0" collapsed="false">
      <c r="A630" s="68"/>
      <c r="B630" s="68"/>
      <c r="C630" s="68"/>
      <c r="D630" s="68"/>
      <c r="E630" s="68"/>
      <c r="F630" s="68"/>
      <c r="G630" s="68"/>
      <c r="H630" s="64" t="str">
        <f aca="false">IF(OR(A630="",B630=""),"",CONCATENATE("https://matarstund.is/serfaedi?id=",LOWER(SUBSTITUTE(B630," ","-"))))</f>
        <v/>
      </c>
    </row>
    <row r="631" customFormat="false" ht="15" hidden="false" customHeight="true" outlineLevel="0" collapsed="false">
      <c r="A631" s="9"/>
      <c r="B631" s="9"/>
      <c r="C631" s="9"/>
      <c r="D631" s="9"/>
      <c r="E631" s="9"/>
      <c r="F631" s="9"/>
      <c r="G631" s="9"/>
      <c r="H631" s="64" t="str">
        <f aca="false">IF(OR(A631="",B631=""),"",CONCATENATE("https://matarstund.is/serfaedi?id=",LOWER(SUBSTITUTE(B631," ","-"))))</f>
        <v/>
      </c>
    </row>
    <row r="632" customFormat="false" ht="15" hidden="false" customHeight="true" outlineLevel="0" collapsed="false">
      <c r="A632" s="68"/>
      <c r="B632" s="68"/>
      <c r="C632" s="68"/>
      <c r="D632" s="68"/>
      <c r="E632" s="68"/>
      <c r="F632" s="68"/>
      <c r="G632" s="68"/>
      <c r="H632" s="64" t="str">
        <f aca="false">IF(OR(A632="",B632=""),"",CONCATENATE("https://matarstund.is/serfaedi?id=",LOWER(SUBSTITUTE(B632," ","-"))))</f>
        <v/>
      </c>
    </row>
    <row r="633" customFormat="false" ht="15" hidden="false" customHeight="true" outlineLevel="0" collapsed="false">
      <c r="A633" s="9"/>
      <c r="B633" s="9"/>
      <c r="C633" s="9"/>
      <c r="D633" s="9"/>
      <c r="E633" s="9"/>
      <c r="F633" s="9"/>
      <c r="G633" s="9"/>
      <c r="H633" s="64" t="str">
        <f aca="false">IF(OR(A633="",B633=""),"",CONCATENATE("https://matarstund.is/serfaedi?id=",LOWER(SUBSTITUTE(B633," ","-"))))</f>
        <v/>
      </c>
    </row>
    <row r="634" customFormat="false" ht="15" hidden="false" customHeight="true" outlineLevel="0" collapsed="false">
      <c r="A634" s="68"/>
      <c r="B634" s="68"/>
      <c r="C634" s="68"/>
      <c r="D634" s="68"/>
      <c r="E634" s="68"/>
      <c r="F634" s="68"/>
      <c r="G634" s="68"/>
      <c r="H634" s="64" t="str">
        <f aca="false">IF(OR(A634="",B634=""),"",CONCATENATE("https://matarstund.is/serfaedi?id=",LOWER(SUBSTITUTE(B634," ","-"))))</f>
        <v/>
      </c>
    </row>
    <row r="635" customFormat="false" ht="15" hidden="false" customHeight="true" outlineLevel="0" collapsed="false">
      <c r="A635" s="9"/>
      <c r="B635" s="9"/>
      <c r="C635" s="9"/>
      <c r="D635" s="9"/>
      <c r="E635" s="9"/>
      <c r="F635" s="9"/>
      <c r="G635" s="9"/>
      <c r="H635" s="64" t="str">
        <f aca="false">IF(OR(A635="",B635=""),"",CONCATENATE("https://matarstund.is/serfaedi?id=",LOWER(SUBSTITUTE(B635," ","-"))))</f>
        <v/>
      </c>
    </row>
    <row r="636" customFormat="false" ht="15" hidden="false" customHeight="true" outlineLevel="0" collapsed="false">
      <c r="A636" s="68"/>
      <c r="B636" s="68"/>
      <c r="C636" s="68"/>
      <c r="D636" s="68"/>
      <c r="E636" s="68"/>
      <c r="F636" s="68"/>
      <c r="G636" s="68"/>
      <c r="H636" s="64" t="str">
        <f aca="false">IF(OR(A636="",B636=""),"",CONCATENATE("https://matarstund.is/serfaedi?id=",LOWER(SUBSTITUTE(B636," ","-"))))</f>
        <v/>
      </c>
    </row>
    <row r="637" customFormat="false" ht="15" hidden="false" customHeight="true" outlineLevel="0" collapsed="false">
      <c r="A637" s="9"/>
      <c r="B637" s="9"/>
      <c r="C637" s="9"/>
      <c r="D637" s="9"/>
      <c r="E637" s="9"/>
      <c r="F637" s="9"/>
      <c r="G637" s="9"/>
      <c r="H637" s="64" t="str">
        <f aca="false">IF(OR(A637="",B637=""),"",CONCATENATE("https://matarstund.is/serfaedi?id=",LOWER(SUBSTITUTE(B637," ","-"))))</f>
        <v/>
      </c>
    </row>
    <row r="638" customFormat="false" ht="15" hidden="false" customHeight="true" outlineLevel="0" collapsed="false">
      <c r="A638" s="68"/>
      <c r="B638" s="68"/>
      <c r="C638" s="68"/>
      <c r="D638" s="68"/>
      <c r="E638" s="68"/>
      <c r="F638" s="68"/>
      <c r="G638" s="68"/>
      <c r="H638" s="64" t="str">
        <f aca="false">IF(OR(A638="",B638=""),"",CONCATENATE("https://matarstund.is/serfaedi?id=",LOWER(SUBSTITUTE(B638," ","-"))))</f>
        <v/>
      </c>
    </row>
    <row r="639" customFormat="false" ht="15" hidden="false" customHeight="true" outlineLevel="0" collapsed="false">
      <c r="A639" s="9"/>
      <c r="B639" s="9"/>
      <c r="C639" s="9"/>
      <c r="D639" s="9"/>
      <c r="E639" s="9"/>
      <c r="F639" s="9"/>
      <c r="G639" s="9"/>
      <c r="H639" s="64" t="str">
        <f aca="false">IF(OR(A639="",B639=""),"",CONCATENATE("https://matarstund.is/serfaedi?id=",LOWER(SUBSTITUTE(B639," ","-"))))</f>
        <v/>
      </c>
    </row>
    <row r="640" customFormat="false" ht="15" hidden="false" customHeight="true" outlineLevel="0" collapsed="false">
      <c r="A640" s="68"/>
      <c r="B640" s="68"/>
      <c r="C640" s="68"/>
      <c r="D640" s="68"/>
      <c r="E640" s="68"/>
      <c r="F640" s="68"/>
      <c r="G640" s="68"/>
      <c r="H640" s="64" t="str">
        <f aca="false">IF(OR(A640="",B640=""),"",CONCATENATE("https://matarstund.is/serfaedi?id=",LOWER(SUBSTITUTE(B640," ","-"))))</f>
        <v/>
      </c>
    </row>
    <row r="641" customFormat="false" ht="15" hidden="false" customHeight="true" outlineLevel="0" collapsed="false">
      <c r="A641" s="9"/>
      <c r="B641" s="9"/>
      <c r="C641" s="9"/>
      <c r="D641" s="9"/>
      <c r="E641" s="9"/>
      <c r="F641" s="9"/>
      <c r="G641" s="9"/>
      <c r="H641" s="64" t="str">
        <f aca="false">IF(OR(A641="",B641=""),"",CONCATENATE("https://matarstund.is/serfaedi?id=",LOWER(SUBSTITUTE(B641," ","-"))))</f>
        <v/>
      </c>
    </row>
    <row r="642" customFormat="false" ht="15" hidden="false" customHeight="true" outlineLevel="0" collapsed="false">
      <c r="A642" s="68"/>
      <c r="B642" s="68"/>
      <c r="C642" s="68"/>
      <c r="D642" s="68"/>
      <c r="E642" s="68"/>
      <c r="F642" s="68"/>
      <c r="G642" s="68"/>
      <c r="H642" s="64" t="str">
        <f aca="false">IF(OR(A642="",B642=""),"",CONCATENATE("https://matarstund.is/serfaedi?id=",LOWER(SUBSTITUTE(B642," ","-"))))</f>
        <v/>
      </c>
    </row>
    <row r="643" customFormat="false" ht="15" hidden="false" customHeight="true" outlineLevel="0" collapsed="false">
      <c r="A643" s="9"/>
      <c r="B643" s="9"/>
      <c r="C643" s="9"/>
      <c r="D643" s="9"/>
      <c r="E643" s="9"/>
      <c r="F643" s="9"/>
      <c r="G643" s="9"/>
      <c r="H643" s="64" t="str">
        <f aca="false">IF(OR(A643="",B643=""),"",CONCATENATE("https://matarstund.is/serfaedi?id=",LOWER(SUBSTITUTE(B643," ","-"))))</f>
        <v/>
      </c>
    </row>
    <row r="644" customFormat="false" ht="15" hidden="false" customHeight="true" outlineLevel="0" collapsed="false">
      <c r="A644" s="68"/>
      <c r="B644" s="68"/>
      <c r="C644" s="68"/>
      <c r="D644" s="68"/>
      <c r="E644" s="68"/>
      <c r="F644" s="68"/>
      <c r="G644" s="68"/>
      <c r="H644" s="64" t="str">
        <f aca="false">IF(OR(A644="",B644=""),"",CONCATENATE("https://matarstund.is/serfaedi?id=",LOWER(SUBSTITUTE(B644," ","-"))))</f>
        <v/>
      </c>
    </row>
    <row r="645" customFormat="false" ht="15" hidden="false" customHeight="true" outlineLevel="0" collapsed="false">
      <c r="A645" s="9"/>
      <c r="B645" s="9"/>
      <c r="C645" s="9"/>
      <c r="D645" s="9"/>
      <c r="E645" s="9"/>
      <c r="F645" s="9"/>
      <c r="G645" s="9"/>
      <c r="H645" s="64" t="str">
        <f aca="false">IF(OR(A645="",B645=""),"",CONCATENATE("https://matarstund.is/serfaedi?id=",LOWER(SUBSTITUTE(B645," ","-"))))</f>
        <v/>
      </c>
    </row>
    <row r="646" customFormat="false" ht="15" hidden="false" customHeight="true" outlineLevel="0" collapsed="false">
      <c r="A646" s="68"/>
      <c r="B646" s="68"/>
      <c r="C646" s="68"/>
      <c r="D646" s="68"/>
      <c r="E646" s="68"/>
      <c r="F646" s="68"/>
      <c r="G646" s="68"/>
      <c r="H646" s="64" t="str">
        <f aca="false">IF(OR(A646="",B646=""),"",CONCATENATE("https://matarstund.is/serfaedi?id=",LOWER(SUBSTITUTE(B646," ","-"))))</f>
        <v/>
      </c>
    </row>
    <row r="647" customFormat="false" ht="15" hidden="false" customHeight="true" outlineLevel="0" collapsed="false">
      <c r="A647" s="9"/>
      <c r="B647" s="9"/>
      <c r="C647" s="9"/>
      <c r="D647" s="9"/>
      <c r="E647" s="9"/>
      <c r="F647" s="9"/>
      <c r="G647" s="9"/>
      <c r="H647" s="64" t="str">
        <f aca="false">IF(OR(A647="",B647=""),"",CONCATENATE("https://matarstund.is/serfaedi?id=",LOWER(SUBSTITUTE(B647," ","-"))))</f>
        <v/>
      </c>
    </row>
    <row r="648" customFormat="false" ht="15" hidden="false" customHeight="true" outlineLevel="0" collapsed="false">
      <c r="A648" s="68"/>
      <c r="B648" s="68"/>
      <c r="C648" s="68"/>
      <c r="D648" s="68"/>
      <c r="E648" s="68"/>
      <c r="F648" s="68"/>
      <c r="G648" s="68"/>
      <c r="H648" s="64" t="str">
        <f aca="false">IF(OR(A648="",B648=""),"",CONCATENATE("https://matarstund.is/serfaedi?id=",LOWER(SUBSTITUTE(B648," ","-"))))</f>
        <v/>
      </c>
    </row>
    <row r="649" customFormat="false" ht="15" hidden="false" customHeight="true" outlineLevel="0" collapsed="false">
      <c r="A649" s="9"/>
      <c r="B649" s="9"/>
      <c r="C649" s="9"/>
      <c r="D649" s="9"/>
      <c r="E649" s="9"/>
      <c r="F649" s="9"/>
      <c r="G649" s="9"/>
      <c r="H649" s="64" t="str">
        <f aca="false">IF(OR(A649="",B649=""),"",CONCATENATE("https://matarstund.is/serfaedi?id=",LOWER(SUBSTITUTE(B649," ","-"))))</f>
        <v/>
      </c>
    </row>
    <row r="650" customFormat="false" ht="15" hidden="false" customHeight="true" outlineLevel="0" collapsed="false">
      <c r="A650" s="68"/>
      <c r="B650" s="68"/>
      <c r="C650" s="68"/>
      <c r="D650" s="68"/>
      <c r="E650" s="68"/>
      <c r="F650" s="68"/>
      <c r="G650" s="68"/>
      <c r="H650" s="64" t="str">
        <f aca="false">IF(OR(A650="",B650=""),"",CONCATENATE("https://matarstund.is/serfaedi?id=",LOWER(SUBSTITUTE(B650," ","-"))))</f>
        <v/>
      </c>
    </row>
    <row r="651" customFormat="false" ht="15" hidden="false" customHeight="true" outlineLevel="0" collapsed="false">
      <c r="A651" s="9"/>
      <c r="B651" s="9"/>
      <c r="C651" s="9"/>
      <c r="D651" s="9"/>
      <c r="E651" s="9"/>
      <c r="F651" s="9"/>
      <c r="G651" s="9"/>
      <c r="H651" s="64" t="str">
        <f aca="false">IF(OR(A651="",B651=""),"",CONCATENATE("https://matarstund.is/serfaedi?id=",LOWER(SUBSTITUTE(B651," ","-"))))</f>
        <v/>
      </c>
    </row>
    <row r="652" customFormat="false" ht="15" hidden="false" customHeight="true" outlineLevel="0" collapsed="false">
      <c r="A652" s="68"/>
      <c r="B652" s="68"/>
      <c r="C652" s="68"/>
      <c r="D652" s="68"/>
      <c r="E652" s="68"/>
      <c r="F652" s="68"/>
      <c r="G652" s="68"/>
      <c r="H652" s="64" t="str">
        <f aca="false">IF(OR(A652="",B652=""),"",CONCATENATE("https://matarstund.is/serfaedi?id=",LOWER(SUBSTITUTE(B652," ","-"))))</f>
        <v/>
      </c>
    </row>
    <row r="653" customFormat="false" ht="15" hidden="false" customHeight="true" outlineLevel="0" collapsed="false">
      <c r="A653" s="9"/>
      <c r="B653" s="9"/>
      <c r="C653" s="9"/>
      <c r="D653" s="9"/>
      <c r="E653" s="9"/>
      <c r="F653" s="9"/>
      <c r="G653" s="9"/>
      <c r="H653" s="64" t="str">
        <f aca="false">IF(OR(A653="",B653=""),"",CONCATENATE("https://matarstund.is/serfaedi?id=",LOWER(SUBSTITUTE(B653," ","-"))))</f>
        <v/>
      </c>
    </row>
    <row r="654" customFormat="false" ht="15" hidden="false" customHeight="true" outlineLevel="0" collapsed="false">
      <c r="A654" s="68"/>
      <c r="B654" s="68"/>
      <c r="C654" s="68"/>
      <c r="D654" s="68"/>
      <c r="E654" s="68"/>
      <c r="F654" s="68"/>
      <c r="G654" s="68"/>
      <c r="H654" s="64" t="str">
        <f aca="false">IF(OR(A654="",B654=""),"",CONCATENATE("https://matarstund.is/serfaedi?id=",LOWER(SUBSTITUTE(B654," ","-"))))</f>
        <v/>
      </c>
    </row>
    <row r="655" customFormat="false" ht="15" hidden="false" customHeight="true" outlineLevel="0" collapsed="false">
      <c r="A655" s="9"/>
      <c r="B655" s="9"/>
      <c r="C655" s="9"/>
      <c r="D655" s="9"/>
      <c r="E655" s="9"/>
      <c r="F655" s="9"/>
      <c r="G655" s="9"/>
      <c r="H655" s="64" t="str">
        <f aca="false">IF(OR(A655="",B655=""),"",CONCATENATE("https://matarstund.is/serfaedi?id=",LOWER(SUBSTITUTE(B655," ","-"))))</f>
        <v/>
      </c>
    </row>
    <row r="656" customFormat="false" ht="15" hidden="false" customHeight="true" outlineLevel="0" collapsed="false">
      <c r="A656" s="68"/>
      <c r="B656" s="68"/>
      <c r="C656" s="68"/>
      <c r="D656" s="68"/>
      <c r="E656" s="68"/>
      <c r="F656" s="68"/>
      <c r="G656" s="68"/>
      <c r="H656" s="64" t="str">
        <f aca="false">IF(OR(A656="",B656=""),"",CONCATENATE("https://matarstund.is/serfaedi?id=",LOWER(SUBSTITUTE(B656," ","-"))))</f>
        <v/>
      </c>
    </row>
    <row r="657" customFormat="false" ht="15" hidden="false" customHeight="true" outlineLevel="0" collapsed="false">
      <c r="A657" s="9"/>
      <c r="B657" s="9"/>
      <c r="C657" s="9"/>
      <c r="D657" s="9"/>
      <c r="E657" s="9"/>
      <c r="F657" s="9"/>
      <c r="G657" s="9"/>
      <c r="H657" s="64" t="str">
        <f aca="false">IF(OR(A657="",B657=""),"",CONCATENATE("https://matarstund.is/serfaedi?id=",LOWER(SUBSTITUTE(B657," ","-"))))</f>
        <v/>
      </c>
    </row>
    <row r="658" customFormat="false" ht="15" hidden="false" customHeight="true" outlineLevel="0" collapsed="false">
      <c r="A658" s="68"/>
      <c r="B658" s="68"/>
      <c r="C658" s="68"/>
      <c r="D658" s="68"/>
      <c r="E658" s="68"/>
      <c r="F658" s="68"/>
      <c r="G658" s="68"/>
      <c r="H658" s="64" t="str">
        <f aca="false">IF(OR(A658="",B658=""),"",CONCATENATE("https://matarstund.is/serfaedi?id=",LOWER(SUBSTITUTE(B658," ","-"))))</f>
        <v/>
      </c>
    </row>
    <row r="659" customFormat="false" ht="15" hidden="false" customHeight="true" outlineLevel="0" collapsed="false">
      <c r="A659" s="9"/>
      <c r="B659" s="9"/>
      <c r="C659" s="9"/>
      <c r="D659" s="9"/>
      <c r="E659" s="9"/>
      <c r="F659" s="9"/>
      <c r="G659" s="9"/>
      <c r="H659" s="64" t="str">
        <f aca="false">IF(OR(A659="",B659=""),"",CONCATENATE("https://matarstund.is/serfaedi?id=",LOWER(SUBSTITUTE(B659," ","-"))))</f>
        <v/>
      </c>
    </row>
    <row r="660" customFormat="false" ht="15" hidden="false" customHeight="true" outlineLevel="0" collapsed="false">
      <c r="A660" s="68"/>
      <c r="B660" s="68"/>
      <c r="C660" s="68"/>
      <c r="D660" s="68"/>
      <c r="E660" s="68"/>
      <c r="F660" s="68"/>
      <c r="G660" s="68"/>
      <c r="H660" s="64" t="str">
        <f aca="false">IF(OR(A660="",B660=""),"",CONCATENATE("https://matarstund.is/serfaedi?id=",LOWER(SUBSTITUTE(B660," ","-"))))</f>
        <v/>
      </c>
    </row>
    <row r="661" customFormat="false" ht="15" hidden="false" customHeight="true" outlineLevel="0" collapsed="false">
      <c r="A661" s="9"/>
      <c r="B661" s="9"/>
      <c r="C661" s="9"/>
      <c r="D661" s="9"/>
      <c r="E661" s="9"/>
      <c r="F661" s="9"/>
      <c r="G661" s="9"/>
      <c r="H661" s="64" t="str">
        <f aca="false">IF(OR(A661="",B661=""),"",CONCATENATE("https://matarstund.is/serfaedi?id=",LOWER(SUBSTITUTE(B661," ","-"))))</f>
        <v/>
      </c>
    </row>
    <row r="662" customFormat="false" ht="15" hidden="false" customHeight="true" outlineLevel="0" collapsed="false">
      <c r="A662" s="68"/>
      <c r="B662" s="68"/>
      <c r="C662" s="68"/>
      <c r="D662" s="68"/>
      <c r="E662" s="68"/>
      <c r="F662" s="68"/>
      <c r="G662" s="68"/>
      <c r="H662" s="64" t="str">
        <f aca="false">IF(OR(A662="",B662=""),"",CONCATENATE("https://matarstund.is/serfaedi?id=",LOWER(SUBSTITUTE(B662," ","-"))))</f>
        <v/>
      </c>
    </row>
    <row r="663" customFormat="false" ht="15" hidden="false" customHeight="true" outlineLevel="0" collapsed="false">
      <c r="A663" s="9"/>
      <c r="B663" s="9"/>
      <c r="C663" s="9"/>
      <c r="D663" s="9"/>
      <c r="E663" s="9"/>
      <c r="F663" s="9"/>
      <c r="G663" s="9"/>
      <c r="H663" s="64" t="str">
        <f aca="false">IF(OR(A663="",B663=""),"",CONCATENATE("https://matarstund.is/serfaedi?id=",LOWER(SUBSTITUTE(B663," ","-"))))</f>
        <v/>
      </c>
    </row>
    <row r="664" customFormat="false" ht="15" hidden="false" customHeight="true" outlineLevel="0" collapsed="false">
      <c r="A664" s="68"/>
      <c r="B664" s="68"/>
      <c r="C664" s="68"/>
      <c r="D664" s="68"/>
      <c r="E664" s="68"/>
      <c r="F664" s="68"/>
      <c r="G664" s="68"/>
      <c r="H664" s="64" t="str">
        <f aca="false">IF(OR(A664="",B664=""),"",CONCATENATE("https://matarstund.is/serfaedi?id=",LOWER(SUBSTITUTE(B664," ","-"))))</f>
        <v/>
      </c>
    </row>
    <row r="665" customFormat="false" ht="15" hidden="false" customHeight="true" outlineLevel="0" collapsed="false">
      <c r="A665" s="9"/>
      <c r="B665" s="9"/>
      <c r="C665" s="9"/>
      <c r="D665" s="9"/>
      <c r="E665" s="9"/>
      <c r="F665" s="9"/>
      <c r="G665" s="9"/>
      <c r="H665" s="64" t="str">
        <f aca="false">IF(OR(A665="",B665=""),"",CONCATENATE("https://matarstund.is/serfaedi?id=",LOWER(SUBSTITUTE(B665," ","-"))))</f>
        <v/>
      </c>
    </row>
    <row r="666" customFormat="false" ht="15" hidden="false" customHeight="true" outlineLevel="0" collapsed="false">
      <c r="A666" s="68"/>
      <c r="B666" s="68"/>
      <c r="C666" s="68"/>
      <c r="D666" s="68"/>
      <c r="E666" s="68"/>
      <c r="F666" s="68"/>
      <c r="G666" s="68"/>
      <c r="H666" s="64" t="str">
        <f aca="false">IF(OR(A666="",B666=""),"",CONCATENATE("https://matarstund.is/serfaedi?id=",LOWER(SUBSTITUTE(B666," ","-"))))</f>
        <v/>
      </c>
    </row>
    <row r="667" customFormat="false" ht="15" hidden="false" customHeight="true" outlineLevel="0" collapsed="false">
      <c r="A667" s="9"/>
      <c r="B667" s="9"/>
      <c r="C667" s="9"/>
      <c r="D667" s="9"/>
      <c r="E667" s="9"/>
      <c r="F667" s="9"/>
      <c r="G667" s="9"/>
      <c r="H667" s="64" t="str">
        <f aca="false">IF(OR(A667="",B667=""),"",CONCATENATE("https://matarstund.is/serfaedi?id=",LOWER(SUBSTITUTE(B667," ","-"))))</f>
        <v/>
      </c>
    </row>
    <row r="668" customFormat="false" ht="15" hidden="false" customHeight="true" outlineLevel="0" collapsed="false">
      <c r="A668" s="68"/>
      <c r="B668" s="68"/>
      <c r="C668" s="68"/>
      <c r="D668" s="68"/>
      <c r="E668" s="68"/>
      <c r="F668" s="68"/>
      <c r="G668" s="68"/>
      <c r="H668" s="64" t="str">
        <f aca="false">IF(OR(A668="",B668=""),"",CONCATENATE("https://matarstund.is/serfaedi?id=",LOWER(SUBSTITUTE(B668," ","-"))))</f>
        <v/>
      </c>
    </row>
    <row r="669" customFormat="false" ht="15" hidden="false" customHeight="true" outlineLevel="0" collapsed="false">
      <c r="A669" s="9"/>
      <c r="B669" s="9"/>
      <c r="C669" s="9"/>
      <c r="D669" s="9"/>
      <c r="E669" s="9"/>
      <c r="F669" s="9"/>
      <c r="G669" s="9"/>
      <c r="H669" s="64" t="str">
        <f aca="false">IF(OR(A669="",B669=""),"",CONCATENATE("https://matarstund.is/serfaedi?id=",LOWER(SUBSTITUTE(B669," ","-"))))</f>
        <v/>
      </c>
    </row>
    <row r="670" customFormat="false" ht="15" hidden="false" customHeight="true" outlineLevel="0" collapsed="false">
      <c r="A670" s="68"/>
      <c r="B670" s="68"/>
      <c r="C670" s="68"/>
      <c r="D670" s="68"/>
      <c r="E670" s="68"/>
      <c r="F670" s="68"/>
      <c r="G670" s="68"/>
      <c r="H670" s="64" t="str">
        <f aca="false">IF(OR(A670="",B670=""),"",CONCATENATE("https://matarstund.is/serfaedi?id=",LOWER(SUBSTITUTE(B670," ","-"))))</f>
        <v/>
      </c>
    </row>
    <row r="671" customFormat="false" ht="15" hidden="false" customHeight="true" outlineLevel="0" collapsed="false">
      <c r="A671" s="9"/>
      <c r="B671" s="9"/>
      <c r="C671" s="9"/>
      <c r="D671" s="9"/>
      <c r="E671" s="9"/>
      <c r="F671" s="9"/>
      <c r="G671" s="9"/>
      <c r="H671" s="64" t="str">
        <f aca="false">IF(OR(A671="",B671=""),"",CONCATENATE("https://matarstund.is/serfaedi?id=",LOWER(SUBSTITUTE(B671," ","-"))))</f>
        <v/>
      </c>
    </row>
    <row r="672" customFormat="false" ht="15" hidden="false" customHeight="true" outlineLevel="0" collapsed="false">
      <c r="A672" s="68"/>
      <c r="B672" s="68"/>
      <c r="C672" s="68"/>
      <c r="D672" s="68"/>
      <c r="E672" s="68"/>
      <c r="F672" s="68"/>
      <c r="G672" s="68"/>
      <c r="H672" s="64" t="str">
        <f aca="false">IF(OR(A672="",B672=""),"",CONCATENATE("https://matarstund.is/serfaedi?id=",LOWER(SUBSTITUTE(B672," ","-"))))</f>
        <v/>
      </c>
    </row>
    <row r="673" customFormat="false" ht="15" hidden="false" customHeight="true" outlineLevel="0" collapsed="false">
      <c r="A673" s="9"/>
      <c r="B673" s="9"/>
      <c r="C673" s="9"/>
      <c r="D673" s="9"/>
      <c r="E673" s="9"/>
      <c r="F673" s="9"/>
      <c r="G673" s="9"/>
      <c r="H673" s="64" t="str">
        <f aca="false">IF(OR(A673="",B673=""),"",CONCATENATE("https://matarstund.is/serfaedi?id=",LOWER(SUBSTITUTE(B673," ","-"))))</f>
        <v/>
      </c>
    </row>
    <row r="674" customFormat="false" ht="15" hidden="false" customHeight="true" outlineLevel="0" collapsed="false">
      <c r="A674" s="68"/>
      <c r="B674" s="68"/>
      <c r="C674" s="68"/>
      <c r="D674" s="68"/>
      <c r="E674" s="68"/>
      <c r="F674" s="68"/>
      <c r="G674" s="68"/>
      <c r="H674" s="64" t="str">
        <f aca="false">IF(OR(A674="",B674=""),"",CONCATENATE("https://matarstund.is/serfaedi?id=",LOWER(SUBSTITUTE(B674," ","-"))))</f>
        <v/>
      </c>
    </row>
    <row r="675" customFormat="false" ht="15" hidden="false" customHeight="true" outlineLevel="0" collapsed="false">
      <c r="A675" s="9"/>
      <c r="B675" s="9"/>
      <c r="C675" s="9"/>
      <c r="D675" s="9"/>
      <c r="E675" s="9"/>
      <c r="F675" s="9"/>
      <c r="G675" s="9"/>
      <c r="H675" s="64" t="str">
        <f aca="false">IF(OR(A675="",B675=""),"",CONCATENATE("https://matarstund.is/serfaedi?id=",LOWER(SUBSTITUTE(B675," ","-"))))</f>
        <v/>
      </c>
    </row>
    <row r="676" customFormat="false" ht="15" hidden="false" customHeight="true" outlineLevel="0" collapsed="false">
      <c r="A676" s="68"/>
      <c r="B676" s="68"/>
      <c r="C676" s="68"/>
      <c r="D676" s="68"/>
      <c r="E676" s="68"/>
      <c r="F676" s="68"/>
      <c r="G676" s="68"/>
      <c r="H676" s="64" t="str">
        <f aca="false">IF(OR(A676="",B676=""),"",CONCATENATE("https://matarstund.is/serfaedi?id=",LOWER(SUBSTITUTE(B676," ","-"))))</f>
        <v/>
      </c>
    </row>
    <row r="677" customFormat="false" ht="15" hidden="false" customHeight="true" outlineLevel="0" collapsed="false">
      <c r="A677" s="9"/>
      <c r="B677" s="9"/>
      <c r="C677" s="9"/>
      <c r="D677" s="9"/>
      <c r="E677" s="9"/>
      <c r="F677" s="9"/>
      <c r="G677" s="9"/>
      <c r="H677" s="64" t="str">
        <f aca="false">IF(OR(A677="",B677=""),"",CONCATENATE("https://matarstund.is/serfaedi?id=",LOWER(SUBSTITUTE(B677," ","-"))))</f>
        <v/>
      </c>
    </row>
    <row r="678" customFormat="false" ht="15" hidden="false" customHeight="true" outlineLevel="0" collapsed="false">
      <c r="A678" s="68"/>
      <c r="B678" s="68"/>
      <c r="C678" s="68"/>
      <c r="D678" s="68"/>
      <c r="E678" s="68"/>
      <c r="F678" s="68"/>
      <c r="G678" s="68"/>
      <c r="H678" s="64" t="str">
        <f aca="false">IF(OR(A678="",B678=""),"",CONCATENATE("https://matarstund.is/serfaedi?id=",LOWER(SUBSTITUTE(B678," ","-"))))</f>
        <v/>
      </c>
    </row>
    <row r="679" customFormat="false" ht="15" hidden="false" customHeight="true" outlineLevel="0" collapsed="false">
      <c r="A679" s="9"/>
      <c r="B679" s="9"/>
      <c r="C679" s="9"/>
      <c r="D679" s="9"/>
      <c r="E679" s="9"/>
      <c r="F679" s="9"/>
      <c r="G679" s="9"/>
      <c r="H679" s="64" t="str">
        <f aca="false">IF(OR(A679="",B679=""),"",CONCATENATE("https://matarstund.is/serfaedi?id=",LOWER(SUBSTITUTE(B679," ","-"))))</f>
        <v/>
      </c>
    </row>
    <row r="680" customFormat="false" ht="15" hidden="false" customHeight="true" outlineLevel="0" collapsed="false">
      <c r="A680" s="68"/>
      <c r="B680" s="68"/>
      <c r="C680" s="68"/>
      <c r="D680" s="68"/>
      <c r="E680" s="68"/>
      <c r="F680" s="68"/>
      <c r="G680" s="68"/>
      <c r="H680" s="64" t="str">
        <f aca="false">IF(OR(A680="",B680=""),"",CONCATENATE("https://matarstund.is/serfaedi?id=",LOWER(SUBSTITUTE(B680," ","-"))))</f>
        <v/>
      </c>
    </row>
    <row r="681" customFormat="false" ht="15" hidden="false" customHeight="true" outlineLevel="0" collapsed="false">
      <c r="A681" s="9"/>
      <c r="B681" s="9"/>
      <c r="C681" s="9"/>
      <c r="D681" s="9"/>
      <c r="E681" s="9"/>
      <c r="F681" s="9"/>
      <c r="G681" s="9"/>
      <c r="H681" s="64" t="str">
        <f aca="false">IF(OR(A681="",B681=""),"",CONCATENATE("https://matarstund.is/serfaedi?id=",LOWER(SUBSTITUTE(B681," ","-"))))</f>
        <v/>
      </c>
    </row>
    <row r="682" customFormat="false" ht="15" hidden="false" customHeight="true" outlineLevel="0" collapsed="false">
      <c r="A682" s="68"/>
      <c r="B682" s="68"/>
      <c r="C682" s="68"/>
      <c r="D682" s="68"/>
      <c r="E682" s="68"/>
      <c r="F682" s="68"/>
      <c r="G682" s="68"/>
      <c r="H682" s="64" t="str">
        <f aca="false">IF(OR(A682="",B682=""),"",CONCATENATE("https://matarstund.is/serfaedi?id=",LOWER(SUBSTITUTE(B682," ","-"))))</f>
        <v/>
      </c>
    </row>
    <row r="683" customFormat="false" ht="15" hidden="false" customHeight="true" outlineLevel="0" collapsed="false">
      <c r="A683" s="9"/>
      <c r="B683" s="9"/>
      <c r="C683" s="9"/>
      <c r="D683" s="9"/>
      <c r="E683" s="9"/>
      <c r="F683" s="9"/>
      <c r="G683" s="9"/>
      <c r="H683" s="64" t="str">
        <f aca="false">IF(OR(A683="",B683=""),"",CONCATENATE("https://matarstund.is/serfaedi?id=",LOWER(SUBSTITUTE(B683," ","-"))))</f>
        <v/>
      </c>
    </row>
    <row r="684" customFormat="false" ht="15" hidden="false" customHeight="true" outlineLevel="0" collapsed="false">
      <c r="A684" s="68"/>
      <c r="B684" s="68"/>
      <c r="C684" s="68"/>
      <c r="D684" s="68"/>
      <c r="E684" s="68"/>
      <c r="F684" s="68"/>
      <c r="G684" s="68"/>
      <c r="H684" s="64" t="str">
        <f aca="false">IF(OR(A684="",B684=""),"",CONCATENATE("https://matarstund.is/serfaedi?id=",LOWER(SUBSTITUTE(B684," ","-"))))</f>
        <v/>
      </c>
    </row>
    <row r="685" customFormat="false" ht="15" hidden="false" customHeight="true" outlineLevel="0" collapsed="false">
      <c r="A685" s="9"/>
      <c r="B685" s="9"/>
      <c r="C685" s="9"/>
      <c r="D685" s="9"/>
      <c r="E685" s="9"/>
      <c r="F685" s="9"/>
      <c r="G685" s="9"/>
      <c r="H685" s="64" t="str">
        <f aca="false">IF(OR(A685="",B685=""),"",CONCATENATE("https://matarstund.is/serfaedi?id=",LOWER(SUBSTITUTE(B685," ","-"))))</f>
        <v/>
      </c>
    </row>
    <row r="686" customFormat="false" ht="15" hidden="false" customHeight="true" outlineLevel="0" collapsed="false">
      <c r="A686" s="68"/>
      <c r="B686" s="68"/>
      <c r="C686" s="68"/>
      <c r="D686" s="68"/>
      <c r="E686" s="68"/>
      <c r="F686" s="68"/>
      <c r="G686" s="68"/>
      <c r="H686" s="64" t="str">
        <f aca="false">IF(OR(A686="",B686=""),"",CONCATENATE("https://matarstund.is/serfaedi?id=",LOWER(SUBSTITUTE(B686," ","-"))))</f>
        <v/>
      </c>
    </row>
    <row r="687" customFormat="false" ht="15" hidden="false" customHeight="true" outlineLevel="0" collapsed="false">
      <c r="A687" s="9"/>
      <c r="B687" s="9"/>
      <c r="C687" s="9"/>
      <c r="D687" s="9"/>
      <c r="E687" s="9"/>
      <c r="F687" s="9"/>
      <c r="G687" s="9"/>
      <c r="H687" s="64" t="str">
        <f aca="false">IF(OR(A687="",B687=""),"",CONCATENATE("https://matarstund.is/serfaedi?id=",LOWER(SUBSTITUTE(B687," ","-"))))</f>
        <v/>
      </c>
    </row>
    <row r="688" customFormat="false" ht="15" hidden="false" customHeight="true" outlineLevel="0" collapsed="false">
      <c r="A688" s="68"/>
      <c r="B688" s="68"/>
      <c r="C688" s="68"/>
      <c r="D688" s="68"/>
      <c r="E688" s="68"/>
      <c r="F688" s="68"/>
      <c r="G688" s="68"/>
      <c r="H688" s="64" t="str">
        <f aca="false">IF(OR(A688="",B688=""),"",CONCATENATE("https://matarstund.is/serfaedi?id=",LOWER(SUBSTITUTE(B688," ","-"))))</f>
        <v/>
      </c>
    </row>
    <row r="689" customFormat="false" ht="15" hidden="false" customHeight="true" outlineLevel="0" collapsed="false">
      <c r="A689" s="9"/>
      <c r="B689" s="9"/>
      <c r="C689" s="9"/>
      <c r="D689" s="9"/>
      <c r="E689" s="9"/>
      <c r="F689" s="9"/>
      <c r="G689" s="9"/>
      <c r="H689" s="64" t="str">
        <f aca="false">IF(OR(A689="",B689=""),"",CONCATENATE("https://matarstund.is/serfaedi?id=",LOWER(SUBSTITUTE(B689," ","-"))))</f>
        <v/>
      </c>
    </row>
    <row r="690" customFormat="false" ht="15" hidden="false" customHeight="true" outlineLevel="0" collapsed="false">
      <c r="A690" s="68"/>
      <c r="B690" s="68"/>
      <c r="C690" s="68"/>
      <c r="D690" s="68"/>
      <c r="E690" s="68"/>
      <c r="F690" s="68"/>
      <c r="G690" s="68"/>
      <c r="H690" s="64" t="str">
        <f aca="false">IF(OR(A690="",B690=""),"",CONCATENATE("https://matarstund.is/serfaedi?id=",LOWER(SUBSTITUTE(B690," ","-"))))</f>
        <v/>
      </c>
    </row>
    <row r="691" customFormat="false" ht="15" hidden="false" customHeight="true" outlineLevel="0" collapsed="false">
      <c r="A691" s="9"/>
      <c r="B691" s="9"/>
      <c r="C691" s="9"/>
      <c r="D691" s="9"/>
      <c r="E691" s="9"/>
      <c r="F691" s="9"/>
      <c r="G691" s="9"/>
      <c r="H691" s="64" t="str">
        <f aca="false">IF(OR(A691="",B691=""),"",CONCATENATE("https://matarstund.is/serfaedi?id=",LOWER(SUBSTITUTE(B691," ","-"))))</f>
        <v/>
      </c>
    </row>
    <row r="692" customFormat="false" ht="15" hidden="false" customHeight="true" outlineLevel="0" collapsed="false">
      <c r="A692" s="68"/>
      <c r="B692" s="68"/>
      <c r="C692" s="68"/>
      <c r="D692" s="68"/>
      <c r="E692" s="68"/>
      <c r="F692" s="68"/>
      <c r="G692" s="68"/>
      <c r="H692" s="64" t="str">
        <f aca="false">IF(OR(A692="",B692=""),"",CONCATENATE("https://matarstund.is/serfaedi?id=",LOWER(SUBSTITUTE(B692," ","-"))))</f>
        <v/>
      </c>
    </row>
    <row r="693" customFormat="false" ht="15" hidden="false" customHeight="true" outlineLevel="0" collapsed="false">
      <c r="A693" s="9"/>
      <c r="B693" s="9"/>
      <c r="C693" s="9"/>
      <c r="D693" s="9"/>
      <c r="E693" s="9"/>
      <c r="F693" s="9"/>
      <c r="G693" s="9"/>
      <c r="H693" s="64" t="str">
        <f aca="false">IF(OR(A693="",B693=""),"",CONCATENATE("https://matarstund.is/serfaedi?id=",LOWER(SUBSTITUTE(B693," ","-"))))</f>
        <v/>
      </c>
    </row>
    <row r="694" customFormat="false" ht="15" hidden="false" customHeight="true" outlineLevel="0" collapsed="false">
      <c r="A694" s="68"/>
      <c r="B694" s="68"/>
      <c r="C694" s="68"/>
      <c r="D694" s="68"/>
      <c r="E694" s="68"/>
      <c r="F694" s="68"/>
      <c r="G694" s="68"/>
      <c r="H694" s="64" t="str">
        <f aca="false">IF(OR(A694="",B694=""),"",CONCATENATE("https://matarstund.is/serfaedi?id=",LOWER(SUBSTITUTE(B694," ","-"))))</f>
        <v/>
      </c>
    </row>
    <row r="695" customFormat="false" ht="15" hidden="false" customHeight="true" outlineLevel="0" collapsed="false">
      <c r="A695" s="9"/>
      <c r="B695" s="9"/>
      <c r="C695" s="9"/>
      <c r="D695" s="9"/>
      <c r="E695" s="9"/>
      <c r="F695" s="9"/>
      <c r="G695" s="9"/>
      <c r="H695" s="64" t="str">
        <f aca="false">IF(OR(A695="",B695=""),"",CONCATENATE("https://matarstund.is/serfaedi?id=",LOWER(SUBSTITUTE(B695," ","-"))))</f>
        <v/>
      </c>
    </row>
    <row r="696" customFormat="false" ht="15" hidden="false" customHeight="true" outlineLevel="0" collapsed="false">
      <c r="A696" s="68"/>
      <c r="B696" s="68"/>
      <c r="C696" s="68"/>
      <c r="D696" s="68"/>
      <c r="E696" s="68"/>
      <c r="F696" s="68"/>
      <c r="G696" s="68"/>
      <c r="H696" s="64" t="str">
        <f aca="false">IF(OR(A696="",B696=""),"",CONCATENATE("https://matarstund.is/serfaedi?id=",LOWER(SUBSTITUTE(B696," ","-"))))</f>
        <v/>
      </c>
    </row>
    <row r="697" customFormat="false" ht="15" hidden="false" customHeight="true" outlineLevel="0" collapsed="false">
      <c r="A697" s="9"/>
      <c r="B697" s="9"/>
      <c r="C697" s="9"/>
      <c r="D697" s="9"/>
      <c r="E697" s="9"/>
      <c r="F697" s="9"/>
      <c r="G697" s="9"/>
      <c r="H697" s="64" t="str">
        <f aca="false">IF(OR(A697="",B697=""),"",CONCATENATE("https://matarstund.is/serfaedi?id=",LOWER(SUBSTITUTE(B697," ","-"))))</f>
        <v/>
      </c>
    </row>
    <row r="698" customFormat="false" ht="15" hidden="false" customHeight="true" outlineLevel="0" collapsed="false">
      <c r="A698" s="68"/>
      <c r="B698" s="68"/>
      <c r="C698" s="68"/>
      <c r="D698" s="68"/>
      <c r="E698" s="68"/>
      <c r="F698" s="68"/>
      <c r="G698" s="68"/>
      <c r="H698" s="64" t="str">
        <f aca="false">IF(OR(A698="",B698=""),"",CONCATENATE("https://matarstund.is/serfaedi?id=",LOWER(SUBSTITUTE(B698," ","-"))))</f>
        <v/>
      </c>
    </row>
    <row r="699" customFormat="false" ht="15" hidden="false" customHeight="true" outlineLevel="0" collapsed="false">
      <c r="A699" s="9"/>
      <c r="B699" s="9"/>
      <c r="C699" s="9"/>
      <c r="D699" s="9"/>
      <c r="E699" s="9"/>
      <c r="F699" s="9"/>
      <c r="G699" s="9"/>
      <c r="H699" s="64" t="str">
        <f aca="false">IF(OR(A699="",B699=""),"",CONCATENATE("https://matarstund.is/serfaedi?id=",LOWER(SUBSTITUTE(B699," ","-"))))</f>
        <v/>
      </c>
    </row>
    <row r="700" customFormat="false" ht="15" hidden="false" customHeight="true" outlineLevel="0" collapsed="false">
      <c r="A700" s="68"/>
      <c r="B700" s="68"/>
      <c r="C700" s="68"/>
      <c r="D700" s="68"/>
      <c r="E700" s="68"/>
      <c r="F700" s="68"/>
      <c r="G700" s="68"/>
      <c r="H700" s="64" t="str">
        <f aca="false">IF(OR(A700="",B700=""),"",CONCATENATE("https://matarstund.is/serfaedi?id=",LOWER(SUBSTITUTE(B700," ","-"))))</f>
        <v/>
      </c>
    </row>
    <row r="701" customFormat="false" ht="15" hidden="false" customHeight="true" outlineLevel="0" collapsed="false">
      <c r="A701" s="9"/>
      <c r="B701" s="9"/>
      <c r="C701" s="9"/>
      <c r="D701" s="9"/>
      <c r="E701" s="9"/>
      <c r="F701" s="9"/>
      <c r="G701" s="9"/>
      <c r="H701" s="64" t="str">
        <f aca="false">IF(OR(A701="",B701=""),"",CONCATENATE("https://matarstund.is/serfaedi?id=",LOWER(SUBSTITUTE(B701," ","-"))))</f>
        <v/>
      </c>
    </row>
    <row r="702" customFormat="false" ht="15" hidden="false" customHeight="true" outlineLevel="0" collapsed="false">
      <c r="A702" s="68"/>
      <c r="B702" s="68"/>
      <c r="C702" s="68"/>
      <c r="D702" s="68"/>
      <c r="E702" s="68"/>
      <c r="F702" s="68"/>
      <c r="G702" s="68"/>
      <c r="H702" s="64" t="str">
        <f aca="false">IF(OR(A702="",B702=""),"",CONCATENATE("https://matarstund.is/serfaedi?id=",LOWER(SUBSTITUTE(B702," ","-"))))</f>
        <v/>
      </c>
    </row>
    <row r="703" customFormat="false" ht="15" hidden="false" customHeight="true" outlineLevel="0" collapsed="false">
      <c r="A703" s="9"/>
      <c r="B703" s="9"/>
      <c r="C703" s="9"/>
      <c r="D703" s="9"/>
      <c r="E703" s="9"/>
      <c r="F703" s="9"/>
      <c r="G703" s="9"/>
      <c r="H703" s="64" t="str">
        <f aca="false">IF(OR(A703="",B703=""),"",CONCATENATE("https://matarstund.is/serfaedi?id=",LOWER(SUBSTITUTE(B703," ","-"))))</f>
        <v/>
      </c>
    </row>
    <row r="704" customFormat="false" ht="15" hidden="false" customHeight="true" outlineLevel="0" collapsed="false">
      <c r="A704" s="68"/>
      <c r="B704" s="68"/>
      <c r="C704" s="68"/>
      <c r="D704" s="68"/>
      <c r="E704" s="68"/>
      <c r="F704" s="68"/>
      <c r="G704" s="68"/>
      <c r="H704" s="64" t="str">
        <f aca="false">IF(OR(A704="",B704=""),"",CONCATENATE("https://matarstund.is/serfaedi?id=",LOWER(SUBSTITUTE(B704," ","-"))))</f>
        <v/>
      </c>
    </row>
    <row r="705" customFormat="false" ht="15" hidden="false" customHeight="true" outlineLevel="0" collapsed="false">
      <c r="A705" s="9"/>
      <c r="B705" s="9"/>
      <c r="C705" s="9"/>
      <c r="D705" s="9"/>
      <c r="E705" s="9"/>
      <c r="F705" s="9"/>
      <c r="G705" s="9"/>
      <c r="H705" s="64" t="str">
        <f aca="false">IF(OR(A705="",B705=""),"",CONCATENATE("https://matarstund.is/serfaedi?id=",LOWER(SUBSTITUTE(B705," ","-"))))</f>
        <v/>
      </c>
    </row>
    <row r="706" customFormat="false" ht="15" hidden="false" customHeight="true" outlineLevel="0" collapsed="false">
      <c r="A706" s="68"/>
      <c r="B706" s="68"/>
      <c r="C706" s="68"/>
      <c r="D706" s="68"/>
      <c r="E706" s="68"/>
      <c r="F706" s="68"/>
      <c r="G706" s="68"/>
      <c r="H706" s="64" t="str">
        <f aca="false">IF(OR(A706="",B706=""),"",CONCATENATE("https://matarstund.is/serfaedi?id=",LOWER(SUBSTITUTE(B706," ","-"))))</f>
        <v/>
      </c>
    </row>
    <row r="707" customFormat="false" ht="15" hidden="false" customHeight="true" outlineLevel="0" collapsed="false">
      <c r="A707" s="9"/>
      <c r="B707" s="9"/>
      <c r="C707" s="9"/>
      <c r="D707" s="9"/>
      <c r="E707" s="9"/>
      <c r="F707" s="9"/>
      <c r="G707" s="9"/>
      <c r="H707" s="64" t="str">
        <f aca="false">IF(OR(A707="",B707=""),"",CONCATENATE("https://matarstund.is/serfaedi?id=",LOWER(SUBSTITUTE(B707," ","-"))))</f>
        <v/>
      </c>
    </row>
    <row r="708" customFormat="false" ht="15" hidden="false" customHeight="true" outlineLevel="0" collapsed="false">
      <c r="A708" s="68"/>
      <c r="B708" s="68"/>
      <c r="C708" s="68"/>
      <c r="D708" s="68"/>
      <c r="E708" s="68"/>
      <c r="F708" s="68"/>
      <c r="G708" s="68"/>
      <c r="H708" s="64" t="str">
        <f aca="false">IF(OR(A708="",B708=""),"",CONCATENATE("https://matarstund.is/serfaedi?id=",LOWER(SUBSTITUTE(B708," ","-"))))</f>
        <v/>
      </c>
    </row>
    <row r="709" customFormat="false" ht="15" hidden="false" customHeight="true" outlineLevel="0" collapsed="false">
      <c r="A709" s="9"/>
      <c r="B709" s="9"/>
      <c r="C709" s="9"/>
      <c r="D709" s="9"/>
      <c r="E709" s="9"/>
      <c r="F709" s="9"/>
      <c r="G709" s="9"/>
      <c r="H709" s="64" t="str">
        <f aca="false">IF(OR(A709="",B709=""),"",CONCATENATE("https://matarstund.is/serfaedi?id=",LOWER(SUBSTITUTE(B709," ","-"))))</f>
        <v/>
      </c>
    </row>
    <row r="710" customFormat="false" ht="15" hidden="false" customHeight="true" outlineLevel="0" collapsed="false">
      <c r="A710" s="68"/>
      <c r="B710" s="68"/>
      <c r="C710" s="68"/>
      <c r="D710" s="68"/>
      <c r="E710" s="68"/>
      <c r="F710" s="68"/>
      <c r="G710" s="68"/>
      <c r="H710" s="64" t="str">
        <f aca="false">IF(OR(A710="",B710=""),"",CONCATENATE("https://matarstund.is/serfaedi?id=",LOWER(SUBSTITUTE(B710," ","-"))))</f>
        <v/>
      </c>
    </row>
    <row r="711" customFormat="false" ht="15" hidden="false" customHeight="true" outlineLevel="0" collapsed="false">
      <c r="A711" s="9"/>
      <c r="B711" s="9"/>
      <c r="C711" s="9"/>
      <c r="D711" s="9"/>
      <c r="E711" s="9"/>
      <c r="F711" s="9"/>
      <c r="G711" s="9"/>
      <c r="H711" s="64" t="str">
        <f aca="false">IF(OR(A711="",B711=""),"",CONCATENATE("https://matarstund.is/serfaedi?id=",LOWER(SUBSTITUTE(B711," ","-"))))</f>
        <v/>
      </c>
    </row>
    <row r="712" customFormat="false" ht="15" hidden="false" customHeight="true" outlineLevel="0" collapsed="false">
      <c r="A712" s="68"/>
      <c r="B712" s="68"/>
      <c r="C712" s="68"/>
      <c r="D712" s="68"/>
      <c r="E712" s="68"/>
      <c r="F712" s="68"/>
      <c r="G712" s="68"/>
      <c r="H712" s="64" t="str">
        <f aca="false">IF(OR(A712="",B712=""),"",CONCATENATE("https://matarstund.is/serfaedi?id=",LOWER(SUBSTITUTE(B712," ","-"))))</f>
        <v/>
      </c>
    </row>
    <row r="713" customFormat="false" ht="15" hidden="false" customHeight="true" outlineLevel="0" collapsed="false">
      <c r="A713" s="9"/>
      <c r="B713" s="9"/>
      <c r="C713" s="9"/>
      <c r="D713" s="9"/>
      <c r="E713" s="9"/>
      <c r="F713" s="9"/>
      <c r="G713" s="9"/>
      <c r="H713" s="64" t="str">
        <f aca="false">IF(OR(A713="",B713=""),"",CONCATENATE("https://matarstund.is/serfaedi?id=",LOWER(SUBSTITUTE(B713," ","-"))))</f>
        <v/>
      </c>
    </row>
    <row r="714" customFormat="false" ht="15" hidden="false" customHeight="true" outlineLevel="0" collapsed="false">
      <c r="A714" s="68"/>
      <c r="B714" s="68"/>
      <c r="C714" s="68"/>
      <c r="D714" s="68"/>
      <c r="E714" s="68"/>
      <c r="F714" s="68"/>
      <c r="G714" s="68"/>
      <c r="H714" s="64" t="str">
        <f aca="false">IF(OR(A714="",B714=""),"",CONCATENATE("https://matarstund.is/serfaedi?id=",LOWER(SUBSTITUTE(B714," ","-"))))</f>
        <v/>
      </c>
    </row>
    <row r="715" customFormat="false" ht="15" hidden="false" customHeight="true" outlineLevel="0" collapsed="false">
      <c r="A715" s="9"/>
      <c r="B715" s="9"/>
      <c r="C715" s="9"/>
      <c r="D715" s="9"/>
      <c r="E715" s="9"/>
      <c r="F715" s="9"/>
      <c r="G715" s="9"/>
      <c r="H715" s="64" t="str">
        <f aca="false">IF(OR(A715="",B715=""),"",CONCATENATE("https://matarstund.is/serfaedi?id=",LOWER(SUBSTITUTE(B715," ","-"))))</f>
        <v/>
      </c>
    </row>
    <row r="716" customFormat="false" ht="15" hidden="false" customHeight="true" outlineLevel="0" collapsed="false">
      <c r="A716" s="68"/>
      <c r="B716" s="68"/>
      <c r="C716" s="68"/>
      <c r="D716" s="68"/>
      <c r="E716" s="68"/>
      <c r="F716" s="68"/>
      <c r="G716" s="68"/>
      <c r="H716" s="64" t="str">
        <f aca="false">IF(OR(A716="",B716=""),"",CONCATENATE("https://matarstund.is/serfaedi?id=",LOWER(SUBSTITUTE(B716," ","-"))))</f>
        <v/>
      </c>
    </row>
    <row r="717" customFormat="false" ht="15" hidden="false" customHeight="true" outlineLevel="0" collapsed="false">
      <c r="A717" s="9"/>
      <c r="B717" s="9"/>
      <c r="C717" s="9"/>
      <c r="D717" s="9"/>
      <c r="E717" s="9"/>
      <c r="F717" s="9"/>
      <c r="G717" s="9"/>
      <c r="H717" s="64" t="str">
        <f aca="false">IF(OR(A717="",B717=""),"",CONCATENATE("https://matarstund.is/serfaedi?id=",LOWER(SUBSTITUTE(B717," ","-"))))</f>
        <v/>
      </c>
    </row>
    <row r="718" customFormat="false" ht="15" hidden="false" customHeight="true" outlineLevel="0" collapsed="false">
      <c r="A718" s="68"/>
      <c r="B718" s="68"/>
      <c r="C718" s="68"/>
      <c r="D718" s="68"/>
      <c r="E718" s="68"/>
      <c r="F718" s="68"/>
      <c r="G718" s="68"/>
      <c r="H718" s="64" t="str">
        <f aca="false">IF(OR(A718="",B718=""),"",CONCATENATE("https://matarstund.is/serfaedi?id=",LOWER(SUBSTITUTE(B718," ","-"))))</f>
        <v/>
      </c>
    </row>
    <row r="719" customFormat="false" ht="15" hidden="false" customHeight="true" outlineLevel="0" collapsed="false">
      <c r="A719" s="9"/>
      <c r="B719" s="9"/>
      <c r="C719" s="9"/>
      <c r="D719" s="9"/>
      <c r="E719" s="9"/>
      <c r="F719" s="9"/>
      <c r="G719" s="9"/>
      <c r="H719" s="64" t="str">
        <f aca="false">IF(OR(A719="",B719=""),"",CONCATENATE("https://matarstund.is/serfaedi?id=",LOWER(SUBSTITUTE(B719," ","-"))))</f>
        <v/>
      </c>
    </row>
    <row r="720" customFormat="false" ht="15" hidden="false" customHeight="true" outlineLevel="0" collapsed="false">
      <c r="A720" s="68"/>
      <c r="B720" s="68"/>
      <c r="C720" s="68"/>
      <c r="D720" s="68"/>
      <c r="E720" s="68"/>
      <c r="F720" s="68"/>
      <c r="G720" s="68"/>
      <c r="H720" s="64" t="str">
        <f aca="false">IF(OR(A720="",B720=""),"",CONCATENATE("https://matarstund.is/serfaedi?id=",LOWER(SUBSTITUTE(B720," ","-"))))</f>
        <v/>
      </c>
    </row>
    <row r="721" customFormat="false" ht="15" hidden="false" customHeight="true" outlineLevel="0" collapsed="false">
      <c r="A721" s="9"/>
      <c r="B721" s="9"/>
      <c r="C721" s="9"/>
      <c r="D721" s="9"/>
      <c r="E721" s="9"/>
      <c r="F721" s="9"/>
      <c r="G721" s="9"/>
      <c r="H721" s="64" t="str">
        <f aca="false">IF(OR(A721="",B721=""),"",CONCATENATE("https://matarstund.is/serfaedi?id=",LOWER(SUBSTITUTE(B721," ","-"))))</f>
        <v/>
      </c>
    </row>
    <row r="722" customFormat="false" ht="15" hidden="false" customHeight="true" outlineLevel="0" collapsed="false">
      <c r="A722" s="68"/>
      <c r="B722" s="68"/>
      <c r="C722" s="68"/>
      <c r="D722" s="68"/>
      <c r="E722" s="68"/>
      <c r="F722" s="68"/>
      <c r="G722" s="68"/>
      <c r="H722" s="64" t="str">
        <f aca="false">IF(OR(A722="",B722=""),"",CONCATENATE("https://matarstund.is/serfaedi?id=",LOWER(SUBSTITUTE(B722," ","-"))))</f>
        <v/>
      </c>
    </row>
    <row r="723" customFormat="false" ht="15" hidden="false" customHeight="true" outlineLevel="0" collapsed="false">
      <c r="A723" s="9"/>
      <c r="B723" s="9"/>
      <c r="C723" s="9"/>
      <c r="D723" s="9"/>
      <c r="E723" s="9"/>
      <c r="F723" s="9"/>
      <c r="G723" s="9"/>
      <c r="H723" s="64" t="str">
        <f aca="false">IF(OR(A723="",B723=""),"",CONCATENATE("https://matarstund.is/serfaedi?id=",LOWER(SUBSTITUTE(B723," ","-"))))</f>
        <v/>
      </c>
    </row>
    <row r="724" customFormat="false" ht="15" hidden="false" customHeight="true" outlineLevel="0" collapsed="false">
      <c r="A724" s="68"/>
      <c r="B724" s="68"/>
      <c r="C724" s="68"/>
      <c r="D724" s="68"/>
      <c r="E724" s="68"/>
      <c r="F724" s="68"/>
      <c r="G724" s="68"/>
      <c r="H724" s="64" t="str">
        <f aca="false">IF(OR(A724="",B724=""),"",CONCATENATE("https://matarstund.is/serfaedi?id=",LOWER(SUBSTITUTE(B724," ","-"))))</f>
        <v/>
      </c>
    </row>
    <row r="725" customFormat="false" ht="15" hidden="false" customHeight="true" outlineLevel="0" collapsed="false">
      <c r="A725" s="9"/>
      <c r="B725" s="9"/>
      <c r="C725" s="9"/>
      <c r="D725" s="9"/>
      <c r="E725" s="9"/>
      <c r="F725" s="9"/>
      <c r="G725" s="9"/>
      <c r="H725" s="64" t="str">
        <f aca="false">IF(OR(A725="",B725=""),"",CONCATENATE("https://matarstund.is/serfaedi?id=",LOWER(SUBSTITUTE(B725," ","-"))))</f>
        <v/>
      </c>
    </row>
    <row r="726" customFormat="false" ht="15" hidden="false" customHeight="true" outlineLevel="0" collapsed="false">
      <c r="A726" s="68"/>
      <c r="B726" s="68"/>
      <c r="C726" s="68"/>
      <c r="D726" s="68"/>
      <c r="E726" s="68"/>
      <c r="F726" s="68"/>
      <c r="G726" s="68"/>
      <c r="H726" s="64" t="str">
        <f aca="false">IF(OR(A726="",B726=""),"",CONCATENATE("https://matarstund.is/serfaedi?id=",LOWER(SUBSTITUTE(B726," ","-"))))</f>
        <v/>
      </c>
    </row>
    <row r="727" customFormat="false" ht="15" hidden="false" customHeight="true" outlineLevel="0" collapsed="false">
      <c r="A727" s="9"/>
      <c r="B727" s="9"/>
      <c r="C727" s="9"/>
      <c r="D727" s="9"/>
      <c r="E727" s="9"/>
      <c r="F727" s="9"/>
      <c r="G727" s="9"/>
      <c r="H727" s="64" t="str">
        <f aca="false">IF(OR(A727="",B727=""),"",CONCATENATE("https://matarstund.is/serfaedi?id=",LOWER(SUBSTITUTE(B727," ","-"))))</f>
        <v/>
      </c>
    </row>
    <row r="728" customFormat="false" ht="15" hidden="false" customHeight="true" outlineLevel="0" collapsed="false">
      <c r="A728" s="68"/>
      <c r="B728" s="68"/>
      <c r="C728" s="68"/>
      <c r="D728" s="68"/>
      <c r="E728" s="68"/>
      <c r="F728" s="68"/>
      <c r="G728" s="68"/>
      <c r="H728" s="64" t="str">
        <f aca="false">IF(OR(A728="",B728=""),"",CONCATENATE("https://matarstund.is/serfaedi?id=",LOWER(SUBSTITUTE(B728," ","-"))))</f>
        <v/>
      </c>
    </row>
    <row r="729" customFormat="false" ht="15" hidden="false" customHeight="true" outlineLevel="0" collapsed="false">
      <c r="A729" s="9"/>
      <c r="B729" s="9"/>
      <c r="C729" s="9"/>
      <c r="D729" s="9"/>
      <c r="E729" s="9"/>
      <c r="F729" s="9"/>
      <c r="G729" s="9"/>
      <c r="H729" s="64" t="str">
        <f aca="false">IF(OR(A729="",B729=""),"",CONCATENATE("https://matarstund.is/serfaedi?id=",LOWER(SUBSTITUTE(B729," ","-"))))</f>
        <v/>
      </c>
    </row>
    <row r="730" customFormat="false" ht="15" hidden="false" customHeight="true" outlineLevel="0" collapsed="false">
      <c r="A730" s="68"/>
      <c r="B730" s="68"/>
      <c r="C730" s="68"/>
      <c r="D730" s="68"/>
      <c r="E730" s="68"/>
      <c r="F730" s="68"/>
      <c r="G730" s="68"/>
      <c r="H730" s="64" t="str">
        <f aca="false">IF(OR(A730="",B730=""),"",CONCATENATE("https://matarstund.is/serfaedi?id=",LOWER(SUBSTITUTE(B730," ","-"))))</f>
        <v/>
      </c>
    </row>
    <row r="731" customFormat="false" ht="15" hidden="false" customHeight="true" outlineLevel="0" collapsed="false">
      <c r="A731" s="9"/>
      <c r="B731" s="9"/>
      <c r="C731" s="9"/>
      <c r="D731" s="9"/>
      <c r="E731" s="9"/>
      <c r="F731" s="9"/>
      <c r="G731" s="9"/>
      <c r="H731" s="64" t="str">
        <f aca="false">IF(OR(A731="",B731=""),"",CONCATENATE("https://matarstund.is/serfaedi?id=",LOWER(SUBSTITUTE(B731," ","-"))))</f>
        <v/>
      </c>
    </row>
    <row r="732" customFormat="false" ht="15" hidden="false" customHeight="true" outlineLevel="0" collapsed="false">
      <c r="A732" s="68"/>
      <c r="B732" s="68"/>
      <c r="C732" s="68"/>
      <c r="D732" s="68"/>
      <c r="E732" s="68"/>
      <c r="F732" s="68"/>
      <c r="G732" s="68"/>
      <c r="H732" s="64" t="str">
        <f aca="false">IF(OR(A732="",B732=""),"",CONCATENATE("https://matarstund.is/serfaedi?id=",LOWER(SUBSTITUTE(B732," ","-"))))</f>
        <v/>
      </c>
    </row>
    <row r="733" customFormat="false" ht="15" hidden="false" customHeight="true" outlineLevel="0" collapsed="false">
      <c r="A733" s="9"/>
      <c r="B733" s="9"/>
      <c r="C733" s="9"/>
      <c r="D733" s="9"/>
      <c r="E733" s="9"/>
      <c r="F733" s="9"/>
      <c r="G733" s="9"/>
      <c r="H733" s="64" t="str">
        <f aca="false">IF(OR(A733="",B733=""),"",CONCATENATE("https://matarstund.is/serfaedi?id=",LOWER(SUBSTITUTE(B733," ","-"))))</f>
        <v/>
      </c>
    </row>
    <row r="734" customFormat="false" ht="15" hidden="false" customHeight="true" outlineLevel="0" collapsed="false">
      <c r="A734" s="68"/>
      <c r="B734" s="68"/>
      <c r="C734" s="68"/>
      <c r="D734" s="68"/>
      <c r="E734" s="68"/>
      <c r="F734" s="68"/>
      <c r="G734" s="68"/>
      <c r="H734" s="64" t="str">
        <f aca="false">IF(OR(A734="",B734=""),"",CONCATENATE("https://matarstund.is/serfaedi?id=",LOWER(SUBSTITUTE(B734," ","-"))))</f>
        <v/>
      </c>
    </row>
    <row r="735" customFormat="false" ht="15" hidden="false" customHeight="true" outlineLevel="0" collapsed="false">
      <c r="A735" s="9"/>
      <c r="B735" s="9"/>
      <c r="C735" s="9"/>
      <c r="D735" s="9"/>
      <c r="E735" s="9"/>
      <c r="F735" s="9"/>
      <c r="G735" s="9"/>
      <c r="H735" s="64" t="str">
        <f aca="false">IF(OR(A735="",B735=""),"",CONCATENATE("https://matarstund.is/serfaedi?id=",LOWER(SUBSTITUTE(B735," ","-"))))</f>
        <v/>
      </c>
    </row>
    <row r="736" customFormat="false" ht="15" hidden="false" customHeight="true" outlineLevel="0" collapsed="false">
      <c r="A736" s="68"/>
      <c r="B736" s="68"/>
      <c r="C736" s="68"/>
      <c r="D736" s="68"/>
      <c r="E736" s="68"/>
      <c r="F736" s="68"/>
      <c r="G736" s="68"/>
      <c r="H736" s="64" t="str">
        <f aca="false">IF(OR(A736="",B736=""),"",CONCATENATE("https://matarstund.is/serfaedi?id=",LOWER(SUBSTITUTE(B736," ","-"))))</f>
        <v/>
      </c>
    </row>
    <row r="737" customFormat="false" ht="15" hidden="false" customHeight="true" outlineLevel="0" collapsed="false">
      <c r="A737" s="9"/>
      <c r="B737" s="9"/>
      <c r="C737" s="9"/>
      <c r="D737" s="9"/>
      <c r="E737" s="9"/>
      <c r="F737" s="9"/>
      <c r="G737" s="9"/>
      <c r="H737" s="64" t="str">
        <f aca="false">IF(OR(A737="",B737=""),"",CONCATENATE("https://matarstund.is/serfaedi?id=",LOWER(SUBSTITUTE(B737," ","-"))))</f>
        <v/>
      </c>
    </row>
    <row r="738" customFormat="false" ht="15" hidden="false" customHeight="true" outlineLevel="0" collapsed="false">
      <c r="A738" s="68"/>
      <c r="B738" s="68"/>
      <c r="C738" s="68"/>
      <c r="D738" s="68"/>
      <c r="E738" s="68"/>
      <c r="F738" s="68"/>
      <c r="G738" s="68"/>
      <c r="H738" s="64" t="str">
        <f aca="false">IF(OR(A738="",B738=""),"",CONCATENATE("https://matarstund.is/serfaedi?id=",LOWER(SUBSTITUTE(B738," ","-"))))</f>
        <v/>
      </c>
    </row>
    <row r="739" customFormat="false" ht="15" hidden="false" customHeight="true" outlineLevel="0" collapsed="false">
      <c r="A739" s="9"/>
      <c r="B739" s="9"/>
      <c r="C739" s="9"/>
      <c r="D739" s="9"/>
      <c r="E739" s="9"/>
      <c r="F739" s="9"/>
      <c r="G739" s="9"/>
      <c r="H739" s="64" t="str">
        <f aca="false">IF(OR(A739="",B739=""),"",CONCATENATE("https://matarstund.is/serfaedi?id=",LOWER(SUBSTITUTE(B739," ","-"))))</f>
        <v/>
      </c>
    </row>
    <row r="740" customFormat="false" ht="15" hidden="false" customHeight="true" outlineLevel="0" collapsed="false">
      <c r="A740" s="68"/>
      <c r="B740" s="68"/>
      <c r="C740" s="68"/>
      <c r="D740" s="68"/>
      <c r="E740" s="68"/>
      <c r="F740" s="68"/>
      <c r="G740" s="68"/>
      <c r="H740" s="64" t="str">
        <f aca="false">IF(OR(A740="",B740=""),"",CONCATENATE("https://matarstund.is/serfaedi?id=",LOWER(SUBSTITUTE(B740," ","-"))))</f>
        <v/>
      </c>
    </row>
    <row r="741" customFormat="false" ht="15" hidden="false" customHeight="true" outlineLevel="0" collapsed="false">
      <c r="A741" s="9"/>
      <c r="B741" s="9"/>
      <c r="C741" s="9"/>
      <c r="D741" s="9"/>
      <c r="E741" s="9"/>
      <c r="F741" s="9"/>
      <c r="G741" s="9"/>
      <c r="H741" s="64" t="str">
        <f aca="false">IF(OR(A741="",B741=""),"",CONCATENATE("https://matarstund.is/serfaedi?id=",LOWER(SUBSTITUTE(B741," ","-"))))</f>
        <v/>
      </c>
    </row>
    <row r="742" customFormat="false" ht="15" hidden="false" customHeight="true" outlineLevel="0" collapsed="false">
      <c r="A742" s="68"/>
      <c r="B742" s="68"/>
      <c r="C742" s="68"/>
      <c r="D742" s="68"/>
      <c r="E742" s="68"/>
      <c r="F742" s="68"/>
      <c r="G742" s="68"/>
      <c r="H742" s="64" t="str">
        <f aca="false">IF(OR(A742="",B742=""),"",CONCATENATE("https://matarstund.is/serfaedi?id=",LOWER(SUBSTITUTE(B742," ","-"))))</f>
        <v/>
      </c>
    </row>
    <row r="743" customFormat="false" ht="15" hidden="false" customHeight="true" outlineLevel="0" collapsed="false">
      <c r="A743" s="9"/>
      <c r="B743" s="9"/>
      <c r="C743" s="9"/>
      <c r="D743" s="9"/>
      <c r="E743" s="9"/>
      <c r="F743" s="9"/>
      <c r="G743" s="9"/>
      <c r="H743" s="64" t="str">
        <f aca="false">IF(OR(A743="",B743=""),"",CONCATENATE("https://matarstund.is/serfaedi?id=",LOWER(SUBSTITUTE(B743," ","-"))))</f>
        <v/>
      </c>
    </row>
    <row r="744" customFormat="false" ht="15" hidden="false" customHeight="true" outlineLevel="0" collapsed="false">
      <c r="A744" s="68"/>
      <c r="B744" s="68"/>
      <c r="C744" s="68"/>
      <c r="D744" s="68"/>
      <c r="E744" s="68"/>
      <c r="F744" s="68"/>
      <c r="G744" s="68"/>
      <c r="H744" s="64" t="str">
        <f aca="false">IF(OR(A744="",B744=""),"",CONCATENATE("https://matarstund.is/serfaedi?id=",LOWER(SUBSTITUTE(B744," ","-"))))</f>
        <v/>
      </c>
    </row>
    <row r="745" customFormat="false" ht="15" hidden="false" customHeight="true" outlineLevel="0" collapsed="false">
      <c r="A745" s="9"/>
      <c r="B745" s="9"/>
      <c r="C745" s="9"/>
      <c r="D745" s="9"/>
      <c r="E745" s="9"/>
      <c r="F745" s="9"/>
      <c r="G745" s="9"/>
      <c r="H745" s="64" t="str">
        <f aca="false">IF(OR(A745="",B745=""),"",CONCATENATE("https://matarstund.is/serfaedi?id=",LOWER(SUBSTITUTE(B745," ","-"))))</f>
        <v/>
      </c>
    </row>
    <row r="746" customFormat="false" ht="15" hidden="false" customHeight="true" outlineLevel="0" collapsed="false">
      <c r="A746" s="68"/>
      <c r="B746" s="68"/>
      <c r="C746" s="68"/>
      <c r="D746" s="68"/>
      <c r="E746" s="68"/>
      <c r="F746" s="68"/>
      <c r="G746" s="68"/>
      <c r="H746" s="64" t="str">
        <f aca="false">IF(OR(A746="",B746=""),"",CONCATENATE("https://matarstund.is/serfaedi?id=",LOWER(SUBSTITUTE(B746," ","-"))))</f>
        <v/>
      </c>
    </row>
    <row r="747" customFormat="false" ht="15" hidden="false" customHeight="true" outlineLevel="0" collapsed="false">
      <c r="A747" s="9"/>
      <c r="B747" s="9"/>
      <c r="C747" s="9"/>
      <c r="D747" s="9"/>
      <c r="E747" s="9"/>
      <c r="F747" s="9"/>
      <c r="G747" s="9"/>
      <c r="H747" s="64" t="str">
        <f aca="false">IF(OR(A747="",B747=""),"",CONCATENATE("https://matarstund.is/serfaedi?id=",LOWER(SUBSTITUTE(B747," ","-"))))</f>
        <v/>
      </c>
    </row>
    <row r="748" customFormat="false" ht="15" hidden="false" customHeight="true" outlineLevel="0" collapsed="false">
      <c r="A748" s="68"/>
      <c r="B748" s="68"/>
      <c r="C748" s="68"/>
      <c r="D748" s="68"/>
      <c r="E748" s="68"/>
      <c r="F748" s="68"/>
      <c r="G748" s="68"/>
      <c r="H748" s="64" t="str">
        <f aca="false">IF(OR(A748="",B748=""),"",CONCATENATE("https://matarstund.is/serfaedi?id=",LOWER(SUBSTITUTE(B748," ","-"))))</f>
        <v/>
      </c>
    </row>
    <row r="749" customFormat="false" ht="15" hidden="false" customHeight="true" outlineLevel="0" collapsed="false">
      <c r="A749" s="9"/>
      <c r="B749" s="9"/>
      <c r="C749" s="9"/>
      <c r="D749" s="9"/>
      <c r="E749" s="9"/>
      <c r="F749" s="9"/>
      <c r="G749" s="9"/>
      <c r="H749" s="64" t="str">
        <f aca="false">IF(OR(A749="",B749=""),"",CONCATENATE("https://matarstund.is/serfaedi?id=",LOWER(SUBSTITUTE(B749," ","-"))))</f>
        <v/>
      </c>
    </row>
    <row r="750" customFormat="false" ht="15" hidden="false" customHeight="true" outlineLevel="0" collapsed="false">
      <c r="A750" s="68"/>
      <c r="B750" s="68"/>
      <c r="C750" s="68"/>
      <c r="D750" s="68"/>
      <c r="E750" s="68"/>
      <c r="F750" s="68"/>
      <c r="G750" s="68"/>
      <c r="H750" s="64" t="str">
        <f aca="false">IF(OR(A750="",B750=""),"",CONCATENATE("https://matarstund.is/serfaedi?id=",LOWER(SUBSTITUTE(B750," ","-"))))</f>
        <v/>
      </c>
    </row>
    <row r="751" customFormat="false" ht="15" hidden="false" customHeight="true" outlineLevel="0" collapsed="false">
      <c r="A751" s="9"/>
      <c r="B751" s="9"/>
      <c r="C751" s="9"/>
      <c r="D751" s="9"/>
      <c r="E751" s="9"/>
      <c r="F751" s="9"/>
      <c r="G751" s="9"/>
      <c r="H751" s="64" t="str">
        <f aca="false">IF(OR(A751="",B751=""),"",CONCATENATE("https://matarstund.is/serfaedi?id=",LOWER(SUBSTITUTE(B751," ","-"))))</f>
        <v/>
      </c>
    </row>
    <row r="752" customFormat="false" ht="15" hidden="false" customHeight="true" outlineLevel="0" collapsed="false">
      <c r="A752" s="68"/>
      <c r="B752" s="68"/>
      <c r="C752" s="68"/>
      <c r="D752" s="68"/>
      <c r="E752" s="68"/>
      <c r="F752" s="68"/>
      <c r="G752" s="68"/>
      <c r="H752" s="64" t="str">
        <f aca="false">IF(OR(A752="",B752=""),"",CONCATENATE("https://matarstund.is/serfaedi?id=",LOWER(SUBSTITUTE(B752," ","-"))))</f>
        <v/>
      </c>
    </row>
    <row r="753" customFormat="false" ht="15" hidden="false" customHeight="true" outlineLevel="0" collapsed="false">
      <c r="A753" s="9"/>
      <c r="B753" s="9"/>
      <c r="C753" s="9"/>
      <c r="D753" s="9"/>
      <c r="E753" s="9"/>
      <c r="F753" s="9"/>
      <c r="G753" s="9"/>
      <c r="H753" s="64" t="str">
        <f aca="false">IF(OR(A753="",B753=""),"",CONCATENATE("https://matarstund.is/serfaedi?id=",LOWER(SUBSTITUTE(B753," ","-"))))</f>
        <v/>
      </c>
    </row>
    <row r="754" customFormat="false" ht="15" hidden="false" customHeight="true" outlineLevel="0" collapsed="false">
      <c r="A754" s="68"/>
      <c r="B754" s="68"/>
      <c r="C754" s="68"/>
      <c r="D754" s="68"/>
      <c r="E754" s="68"/>
      <c r="F754" s="68"/>
      <c r="G754" s="68"/>
      <c r="H754" s="64" t="str">
        <f aca="false">IF(OR(A754="",B754=""),"",CONCATENATE("https://matarstund.is/serfaedi?id=",LOWER(SUBSTITUTE(B754," ","-"))))</f>
        <v/>
      </c>
    </row>
    <row r="755" customFormat="false" ht="15" hidden="false" customHeight="true" outlineLevel="0" collapsed="false">
      <c r="A755" s="9"/>
      <c r="B755" s="9"/>
      <c r="C755" s="9"/>
      <c r="D755" s="9"/>
      <c r="E755" s="9"/>
      <c r="F755" s="9"/>
      <c r="G755" s="9"/>
      <c r="H755" s="64" t="str">
        <f aca="false">IF(OR(A755="",B755=""),"",CONCATENATE("https://matarstund.is/serfaedi?id=",LOWER(SUBSTITUTE(B755," ","-"))))</f>
        <v/>
      </c>
    </row>
    <row r="756" customFormat="false" ht="15" hidden="false" customHeight="true" outlineLevel="0" collapsed="false">
      <c r="A756" s="68"/>
      <c r="B756" s="68"/>
      <c r="C756" s="68"/>
      <c r="D756" s="68"/>
      <c r="E756" s="68"/>
      <c r="F756" s="68"/>
      <c r="G756" s="68"/>
      <c r="H756" s="64" t="str">
        <f aca="false">IF(OR(A756="",B756=""),"",CONCATENATE("https://matarstund.is/serfaedi?id=",LOWER(SUBSTITUTE(B756," ","-"))))</f>
        <v/>
      </c>
    </row>
    <row r="757" customFormat="false" ht="15" hidden="false" customHeight="true" outlineLevel="0" collapsed="false">
      <c r="A757" s="9"/>
      <c r="B757" s="9"/>
      <c r="C757" s="9"/>
      <c r="D757" s="9"/>
      <c r="E757" s="9"/>
      <c r="F757" s="9"/>
      <c r="G757" s="9"/>
      <c r="H757" s="64" t="str">
        <f aca="false">IF(OR(A757="",B757=""),"",CONCATENATE("https://matarstund.is/serfaedi?id=",LOWER(SUBSTITUTE(B757," ","-"))))</f>
        <v/>
      </c>
    </row>
    <row r="758" customFormat="false" ht="15" hidden="false" customHeight="true" outlineLevel="0" collapsed="false">
      <c r="A758" s="68"/>
      <c r="B758" s="68"/>
      <c r="C758" s="68"/>
      <c r="D758" s="68"/>
      <c r="E758" s="68"/>
      <c r="F758" s="68"/>
      <c r="G758" s="68"/>
      <c r="H758" s="64" t="str">
        <f aca="false">IF(OR(A758="",B758=""),"",CONCATENATE("https://matarstund.is/serfaedi?id=",LOWER(SUBSTITUTE(B758," ","-"))))</f>
        <v/>
      </c>
    </row>
    <row r="759" customFormat="false" ht="15" hidden="false" customHeight="true" outlineLevel="0" collapsed="false">
      <c r="A759" s="9"/>
      <c r="B759" s="9"/>
      <c r="C759" s="9"/>
      <c r="D759" s="9"/>
      <c r="E759" s="9"/>
      <c r="F759" s="9"/>
      <c r="G759" s="9"/>
      <c r="H759" s="64" t="str">
        <f aca="false">IF(OR(A759="",B759=""),"",CONCATENATE("https://matarstund.is/serfaedi?id=",LOWER(SUBSTITUTE(B759," ","-"))))</f>
        <v/>
      </c>
    </row>
    <row r="760" customFormat="false" ht="15" hidden="false" customHeight="true" outlineLevel="0" collapsed="false">
      <c r="A760" s="68"/>
      <c r="B760" s="68"/>
      <c r="C760" s="68"/>
      <c r="D760" s="68"/>
      <c r="E760" s="68"/>
      <c r="F760" s="68"/>
      <c r="G760" s="68"/>
      <c r="H760" s="64" t="str">
        <f aca="false">IF(OR(A760="",B760=""),"",CONCATENATE("https://matarstund.is/serfaedi?id=",LOWER(SUBSTITUTE(B760," ","-"))))</f>
        <v/>
      </c>
    </row>
    <row r="761" customFormat="false" ht="15" hidden="false" customHeight="true" outlineLevel="0" collapsed="false">
      <c r="A761" s="9"/>
      <c r="B761" s="9"/>
      <c r="C761" s="9"/>
      <c r="D761" s="9"/>
      <c r="E761" s="9"/>
      <c r="F761" s="9"/>
      <c r="G761" s="9"/>
      <c r="H761" s="64" t="str">
        <f aca="false">IF(OR(A761="",B761=""),"",CONCATENATE("https://matarstund.is/serfaedi?id=",LOWER(SUBSTITUTE(B761," ","-"))))</f>
        <v/>
      </c>
    </row>
    <row r="762" customFormat="false" ht="15" hidden="false" customHeight="true" outlineLevel="0" collapsed="false">
      <c r="A762" s="68"/>
      <c r="B762" s="68"/>
      <c r="C762" s="68"/>
      <c r="D762" s="68"/>
      <c r="E762" s="68"/>
      <c r="F762" s="68"/>
      <c r="G762" s="68"/>
      <c r="H762" s="64" t="str">
        <f aca="false">IF(OR(A762="",B762=""),"",CONCATENATE("https://matarstund.is/serfaedi?id=",LOWER(SUBSTITUTE(B762," ","-"))))</f>
        <v/>
      </c>
    </row>
    <row r="763" customFormat="false" ht="15" hidden="false" customHeight="true" outlineLevel="0" collapsed="false">
      <c r="A763" s="9"/>
      <c r="B763" s="9"/>
      <c r="C763" s="9"/>
      <c r="D763" s="9"/>
      <c r="E763" s="9"/>
      <c r="F763" s="9"/>
      <c r="G763" s="9"/>
      <c r="H763" s="64" t="str">
        <f aca="false">IF(OR(A763="",B763=""),"",CONCATENATE("https://matarstund.is/serfaedi?id=",LOWER(SUBSTITUTE(B763," ","-"))))</f>
        <v/>
      </c>
    </row>
    <row r="764" customFormat="false" ht="15" hidden="false" customHeight="true" outlineLevel="0" collapsed="false">
      <c r="A764" s="68"/>
      <c r="B764" s="68"/>
      <c r="C764" s="68"/>
      <c r="D764" s="68"/>
      <c r="E764" s="68"/>
      <c r="F764" s="68"/>
      <c r="G764" s="68"/>
      <c r="H764" s="64" t="str">
        <f aca="false">IF(OR(A764="",B764=""),"",CONCATENATE("https://matarstund.is/serfaedi?id=",LOWER(SUBSTITUTE(B764," ","-"))))</f>
        <v/>
      </c>
    </row>
    <row r="765" customFormat="false" ht="15" hidden="false" customHeight="true" outlineLevel="0" collapsed="false">
      <c r="A765" s="9"/>
      <c r="B765" s="9"/>
      <c r="C765" s="9"/>
      <c r="D765" s="9"/>
      <c r="E765" s="9"/>
      <c r="F765" s="9"/>
      <c r="G765" s="9"/>
      <c r="H765" s="64" t="str">
        <f aca="false">IF(OR(A765="",B765=""),"",CONCATENATE("https://matarstund.is/serfaedi?id=",LOWER(SUBSTITUTE(B765," ","-"))))</f>
        <v/>
      </c>
    </row>
    <row r="766" customFormat="false" ht="15" hidden="false" customHeight="true" outlineLevel="0" collapsed="false">
      <c r="A766" s="68"/>
      <c r="B766" s="68"/>
      <c r="C766" s="68"/>
      <c r="D766" s="68"/>
      <c r="E766" s="68"/>
      <c r="F766" s="68"/>
      <c r="G766" s="68"/>
      <c r="H766" s="64" t="str">
        <f aca="false">IF(OR(A766="",B766=""),"",CONCATENATE("https://matarstund.is/serfaedi?id=",LOWER(SUBSTITUTE(B766," ","-"))))</f>
        <v/>
      </c>
    </row>
    <row r="767" customFormat="false" ht="15" hidden="false" customHeight="true" outlineLevel="0" collapsed="false">
      <c r="A767" s="9"/>
      <c r="B767" s="9"/>
      <c r="C767" s="9"/>
      <c r="D767" s="9"/>
      <c r="E767" s="9"/>
      <c r="F767" s="9"/>
      <c r="G767" s="9"/>
      <c r="H767" s="64" t="str">
        <f aca="false">IF(OR(A767="",B767=""),"",CONCATENATE("https://matarstund.is/serfaedi?id=",LOWER(SUBSTITUTE(B767," ","-"))))</f>
        <v/>
      </c>
    </row>
    <row r="768" customFormat="false" ht="15" hidden="false" customHeight="true" outlineLevel="0" collapsed="false">
      <c r="A768" s="68"/>
      <c r="B768" s="68"/>
      <c r="C768" s="68"/>
      <c r="D768" s="68"/>
      <c r="E768" s="68"/>
      <c r="F768" s="68"/>
      <c r="G768" s="68"/>
      <c r="H768" s="64" t="str">
        <f aca="false">IF(OR(A768="",B768=""),"",CONCATENATE("https://matarstund.is/serfaedi?id=",LOWER(SUBSTITUTE(B768," ","-"))))</f>
        <v/>
      </c>
    </row>
    <row r="769" customFormat="false" ht="15" hidden="false" customHeight="true" outlineLevel="0" collapsed="false">
      <c r="A769" s="9"/>
      <c r="B769" s="9"/>
      <c r="C769" s="9"/>
      <c r="D769" s="9"/>
      <c r="E769" s="9"/>
      <c r="F769" s="9"/>
      <c r="G769" s="9"/>
      <c r="H769" s="64" t="str">
        <f aca="false">IF(OR(A769="",B769=""),"",CONCATENATE("https://matarstund.is/serfaedi?id=",LOWER(SUBSTITUTE(B769," ","-"))))</f>
        <v/>
      </c>
    </row>
    <row r="770" customFormat="false" ht="15" hidden="false" customHeight="true" outlineLevel="0" collapsed="false">
      <c r="A770" s="68"/>
      <c r="B770" s="68"/>
      <c r="C770" s="68"/>
      <c r="D770" s="68"/>
      <c r="E770" s="68"/>
      <c r="F770" s="68"/>
      <c r="G770" s="68"/>
      <c r="H770" s="64" t="str">
        <f aca="false">IF(OR(A770="",B770=""),"",CONCATENATE("https://matarstund.is/serfaedi?id=",LOWER(SUBSTITUTE(B770," ","-"))))</f>
        <v/>
      </c>
    </row>
    <row r="771" customFormat="false" ht="15" hidden="false" customHeight="true" outlineLevel="0" collapsed="false">
      <c r="A771" s="9"/>
      <c r="B771" s="9"/>
      <c r="C771" s="9"/>
      <c r="D771" s="9"/>
      <c r="E771" s="9"/>
      <c r="F771" s="9"/>
      <c r="G771" s="9"/>
      <c r="H771" s="64" t="str">
        <f aca="false">IF(OR(A771="",B771=""),"",CONCATENATE("https://matarstund.is/serfaedi?id=",LOWER(SUBSTITUTE(B771," ","-"))))</f>
        <v/>
      </c>
    </row>
    <row r="772" customFormat="false" ht="15" hidden="false" customHeight="true" outlineLevel="0" collapsed="false">
      <c r="A772" s="68"/>
      <c r="B772" s="68"/>
      <c r="C772" s="68"/>
      <c r="D772" s="68"/>
      <c r="E772" s="68"/>
      <c r="F772" s="68"/>
      <c r="G772" s="68"/>
      <c r="H772" s="64" t="str">
        <f aca="false">IF(OR(A772="",B772=""),"",CONCATENATE("https://matarstund.is/serfaedi?id=",LOWER(SUBSTITUTE(B772," ","-"))))</f>
        <v/>
      </c>
    </row>
    <row r="773" customFormat="false" ht="15" hidden="false" customHeight="true" outlineLevel="0" collapsed="false">
      <c r="A773" s="9"/>
      <c r="B773" s="9"/>
      <c r="C773" s="9"/>
      <c r="D773" s="9"/>
      <c r="E773" s="9"/>
      <c r="F773" s="9"/>
      <c r="G773" s="9"/>
      <c r="H773" s="64" t="str">
        <f aca="false">IF(OR(A773="",B773=""),"",CONCATENATE("https://matarstund.is/serfaedi?id=",LOWER(SUBSTITUTE(B773," ","-"))))</f>
        <v/>
      </c>
    </row>
    <row r="774" customFormat="false" ht="15" hidden="false" customHeight="true" outlineLevel="0" collapsed="false">
      <c r="A774" s="68"/>
      <c r="B774" s="68"/>
      <c r="C774" s="68"/>
      <c r="D774" s="68"/>
      <c r="E774" s="68"/>
      <c r="F774" s="68"/>
      <c r="G774" s="68"/>
      <c r="H774" s="64" t="str">
        <f aca="false">IF(OR(A774="",B774=""),"",CONCATENATE("https://matarstund.is/serfaedi?id=",LOWER(SUBSTITUTE(B774," ","-"))))</f>
        <v/>
      </c>
    </row>
    <row r="775" customFormat="false" ht="15" hidden="false" customHeight="true" outlineLevel="0" collapsed="false">
      <c r="A775" s="9"/>
      <c r="B775" s="9"/>
      <c r="C775" s="9"/>
      <c r="D775" s="9"/>
      <c r="E775" s="9"/>
      <c r="F775" s="9"/>
      <c r="G775" s="9"/>
      <c r="H775" s="64" t="str">
        <f aca="false">IF(OR(A775="",B775=""),"",CONCATENATE("https://matarstund.is/serfaedi?id=",LOWER(SUBSTITUTE(B775," ","-"))))</f>
        <v/>
      </c>
    </row>
    <row r="776" customFormat="false" ht="15" hidden="false" customHeight="true" outlineLevel="0" collapsed="false">
      <c r="A776" s="68"/>
      <c r="B776" s="68"/>
      <c r="C776" s="68"/>
      <c r="D776" s="68"/>
      <c r="E776" s="68"/>
      <c r="F776" s="68"/>
      <c r="G776" s="68"/>
      <c r="H776" s="64" t="str">
        <f aca="false">IF(OR(A776="",B776=""),"",CONCATENATE("https://matarstund.is/serfaedi?id=",LOWER(SUBSTITUTE(B776," ","-"))))</f>
        <v/>
      </c>
    </row>
    <row r="777" customFormat="false" ht="15" hidden="false" customHeight="true" outlineLevel="0" collapsed="false">
      <c r="A777" s="9"/>
      <c r="B777" s="9"/>
      <c r="C777" s="9"/>
      <c r="D777" s="9"/>
      <c r="E777" s="9"/>
      <c r="F777" s="9"/>
      <c r="G777" s="9"/>
      <c r="H777" s="64" t="str">
        <f aca="false">IF(OR(A777="",B777=""),"",CONCATENATE("https://matarstund.is/serfaedi?id=",LOWER(SUBSTITUTE(B777," ","-"))))</f>
        <v/>
      </c>
    </row>
    <row r="778" customFormat="false" ht="15" hidden="false" customHeight="true" outlineLevel="0" collapsed="false">
      <c r="A778" s="68"/>
      <c r="B778" s="68"/>
      <c r="C778" s="68"/>
      <c r="D778" s="68"/>
      <c r="E778" s="68"/>
      <c r="F778" s="68"/>
      <c r="G778" s="68"/>
      <c r="H778" s="64" t="str">
        <f aca="false">IF(OR(A778="",B778=""),"",CONCATENATE("https://matarstund.is/serfaedi?id=",LOWER(SUBSTITUTE(B778," ","-"))))</f>
        <v/>
      </c>
    </row>
    <row r="779" customFormat="false" ht="15" hidden="false" customHeight="true" outlineLevel="0" collapsed="false">
      <c r="A779" s="9"/>
      <c r="B779" s="9"/>
      <c r="C779" s="9"/>
      <c r="D779" s="9"/>
      <c r="E779" s="9"/>
      <c r="F779" s="9"/>
      <c r="G779" s="9"/>
      <c r="H779" s="64" t="str">
        <f aca="false">IF(OR(A779="",B779=""),"",CONCATENATE("https://matarstund.is/serfaedi?id=",LOWER(SUBSTITUTE(B779," ","-"))))</f>
        <v/>
      </c>
    </row>
    <row r="780" customFormat="false" ht="15" hidden="false" customHeight="true" outlineLevel="0" collapsed="false">
      <c r="A780" s="68"/>
      <c r="B780" s="68"/>
      <c r="C780" s="68"/>
      <c r="D780" s="68"/>
      <c r="E780" s="68"/>
      <c r="F780" s="68"/>
      <c r="G780" s="68"/>
      <c r="H780" s="64" t="str">
        <f aca="false">IF(OR(A780="",B780=""),"",CONCATENATE("https://matarstund.is/serfaedi?id=",LOWER(SUBSTITUTE(B780," ","-"))))</f>
        <v/>
      </c>
    </row>
    <row r="781" customFormat="false" ht="15" hidden="false" customHeight="true" outlineLevel="0" collapsed="false">
      <c r="A781" s="9"/>
      <c r="B781" s="9"/>
      <c r="C781" s="9"/>
      <c r="D781" s="9"/>
      <c r="E781" s="9"/>
      <c r="F781" s="9"/>
      <c r="G781" s="9"/>
      <c r="H781" s="64" t="str">
        <f aca="false">IF(OR(A781="",B781=""),"",CONCATENATE("https://matarstund.is/serfaedi?id=",LOWER(SUBSTITUTE(B781," ","-"))))</f>
        <v/>
      </c>
    </row>
    <row r="782" customFormat="false" ht="15" hidden="false" customHeight="true" outlineLevel="0" collapsed="false">
      <c r="A782" s="68"/>
      <c r="B782" s="68"/>
      <c r="C782" s="68"/>
      <c r="D782" s="68"/>
      <c r="E782" s="68"/>
      <c r="F782" s="68"/>
      <c r="G782" s="68"/>
      <c r="H782" s="64" t="str">
        <f aca="false">IF(OR(A782="",B782=""),"",CONCATENATE("https://matarstund.is/serfaedi?id=",LOWER(SUBSTITUTE(B782," ","-"))))</f>
        <v/>
      </c>
    </row>
    <row r="783" customFormat="false" ht="15" hidden="false" customHeight="true" outlineLevel="0" collapsed="false">
      <c r="A783" s="9"/>
      <c r="B783" s="9"/>
      <c r="C783" s="9"/>
      <c r="D783" s="9"/>
      <c r="E783" s="9"/>
      <c r="F783" s="9"/>
      <c r="G783" s="9"/>
      <c r="H783" s="64" t="str">
        <f aca="false">IF(OR(A783="",B783=""),"",CONCATENATE("https://matarstund.is/serfaedi?id=",LOWER(SUBSTITUTE(B783," ","-"))))</f>
        <v/>
      </c>
    </row>
    <row r="784" customFormat="false" ht="15" hidden="false" customHeight="true" outlineLevel="0" collapsed="false">
      <c r="A784" s="68"/>
      <c r="B784" s="68"/>
      <c r="C784" s="68"/>
      <c r="D784" s="68"/>
      <c r="E784" s="68"/>
      <c r="F784" s="68"/>
      <c r="G784" s="68"/>
      <c r="H784" s="64" t="str">
        <f aca="false">IF(OR(A784="",B784=""),"",CONCATENATE("https://matarstund.is/serfaedi?id=",LOWER(SUBSTITUTE(B784," ","-"))))</f>
        <v/>
      </c>
    </row>
    <row r="785" customFormat="false" ht="15" hidden="false" customHeight="true" outlineLevel="0" collapsed="false">
      <c r="A785" s="9"/>
      <c r="B785" s="9"/>
      <c r="C785" s="9"/>
      <c r="D785" s="9"/>
      <c r="E785" s="9"/>
      <c r="F785" s="9"/>
      <c r="G785" s="9"/>
      <c r="H785" s="64" t="str">
        <f aca="false">IF(OR(A785="",B785=""),"",CONCATENATE("https://matarstund.is/serfaedi?id=",LOWER(SUBSTITUTE(B785," ","-"))))</f>
        <v/>
      </c>
    </row>
    <row r="786" customFormat="false" ht="15" hidden="false" customHeight="true" outlineLevel="0" collapsed="false">
      <c r="A786" s="68"/>
      <c r="B786" s="68"/>
      <c r="C786" s="68"/>
      <c r="D786" s="68"/>
      <c r="E786" s="68"/>
      <c r="F786" s="68"/>
      <c r="G786" s="68"/>
      <c r="H786" s="64" t="str">
        <f aca="false">IF(OR(A786="",B786=""),"",CONCATENATE("https://matarstund.is/serfaedi?id=",LOWER(SUBSTITUTE(B786," ","-"))))</f>
        <v/>
      </c>
    </row>
    <row r="787" customFormat="false" ht="15" hidden="false" customHeight="true" outlineLevel="0" collapsed="false">
      <c r="A787" s="9"/>
      <c r="B787" s="9"/>
      <c r="C787" s="9"/>
      <c r="D787" s="9"/>
      <c r="E787" s="9"/>
      <c r="F787" s="9"/>
      <c r="G787" s="9"/>
      <c r="H787" s="64" t="str">
        <f aca="false">IF(OR(A787="",B787=""),"",CONCATENATE("https://matarstund.is/serfaedi?id=",LOWER(SUBSTITUTE(B787," ","-"))))</f>
        <v/>
      </c>
    </row>
    <row r="788" customFormat="false" ht="15" hidden="false" customHeight="true" outlineLevel="0" collapsed="false">
      <c r="A788" s="68"/>
      <c r="B788" s="68"/>
      <c r="C788" s="68"/>
      <c r="D788" s="68"/>
      <c r="E788" s="68"/>
      <c r="F788" s="68"/>
      <c r="G788" s="68"/>
      <c r="H788" s="64" t="str">
        <f aca="false">IF(OR(A788="",B788=""),"",CONCATENATE("https://matarstund.is/serfaedi?id=",LOWER(SUBSTITUTE(B788," ","-"))))</f>
        <v/>
      </c>
    </row>
    <row r="789" customFormat="false" ht="15" hidden="false" customHeight="true" outlineLevel="0" collapsed="false">
      <c r="A789" s="9"/>
      <c r="B789" s="9"/>
      <c r="C789" s="9"/>
      <c r="D789" s="9"/>
      <c r="E789" s="9"/>
      <c r="F789" s="9"/>
      <c r="G789" s="9"/>
      <c r="H789" s="64" t="str">
        <f aca="false">IF(OR(A789="",B789=""),"",CONCATENATE("https://matarstund.is/serfaedi?id=",LOWER(SUBSTITUTE(B789," ","-"))))</f>
        <v/>
      </c>
    </row>
    <row r="790" customFormat="false" ht="15" hidden="false" customHeight="true" outlineLevel="0" collapsed="false">
      <c r="A790" s="68"/>
      <c r="B790" s="68"/>
      <c r="C790" s="68"/>
      <c r="D790" s="68"/>
      <c r="E790" s="68"/>
      <c r="F790" s="68"/>
      <c r="G790" s="68"/>
      <c r="H790" s="64" t="str">
        <f aca="false">IF(OR(A790="",B790=""),"",CONCATENATE("https://matarstund.is/serfaedi?id=",LOWER(SUBSTITUTE(B790," ","-"))))</f>
        <v/>
      </c>
    </row>
    <row r="791" customFormat="false" ht="15" hidden="false" customHeight="true" outlineLevel="0" collapsed="false">
      <c r="A791" s="9"/>
      <c r="B791" s="9"/>
      <c r="C791" s="9"/>
      <c r="D791" s="9"/>
      <c r="E791" s="9"/>
      <c r="F791" s="9"/>
      <c r="G791" s="9"/>
      <c r="H791" s="64" t="str">
        <f aca="false">IF(OR(A791="",B791=""),"",CONCATENATE("https://matarstund.is/serfaedi?id=",LOWER(SUBSTITUTE(B791," ","-"))))</f>
        <v/>
      </c>
    </row>
    <row r="792" customFormat="false" ht="15" hidden="false" customHeight="true" outlineLevel="0" collapsed="false">
      <c r="A792" s="68"/>
      <c r="B792" s="68"/>
      <c r="C792" s="68"/>
      <c r="D792" s="68"/>
      <c r="E792" s="68"/>
      <c r="F792" s="68"/>
      <c r="G792" s="68"/>
      <c r="H792" s="64" t="str">
        <f aca="false">IF(OR(A792="",B792=""),"",CONCATENATE("https://matarstund.is/serfaedi?id=",LOWER(SUBSTITUTE(B792," ","-"))))</f>
        <v/>
      </c>
    </row>
    <row r="793" customFormat="false" ht="15" hidden="false" customHeight="true" outlineLevel="0" collapsed="false">
      <c r="A793" s="9"/>
      <c r="B793" s="9"/>
      <c r="C793" s="9"/>
      <c r="D793" s="9"/>
      <c r="E793" s="9"/>
      <c r="F793" s="9"/>
      <c r="G793" s="9"/>
      <c r="H793" s="64" t="str">
        <f aca="false">IF(OR(A793="",B793=""),"",CONCATENATE("https://matarstund.is/serfaedi?id=",LOWER(SUBSTITUTE(B793," ","-"))))</f>
        <v/>
      </c>
    </row>
    <row r="794" customFormat="false" ht="15" hidden="false" customHeight="true" outlineLevel="0" collapsed="false">
      <c r="A794" s="68"/>
      <c r="B794" s="68"/>
      <c r="C794" s="68"/>
      <c r="D794" s="68"/>
      <c r="E794" s="68"/>
      <c r="F794" s="68"/>
      <c r="G794" s="68"/>
      <c r="H794" s="64" t="str">
        <f aca="false">IF(OR(A794="",B794=""),"",CONCATENATE("https://matarstund.is/serfaedi?id=",LOWER(SUBSTITUTE(B794," ","-"))))</f>
        <v/>
      </c>
    </row>
    <row r="795" customFormat="false" ht="15" hidden="false" customHeight="true" outlineLevel="0" collapsed="false">
      <c r="A795" s="9"/>
      <c r="B795" s="9"/>
      <c r="C795" s="9"/>
      <c r="D795" s="9"/>
      <c r="E795" s="9"/>
      <c r="F795" s="9"/>
      <c r="G795" s="9"/>
      <c r="H795" s="64" t="str">
        <f aca="false">IF(OR(A795="",B795=""),"",CONCATENATE("https://matarstund.is/serfaedi?id=",LOWER(SUBSTITUTE(B795," ","-"))))</f>
        <v/>
      </c>
    </row>
    <row r="796" customFormat="false" ht="15" hidden="false" customHeight="true" outlineLevel="0" collapsed="false">
      <c r="A796" s="68"/>
      <c r="B796" s="68"/>
      <c r="C796" s="68"/>
      <c r="D796" s="68"/>
      <c r="E796" s="68"/>
      <c r="F796" s="68"/>
      <c r="G796" s="68"/>
      <c r="H796" s="64" t="str">
        <f aca="false">IF(OR(A796="",B796=""),"",CONCATENATE("https://matarstund.is/serfaedi?id=",LOWER(SUBSTITUTE(B796," ","-"))))</f>
        <v/>
      </c>
    </row>
    <row r="797" customFormat="false" ht="15" hidden="false" customHeight="true" outlineLevel="0" collapsed="false">
      <c r="A797" s="9"/>
      <c r="B797" s="9"/>
      <c r="C797" s="9"/>
      <c r="D797" s="9"/>
      <c r="E797" s="9"/>
      <c r="F797" s="9"/>
      <c r="G797" s="9"/>
      <c r="H797" s="64" t="str">
        <f aca="false">IF(OR(A797="",B797=""),"",CONCATENATE("https://matarstund.is/serfaedi?id=",LOWER(SUBSTITUTE(B797," ","-"))))</f>
        <v/>
      </c>
    </row>
    <row r="798" customFormat="false" ht="15" hidden="false" customHeight="true" outlineLevel="0" collapsed="false">
      <c r="A798" s="68"/>
      <c r="B798" s="68"/>
      <c r="C798" s="68"/>
      <c r="D798" s="68"/>
      <c r="E798" s="68"/>
      <c r="F798" s="68"/>
      <c r="G798" s="68"/>
      <c r="H798" s="64" t="str">
        <f aca="false">IF(OR(A798="",B798=""),"",CONCATENATE("https://matarstund.is/serfaedi?id=",LOWER(SUBSTITUTE(B798," ","-"))))</f>
        <v/>
      </c>
    </row>
    <row r="799" customFormat="false" ht="15" hidden="false" customHeight="true" outlineLevel="0" collapsed="false">
      <c r="A799" s="9"/>
      <c r="B799" s="9"/>
      <c r="C799" s="9"/>
      <c r="D799" s="9"/>
      <c r="E799" s="9"/>
      <c r="F799" s="9"/>
      <c r="G799" s="9"/>
      <c r="H799" s="64" t="str">
        <f aca="false">IF(OR(A799="",B799=""),"",CONCATENATE("https://matarstund.is/serfaedi?id=",LOWER(SUBSTITUTE(B799," ","-"))))</f>
        <v/>
      </c>
    </row>
    <row r="800" customFormat="false" ht="15" hidden="false" customHeight="true" outlineLevel="0" collapsed="false">
      <c r="A800" s="68"/>
      <c r="B800" s="68"/>
      <c r="C800" s="68"/>
      <c r="D800" s="68"/>
      <c r="E800" s="68"/>
      <c r="F800" s="68"/>
      <c r="G800" s="68"/>
      <c r="H800" s="64" t="str">
        <f aca="false">IF(OR(A800="",B800=""),"",CONCATENATE("https://matarstund.is/serfaedi?id=",LOWER(SUBSTITUTE(B800," ","-"))))</f>
        <v/>
      </c>
    </row>
    <row r="801" customFormat="false" ht="15" hidden="false" customHeight="true" outlineLevel="0" collapsed="false">
      <c r="A801" s="9"/>
      <c r="B801" s="9"/>
      <c r="C801" s="9"/>
      <c r="D801" s="9"/>
      <c r="E801" s="9"/>
      <c r="F801" s="9"/>
      <c r="G801" s="9"/>
      <c r="H801" s="64" t="str">
        <f aca="false">IF(OR(A801="",B801=""),"",CONCATENATE("https://matarstund.is/serfaedi?id=",LOWER(SUBSTITUTE(B801," ","-"))))</f>
        <v/>
      </c>
    </row>
    <row r="802" customFormat="false" ht="15" hidden="false" customHeight="true" outlineLevel="0" collapsed="false">
      <c r="A802" s="68"/>
      <c r="B802" s="68"/>
      <c r="C802" s="68"/>
      <c r="D802" s="68"/>
      <c r="E802" s="68"/>
      <c r="F802" s="68"/>
      <c r="G802" s="68"/>
      <c r="H802" s="64" t="str">
        <f aca="false">IF(OR(A802="",B802=""),"",CONCATENATE("https://matarstund.is/serfaedi?id=",LOWER(SUBSTITUTE(B802," ","-"))))</f>
        <v/>
      </c>
    </row>
    <row r="803" customFormat="false" ht="15" hidden="false" customHeight="true" outlineLevel="0" collapsed="false">
      <c r="A803" s="9"/>
      <c r="B803" s="9"/>
      <c r="C803" s="9"/>
      <c r="D803" s="9"/>
      <c r="E803" s="9"/>
      <c r="F803" s="9"/>
      <c r="G803" s="9"/>
      <c r="H803" s="64" t="str">
        <f aca="false">IF(OR(A803="",B803=""),"",CONCATENATE("https://matarstund.is/serfaedi?id=",LOWER(SUBSTITUTE(B803," ","-"))))</f>
        <v/>
      </c>
    </row>
    <row r="804" customFormat="false" ht="15" hidden="false" customHeight="true" outlineLevel="0" collapsed="false">
      <c r="A804" s="68"/>
      <c r="B804" s="68"/>
      <c r="C804" s="68"/>
      <c r="D804" s="68"/>
      <c r="E804" s="68"/>
      <c r="F804" s="68"/>
      <c r="G804" s="68"/>
      <c r="H804" s="64" t="str">
        <f aca="false">IF(OR(A804="",B804=""),"",CONCATENATE("https://matarstund.is/serfaedi?id=",LOWER(SUBSTITUTE(B804," ","-"))))</f>
        <v/>
      </c>
    </row>
    <row r="805" customFormat="false" ht="15" hidden="false" customHeight="true" outlineLevel="0" collapsed="false">
      <c r="A805" s="9"/>
      <c r="B805" s="9"/>
      <c r="C805" s="9"/>
      <c r="D805" s="9"/>
      <c r="E805" s="9"/>
      <c r="F805" s="9"/>
      <c r="G805" s="9"/>
      <c r="H805" s="64" t="str">
        <f aca="false">IF(OR(A805="",B805=""),"",CONCATENATE("https://matarstund.is/serfaedi?id=",LOWER(SUBSTITUTE(B805," ","-"))))</f>
        <v/>
      </c>
    </row>
    <row r="806" customFormat="false" ht="15" hidden="false" customHeight="true" outlineLevel="0" collapsed="false">
      <c r="A806" s="68"/>
      <c r="B806" s="68"/>
      <c r="C806" s="68"/>
      <c r="D806" s="68"/>
      <c r="E806" s="68"/>
      <c r="F806" s="68"/>
      <c r="G806" s="68"/>
      <c r="H806" s="64" t="str">
        <f aca="false">IF(OR(A806="",B806=""),"",CONCATENATE("https://matarstund.is/serfaedi?id=",LOWER(SUBSTITUTE(B806," ","-"))))</f>
        <v/>
      </c>
    </row>
    <row r="807" customFormat="false" ht="15" hidden="false" customHeight="true" outlineLevel="0" collapsed="false">
      <c r="A807" s="9"/>
      <c r="B807" s="9"/>
      <c r="C807" s="9"/>
      <c r="D807" s="9"/>
      <c r="E807" s="9"/>
      <c r="F807" s="9"/>
      <c r="G807" s="9"/>
      <c r="H807" s="64" t="str">
        <f aca="false">IF(OR(A807="",B807=""),"",CONCATENATE("https://matarstund.is/serfaedi?id=",LOWER(SUBSTITUTE(B807," ","-"))))</f>
        <v/>
      </c>
    </row>
    <row r="808" customFormat="false" ht="15" hidden="false" customHeight="true" outlineLevel="0" collapsed="false">
      <c r="A808" s="68"/>
      <c r="B808" s="68"/>
      <c r="C808" s="68"/>
      <c r="D808" s="68"/>
      <c r="E808" s="68"/>
      <c r="F808" s="68"/>
      <c r="G808" s="68"/>
      <c r="H808" s="64" t="str">
        <f aca="false">IF(OR(A808="",B808=""),"",CONCATENATE("https://matarstund.is/serfaedi?id=",LOWER(SUBSTITUTE(B808," ","-"))))</f>
        <v/>
      </c>
    </row>
    <row r="809" customFormat="false" ht="15" hidden="false" customHeight="true" outlineLevel="0" collapsed="false">
      <c r="A809" s="9"/>
      <c r="B809" s="9"/>
      <c r="C809" s="9"/>
      <c r="D809" s="9"/>
      <c r="E809" s="9"/>
      <c r="F809" s="9"/>
      <c r="G809" s="9"/>
      <c r="H809" s="64" t="str">
        <f aca="false">IF(OR(A809="",B809=""),"",CONCATENATE("https://matarstund.is/serfaedi?id=",LOWER(SUBSTITUTE(B809," ","-"))))</f>
        <v/>
      </c>
    </row>
    <row r="810" customFormat="false" ht="15" hidden="false" customHeight="true" outlineLevel="0" collapsed="false">
      <c r="A810" s="68"/>
      <c r="B810" s="68"/>
      <c r="C810" s="68"/>
      <c r="D810" s="68"/>
      <c r="E810" s="68"/>
      <c r="F810" s="68"/>
      <c r="G810" s="68"/>
      <c r="H810" s="64" t="str">
        <f aca="false">IF(OR(A810="",B810=""),"",CONCATENATE("https://matarstund.is/serfaedi?id=",LOWER(SUBSTITUTE(B810," ","-"))))</f>
        <v/>
      </c>
    </row>
    <row r="811" customFormat="false" ht="15" hidden="false" customHeight="true" outlineLevel="0" collapsed="false">
      <c r="A811" s="9"/>
      <c r="B811" s="9"/>
      <c r="C811" s="9"/>
      <c r="D811" s="9"/>
      <c r="E811" s="9"/>
      <c r="F811" s="9"/>
      <c r="G811" s="9"/>
      <c r="H811" s="64" t="str">
        <f aca="false">IF(OR(A811="",B811=""),"",CONCATENATE("https://matarstund.is/serfaedi?id=",LOWER(SUBSTITUTE(B811," ","-"))))</f>
        <v/>
      </c>
    </row>
    <row r="812" customFormat="false" ht="15" hidden="false" customHeight="true" outlineLevel="0" collapsed="false">
      <c r="A812" s="68"/>
      <c r="B812" s="68"/>
      <c r="C812" s="68"/>
      <c r="D812" s="68"/>
      <c r="E812" s="68"/>
      <c r="F812" s="68"/>
      <c r="G812" s="68"/>
      <c r="H812" s="64" t="str">
        <f aca="false">IF(OR(A812="",B812=""),"",CONCATENATE("https://matarstund.is/serfaedi?id=",LOWER(SUBSTITUTE(B812," ","-"))))</f>
        <v/>
      </c>
    </row>
    <row r="813" customFormat="false" ht="15" hidden="false" customHeight="true" outlineLevel="0" collapsed="false">
      <c r="A813" s="9"/>
      <c r="B813" s="9"/>
      <c r="C813" s="9"/>
      <c r="D813" s="9"/>
      <c r="E813" s="9"/>
      <c r="F813" s="9"/>
      <c r="G813" s="9"/>
      <c r="H813" s="64" t="str">
        <f aca="false">IF(OR(A813="",B813=""),"",CONCATENATE("https://matarstund.is/serfaedi?id=",LOWER(SUBSTITUTE(B813," ","-"))))</f>
        <v/>
      </c>
    </row>
    <row r="814" customFormat="false" ht="15" hidden="false" customHeight="true" outlineLevel="0" collapsed="false">
      <c r="A814" s="68"/>
      <c r="B814" s="68"/>
      <c r="C814" s="68"/>
      <c r="D814" s="68"/>
      <c r="E814" s="68"/>
      <c r="F814" s="68"/>
      <c r="G814" s="68"/>
      <c r="H814" s="64" t="str">
        <f aca="false">IF(OR(A814="",B814=""),"",CONCATENATE("https://matarstund.is/serfaedi?id=",LOWER(SUBSTITUTE(B814," ","-"))))</f>
        <v/>
      </c>
    </row>
    <row r="815" customFormat="false" ht="15" hidden="false" customHeight="true" outlineLevel="0" collapsed="false">
      <c r="A815" s="9"/>
      <c r="B815" s="9"/>
      <c r="C815" s="9"/>
      <c r="D815" s="9"/>
      <c r="E815" s="9"/>
      <c r="F815" s="9"/>
      <c r="G815" s="9"/>
      <c r="H815" s="64" t="str">
        <f aca="false">IF(OR(A815="",B815=""),"",CONCATENATE("https://matarstund.is/serfaedi?id=",LOWER(SUBSTITUTE(B815," ","-"))))</f>
        <v/>
      </c>
    </row>
    <row r="816" customFormat="false" ht="15" hidden="false" customHeight="true" outlineLevel="0" collapsed="false">
      <c r="A816" s="68"/>
      <c r="B816" s="68"/>
      <c r="C816" s="68"/>
      <c r="D816" s="68"/>
      <c r="E816" s="68"/>
      <c r="F816" s="68"/>
      <c r="G816" s="68"/>
      <c r="H816" s="64" t="str">
        <f aca="false">IF(OR(A816="",B816=""),"",CONCATENATE("https://matarstund.is/serfaedi?id=",LOWER(SUBSTITUTE(B816," ","-"))))</f>
        <v/>
      </c>
    </row>
    <row r="817" customFormat="false" ht="15" hidden="false" customHeight="true" outlineLevel="0" collapsed="false">
      <c r="A817" s="9"/>
      <c r="B817" s="9"/>
      <c r="C817" s="9"/>
      <c r="D817" s="9"/>
      <c r="E817" s="9"/>
      <c r="F817" s="9"/>
      <c r="G817" s="9"/>
      <c r="H817" s="64" t="str">
        <f aca="false">IF(OR(A817="",B817=""),"",CONCATENATE("https://matarstund.is/serfaedi?id=",LOWER(SUBSTITUTE(B817," ","-"))))</f>
        <v/>
      </c>
    </row>
    <row r="818" customFormat="false" ht="15" hidden="false" customHeight="true" outlineLevel="0" collapsed="false">
      <c r="A818" s="68"/>
      <c r="B818" s="68"/>
      <c r="C818" s="68"/>
      <c r="D818" s="68"/>
      <c r="E818" s="68"/>
      <c r="F818" s="68"/>
      <c r="G818" s="68"/>
      <c r="H818" s="64" t="str">
        <f aca="false">IF(OR(A818="",B818=""),"",CONCATENATE("https://matarstund.is/serfaedi?id=",LOWER(SUBSTITUTE(B818," ","-"))))</f>
        <v/>
      </c>
    </row>
    <row r="819" customFormat="false" ht="15" hidden="false" customHeight="true" outlineLevel="0" collapsed="false">
      <c r="A819" s="9"/>
      <c r="B819" s="9"/>
      <c r="C819" s="9"/>
      <c r="D819" s="9"/>
      <c r="E819" s="9"/>
      <c r="F819" s="9"/>
      <c r="G819" s="9"/>
      <c r="H819" s="64" t="str">
        <f aca="false">IF(OR(A819="",B819=""),"",CONCATENATE("https://matarstund.is/serfaedi?id=",LOWER(SUBSTITUTE(B819," ","-"))))</f>
        <v/>
      </c>
    </row>
    <row r="820" customFormat="false" ht="15" hidden="false" customHeight="true" outlineLevel="0" collapsed="false">
      <c r="A820" s="68"/>
      <c r="B820" s="68"/>
      <c r="C820" s="68"/>
      <c r="D820" s="68"/>
      <c r="E820" s="68"/>
      <c r="F820" s="68"/>
      <c r="G820" s="68"/>
      <c r="H820" s="64" t="str">
        <f aca="false">IF(OR(A820="",B820=""),"",CONCATENATE("https://matarstund.is/serfaedi?id=",LOWER(SUBSTITUTE(B820," ","-"))))</f>
        <v/>
      </c>
    </row>
    <row r="821" customFormat="false" ht="15" hidden="false" customHeight="true" outlineLevel="0" collapsed="false">
      <c r="A821" s="9"/>
      <c r="B821" s="9"/>
      <c r="C821" s="9"/>
      <c r="D821" s="9"/>
      <c r="E821" s="9"/>
      <c r="F821" s="9"/>
      <c r="G821" s="9"/>
      <c r="H821" s="64" t="str">
        <f aca="false">IF(OR(A821="",B821=""),"",CONCATENATE("https://matarstund.is/serfaedi?id=",LOWER(SUBSTITUTE(B821," ","-"))))</f>
        <v/>
      </c>
    </row>
    <row r="822" customFormat="false" ht="15" hidden="false" customHeight="true" outlineLevel="0" collapsed="false">
      <c r="A822" s="68"/>
      <c r="B822" s="68"/>
      <c r="C822" s="68"/>
      <c r="D822" s="68"/>
      <c r="E822" s="68"/>
      <c r="F822" s="68"/>
      <c r="G822" s="68"/>
      <c r="H822" s="64" t="str">
        <f aca="false">IF(OR(A822="",B822=""),"",CONCATENATE("https://matarstund.is/serfaedi?id=",LOWER(SUBSTITUTE(B822," ","-"))))</f>
        <v/>
      </c>
    </row>
    <row r="823" customFormat="false" ht="15" hidden="false" customHeight="true" outlineLevel="0" collapsed="false">
      <c r="A823" s="9"/>
      <c r="B823" s="9"/>
      <c r="C823" s="9"/>
      <c r="D823" s="9"/>
      <c r="E823" s="9"/>
      <c r="F823" s="9"/>
      <c r="G823" s="9"/>
      <c r="H823" s="64" t="str">
        <f aca="false">IF(OR(A823="",B823=""),"",CONCATENATE("https://matarstund.is/serfaedi?id=",LOWER(SUBSTITUTE(B823," ","-"))))</f>
        <v/>
      </c>
    </row>
    <row r="824" customFormat="false" ht="15" hidden="false" customHeight="true" outlineLevel="0" collapsed="false">
      <c r="A824" s="68"/>
      <c r="B824" s="68"/>
      <c r="C824" s="68"/>
      <c r="D824" s="68"/>
      <c r="E824" s="68"/>
      <c r="F824" s="68"/>
      <c r="G824" s="68"/>
      <c r="H824" s="64" t="str">
        <f aca="false">IF(OR(A824="",B824=""),"",CONCATENATE("https://matarstund.is/serfaedi?id=",LOWER(SUBSTITUTE(B824," ","-"))))</f>
        <v/>
      </c>
    </row>
    <row r="825" customFormat="false" ht="15" hidden="false" customHeight="true" outlineLevel="0" collapsed="false">
      <c r="A825" s="9"/>
      <c r="B825" s="9"/>
      <c r="C825" s="9"/>
      <c r="D825" s="9"/>
      <c r="E825" s="9"/>
      <c r="F825" s="9"/>
      <c r="G825" s="9"/>
      <c r="H825" s="64" t="str">
        <f aca="false">IF(OR(A825="",B825=""),"",CONCATENATE("https://matarstund.is/serfaedi?id=",LOWER(SUBSTITUTE(B825," ","-"))))</f>
        <v/>
      </c>
    </row>
    <row r="826" customFormat="false" ht="15" hidden="false" customHeight="true" outlineLevel="0" collapsed="false">
      <c r="A826" s="68"/>
      <c r="B826" s="68"/>
      <c r="C826" s="68"/>
      <c r="D826" s="68"/>
      <c r="E826" s="68"/>
      <c r="F826" s="68"/>
      <c r="G826" s="68"/>
      <c r="H826" s="64" t="str">
        <f aca="false">IF(OR(A826="",B826=""),"",CONCATENATE("https://matarstund.is/serfaedi?id=",LOWER(SUBSTITUTE(B826," ","-"))))</f>
        <v/>
      </c>
    </row>
    <row r="827" customFormat="false" ht="15" hidden="false" customHeight="true" outlineLevel="0" collapsed="false">
      <c r="A827" s="9"/>
      <c r="B827" s="9"/>
      <c r="C827" s="9"/>
      <c r="D827" s="9"/>
      <c r="E827" s="9"/>
      <c r="F827" s="9"/>
      <c r="G827" s="9"/>
      <c r="H827" s="64" t="str">
        <f aca="false">IF(OR(A827="",B827=""),"",CONCATENATE("https://matarstund.is/serfaedi?id=",LOWER(SUBSTITUTE(B827," ","-"))))</f>
        <v/>
      </c>
    </row>
    <row r="828" customFormat="false" ht="15" hidden="false" customHeight="true" outlineLevel="0" collapsed="false">
      <c r="A828" s="68"/>
      <c r="B828" s="68"/>
      <c r="C828" s="68"/>
      <c r="D828" s="68"/>
      <c r="E828" s="68"/>
      <c r="F828" s="68"/>
      <c r="G828" s="68"/>
      <c r="H828" s="64" t="str">
        <f aca="false">IF(OR(A828="",B828=""),"",CONCATENATE("https://matarstund.is/serfaedi?id=",LOWER(SUBSTITUTE(B828," ","-"))))</f>
        <v/>
      </c>
    </row>
    <row r="829" customFormat="false" ht="15" hidden="false" customHeight="true" outlineLevel="0" collapsed="false">
      <c r="A829" s="9"/>
      <c r="B829" s="9"/>
      <c r="C829" s="9"/>
      <c r="D829" s="9"/>
      <c r="E829" s="9"/>
      <c r="F829" s="9"/>
      <c r="G829" s="9"/>
      <c r="H829" s="64" t="str">
        <f aca="false">IF(OR(A829="",B829=""),"",CONCATENATE("https://matarstund.is/serfaedi?id=",LOWER(SUBSTITUTE(B829," ","-"))))</f>
        <v/>
      </c>
    </row>
    <row r="830" customFormat="false" ht="15" hidden="false" customHeight="true" outlineLevel="0" collapsed="false">
      <c r="A830" s="68"/>
      <c r="B830" s="68"/>
      <c r="C830" s="68"/>
      <c r="D830" s="68"/>
      <c r="E830" s="68"/>
      <c r="F830" s="68"/>
      <c r="G830" s="68"/>
      <c r="H830" s="64" t="str">
        <f aca="false">IF(OR(A830="",B830=""),"",CONCATENATE("https://matarstund.is/serfaedi?id=",LOWER(SUBSTITUTE(B830," ","-"))))</f>
        <v/>
      </c>
    </row>
    <row r="831" customFormat="false" ht="15" hidden="false" customHeight="true" outlineLevel="0" collapsed="false">
      <c r="A831" s="9"/>
      <c r="B831" s="9"/>
      <c r="C831" s="9"/>
      <c r="D831" s="9"/>
      <c r="E831" s="9"/>
      <c r="F831" s="9"/>
      <c r="G831" s="9"/>
      <c r="H831" s="64" t="str">
        <f aca="false">IF(OR(A831="",B831=""),"",CONCATENATE("https://matarstund.is/serfaedi?id=",LOWER(SUBSTITUTE(B831," ","-"))))</f>
        <v/>
      </c>
    </row>
    <row r="832" customFormat="false" ht="15" hidden="false" customHeight="true" outlineLevel="0" collapsed="false">
      <c r="A832" s="68"/>
      <c r="B832" s="68"/>
      <c r="C832" s="68"/>
      <c r="D832" s="68"/>
      <c r="E832" s="68"/>
      <c r="F832" s="68"/>
      <c r="G832" s="68"/>
      <c r="H832" s="64" t="str">
        <f aca="false">IF(OR(A832="",B832=""),"",CONCATENATE("https://matarstund.is/serfaedi?id=",LOWER(SUBSTITUTE(B832," ","-"))))</f>
        <v/>
      </c>
    </row>
    <row r="833" customFormat="false" ht="15" hidden="false" customHeight="true" outlineLevel="0" collapsed="false">
      <c r="A833" s="9"/>
      <c r="B833" s="9"/>
      <c r="C833" s="9"/>
      <c r="D833" s="9"/>
      <c r="E833" s="9"/>
      <c r="F833" s="9"/>
      <c r="G833" s="9"/>
      <c r="H833" s="64" t="str">
        <f aca="false">IF(OR(A833="",B833=""),"",CONCATENATE("https://matarstund.is/serfaedi?id=",LOWER(SUBSTITUTE(B833," ","-"))))</f>
        <v/>
      </c>
    </row>
    <row r="834" customFormat="false" ht="15" hidden="false" customHeight="true" outlineLevel="0" collapsed="false">
      <c r="A834" s="68"/>
      <c r="B834" s="68"/>
      <c r="C834" s="68"/>
      <c r="D834" s="68"/>
      <c r="E834" s="68"/>
      <c r="F834" s="68"/>
      <c r="G834" s="68"/>
      <c r="H834" s="64" t="str">
        <f aca="false">IF(OR(A834="",B834=""),"",CONCATENATE("https://matarstund.is/serfaedi?id=",LOWER(SUBSTITUTE(B834," ","-"))))</f>
        <v/>
      </c>
    </row>
    <row r="835" customFormat="false" ht="15" hidden="false" customHeight="true" outlineLevel="0" collapsed="false">
      <c r="A835" s="9"/>
      <c r="B835" s="9"/>
      <c r="C835" s="9"/>
      <c r="D835" s="9"/>
      <c r="E835" s="9"/>
      <c r="F835" s="9"/>
      <c r="G835" s="9"/>
      <c r="H835" s="64" t="str">
        <f aca="false">IF(OR(A835="",B835=""),"",CONCATENATE("https://matarstund.is/serfaedi?id=",LOWER(SUBSTITUTE(B835," ","-"))))</f>
        <v/>
      </c>
    </row>
    <row r="836" customFormat="false" ht="15" hidden="false" customHeight="true" outlineLevel="0" collapsed="false">
      <c r="A836" s="68"/>
      <c r="B836" s="68"/>
      <c r="C836" s="68"/>
      <c r="D836" s="68"/>
      <c r="E836" s="68"/>
      <c r="F836" s="68"/>
      <c r="G836" s="68"/>
      <c r="H836" s="64" t="str">
        <f aca="false">IF(OR(A836="",B836=""),"",CONCATENATE("https://matarstund.is/serfaedi?id=",LOWER(SUBSTITUTE(B836," ","-"))))</f>
        <v/>
      </c>
    </row>
    <row r="837" customFormat="false" ht="15" hidden="false" customHeight="true" outlineLevel="0" collapsed="false">
      <c r="A837" s="9"/>
      <c r="B837" s="9"/>
      <c r="C837" s="9"/>
      <c r="D837" s="9"/>
      <c r="E837" s="9"/>
      <c r="F837" s="9"/>
      <c r="G837" s="9"/>
      <c r="H837" s="64" t="str">
        <f aca="false">IF(OR(A837="",B837=""),"",CONCATENATE("https://matarstund.is/serfaedi?id=",LOWER(SUBSTITUTE(B837," ","-"))))</f>
        <v/>
      </c>
    </row>
    <row r="838" customFormat="false" ht="15" hidden="false" customHeight="true" outlineLevel="0" collapsed="false">
      <c r="A838" s="68"/>
      <c r="B838" s="68"/>
      <c r="C838" s="68"/>
      <c r="D838" s="68"/>
      <c r="E838" s="68"/>
      <c r="F838" s="68"/>
      <c r="G838" s="68"/>
      <c r="H838" s="64" t="str">
        <f aca="false">IF(OR(A838="",B838=""),"",CONCATENATE("https://matarstund.is/serfaedi?id=",LOWER(SUBSTITUTE(B838," ","-"))))</f>
        <v/>
      </c>
    </row>
    <row r="839" customFormat="false" ht="15" hidden="false" customHeight="true" outlineLevel="0" collapsed="false">
      <c r="A839" s="9"/>
      <c r="B839" s="9"/>
      <c r="C839" s="9"/>
      <c r="D839" s="9"/>
      <c r="E839" s="9"/>
      <c r="F839" s="9"/>
      <c r="G839" s="9"/>
      <c r="H839" s="64" t="str">
        <f aca="false">IF(OR(A839="",B839=""),"",CONCATENATE("https://matarstund.is/serfaedi?id=",LOWER(SUBSTITUTE(B839," ","-"))))</f>
        <v/>
      </c>
    </row>
    <row r="840" customFormat="false" ht="15" hidden="false" customHeight="true" outlineLevel="0" collapsed="false">
      <c r="A840" s="68"/>
      <c r="B840" s="68"/>
      <c r="C840" s="68"/>
      <c r="D840" s="68"/>
      <c r="E840" s="68"/>
      <c r="F840" s="68"/>
      <c r="G840" s="68"/>
      <c r="H840" s="64" t="str">
        <f aca="false">IF(OR(A840="",B840=""),"",CONCATENATE("https://matarstund.is/serfaedi?id=",LOWER(SUBSTITUTE(B840," ","-"))))</f>
        <v/>
      </c>
    </row>
    <row r="841" customFormat="false" ht="15" hidden="false" customHeight="true" outlineLevel="0" collapsed="false">
      <c r="A841" s="9"/>
      <c r="B841" s="9"/>
      <c r="C841" s="9"/>
      <c r="D841" s="9"/>
      <c r="E841" s="9"/>
      <c r="F841" s="9"/>
      <c r="G841" s="9"/>
      <c r="H841" s="64" t="str">
        <f aca="false">IF(OR(A841="",B841=""),"",CONCATENATE("https://matarstund.is/serfaedi?id=",LOWER(SUBSTITUTE(B841," ","-"))))</f>
        <v/>
      </c>
    </row>
    <row r="842" customFormat="false" ht="15" hidden="false" customHeight="true" outlineLevel="0" collapsed="false">
      <c r="A842" s="68"/>
      <c r="B842" s="68"/>
      <c r="C842" s="68"/>
      <c r="D842" s="68"/>
      <c r="E842" s="68"/>
      <c r="F842" s="68"/>
      <c r="G842" s="68"/>
      <c r="H842" s="64" t="str">
        <f aca="false">IF(OR(A842="",B842=""),"",CONCATENATE("https://matarstund.is/serfaedi?id=",LOWER(SUBSTITUTE(B842," ","-"))))</f>
        <v/>
      </c>
    </row>
    <row r="843" customFormat="false" ht="15" hidden="false" customHeight="true" outlineLevel="0" collapsed="false">
      <c r="A843" s="9"/>
      <c r="B843" s="9"/>
      <c r="C843" s="9"/>
      <c r="D843" s="9"/>
      <c r="E843" s="9"/>
      <c r="F843" s="9"/>
      <c r="G843" s="9"/>
      <c r="H843" s="64" t="str">
        <f aca="false">IF(OR(A843="",B843=""),"",CONCATENATE("https://matarstund.is/serfaedi?id=",LOWER(SUBSTITUTE(B843," ","-"))))</f>
        <v/>
      </c>
    </row>
    <row r="844" customFormat="false" ht="15" hidden="false" customHeight="true" outlineLevel="0" collapsed="false">
      <c r="A844" s="68"/>
      <c r="B844" s="68"/>
      <c r="C844" s="68"/>
      <c r="D844" s="68"/>
      <c r="E844" s="68"/>
      <c r="F844" s="68"/>
      <c r="G844" s="68"/>
      <c r="H844" s="64" t="str">
        <f aca="false">IF(OR(A844="",B844=""),"",CONCATENATE("https://matarstund.is/serfaedi?id=",LOWER(SUBSTITUTE(B844," ","-"))))</f>
        <v/>
      </c>
    </row>
    <row r="845" customFormat="false" ht="15" hidden="false" customHeight="true" outlineLevel="0" collapsed="false">
      <c r="A845" s="9"/>
      <c r="B845" s="9"/>
      <c r="C845" s="9"/>
      <c r="D845" s="9"/>
      <c r="E845" s="9"/>
      <c r="F845" s="9"/>
      <c r="G845" s="9"/>
      <c r="H845" s="64" t="str">
        <f aca="false">IF(OR(A845="",B845=""),"",CONCATENATE("https://matarstund.is/serfaedi?id=",LOWER(SUBSTITUTE(B845," ","-"))))</f>
        <v/>
      </c>
    </row>
    <row r="846" customFormat="false" ht="15" hidden="false" customHeight="true" outlineLevel="0" collapsed="false">
      <c r="A846" s="68"/>
      <c r="B846" s="68"/>
      <c r="C846" s="68"/>
      <c r="D846" s="68"/>
      <c r="E846" s="68"/>
      <c r="F846" s="68"/>
      <c r="G846" s="68"/>
      <c r="H846" s="64" t="str">
        <f aca="false">IF(OR(A846="",B846=""),"",CONCATENATE("https://matarstund.is/serfaedi?id=",LOWER(SUBSTITUTE(B846," ","-"))))</f>
        <v/>
      </c>
    </row>
    <row r="847" customFormat="false" ht="15" hidden="false" customHeight="true" outlineLevel="0" collapsed="false">
      <c r="A847" s="9"/>
      <c r="B847" s="9"/>
      <c r="C847" s="9"/>
      <c r="D847" s="9"/>
      <c r="E847" s="9"/>
      <c r="F847" s="9"/>
      <c r="G847" s="9"/>
      <c r="H847" s="64" t="str">
        <f aca="false">IF(OR(A847="",B847=""),"",CONCATENATE("https://matarstund.is/serfaedi?id=",LOWER(SUBSTITUTE(B847," ","-"))))</f>
        <v/>
      </c>
    </row>
    <row r="848" customFormat="false" ht="15" hidden="false" customHeight="true" outlineLevel="0" collapsed="false">
      <c r="A848" s="68"/>
      <c r="B848" s="68"/>
      <c r="C848" s="68"/>
      <c r="D848" s="68"/>
      <c r="E848" s="68"/>
      <c r="F848" s="68"/>
      <c r="G848" s="68"/>
      <c r="H848" s="64" t="str">
        <f aca="false">IF(OR(A848="",B848=""),"",CONCATENATE("https://matarstund.is/serfaedi?id=",LOWER(SUBSTITUTE(B848," ","-"))))</f>
        <v/>
      </c>
    </row>
    <row r="849" customFormat="false" ht="15" hidden="false" customHeight="true" outlineLevel="0" collapsed="false">
      <c r="A849" s="9"/>
      <c r="B849" s="9"/>
      <c r="C849" s="9"/>
      <c r="D849" s="9"/>
      <c r="E849" s="9"/>
      <c r="F849" s="9"/>
      <c r="G849" s="9"/>
      <c r="H849" s="64" t="str">
        <f aca="false">IF(OR(A849="",B849=""),"",CONCATENATE("https://matarstund.is/serfaedi?id=",LOWER(SUBSTITUTE(B849," ","-"))))</f>
        <v/>
      </c>
    </row>
    <row r="850" customFormat="false" ht="15" hidden="false" customHeight="true" outlineLevel="0" collapsed="false">
      <c r="A850" s="68"/>
      <c r="B850" s="68"/>
      <c r="C850" s="68"/>
      <c r="D850" s="68"/>
      <c r="E850" s="68"/>
      <c r="F850" s="68"/>
      <c r="G850" s="68"/>
      <c r="H850" s="64" t="str">
        <f aca="false">IF(OR(A850="",B850=""),"",CONCATENATE("https://matarstund.is/serfaedi?id=",LOWER(SUBSTITUTE(B850," ","-"))))</f>
        <v/>
      </c>
    </row>
    <row r="851" customFormat="false" ht="15" hidden="false" customHeight="true" outlineLevel="0" collapsed="false">
      <c r="A851" s="9"/>
      <c r="B851" s="9"/>
      <c r="C851" s="9"/>
      <c r="D851" s="9"/>
      <c r="E851" s="9"/>
      <c r="F851" s="9"/>
      <c r="G851" s="9"/>
      <c r="H851" s="64" t="str">
        <f aca="false">IF(OR(A851="",B851=""),"",CONCATENATE("https://matarstund.is/serfaedi?id=",LOWER(SUBSTITUTE(B851," ","-"))))</f>
        <v/>
      </c>
    </row>
    <row r="852" customFormat="false" ht="15" hidden="false" customHeight="true" outlineLevel="0" collapsed="false">
      <c r="A852" s="68"/>
      <c r="B852" s="68"/>
      <c r="C852" s="68"/>
      <c r="D852" s="68"/>
      <c r="E852" s="68"/>
      <c r="F852" s="68"/>
      <c r="G852" s="68"/>
      <c r="H852" s="64" t="str">
        <f aca="false">IF(OR(A852="",B852=""),"",CONCATENATE("https://matarstund.is/serfaedi?id=",LOWER(SUBSTITUTE(B852," ","-"))))</f>
        <v/>
      </c>
    </row>
    <row r="853" customFormat="false" ht="15" hidden="false" customHeight="true" outlineLevel="0" collapsed="false">
      <c r="A853" s="9"/>
      <c r="B853" s="9"/>
      <c r="C853" s="9"/>
      <c r="D853" s="9"/>
      <c r="E853" s="9"/>
      <c r="F853" s="9"/>
      <c r="G853" s="9"/>
      <c r="H853" s="64" t="str">
        <f aca="false">IF(OR(A853="",B853=""),"",CONCATENATE("https://matarstund.is/serfaedi?id=",LOWER(SUBSTITUTE(B853," ","-"))))</f>
        <v/>
      </c>
    </row>
    <row r="854" customFormat="false" ht="15" hidden="false" customHeight="true" outlineLevel="0" collapsed="false">
      <c r="A854" s="68"/>
      <c r="B854" s="68"/>
      <c r="C854" s="68"/>
      <c r="D854" s="68"/>
      <c r="E854" s="68"/>
      <c r="F854" s="68"/>
      <c r="G854" s="68"/>
      <c r="H854" s="64" t="str">
        <f aca="false">IF(OR(A854="",B854=""),"",CONCATENATE("https://matarstund.is/serfaedi?id=",LOWER(SUBSTITUTE(B854," ","-"))))</f>
        <v/>
      </c>
    </row>
    <row r="855" customFormat="false" ht="15" hidden="false" customHeight="true" outlineLevel="0" collapsed="false">
      <c r="A855" s="9"/>
      <c r="B855" s="9"/>
      <c r="C855" s="9"/>
      <c r="D855" s="9"/>
      <c r="E855" s="9"/>
      <c r="F855" s="9"/>
      <c r="G855" s="9"/>
      <c r="H855" s="64" t="str">
        <f aca="false">IF(OR(A855="",B855=""),"",CONCATENATE("https://matarstund.is/serfaedi?id=",LOWER(SUBSTITUTE(B855," ","-"))))</f>
        <v/>
      </c>
    </row>
    <row r="856" customFormat="false" ht="15" hidden="false" customHeight="true" outlineLevel="0" collapsed="false">
      <c r="A856" s="68"/>
      <c r="B856" s="68"/>
      <c r="C856" s="68"/>
      <c r="D856" s="68"/>
      <c r="E856" s="68"/>
      <c r="F856" s="68"/>
      <c r="G856" s="68"/>
      <c r="H856" s="64" t="str">
        <f aca="false">IF(OR(A856="",B856=""),"",CONCATENATE("https://matarstund.is/serfaedi?id=",LOWER(SUBSTITUTE(B856," ","-"))))</f>
        <v/>
      </c>
    </row>
    <row r="857" customFormat="false" ht="15" hidden="false" customHeight="true" outlineLevel="0" collapsed="false">
      <c r="A857" s="9"/>
      <c r="B857" s="9"/>
      <c r="C857" s="9"/>
      <c r="D857" s="9"/>
      <c r="E857" s="9"/>
      <c r="F857" s="9"/>
      <c r="G857" s="9"/>
      <c r="H857" s="64" t="str">
        <f aca="false">IF(OR(A857="",B857=""),"",CONCATENATE("https://matarstund.is/serfaedi?id=",LOWER(SUBSTITUTE(B857," ","-"))))</f>
        <v/>
      </c>
    </row>
    <row r="858" customFormat="false" ht="15" hidden="false" customHeight="true" outlineLevel="0" collapsed="false">
      <c r="A858" s="68"/>
      <c r="B858" s="68"/>
      <c r="C858" s="68"/>
      <c r="D858" s="68"/>
      <c r="E858" s="68"/>
      <c r="F858" s="68"/>
      <c r="G858" s="68"/>
      <c r="H858" s="64" t="str">
        <f aca="false">IF(OR(A858="",B858=""),"",CONCATENATE("https://matarstund.is/serfaedi?id=",LOWER(SUBSTITUTE(B858," ","-"))))</f>
        <v/>
      </c>
    </row>
    <row r="859" customFormat="false" ht="15" hidden="false" customHeight="true" outlineLevel="0" collapsed="false">
      <c r="A859" s="9"/>
      <c r="B859" s="9"/>
      <c r="C859" s="9"/>
      <c r="D859" s="9"/>
      <c r="E859" s="9"/>
      <c r="F859" s="9"/>
      <c r="G859" s="9"/>
      <c r="H859" s="64" t="str">
        <f aca="false">IF(OR(A859="",B859=""),"",CONCATENATE("https://matarstund.is/serfaedi?id=",LOWER(SUBSTITUTE(B859," ","-"))))</f>
        <v/>
      </c>
    </row>
    <row r="860" customFormat="false" ht="15" hidden="false" customHeight="true" outlineLevel="0" collapsed="false">
      <c r="A860" s="68"/>
      <c r="B860" s="68"/>
      <c r="C860" s="68"/>
      <c r="D860" s="68"/>
      <c r="E860" s="68"/>
      <c r="F860" s="68"/>
      <c r="G860" s="68"/>
      <c r="H860" s="64" t="str">
        <f aca="false">IF(OR(A860="",B860=""),"",CONCATENATE("https://matarstund.is/serfaedi?id=",LOWER(SUBSTITUTE(B860," ","-"))))</f>
        <v/>
      </c>
    </row>
    <row r="861" customFormat="false" ht="15" hidden="false" customHeight="true" outlineLevel="0" collapsed="false">
      <c r="A861" s="9"/>
      <c r="B861" s="9"/>
      <c r="C861" s="9"/>
      <c r="D861" s="9"/>
      <c r="E861" s="9"/>
      <c r="F861" s="9"/>
      <c r="G861" s="9"/>
      <c r="H861" s="64" t="str">
        <f aca="false">IF(OR(A861="",B861=""),"",CONCATENATE("https://matarstund.is/serfaedi?id=",LOWER(SUBSTITUTE(B861," ","-"))))</f>
        <v/>
      </c>
    </row>
    <row r="862" customFormat="false" ht="15" hidden="false" customHeight="true" outlineLevel="0" collapsed="false">
      <c r="A862" s="68"/>
      <c r="B862" s="68"/>
      <c r="C862" s="68"/>
      <c r="D862" s="68"/>
      <c r="E862" s="68"/>
      <c r="F862" s="68"/>
      <c r="G862" s="68"/>
      <c r="H862" s="64" t="str">
        <f aca="false">IF(OR(A862="",B862=""),"",CONCATENATE("https://matarstund.is/serfaedi?id=",LOWER(SUBSTITUTE(B862," ","-"))))</f>
        <v/>
      </c>
    </row>
    <row r="863" customFormat="false" ht="15" hidden="false" customHeight="true" outlineLevel="0" collapsed="false">
      <c r="A863" s="9"/>
      <c r="B863" s="9"/>
      <c r="C863" s="9"/>
      <c r="D863" s="9"/>
      <c r="E863" s="9"/>
      <c r="F863" s="9"/>
      <c r="G863" s="9"/>
      <c r="H863" s="64" t="str">
        <f aca="false">IF(OR(A863="",B863=""),"",CONCATENATE("https://matarstund.is/serfaedi?id=",LOWER(SUBSTITUTE(B863," ","-"))))</f>
        <v/>
      </c>
    </row>
    <row r="864" customFormat="false" ht="15" hidden="false" customHeight="true" outlineLevel="0" collapsed="false">
      <c r="A864" s="68"/>
      <c r="B864" s="68"/>
      <c r="C864" s="68"/>
      <c r="D864" s="68"/>
      <c r="E864" s="68"/>
      <c r="F864" s="68"/>
      <c r="G864" s="68"/>
      <c r="H864" s="64" t="str">
        <f aca="false">IF(OR(A864="",B864=""),"",CONCATENATE("https://matarstund.is/serfaedi?id=",LOWER(SUBSTITUTE(B864," ","-"))))</f>
        <v/>
      </c>
    </row>
    <row r="865" customFormat="false" ht="15" hidden="false" customHeight="true" outlineLevel="0" collapsed="false">
      <c r="A865" s="9"/>
      <c r="B865" s="9"/>
      <c r="C865" s="9"/>
      <c r="D865" s="9"/>
      <c r="E865" s="9"/>
      <c r="F865" s="9"/>
      <c r="G865" s="9"/>
      <c r="H865" s="64" t="str">
        <f aca="false">IF(OR(A865="",B865=""),"",CONCATENATE("https://matarstund.is/serfaedi?id=",LOWER(SUBSTITUTE(B865," ","-"))))</f>
        <v/>
      </c>
    </row>
    <row r="866" customFormat="false" ht="15" hidden="false" customHeight="true" outlineLevel="0" collapsed="false">
      <c r="A866" s="68"/>
      <c r="B866" s="68"/>
      <c r="C866" s="68"/>
      <c r="D866" s="68"/>
      <c r="E866" s="68"/>
      <c r="F866" s="68"/>
      <c r="G866" s="68"/>
      <c r="H866" s="64" t="str">
        <f aca="false">IF(OR(A866="",B866=""),"",CONCATENATE("https://matarstund.is/serfaedi?id=",LOWER(SUBSTITUTE(B866," ","-"))))</f>
        <v/>
      </c>
    </row>
    <row r="867" customFormat="false" ht="15" hidden="false" customHeight="true" outlineLevel="0" collapsed="false">
      <c r="A867" s="9"/>
      <c r="B867" s="9"/>
      <c r="C867" s="9"/>
      <c r="D867" s="9"/>
      <c r="E867" s="9"/>
      <c r="F867" s="9"/>
      <c r="G867" s="9"/>
      <c r="H867" s="64" t="str">
        <f aca="false">IF(OR(A867="",B867=""),"",CONCATENATE("https://matarstund.is/serfaedi?id=",LOWER(SUBSTITUTE(B867," ","-"))))</f>
        <v/>
      </c>
    </row>
    <row r="868" customFormat="false" ht="15" hidden="false" customHeight="true" outlineLevel="0" collapsed="false">
      <c r="A868" s="68"/>
      <c r="B868" s="68"/>
      <c r="C868" s="68"/>
      <c r="D868" s="68"/>
      <c r="E868" s="68"/>
      <c r="F868" s="68"/>
      <c r="G868" s="68"/>
      <c r="H868" s="64" t="str">
        <f aca="false">IF(OR(A868="",B868=""),"",CONCATENATE("https://matarstund.is/serfaedi?id=",LOWER(SUBSTITUTE(B868," ","-"))))</f>
        <v/>
      </c>
    </row>
    <row r="869" customFormat="false" ht="15" hidden="false" customHeight="true" outlineLevel="0" collapsed="false">
      <c r="A869" s="9"/>
      <c r="B869" s="9"/>
      <c r="C869" s="9"/>
      <c r="D869" s="9"/>
      <c r="E869" s="9"/>
      <c r="F869" s="9"/>
      <c r="G869" s="9"/>
      <c r="H869" s="64" t="str">
        <f aca="false">IF(OR(A869="",B869=""),"",CONCATENATE("https://matarstund.is/serfaedi?id=",LOWER(SUBSTITUTE(B869," ","-"))))</f>
        <v/>
      </c>
    </row>
    <row r="870" customFormat="false" ht="15" hidden="false" customHeight="true" outlineLevel="0" collapsed="false">
      <c r="A870" s="68"/>
      <c r="B870" s="68"/>
      <c r="C870" s="68"/>
      <c r="D870" s="68"/>
      <c r="E870" s="68"/>
      <c r="F870" s="68"/>
      <c r="G870" s="68"/>
      <c r="H870" s="64" t="str">
        <f aca="false">IF(OR(A870="",B870=""),"",CONCATENATE("https://matarstund.is/serfaedi?id=",LOWER(SUBSTITUTE(B870," ","-"))))</f>
        <v/>
      </c>
    </row>
    <row r="871" customFormat="false" ht="15" hidden="false" customHeight="true" outlineLevel="0" collapsed="false">
      <c r="A871" s="9"/>
      <c r="B871" s="9"/>
      <c r="C871" s="9"/>
      <c r="D871" s="9"/>
      <c r="E871" s="9"/>
      <c r="F871" s="9"/>
      <c r="G871" s="9"/>
      <c r="H871" s="64" t="str">
        <f aca="false">IF(OR(A871="",B871=""),"",CONCATENATE("https://matarstund.is/serfaedi?id=",LOWER(SUBSTITUTE(B871," ","-"))))</f>
        <v/>
      </c>
    </row>
    <row r="872" customFormat="false" ht="15" hidden="false" customHeight="true" outlineLevel="0" collapsed="false">
      <c r="A872" s="68"/>
      <c r="B872" s="68"/>
      <c r="C872" s="68"/>
      <c r="D872" s="68"/>
      <c r="E872" s="68"/>
      <c r="F872" s="68"/>
      <c r="G872" s="68"/>
      <c r="H872" s="64" t="str">
        <f aca="false">IF(OR(A872="",B872=""),"",CONCATENATE("https://matarstund.is/serfaedi?id=",LOWER(SUBSTITUTE(B872," ","-"))))</f>
        <v/>
      </c>
    </row>
    <row r="873" customFormat="false" ht="15" hidden="false" customHeight="true" outlineLevel="0" collapsed="false">
      <c r="A873" s="9"/>
      <c r="B873" s="9"/>
      <c r="C873" s="9"/>
      <c r="D873" s="9"/>
      <c r="E873" s="9"/>
      <c r="F873" s="9"/>
      <c r="G873" s="9"/>
      <c r="H873" s="64" t="str">
        <f aca="false">IF(OR(A873="",B873=""),"",CONCATENATE("https://matarstund.is/serfaedi?id=",LOWER(SUBSTITUTE(B873," ","-"))))</f>
        <v/>
      </c>
    </row>
    <row r="874" customFormat="false" ht="15" hidden="false" customHeight="true" outlineLevel="0" collapsed="false">
      <c r="A874" s="68"/>
      <c r="B874" s="68"/>
      <c r="C874" s="68"/>
      <c r="D874" s="68"/>
      <c r="E874" s="68"/>
      <c r="F874" s="68"/>
      <c r="G874" s="68"/>
      <c r="H874" s="64" t="str">
        <f aca="false">IF(OR(A874="",B874=""),"",CONCATENATE("https://matarstund.is/serfaedi?id=",LOWER(SUBSTITUTE(B874," ","-"))))</f>
        <v/>
      </c>
    </row>
    <row r="875" customFormat="false" ht="15" hidden="false" customHeight="true" outlineLevel="0" collapsed="false">
      <c r="A875" s="9"/>
      <c r="B875" s="9"/>
      <c r="C875" s="9"/>
      <c r="D875" s="9"/>
      <c r="E875" s="9"/>
      <c r="F875" s="9"/>
      <c r="G875" s="9"/>
      <c r="H875" s="64" t="str">
        <f aca="false">IF(OR(A875="",B875=""),"",CONCATENATE("https://matarstund.is/serfaedi?id=",LOWER(SUBSTITUTE(B875," ","-"))))</f>
        <v/>
      </c>
    </row>
    <row r="876" customFormat="false" ht="15" hidden="false" customHeight="true" outlineLevel="0" collapsed="false">
      <c r="A876" s="68"/>
      <c r="B876" s="68"/>
      <c r="C876" s="68"/>
      <c r="D876" s="68"/>
      <c r="E876" s="68"/>
      <c r="F876" s="68"/>
      <c r="G876" s="68"/>
      <c r="H876" s="64" t="str">
        <f aca="false">IF(OR(A876="",B876=""),"",CONCATENATE("https://matarstund.is/serfaedi?id=",LOWER(SUBSTITUTE(B876," ","-"))))</f>
        <v/>
      </c>
    </row>
    <row r="877" customFormat="false" ht="15" hidden="false" customHeight="true" outlineLevel="0" collapsed="false">
      <c r="A877" s="9"/>
      <c r="B877" s="9"/>
      <c r="C877" s="9"/>
      <c r="D877" s="9"/>
      <c r="E877" s="9"/>
      <c r="F877" s="9"/>
      <c r="G877" s="9"/>
      <c r="H877" s="64" t="str">
        <f aca="false">IF(OR(A877="",B877=""),"",CONCATENATE("https://matarstund.is/serfaedi?id=",LOWER(SUBSTITUTE(B877," ","-"))))</f>
        <v/>
      </c>
    </row>
    <row r="878" customFormat="false" ht="15" hidden="false" customHeight="true" outlineLevel="0" collapsed="false">
      <c r="A878" s="68"/>
      <c r="B878" s="68"/>
      <c r="C878" s="68"/>
      <c r="D878" s="68"/>
      <c r="E878" s="68"/>
      <c r="F878" s="68"/>
      <c r="G878" s="68"/>
      <c r="H878" s="64" t="str">
        <f aca="false">IF(OR(A878="",B878=""),"",CONCATENATE("https://matarstund.is/serfaedi?id=",LOWER(SUBSTITUTE(B878," ","-"))))</f>
        <v/>
      </c>
    </row>
    <row r="879" customFormat="false" ht="15" hidden="false" customHeight="true" outlineLevel="0" collapsed="false">
      <c r="A879" s="9"/>
      <c r="B879" s="9"/>
      <c r="C879" s="9"/>
      <c r="D879" s="9"/>
      <c r="E879" s="9"/>
      <c r="F879" s="9"/>
      <c r="G879" s="9"/>
      <c r="H879" s="64" t="str">
        <f aca="false">IF(OR(A879="",B879=""),"",CONCATENATE("https://matarstund.is/serfaedi?id=",LOWER(SUBSTITUTE(B879," ","-"))))</f>
        <v/>
      </c>
    </row>
    <row r="880" customFormat="false" ht="15" hidden="false" customHeight="true" outlineLevel="0" collapsed="false">
      <c r="A880" s="68"/>
      <c r="B880" s="68"/>
      <c r="C880" s="68"/>
      <c r="D880" s="68"/>
      <c r="E880" s="68"/>
      <c r="F880" s="68"/>
      <c r="G880" s="68"/>
      <c r="H880" s="64" t="str">
        <f aca="false">IF(OR(A880="",B880=""),"",CONCATENATE("https://matarstund.is/serfaedi?id=",LOWER(SUBSTITUTE(B880," ","-"))))</f>
        <v/>
      </c>
    </row>
    <row r="881" customFormat="false" ht="15" hidden="false" customHeight="true" outlineLevel="0" collapsed="false">
      <c r="A881" s="9"/>
      <c r="B881" s="9"/>
      <c r="C881" s="9"/>
      <c r="D881" s="9"/>
      <c r="E881" s="9"/>
      <c r="F881" s="9"/>
      <c r="G881" s="9"/>
      <c r="H881" s="64" t="str">
        <f aca="false">IF(OR(A881="",B881=""),"",CONCATENATE("https://matarstund.is/serfaedi?id=",LOWER(SUBSTITUTE(B881," ","-"))))</f>
        <v/>
      </c>
    </row>
    <row r="882" customFormat="false" ht="15" hidden="false" customHeight="true" outlineLevel="0" collapsed="false">
      <c r="A882" s="68"/>
      <c r="B882" s="68"/>
      <c r="C882" s="68"/>
      <c r="D882" s="68"/>
      <c r="E882" s="68"/>
      <c r="F882" s="68"/>
      <c r="G882" s="68"/>
      <c r="H882" s="64" t="str">
        <f aca="false">IF(OR(A882="",B882=""),"",CONCATENATE("https://matarstund.is/serfaedi?id=",LOWER(SUBSTITUTE(B882," ","-"))))</f>
        <v/>
      </c>
    </row>
    <row r="883" customFormat="false" ht="15" hidden="false" customHeight="true" outlineLevel="0" collapsed="false">
      <c r="A883" s="9"/>
      <c r="B883" s="9"/>
      <c r="C883" s="9"/>
      <c r="D883" s="9"/>
      <c r="E883" s="9"/>
      <c r="F883" s="9"/>
      <c r="G883" s="9"/>
      <c r="H883" s="64" t="str">
        <f aca="false">IF(OR(A883="",B883=""),"",CONCATENATE("https://matarstund.is/serfaedi?id=",LOWER(SUBSTITUTE(B883," ","-"))))</f>
        <v/>
      </c>
    </row>
    <row r="884" customFormat="false" ht="15" hidden="false" customHeight="true" outlineLevel="0" collapsed="false">
      <c r="A884" s="68"/>
      <c r="B884" s="68"/>
      <c r="C884" s="68"/>
      <c r="D884" s="68"/>
      <c r="E884" s="68"/>
      <c r="F884" s="68"/>
      <c r="G884" s="68"/>
      <c r="H884" s="64" t="str">
        <f aca="false">IF(OR(A884="",B884=""),"",CONCATENATE("https://matarstund.is/serfaedi?id=",LOWER(SUBSTITUTE(B884," ","-"))))</f>
        <v/>
      </c>
    </row>
    <row r="885" customFormat="false" ht="15" hidden="false" customHeight="true" outlineLevel="0" collapsed="false">
      <c r="A885" s="9"/>
      <c r="B885" s="9"/>
      <c r="C885" s="9"/>
      <c r="D885" s="9"/>
      <c r="E885" s="9"/>
      <c r="F885" s="9"/>
      <c r="G885" s="9"/>
      <c r="H885" s="64" t="str">
        <f aca="false">IF(OR(A885="",B885=""),"",CONCATENATE("https://matarstund.is/serfaedi?id=",LOWER(SUBSTITUTE(B885," ","-"))))</f>
        <v/>
      </c>
    </row>
    <row r="886" customFormat="false" ht="15" hidden="false" customHeight="true" outlineLevel="0" collapsed="false">
      <c r="A886" s="68"/>
      <c r="B886" s="68"/>
      <c r="C886" s="68"/>
      <c r="D886" s="68"/>
      <c r="E886" s="68"/>
      <c r="F886" s="68"/>
      <c r="G886" s="68"/>
      <c r="H886" s="64" t="str">
        <f aca="false">IF(OR(A886="",B886=""),"",CONCATENATE("https://matarstund.is/serfaedi?id=",LOWER(SUBSTITUTE(B886," ","-"))))</f>
        <v/>
      </c>
    </row>
    <row r="887" customFormat="false" ht="15" hidden="false" customHeight="true" outlineLevel="0" collapsed="false">
      <c r="A887" s="9"/>
      <c r="B887" s="9"/>
      <c r="C887" s="9"/>
      <c r="D887" s="9"/>
      <c r="E887" s="9"/>
      <c r="F887" s="9"/>
      <c r="G887" s="9"/>
      <c r="H887" s="64" t="str">
        <f aca="false">IF(OR(A887="",B887=""),"",CONCATENATE("https://matarstund.is/serfaedi?id=",LOWER(SUBSTITUTE(B887," ","-"))))</f>
        <v/>
      </c>
    </row>
    <row r="888" customFormat="false" ht="15" hidden="false" customHeight="true" outlineLevel="0" collapsed="false">
      <c r="A888" s="68"/>
      <c r="B888" s="68"/>
      <c r="C888" s="68"/>
      <c r="D888" s="68"/>
      <c r="E888" s="68"/>
      <c r="F888" s="68"/>
      <c r="G888" s="68"/>
      <c r="H888" s="64" t="str">
        <f aca="false">IF(OR(A888="",B888=""),"",CONCATENATE("https://matarstund.is/serfaedi?id=",LOWER(SUBSTITUTE(B888," ","-"))))</f>
        <v/>
      </c>
    </row>
    <row r="889" customFormat="false" ht="15" hidden="false" customHeight="true" outlineLevel="0" collapsed="false">
      <c r="A889" s="9"/>
      <c r="B889" s="9"/>
      <c r="C889" s="9"/>
      <c r="D889" s="9"/>
      <c r="E889" s="9"/>
      <c r="F889" s="9"/>
      <c r="G889" s="9"/>
      <c r="H889" s="64" t="str">
        <f aca="false">IF(OR(A889="",B889=""),"",CONCATENATE("https://matarstund.is/serfaedi?id=",LOWER(SUBSTITUTE(B889," ","-"))))</f>
        <v/>
      </c>
    </row>
    <row r="890" customFormat="false" ht="15" hidden="false" customHeight="true" outlineLevel="0" collapsed="false">
      <c r="A890" s="68"/>
      <c r="B890" s="68"/>
      <c r="C890" s="68"/>
      <c r="D890" s="68"/>
      <c r="E890" s="68"/>
      <c r="F890" s="68"/>
      <c r="G890" s="68"/>
      <c r="H890" s="64" t="str">
        <f aca="false">IF(OR(A890="",B890=""),"",CONCATENATE("https://matarstund.is/serfaedi?id=",LOWER(SUBSTITUTE(B890," ","-"))))</f>
        <v/>
      </c>
    </row>
    <row r="891" customFormat="false" ht="15" hidden="false" customHeight="true" outlineLevel="0" collapsed="false">
      <c r="A891" s="9"/>
      <c r="B891" s="9"/>
      <c r="C891" s="9"/>
      <c r="D891" s="9"/>
      <c r="E891" s="9"/>
      <c r="F891" s="9"/>
      <c r="G891" s="9"/>
      <c r="H891" s="64" t="str">
        <f aca="false">IF(OR(A891="",B891=""),"",CONCATENATE("https://matarstund.is/serfaedi?id=",LOWER(SUBSTITUTE(B891," ","-"))))</f>
        <v/>
      </c>
    </row>
    <row r="892" customFormat="false" ht="15" hidden="false" customHeight="true" outlineLevel="0" collapsed="false">
      <c r="A892" s="68"/>
      <c r="B892" s="68"/>
      <c r="C892" s="68"/>
      <c r="D892" s="68"/>
      <c r="E892" s="68"/>
      <c r="F892" s="68"/>
      <c r="G892" s="68"/>
      <c r="H892" s="64" t="str">
        <f aca="false">IF(OR(A892="",B892=""),"",CONCATENATE("https://matarstund.is/serfaedi?id=",LOWER(SUBSTITUTE(B892," ","-"))))</f>
        <v/>
      </c>
    </row>
    <row r="893" customFormat="false" ht="15" hidden="false" customHeight="true" outlineLevel="0" collapsed="false">
      <c r="A893" s="9"/>
      <c r="B893" s="9"/>
      <c r="C893" s="9"/>
      <c r="D893" s="9"/>
      <c r="E893" s="9"/>
      <c r="F893" s="9"/>
      <c r="G893" s="9"/>
      <c r="H893" s="64" t="str">
        <f aca="false">IF(OR(A893="",B893=""),"",CONCATENATE("https://matarstund.is/serfaedi?id=",LOWER(SUBSTITUTE(B893," ","-"))))</f>
        <v/>
      </c>
    </row>
    <row r="894" customFormat="false" ht="15" hidden="false" customHeight="true" outlineLevel="0" collapsed="false">
      <c r="A894" s="68"/>
      <c r="B894" s="68"/>
      <c r="C894" s="68"/>
      <c r="D894" s="68"/>
      <c r="E894" s="68"/>
      <c r="F894" s="68"/>
      <c r="G894" s="68"/>
      <c r="H894" s="64" t="str">
        <f aca="false">IF(OR(A894="",B894=""),"",CONCATENATE("https://matarstund.is/serfaedi?id=",LOWER(SUBSTITUTE(B894," ","-"))))</f>
        <v/>
      </c>
    </row>
    <row r="895" customFormat="false" ht="15" hidden="false" customHeight="true" outlineLevel="0" collapsed="false">
      <c r="A895" s="9"/>
      <c r="B895" s="9"/>
      <c r="C895" s="9"/>
      <c r="D895" s="9"/>
      <c r="E895" s="9"/>
      <c r="F895" s="9"/>
      <c r="G895" s="9"/>
      <c r="H895" s="64" t="str">
        <f aca="false">IF(OR(A895="",B895=""),"",CONCATENATE("https://matarstund.is/serfaedi?id=",LOWER(SUBSTITUTE(B895," ","-"))))</f>
        <v/>
      </c>
    </row>
    <row r="896" customFormat="false" ht="15" hidden="false" customHeight="true" outlineLevel="0" collapsed="false">
      <c r="A896" s="68"/>
      <c r="B896" s="68"/>
      <c r="C896" s="68"/>
      <c r="D896" s="68"/>
      <c r="E896" s="68"/>
      <c r="F896" s="68"/>
      <c r="G896" s="68"/>
      <c r="H896" s="64" t="str">
        <f aca="false">IF(OR(A896="",B896=""),"",CONCATENATE("https://matarstund.is/serfaedi?id=",LOWER(SUBSTITUTE(B896," ","-"))))</f>
        <v/>
      </c>
    </row>
    <row r="897" customFormat="false" ht="15" hidden="false" customHeight="true" outlineLevel="0" collapsed="false">
      <c r="A897" s="9"/>
      <c r="B897" s="9"/>
      <c r="C897" s="9"/>
      <c r="D897" s="9"/>
      <c r="E897" s="9"/>
      <c r="F897" s="9"/>
      <c r="G897" s="9"/>
      <c r="H897" s="64" t="str">
        <f aca="false">IF(OR(A897="",B897=""),"",CONCATENATE("https://matarstund.is/serfaedi?id=",LOWER(SUBSTITUTE(B897," ","-"))))</f>
        <v/>
      </c>
    </row>
    <row r="898" customFormat="false" ht="15" hidden="false" customHeight="true" outlineLevel="0" collapsed="false">
      <c r="A898" s="68"/>
      <c r="B898" s="68"/>
      <c r="C898" s="68"/>
      <c r="D898" s="68"/>
      <c r="E898" s="68"/>
      <c r="F898" s="68"/>
      <c r="G898" s="68"/>
      <c r="H898" s="64" t="str">
        <f aca="false">IF(OR(A898="",B898=""),"",CONCATENATE("https://matarstund.is/serfaedi?id=",LOWER(SUBSTITUTE(B898," ","-"))))</f>
        <v/>
      </c>
    </row>
    <row r="899" customFormat="false" ht="15" hidden="false" customHeight="true" outlineLevel="0" collapsed="false">
      <c r="A899" s="9"/>
      <c r="B899" s="9"/>
      <c r="C899" s="9"/>
      <c r="D899" s="9"/>
      <c r="E899" s="9"/>
      <c r="F899" s="9"/>
      <c r="G899" s="9"/>
      <c r="H899" s="64" t="str">
        <f aca="false">IF(OR(A899="",B899=""),"",CONCATENATE("https://matarstund.is/serfaedi?id=",LOWER(SUBSTITUTE(B899," ","-"))))</f>
        <v/>
      </c>
    </row>
    <row r="900" customFormat="false" ht="15" hidden="false" customHeight="true" outlineLevel="0" collapsed="false">
      <c r="A900" s="68"/>
      <c r="B900" s="68"/>
      <c r="C900" s="68"/>
      <c r="D900" s="68"/>
      <c r="E900" s="68"/>
      <c r="F900" s="68"/>
      <c r="G900" s="68"/>
      <c r="H900" s="64" t="str">
        <f aca="false">IF(OR(A900="",B900=""),"",CONCATENATE("https://matarstund.is/serfaedi?id=",LOWER(SUBSTITUTE(B900," ","-"))))</f>
        <v/>
      </c>
    </row>
    <row r="901" customFormat="false" ht="15" hidden="false" customHeight="true" outlineLevel="0" collapsed="false">
      <c r="A901" s="9"/>
      <c r="B901" s="9"/>
      <c r="C901" s="9"/>
      <c r="D901" s="9"/>
      <c r="E901" s="9"/>
      <c r="F901" s="9"/>
      <c r="G901" s="9"/>
      <c r="H901" s="64" t="str">
        <f aca="false">IF(OR(A901="",B901=""),"",CONCATENATE("https://matarstund.is/serfaedi?id=",LOWER(SUBSTITUTE(B901," ","-"))))</f>
        <v/>
      </c>
    </row>
    <row r="902" customFormat="false" ht="15" hidden="false" customHeight="true" outlineLevel="0" collapsed="false">
      <c r="A902" s="68"/>
      <c r="B902" s="68"/>
      <c r="C902" s="68"/>
      <c r="D902" s="68"/>
      <c r="E902" s="68"/>
      <c r="F902" s="68"/>
      <c r="G902" s="68"/>
      <c r="H902" s="64" t="str">
        <f aca="false">IF(OR(A902="",B902=""),"",CONCATENATE("https://matarstund.is/serfaedi?id=",LOWER(SUBSTITUTE(B902," ","-"))))</f>
        <v/>
      </c>
    </row>
    <row r="903" customFormat="false" ht="15" hidden="false" customHeight="true" outlineLevel="0" collapsed="false">
      <c r="A903" s="9"/>
      <c r="B903" s="9"/>
      <c r="C903" s="9"/>
      <c r="D903" s="9"/>
      <c r="E903" s="9"/>
      <c r="F903" s="9"/>
      <c r="G903" s="9"/>
      <c r="H903" s="64" t="str">
        <f aca="false">IF(OR(A903="",B903=""),"",CONCATENATE("https://matarstund.is/serfaedi?id=",LOWER(SUBSTITUTE(B903," ","-"))))</f>
        <v/>
      </c>
    </row>
    <row r="904" customFormat="false" ht="15" hidden="false" customHeight="true" outlineLevel="0" collapsed="false">
      <c r="A904" s="68"/>
      <c r="B904" s="68"/>
      <c r="C904" s="68"/>
      <c r="D904" s="68"/>
      <c r="E904" s="68"/>
      <c r="F904" s="68"/>
      <c r="G904" s="68"/>
      <c r="H904" s="64" t="str">
        <f aca="false">IF(OR(A904="",B904=""),"",CONCATENATE("https://matarstund.is/serfaedi?id=",LOWER(SUBSTITUTE(B904," ","-"))))</f>
        <v/>
      </c>
    </row>
    <row r="905" customFormat="false" ht="15" hidden="false" customHeight="true" outlineLevel="0" collapsed="false">
      <c r="A905" s="9"/>
      <c r="B905" s="9"/>
      <c r="C905" s="9"/>
      <c r="D905" s="9"/>
      <c r="E905" s="9"/>
      <c r="F905" s="9"/>
      <c r="G905" s="9"/>
      <c r="H905" s="64" t="str">
        <f aca="false">IF(OR(A905="",B905=""),"",CONCATENATE("https://matarstund.is/serfaedi?id=",LOWER(SUBSTITUTE(B905," ","-"))))</f>
        <v/>
      </c>
    </row>
    <row r="906" customFormat="false" ht="15" hidden="false" customHeight="true" outlineLevel="0" collapsed="false">
      <c r="A906" s="68"/>
      <c r="B906" s="68"/>
      <c r="C906" s="68"/>
      <c r="D906" s="68"/>
      <c r="E906" s="68"/>
      <c r="F906" s="68"/>
      <c r="G906" s="68"/>
      <c r="H906" s="64" t="str">
        <f aca="false">IF(OR(A906="",B906=""),"",CONCATENATE("https://matarstund.is/serfaedi?id=",LOWER(SUBSTITUTE(B906," ","-"))))</f>
        <v/>
      </c>
    </row>
    <row r="907" customFormat="false" ht="15" hidden="false" customHeight="true" outlineLevel="0" collapsed="false">
      <c r="A907" s="9"/>
      <c r="B907" s="9"/>
      <c r="C907" s="9"/>
      <c r="D907" s="9"/>
      <c r="E907" s="9"/>
      <c r="F907" s="9"/>
      <c r="G907" s="9"/>
      <c r="H907" s="64" t="str">
        <f aca="false">IF(OR(A907="",B907=""),"",CONCATENATE("https://matarstund.is/serfaedi?id=",LOWER(SUBSTITUTE(B907," ","-"))))</f>
        <v/>
      </c>
    </row>
    <row r="908" customFormat="false" ht="15" hidden="false" customHeight="true" outlineLevel="0" collapsed="false">
      <c r="A908" s="68"/>
      <c r="B908" s="68"/>
      <c r="C908" s="68"/>
      <c r="D908" s="68"/>
      <c r="E908" s="68"/>
      <c r="F908" s="68"/>
      <c r="G908" s="68"/>
      <c r="H908" s="64" t="str">
        <f aca="false">IF(OR(A908="",B908=""),"",CONCATENATE("https://matarstund.is/serfaedi?id=",LOWER(SUBSTITUTE(B908," ","-"))))</f>
        <v/>
      </c>
    </row>
    <row r="909" customFormat="false" ht="15" hidden="false" customHeight="true" outlineLevel="0" collapsed="false">
      <c r="A909" s="9"/>
      <c r="B909" s="9"/>
      <c r="C909" s="9"/>
      <c r="D909" s="9"/>
      <c r="E909" s="9"/>
      <c r="F909" s="9"/>
      <c r="G909" s="9"/>
      <c r="H909" s="64" t="str">
        <f aca="false">IF(OR(A909="",B909=""),"",CONCATENATE("https://matarstund.is/serfaedi?id=",LOWER(SUBSTITUTE(B909," ","-"))))</f>
        <v/>
      </c>
    </row>
    <row r="910" customFormat="false" ht="15" hidden="false" customHeight="true" outlineLevel="0" collapsed="false">
      <c r="A910" s="68"/>
      <c r="B910" s="68"/>
      <c r="C910" s="68"/>
      <c r="D910" s="68"/>
      <c r="E910" s="68"/>
      <c r="F910" s="68"/>
      <c r="G910" s="68"/>
      <c r="H910" s="64" t="str">
        <f aca="false">IF(OR(A910="",B910=""),"",CONCATENATE("https://matarstund.is/serfaedi?id=",LOWER(SUBSTITUTE(B910," ","-"))))</f>
        <v/>
      </c>
    </row>
    <row r="911" customFormat="false" ht="15" hidden="false" customHeight="true" outlineLevel="0" collapsed="false">
      <c r="A911" s="9"/>
      <c r="B911" s="9"/>
      <c r="C911" s="9"/>
      <c r="D911" s="9"/>
      <c r="E911" s="9"/>
      <c r="F911" s="9"/>
      <c r="G911" s="9"/>
      <c r="H911" s="64" t="str">
        <f aca="false">IF(OR(A911="",B911=""),"",CONCATENATE("https://matarstund.is/serfaedi?id=",LOWER(SUBSTITUTE(B911," ","-"))))</f>
        <v/>
      </c>
    </row>
    <row r="912" customFormat="false" ht="15" hidden="false" customHeight="true" outlineLevel="0" collapsed="false">
      <c r="A912" s="68"/>
      <c r="B912" s="68"/>
      <c r="C912" s="68"/>
      <c r="D912" s="68"/>
      <c r="E912" s="68"/>
      <c r="F912" s="68"/>
      <c r="G912" s="68"/>
      <c r="H912" s="64" t="str">
        <f aca="false">IF(OR(A912="",B912=""),"",CONCATENATE("https://matarstund.is/serfaedi?id=",LOWER(SUBSTITUTE(B912," ","-"))))</f>
        <v/>
      </c>
    </row>
    <row r="913" customFormat="false" ht="15" hidden="false" customHeight="true" outlineLevel="0" collapsed="false">
      <c r="A913" s="9"/>
      <c r="B913" s="9"/>
      <c r="C913" s="9"/>
      <c r="D913" s="9"/>
      <c r="E913" s="9"/>
      <c r="F913" s="9"/>
      <c r="G913" s="9"/>
      <c r="H913" s="64" t="str">
        <f aca="false">IF(OR(A913="",B913=""),"",CONCATENATE("https://matarstund.is/serfaedi?id=",LOWER(SUBSTITUTE(B913," ","-"))))</f>
        <v/>
      </c>
    </row>
    <row r="914" customFormat="false" ht="15" hidden="false" customHeight="true" outlineLevel="0" collapsed="false">
      <c r="A914" s="68"/>
      <c r="B914" s="68"/>
      <c r="C914" s="68"/>
      <c r="D914" s="68"/>
      <c r="E914" s="68"/>
      <c r="F914" s="68"/>
      <c r="G914" s="68"/>
      <c r="H914" s="64" t="str">
        <f aca="false">IF(OR(A914="",B914=""),"",CONCATENATE("https://matarstund.is/serfaedi?id=",LOWER(SUBSTITUTE(B914," ","-"))))</f>
        <v/>
      </c>
    </row>
    <row r="915" customFormat="false" ht="15" hidden="false" customHeight="true" outlineLevel="0" collapsed="false">
      <c r="A915" s="9"/>
      <c r="B915" s="9"/>
      <c r="C915" s="9"/>
      <c r="D915" s="9"/>
      <c r="E915" s="9"/>
      <c r="F915" s="9"/>
      <c r="G915" s="9"/>
      <c r="H915" s="64" t="str">
        <f aca="false">IF(OR(A915="",B915=""),"",CONCATENATE("https://matarstund.is/serfaedi?id=",LOWER(SUBSTITUTE(B915," ","-"))))</f>
        <v/>
      </c>
    </row>
    <row r="916" customFormat="false" ht="15" hidden="false" customHeight="true" outlineLevel="0" collapsed="false">
      <c r="A916" s="68"/>
      <c r="B916" s="68"/>
      <c r="C916" s="68"/>
      <c r="D916" s="68"/>
      <c r="E916" s="68"/>
      <c r="F916" s="68"/>
      <c r="G916" s="68"/>
      <c r="H916" s="64" t="str">
        <f aca="false">IF(OR(A916="",B916=""),"",CONCATENATE("https://matarstund.is/serfaedi?id=",LOWER(SUBSTITUTE(B916," ","-"))))</f>
        <v/>
      </c>
    </row>
    <row r="917" customFormat="false" ht="15" hidden="false" customHeight="true" outlineLevel="0" collapsed="false">
      <c r="A917" s="9"/>
      <c r="B917" s="9"/>
      <c r="C917" s="9"/>
      <c r="D917" s="9"/>
      <c r="E917" s="9"/>
      <c r="F917" s="9"/>
      <c r="G917" s="9"/>
      <c r="H917" s="64" t="str">
        <f aca="false">IF(OR(A917="",B917=""),"",CONCATENATE("https://matarstund.is/serfaedi?id=",LOWER(SUBSTITUTE(B917," ","-"))))</f>
        <v/>
      </c>
    </row>
    <row r="918" customFormat="false" ht="15" hidden="false" customHeight="true" outlineLevel="0" collapsed="false">
      <c r="A918" s="68"/>
      <c r="B918" s="68"/>
      <c r="C918" s="68"/>
      <c r="D918" s="68"/>
      <c r="E918" s="68"/>
      <c r="F918" s="68"/>
      <c r="G918" s="68"/>
      <c r="H918" s="64" t="str">
        <f aca="false">IF(OR(A918="",B918=""),"",CONCATENATE("https://matarstund.is/serfaedi?id=",LOWER(SUBSTITUTE(B918," ","-"))))</f>
        <v/>
      </c>
    </row>
    <row r="919" customFormat="false" ht="15" hidden="false" customHeight="true" outlineLevel="0" collapsed="false">
      <c r="A919" s="9"/>
      <c r="B919" s="9"/>
      <c r="C919" s="9"/>
      <c r="D919" s="9"/>
      <c r="E919" s="9"/>
      <c r="F919" s="9"/>
      <c r="G919" s="9"/>
      <c r="H919" s="64" t="str">
        <f aca="false">IF(OR(A919="",B919=""),"",CONCATENATE("https://matarstund.is/serfaedi?id=",LOWER(SUBSTITUTE(B919," ","-"))))</f>
        <v/>
      </c>
    </row>
    <row r="920" customFormat="false" ht="15" hidden="false" customHeight="true" outlineLevel="0" collapsed="false">
      <c r="A920" s="68"/>
      <c r="B920" s="68"/>
      <c r="C920" s="68"/>
      <c r="D920" s="68"/>
      <c r="E920" s="68"/>
      <c r="F920" s="68"/>
      <c r="G920" s="68"/>
      <c r="H920" s="64" t="str">
        <f aca="false">IF(OR(A920="",B920=""),"",CONCATENATE("https://matarstund.is/serfaedi?id=",LOWER(SUBSTITUTE(B920," ","-"))))</f>
        <v/>
      </c>
    </row>
    <row r="921" customFormat="false" ht="15" hidden="false" customHeight="true" outlineLevel="0" collapsed="false">
      <c r="A921" s="9"/>
      <c r="B921" s="9"/>
      <c r="C921" s="9"/>
      <c r="D921" s="9"/>
      <c r="E921" s="9"/>
      <c r="F921" s="9"/>
      <c r="G921" s="9"/>
      <c r="H921" s="64" t="str">
        <f aca="false">IF(OR(A921="",B921=""),"",CONCATENATE("https://matarstund.is/serfaedi?id=",LOWER(SUBSTITUTE(B921," ","-"))))</f>
        <v/>
      </c>
    </row>
    <row r="922" customFormat="false" ht="15" hidden="false" customHeight="true" outlineLevel="0" collapsed="false">
      <c r="A922" s="68"/>
      <c r="B922" s="68"/>
      <c r="C922" s="68"/>
      <c r="D922" s="68"/>
      <c r="E922" s="68"/>
      <c r="F922" s="68"/>
      <c r="G922" s="68"/>
      <c r="H922" s="64" t="str">
        <f aca="false">IF(OR(A922="",B922=""),"",CONCATENATE("https://matarstund.is/serfaedi?id=",LOWER(SUBSTITUTE(B922," ","-"))))</f>
        <v/>
      </c>
    </row>
    <row r="923" customFormat="false" ht="15" hidden="false" customHeight="true" outlineLevel="0" collapsed="false">
      <c r="A923" s="9"/>
      <c r="B923" s="9"/>
      <c r="C923" s="9"/>
      <c r="D923" s="9"/>
      <c r="E923" s="9"/>
      <c r="F923" s="9"/>
      <c r="G923" s="9"/>
      <c r="H923" s="64" t="str">
        <f aca="false">IF(OR(A923="",B923=""),"",CONCATENATE("https://matarstund.is/serfaedi?id=",LOWER(SUBSTITUTE(B923," ","-"))))</f>
        <v/>
      </c>
    </row>
    <row r="924" customFormat="false" ht="15" hidden="false" customHeight="true" outlineLevel="0" collapsed="false">
      <c r="A924" s="68"/>
      <c r="B924" s="68"/>
      <c r="C924" s="68"/>
      <c r="D924" s="68"/>
      <c r="E924" s="68"/>
      <c r="F924" s="68"/>
      <c r="G924" s="68"/>
      <c r="H924" s="64" t="str">
        <f aca="false">IF(OR(A924="",B924=""),"",CONCATENATE("https://matarstund.is/serfaedi?id=",LOWER(SUBSTITUTE(B924," ","-"))))</f>
        <v/>
      </c>
    </row>
    <row r="925" customFormat="false" ht="15" hidden="false" customHeight="true" outlineLevel="0" collapsed="false">
      <c r="A925" s="9"/>
      <c r="B925" s="9"/>
      <c r="C925" s="9"/>
      <c r="D925" s="9"/>
      <c r="E925" s="9"/>
      <c r="F925" s="9"/>
      <c r="G925" s="9"/>
      <c r="H925" s="64" t="str">
        <f aca="false">IF(OR(A925="",B925=""),"",CONCATENATE("https://matarstund.is/serfaedi?id=",LOWER(SUBSTITUTE(B925," ","-"))))</f>
        <v/>
      </c>
    </row>
    <row r="926" customFormat="false" ht="15" hidden="false" customHeight="true" outlineLevel="0" collapsed="false">
      <c r="A926" s="68"/>
      <c r="B926" s="68"/>
      <c r="C926" s="68"/>
      <c r="D926" s="68"/>
      <c r="E926" s="68"/>
      <c r="F926" s="68"/>
      <c r="G926" s="68"/>
      <c r="H926" s="64" t="str">
        <f aca="false">IF(OR(A926="",B926=""),"",CONCATENATE("https://matarstund.is/serfaedi?id=",LOWER(SUBSTITUTE(B926," ","-"))))</f>
        <v/>
      </c>
    </row>
    <row r="927" customFormat="false" ht="15" hidden="false" customHeight="true" outlineLevel="0" collapsed="false">
      <c r="A927" s="9"/>
      <c r="B927" s="9"/>
      <c r="C927" s="9"/>
      <c r="D927" s="9"/>
      <c r="E927" s="9"/>
      <c r="F927" s="9"/>
      <c r="G927" s="9"/>
      <c r="H927" s="64" t="str">
        <f aca="false">IF(OR(A927="",B927=""),"",CONCATENATE("https://matarstund.is/serfaedi?id=",LOWER(SUBSTITUTE(B927," ","-"))))</f>
        <v/>
      </c>
    </row>
    <row r="928" customFormat="false" ht="15" hidden="false" customHeight="true" outlineLevel="0" collapsed="false">
      <c r="A928" s="68"/>
      <c r="B928" s="68"/>
      <c r="C928" s="68"/>
      <c r="D928" s="68"/>
      <c r="E928" s="68"/>
      <c r="F928" s="68"/>
      <c r="G928" s="68"/>
      <c r="H928" s="64" t="str">
        <f aca="false">IF(OR(A928="",B928=""),"",CONCATENATE("https://matarstund.is/serfaedi?id=",LOWER(SUBSTITUTE(B928," ","-"))))</f>
        <v/>
      </c>
    </row>
    <row r="929" customFormat="false" ht="15" hidden="false" customHeight="true" outlineLevel="0" collapsed="false">
      <c r="A929" s="9"/>
      <c r="B929" s="9"/>
      <c r="C929" s="9"/>
      <c r="D929" s="9"/>
      <c r="E929" s="9"/>
      <c r="F929" s="9"/>
      <c r="G929" s="9"/>
      <c r="H929" s="64" t="str">
        <f aca="false">IF(OR(A929="",B929=""),"",CONCATENATE("https://matarstund.is/serfaedi?id=",LOWER(SUBSTITUTE(B929," ","-"))))</f>
        <v/>
      </c>
    </row>
    <row r="930" customFormat="false" ht="15" hidden="false" customHeight="true" outlineLevel="0" collapsed="false">
      <c r="A930" s="68"/>
      <c r="B930" s="68"/>
      <c r="C930" s="68"/>
      <c r="D930" s="68"/>
      <c r="E930" s="68"/>
      <c r="F930" s="68"/>
      <c r="G930" s="68"/>
      <c r="H930" s="64" t="str">
        <f aca="false">IF(OR(A930="",B930=""),"",CONCATENATE("https://matarstund.is/serfaedi?id=",LOWER(SUBSTITUTE(B930," ","-"))))</f>
        <v/>
      </c>
    </row>
    <row r="931" customFormat="false" ht="15" hidden="false" customHeight="true" outlineLevel="0" collapsed="false">
      <c r="A931" s="9"/>
      <c r="B931" s="9"/>
      <c r="C931" s="9"/>
      <c r="D931" s="9"/>
      <c r="E931" s="9"/>
      <c r="F931" s="9"/>
      <c r="G931" s="9"/>
      <c r="H931" s="64" t="str">
        <f aca="false">IF(OR(A931="",B931=""),"",CONCATENATE("https://matarstund.is/serfaedi?id=",LOWER(SUBSTITUTE(B931," ","-"))))</f>
        <v/>
      </c>
    </row>
    <row r="932" customFormat="false" ht="15" hidden="false" customHeight="true" outlineLevel="0" collapsed="false">
      <c r="A932" s="68"/>
      <c r="B932" s="68"/>
      <c r="C932" s="68"/>
      <c r="D932" s="68"/>
      <c r="E932" s="68"/>
      <c r="F932" s="68"/>
      <c r="G932" s="68"/>
      <c r="H932" s="64" t="str">
        <f aca="false">IF(OR(A932="",B932=""),"",CONCATENATE("https://matarstund.is/serfaedi?id=",LOWER(SUBSTITUTE(B932," ","-"))))</f>
        <v/>
      </c>
    </row>
    <row r="933" customFormat="false" ht="15" hidden="false" customHeight="true" outlineLevel="0" collapsed="false">
      <c r="A933" s="9"/>
      <c r="B933" s="9"/>
      <c r="C933" s="9"/>
      <c r="D933" s="9"/>
      <c r="E933" s="9"/>
      <c r="F933" s="9"/>
      <c r="G933" s="9"/>
      <c r="H933" s="64" t="str">
        <f aca="false">IF(OR(A933="",B933=""),"",CONCATENATE("https://matarstund.is/serfaedi?id=",LOWER(SUBSTITUTE(B933," ","-"))))</f>
        <v/>
      </c>
    </row>
    <row r="934" customFormat="false" ht="15" hidden="false" customHeight="true" outlineLevel="0" collapsed="false">
      <c r="A934" s="68"/>
      <c r="B934" s="68"/>
      <c r="C934" s="68"/>
      <c r="D934" s="68"/>
      <c r="E934" s="68"/>
      <c r="F934" s="68"/>
      <c r="G934" s="68"/>
      <c r="H934" s="64" t="str">
        <f aca="false">IF(OR(A934="",B934=""),"",CONCATENATE("https://matarstund.is/serfaedi?id=",LOWER(SUBSTITUTE(B934," ","-"))))</f>
        <v/>
      </c>
    </row>
    <row r="935" customFormat="false" ht="15" hidden="false" customHeight="true" outlineLevel="0" collapsed="false">
      <c r="A935" s="9"/>
      <c r="B935" s="9"/>
      <c r="C935" s="9"/>
      <c r="D935" s="9"/>
      <c r="E935" s="9"/>
      <c r="F935" s="9"/>
      <c r="G935" s="9"/>
      <c r="H935" s="64" t="str">
        <f aca="false">IF(OR(A935="",B935=""),"",CONCATENATE("https://matarstund.is/serfaedi?id=",LOWER(SUBSTITUTE(B935," ","-"))))</f>
        <v/>
      </c>
    </row>
    <row r="936" customFormat="false" ht="15" hidden="false" customHeight="true" outlineLevel="0" collapsed="false">
      <c r="A936" s="68"/>
      <c r="B936" s="68"/>
      <c r="C936" s="68"/>
      <c r="D936" s="68"/>
      <c r="E936" s="68"/>
      <c r="F936" s="68"/>
      <c r="G936" s="68"/>
      <c r="H936" s="64" t="str">
        <f aca="false">IF(OR(A936="",B936=""),"",CONCATENATE("https://matarstund.is/serfaedi?id=",LOWER(SUBSTITUTE(B936," ","-"))))</f>
        <v/>
      </c>
    </row>
    <row r="937" customFormat="false" ht="15" hidden="false" customHeight="true" outlineLevel="0" collapsed="false">
      <c r="A937" s="9"/>
      <c r="B937" s="9"/>
      <c r="C937" s="9"/>
      <c r="D937" s="9"/>
      <c r="E937" s="9"/>
      <c r="F937" s="9"/>
      <c r="G937" s="9"/>
      <c r="H937" s="64" t="str">
        <f aca="false">IF(OR(A937="",B937=""),"",CONCATENATE("https://matarstund.is/serfaedi?id=",LOWER(SUBSTITUTE(B937," ","-"))))</f>
        <v/>
      </c>
    </row>
    <row r="938" customFormat="false" ht="15" hidden="false" customHeight="true" outlineLevel="0" collapsed="false">
      <c r="A938" s="68"/>
      <c r="B938" s="68"/>
      <c r="C938" s="68"/>
      <c r="D938" s="68"/>
      <c r="E938" s="68"/>
      <c r="F938" s="68"/>
      <c r="G938" s="68"/>
      <c r="H938" s="64" t="str">
        <f aca="false">IF(OR(A938="",B938=""),"",CONCATENATE("https://matarstund.is/serfaedi?id=",LOWER(SUBSTITUTE(B938," ","-"))))</f>
        <v/>
      </c>
    </row>
    <row r="939" customFormat="false" ht="15" hidden="false" customHeight="true" outlineLevel="0" collapsed="false">
      <c r="A939" s="9"/>
      <c r="B939" s="9"/>
      <c r="C939" s="9"/>
      <c r="D939" s="9"/>
      <c r="E939" s="9"/>
      <c r="F939" s="9"/>
      <c r="G939" s="9"/>
      <c r="H939" s="64" t="str">
        <f aca="false">IF(OR(A939="",B939=""),"",CONCATENATE("https://matarstund.is/serfaedi?id=",LOWER(SUBSTITUTE(B939," ","-"))))</f>
        <v/>
      </c>
    </row>
    <row r="940" customFormat="false" ht="15" hidden="false" customHeight="true" outlineLevel="0" collapsed="false">
      <c r="A940" s="68"/>
      <c r="B940" s="68"/>
      <c r="C940" s="68"/>
      <c r="D940" s="68"/>
      <c r="E940" s="68"/>
      <c r="F940" s="68"/>
      <c r="G940" s="68"/>
      <c r="H940" s="64" t="str">
        <f aca="false">IF(OR(A940="",B940=""),"",CONCATENATE("https://matarstund.is/serfaedi?id=",LOWER(SUBSTITUTE(B940," ","-"))))</f>
        <v/>
      </c>
    </row>
    <row r="941" customFormat="false" ht="15" hidden="false" customHeight="true" outlineLevel="0" collapsed="false">
      <c r="A941" s="9"/>
      <c r="B941" s="9"/>
      <c r="C941" s="9"/>
      <c r="D941" s="9"/>
      <c r="E941" s="9"/>
      <c r="F941" s="9"/>
      <c r="G941" s="9"/>
      <c r="H941" s="64" t="str">
        <f aca="false">IF(OR(A941="",B941=""),"",CONCATENATE("https://matarstund.is/serfaedi?id=",LOWER(SUBSTITUTE(B941," ","-"))))</f>
        <v/>
      </c>
    </row>
    <row r="942" customFormat="false" ht="15" hidden="false" customHeight="true" outlineLevel="0" collapsed="false">
      <c r="A942" s="68"/>
      <c r="B942" s="68"/>
      <c r="C942" s="68"/>
      <c r="D942" s="68"/>
      <c r="E942" s="68"/>
      <c r="F942" s="68"/>
      <c r="G942" s="68"/>
      <c r="H942" s="64" t="str">
        <f aca="false">IF(OR(A942="",B942=""),"",CONCATENATE("https://matarstund.is/serfaedi?id=",LOWER(SUBSTITUTE(B942," ","-"))))</f>
        <v/>
      </c>
    </row>
    <row r="943" customFormat="false" ht="15" hidden="false" customHeight="true" outlineLevel="0" collapsed="false">
      <c r="A943" s="9"/>
      <c r="B943" s="9"/>
      <c r="C943" s="9"/>
      <c r="D943" s="9"/>
      <c r="E943" s="9"/>
      <c r="F943" s="9"/>
      <c r="G943" s="9"/>
      <c r="H943" s="64" t="str">
        <f aca="false">IF(OR(A943="",B943=""),"",CONCATENATE("https://matarstund.is/serfaedi?id=",LOWER(SUBSTITUTE(B943," ","-"))))</f>
        <v/>
      </c>
    </row>
    <row r="944" customFormat="false" ht="15" hidden="false" customHeight="true" outlineLevel="0" collapsed="false">
      <c r="A944" s="68"/>
      <c r="B944" s="68"/>
      <c r="C944" s="68"/>
      <c r="D944" s="68"/>
      <c r="E944" s="68"/>
      <c r="F944" s="68"/>
      <c r="G944" s="68"/>
      <c r="H944" s="64" t="str">
        <f aca="false">IF(OR(A944="",B944=""),"",CONCATENATE("https://matarstund.is/serfaedi?id=",LOWER(SUBSTITUTE(B944," ","-"))))</f>
        <v/>
      </c>
    </row>
    <row r="945" customFormat="false" ht="15" hidden="false" customHeight="true" outlineLevel="0" collapsed="false">
      <c r="A945" s="9"/>
      <c r="B945" s="9"/>
      <c r="C945" s="9"/>
      <c r="D945" s="9"/>
      <c r="E945" s="9"/>
      <c r="F945" s="9"/>
      <c r="G945" s="9"/>
      <c r="H945" s="64" t="str">
        <f aca="false">IF(OR(A945="",B945=""),"",CONCATENATE("https://matarstund.is/serfaedi?id=",LOWER(SUBSTITUTE(B945," ","-"))))</f>
        <v/>
      </c>
    </row>
    <row r="946" customFormat="false" ht="15" hidden="false" customHeight="true" outlineLevel="0" collapsed="false">
      <c r="A946" s="68"/>
      <c r="B946" s="68"/>
      <c r="C946" s="68"/>
      <c r="D946" s="68"/>
      <c r="E946" s="68"/>
      <c r="F946" s="68"/>
      <c r="G946" s="68"/>
      <c r="H946" s="64" t="str">
        <f aca="false">IF(OR(A946="",B946=""),"",CONCATENATE("https://matarstund.is/serfaedi?id=",LOWER(SUBSTITUTE(B946," ","-"))))</f>
        <v/>
      </c>
    </row>
    <row r="947" customFormat="false" ht="15" hidden="false" customHeight="true" outlineLevel="0" collapsed="false">
      <c r="A947" s="9"/>
      <c r="B947" s="9"/>
      <c r="C947" s="9"/>
      <c r="D947" s="9"/>
      <c r="E947" s="9"/>
      <c r="F947" s="9"/>
      <c r="G947" s="9"/>
      <c r="H947" s="64" t="str">
        <f aca="false">IF(OR(A947="",B947=""),"",CONCATENATE("https://matarstund.is/serfaedi?id=",LOWER(SUBSTITUTE(B947," ","-"))))</f>
        <v/>
      </c>
    </row>
    <row r="948" customFormat="false" ht="15" hidden="false" customHeight="true" outlineLevel="0" collapsed="false">
      <c r="A948" s="68"/>
      <c r="B948" s="68"/>
      <c r="C948" s="68"/>
      <c r="D948" s="68"/>
      <c r="E948" s="68"/>
      <c r="F948" s="68"/>
      <c r="G948" s="68"/>
      <c r="H948" s="64" t="str">
        <f aca="false">IF(OR(A948="",B948=""),"",CONCATENATE("https://matarstund.is/serfaedi?id=",LOWER(SUBSTITUTE(B948," ","-"))))</f>
        <v/>
      </c>
    </row>
    <row r="949" customFormat="false" ht="15" hidden="false" customHeight="true" outlineLevel="0" collapsed="false">
      <c r="A949" s="9"/>
      <c r="B949" s="9"/>
      <c r="C949" s="9"/>
      <c r="D949" s="9"/>
      <c r="E949" s="9"/>
      <c r="F949" s="9"/>
      <c r="G949" s="9"/>
      <c r="H949" s="64" t="str">
        <f aca="false">IF(OR(A949="",B949=""),"",CONCATENATE("https://matarstund.is/serfaedi?id=",LOWER(SUBSTITUTE(B949," ","-"))))</f>
        <v/>
      </c>
    </row>
    <row r="950" customFormat="false" ht="15" hidden="false" customHeight="true" outlineLevel="0" collapsed="false">
      <c r="A950" s="68"/>
      <c r="B950" s="68"/>
      <c r="C950" s="68"/>
      <c r="D950" s="68"/>
      <c r="E950" s="68"/>
      <c r="F950" s="68"/>
      <c r="G950" s="68"/>
      <c r="H950" s="64" t="str">
        <f aca="false">IF(OR(A950="",B950=""),"",CONCATENATE("https://matarstund.is/serfaedi?id=",LOWER(SUBSTITUTE(B950," ","-"))))</f>
        <v/>
      </c>
    </row>
    <row r="951" customFormat="false" ht="15" hidden="false" customHeight="true" outlineLevel="0" collapsed="false">
      <c r="A951" s="9"/>
      <c r="B951" s="9"/>
      <c r="C951" s="9"/>
      <c r="D951" s="9"/>
      <c r="E951" s="9"/>
      <c r="F951" s="9"/>
      <c r="G951" s="9"/>
      <c r="H951" s="64" t="str">
        <f aca="false">IF(OR(A951="",B951=""),"",CONCATENATE("https://matarstund.is/serfaedi?id=",LOWER(SUBSTITUTE(B951," ","-"))))</f>
        <v/>
      </c>
    </row>
    <row r="952" customFormat="false" ht="15" hidden="false" customHeight="true" outlineLevel="0" collapsed="false">
      <c r="A952" s="68"/>
      <c r="B952" s="68"/>
      <c r="C952" s="68"/>
      <c r="D952" s="68"/>
      <c r="E952" s="68"/>
      <c r="F952" s="68"/>
      <c r="G952" s="68"/>
      <c r="H952" s="64" t="str">
        <f aca="false">IF(OR(A952="",B952=""),"",CONCATENATE("https://matarstund.is/serfaedi?id=",LOWER(SUBSTITUTE(B952," ","-"))))</f>
        <v/>
      </c>
    </row>
    <row r="953" customFormat="false" ht="15" hidden="false" customHeight="true" outlineLevel="0" collapsed="false">
      <c r="A953" s="9"/>
      <c r="B953" s="9"/>
      <c r="C953" s="9"/>
      <c r="D953" s="9"/>
      <c r="E953" s="9"/>
      <c r="F953" s="9"/>
      <c r="G953" s="9"/>
      <c r="H953" s="64" t="str">
        <f aca="false">IF(OR(A953="",B953=""),"",CONCATENATE("https://matarstund.is/serfaedi?id=",LOWER(SUBSTITUTE(B953," ","-"))))</f>
        <v/>
      </c>
    </row>
    <row r="954" customFormat="false" ht="15" hidden="false" customHeight="true" outlineLevel="0" collapsed="false">
      <c r="A954" s="68"/>
      <c r="B954" s="68"/>
      <c r="C954" s="68"/>
      <c r="D954" s="68"/>
      <c r="E954" s="68"/>
      <c r="F954" s="68"/>
      <c r="G954" s="68"/>
      <c r="H954" s="64" t="str">
        <f aca="false">IF(OR(A954="",B954=""),"",CONCATENATE("https://matarstund.is/serfaedi?id=",LOWER(SUBSTITUTE(B954," ","-"))))</f>
        <v/>
      </c>
    </row>
    <row r="955" customFormat="false" ht="15" hidden="false" customHeight="true" outlineLevel="0" collapsed="false">
      <c r="A955" s="9"/>
      <c r="B955" s="9"/>
      <c r="C955" s="9"/>
      <c r="D955" s="9"/>
      <c r="E955" s="9"/>
      <c r="F955" s="9"/>
      <c r="G955" s="9"/>
      <c r="H955" s="64" t="str">
        <f aca="false">IF(OR(A955="",B955=""),"",CONCATENATE("https://matarstund.is/serfaedi?id=",LOWER(SUBSTITUTE(B955," ","-"))))</f>
        <v/>
      </c>
    </row>
    <row r="956" customFormat="false" ht="15" hidden="false" customHeight="true" outlineLevel="0" collapsed="false">
      <c r="A956" s="68"/>
      <c r="B956" s="68"/>
      <c r="C956" s="68"/>
      <c r="D956" s="68"/>
      <c r="E956" s="68"/>
      <c r="F956" s="68"/>
      <c r="G956" s="68"/>
      <c r="H956" s="64" t="str">
        <f aca="false">IF(OR(A956="",B956=""),"",CONCATENATE("https://matarstund.is/serfaedi?id=",LOWER(SUBSTITUTE(B956," ","-"))))</f>
        <v/>
      </c>
    </row>
    <row r="957" customFormat="false" ht="15" hidden="false" customHeight="true" outlineLevel="0" collapsed="false">
      <c r="A957" s="9"/>
      <c r="B957" s="9"/>
      <c r="C957" s="9"/>
      <c r="D957" s="9"/>
      <c r="E957" s="9"/>
      <c r="F957" s="9"/>
      <c r="G957" s="9"/>
      <c r="H957" s="64" t="str">
        <f aca="false">IF(OR(A957="",B957=""),"",CONCATENATE("https://matarstund.is/serfaedi?id=",LOWER(SUBSTITUTE(B957," ","-"))))</f>
        <v/>
      </c>
    </row>
    <row r="958" customFormat="false" ht="15" hidden="false" customHeight="true" outlineLevel="0" collapsed="false">
      <c r="A958" s="68"/>
      <c r="B958" s="68"/>
      <c r="C958" s="68"/>
      <c r="D958" s="68"/>
      <c r="E958" s="68"/>
      <c r="F958" s="68"/>
      <c r="G958" s="68"/>
      <c r="H958" s="64" t="str">
        <f aca="false">IF(OR(A958="",B958=""),"",CONCATENATE("https://matarstund.is/serfaedi?id=",LOWER(SUBSTITUTE(B958," ","-"))))</f>
        <v/>
      </c>
    </row>
    <row r="959" customFormat="false" ht="15" hidden="false" customHeight="true" outlineLevel="0" collapsed="false">
      <c r="A959" s="9"/>
      <c r="B959" s="9"/>
      <c r="C959" s="9"/>
      <c r="D959" s="9"/>
      <c r="E959" s="9"/>
      <c r="F959" s="9"/>
      <c r="G959" s="9"/>
      <c r="H959" s="64" t="str">
        <f aca="false">IF(OR(A959="",B959=""),"",CONCATENATE("https://matarstund.is/serfaedi?id=",LOWER(SUBSTITUTE(B959," ","-"))))</f>
        <v/>
      </c>
    </row>
    <row r="960" customFormat="false" ht="15" hidden="false" customHeight="true" outlineLevel="0" collapsed="false">
      <c r="A960" s="68"/>
      <c r="B960" s="68"/>
      <c r="C960" s="68"/>
      <c r="D960" s="68"/>
      <c r="E960" s="68"/>
      <c r="F960" s="68"/>
      <c r="G960" s="68"/>
      <c r="H960" s="64" t="str">
        <f aca="false">IF(OR(A960="",B960=""),"",CONCATENATE("https://matarstund.is/serfaedi?id=",LOWER(SUBSTITUTE(B960," ","-"))))</f>
        <v/>
      </c>
    </row>
    <row r="961" customFormat="false" ht="15" hidden="false" customHeight="true" outlineLevel="0" collapsed="false">
      <c r="A961" s="9"/>
      <c r="B961" s="9"/>
      <c r="C961" s="9"/>
      <c r="D961" s="9"/>
      <c r="E961" s="9"/>
      <c r="F961" s="9"/>
      <c r="G961" s="9"/>
      <c r="H961" s="64" t="str">
        <f aca="false">IF(OR(A961="",B961=""),"",CONCATENATE("https://matarstund.is/serfaedi?id=",LOWER(SUBSTITUTE(B961," ","-"))))</f>
        <v/>
      </c>
    </row>
    <row r="962" customFormat="false" ht="15" hidden="false" customHeight="true" outlineLevel="0" collapsed="false">
      <c r="A962" s="68"/>
      <c r="B962" s="68"/>
      <c r="C962" s="68"/>
      <c r="D962" s="68"/>
      <c r="E962" s="68"/>
      <c r="F962" s="68"/>
      <c r="G962" s="68"/>
      <c r="H962" s="64" t="str">
        <f aca="false">IF(OR(A962="",B962=""),"",CONCATENATE("https://matarstund.is/serfaedi?id=",LOWER(SUBSTITUTE(B962," ","-"))))</f>
        <v/>
      </c>
    </row>
    <row r="963" customFormat="false" ht="15" hidden="false" customHeight="true" outlineLevel="0" collapsed="false">
      <c r="A963" s="9"/>
      <c r="B963" s="9"/>
      <c r="C963" s="9"/>
      <c r="D963" s="9"/>
      <c r="E963" s="9"/>
      <c r="F963" s="9"/>
      <c r="G963" s="9"/>
      <c r="H963" s="64" t="str">
        <f aca="false">IF(OR(A963="",B963=""),"",CONCATENATE("https://matarstund.is/serfaedi?id=",LOWER(SUBSTITUTE(B963," ","-"))))</f>
        <v/>
      </c>
    </row>
    <row r="964" customFormat="false" ht="15" hidden="false" customHeight="true" outlineLevel="0" collapsed="false">
      <c r="A964" s="68"/>
      <c r="B964" s="68"/>
      <c r="C964" s="68"/>
      <c r="D964" s="68"/>
      <c r="E964" s="68"/>
      <c r="F964" s="68"/>
      <c r="G964" s="68"/>
      <c r="H964" s="64" t="str">
        <f aca="false">IF(OR(A964="",B964=""),"",CONCATENATE("https://matarstund.is/serfaedi?id=",LOWER(SUBSTITUTE(B964," ","-"))))</f>
        <v/>
      </c>
    </row>
    <row r="965" customFormat="false" ht="15" hidden="false" customHeight="true" outlineLevel="0" collapsed="false">
      <c r="A965" s="9"/>
      <c r="B965" s="9"/>
      <c r="C965" s="9"/>
      <c r="D965" s="9"/>
      <c r="E965" s="9"/>
      <c r="F965" s="9"/>
      <c r="G965" s="9"/>
      <c r="H965" s="64" t="str">
        <f aca="false">IF(OR(A965="",B965=""),"",CONCATENATE("https://matarstund.is/serfaedi?id=",LOWER(SUBSTITUTE(B965," ","-"))))</f>
        <v/>
      </c>
    </row>
    <row r="966" customFormat="false" ht="15" hidden="false" customHeight="true" outlineLevel="0" collapsed="false">
      <c r="A966" s="68"/>
      <c r="B966" s="68"/>
      <c r="C966" s="68"/>
      <c r="D966" s="68"/>
      <c r="E966" s="68"/>
      <c r="F966" s="68"/>
      <c r="G966" s="68"/>
      <c r="H966" s="64" t="str">
        <f aca="false">IF(OR(A966="",B966=""),"",CONCATENATE("https://matarstund.is/serfaedi?id=",LOWER(SUBSTITUTE(B966," ","-"))))</f>
        <v/>
      </c>
    </row>
    <row r="967" customFormat="false" ht="15" hidden="false" customHeight="true" outlineLevel="0" collapsed="false">
      <c r="A967" s="9"/>
      <c r="B967" s="9"/>
      <c r="C967" s="9"/>
      <c r="D967" s="9"/>
      <c r="E967" s="9"/>
      <c r="F967" s="9"/>
      <c r="G967" s="9"/>
      <c r="H967" s="64" t="str">
        <f aca="false">IF(OR(A967="",B967=""),"",CONCATENATE("https://matarstund.is/serfaedi?id=",LOWER(SUBSTITUTE(B967," ","-"))))</f>
        <v/>
      </c>
    </row>
    <row r="968" customFormat="false" ht="15" hidden="false" customHeight="true" outlineLevel="0" collapsed="false">
      <c r="A968" s="68"/>
      <c r="B968" s="68"/>
      <c r="C968" s="68"/>
      <c r="D968" s="68"/>
      <c r="E968" s="68"/>
      <c r="F968" s="68"/>
      <c r="G968" s="68"/>
      <c r="H968" s="64" t="str">
        <f aca="false">IF(OR(A968="",B968=""),"",CONCATENATE("https://matarstund.is/serfaedi?id=",LOWER(SUBSTITUTE(B968," ","-"))))</f>
        <v/>
      </c>
    </row>
    <row r="969" customFormat="false" ht="15" hidden="false" customHeight="true" outlineLevel="0" collapsed="false">
      <c r="A969" s="9"/>
      <c r="B969" s="9"/>
      <c r="C969" s="9"/>
      <c r="D969" s="9"/>
      <c r="E969" s="9"/>
      <c r="F969" s="9"/>
      <c r="G969" s="9"/>
      <c r="H969" s="64" t="str">
        <f aca="false">IF(OR(A969="",B969=""),"",CONCATENATE("https://matarstund.is/serfaedi?id=",LOWER(SUBSTITUTE(B969," ","-"))))</f>
        <v/>
      </c>
    </row>
    <row r="970" customFormat="false" ht="15" hidden="false" customHeight="true" outlineLevel="0" collapsed="false">
      <c r="A970" s="68"/>
      <c r="B970" s="68"/>
      <c r="C970" s="68"/>
      <c r="D970" s="68"/>
      <c r="E970" s="68"/>
      <c r="F970" s="68"/>
      <c r="G970" s="68"/>
      <c r="H970" s="64" t="str">
        <f aca="false">IF(OR(A970="",B970=""),"",CONCATENATE("https://matarstund.is/serfaedi?id=",LOWER(SUBSTITUTE(B970," ","-"))))</f>
        <v/>
      </c>
    </row>
    <row r="971" customFormat="false" ht="15" hidden="false" customHeight="true" outlineLevel="0" collapsed="false">
      <c r="A971" s="9"/>
      <c r="B971" s="9"/>
      <c r="C971" s="9"/>
      <c r="D971" s="9"/>
      <c r="E971" s="9"/>
      <c r="F971" s="9"/>
      <c r="G971" s="9"/>
      <c r="H971" s="64" t="str">
        <f aca="false">IF(OR(A971="",B971=""),"",CONCATENATE("https://matarstund.is/serfaedi?id=",LOWER(SUBSTITUTE(B971," ","-"))))</f>
        <v/>
      </c>
    </row>
    <row r="972" customFormat="false" ht="15" hidden="false" customHeight="true" outlineLevel="0" collapsed="false">
      <c r="A972" s="68"/>
      <c r="B972" s="68"/>
      <c r="C972" s="68"/>
      <c r="D972" s="68"/>
      <c r="E972" s="68"/>
      <c r="F972" s="68"/>
      <c r="G972" s="68"/>
      <c r="H972" s="64" t="str">
        <f aca="false">IF(OR(A972="",B972=""),"",CONCATENATE("https://matarstund.is/serfaedi?id=",LOWER(SUBSTITUTE(B972," ","-"))))</f>
        <v/>
      </c>
    </row>
    <row r="973" customFormat="false" ht="15" hidden="false" customHeight="true" outlineLevel="0" collapsed="false">
      <c r="A973" s="9"/>
      <c r="B973" s="9"/>
      <c r="C973" s="9"/>
      <c r="D973" s="9"/>
      <c r="E973" s="9"/>
      <c r="F973" s="9"/>
      <c r="G973" s="9"/>
      <c r="H973" s="64" t="str">
        <f aca="false">IF(OR(A973="",B973=""),"",CONCATENATE("https://matarstund.is/serfaedi?id=",LOWER(SUBSTITUTE(B973," ","-"))))</f>
        <v/>
      </c>
    </row>
    <row r="974" customFormat="false" ht="15" hidden="false" customHeight="true" outlineLevel="0" collapsed="false">
      <c r="A974" s="68"/>
      <c r="B974" s="68"/>
      <c r="C974" s="68"/>
      <c r="D974" s="68"/>
      <c r="E974" s="68"/>
      <c r="F974" s="68"/>
      <c r="G974" s="68"/>
      <c r="H974" s="64" t="str">
        <f aca="false">IF(OR(A974="",B974=""),"",CONCATENATE("https://matarstund.is/serfaedi?id=",LOWER(SUBSTITUTE(B974," ","-"))))</f>
        <v/>
      </c>
    </row>
    <row r="975" customFormat="false" ht="15" hidden="false" customHeight="true" outlineLevel="0" collapsed="false">
      <c r="A975" s="9"/>
      <c r="B975" s="9"/>
      <c r="C975" s="9"/>
      <c r="D975" s="9"/>
      <c r="E975" s="9"/>
      <c r="F975" s="9"/>
      <c r="G975" s="9"/>
      <c r="H975" s="64" t="str">
        <f aca="false">IF(OR(A975="",B975=""),"",CONCATENATE("https://matarstund.is/serfaedi?id=",LOWER(SUBSTITUTE(B975," ","-"))))</f>
        <v/>
      </c>
    </row>
    <row r="976" customFormat="false" ht="15" hidden="false" customHeight="true" outlineLevel="0" collapsed="false">
      <c r="A976" s="68"/>
      <c r="B976" s="68"/>
      <c r="C976" s="68"/>
      <c r="D976" s="68"/>
      <c r="E976" s="68"/>
      <c r="F976" s="68"/>
      <c r="G976" s="68"/>
      <c r="H976" s="64" t="str">
        <f aca="false">IF(OR(A976="",B976=""),"",CONCATENATE("https://matarstund.is/serfaedi?id=",LOWER(SUBSTITUTE(B976," ","-"))))</f>
        <v/>
      </c>
    </row>
    <row r="977" customFormat="false" ht="15" hidden="false" customHeight="true" outlineLevel="0" collapsed="false">
      <c r="A977" s="9"/>
      <c r="B977" s="9"/>
      <c r="C977" s="9"/>
      <c r="D977" s="9"/>
      <c r="E977" s="9"/>
      <c r="F977" s="9"/>
      <c r="G977" s="9"/>
      <c r="H977" s="64" t="str">
        <f aca="false">IF(OR(A977="",B977=""),"",CONCATENATE("https://matarstund.is/serfaedi?id=",LOWER(SUBSTITUTE(B977," ","-"))))</f>
        <v/>
      </c>
    </row>
    <row r="978" customFormat="false" ht="15" hidden="false" customHeight="true" outlineLevel="0" collapsed="false">
      <c r="A978" s="68"/>
      <c r="B978" s="68"/>
      <c r="C978" s="68"/>
      <c r="D978" s="68"/>
      <c r="E978" s="68"/>
      <c r="F978" s="68"/>
      <c r="G978" s="68"/>
      <c r="H978" s="64" t="str">
        <f aca="false">IF(OR(A978="",B978=""),"",CONCATENATE("https://matarstund.is/serfaedi?id=",LOWER(SUBSTITUTE(B978," ","-"))))</f>
        <v/>
      </c>
    </row>
    <row r="979" customFormat="false" ht="15" hidden="false" customHeight="true" outlineLevel="0" collapsed="false">
      <c r="A979" s="9"/>
      <c r="B979" s="9"/>
      <c r="C979" s="9"/>
      <c r="D979" s="9"/>
      <c r="E979" s="9"/>
      <c r="F979" s="9"/>
      <c r="G979" s="9"/>
      <c r="H979" s="64" t="str">
        <f aca="false">IF(OR(A979="",B979=""),"",CONCATENATE("https://matarstund.is/serfaedi?id=",LOWER(SUBSTITUTE(B979," ","-"))))</f>
        <v/>
      </c>
    </row>
    <row r="980" customFormat="false" ht="15" hidden="false" customHeight="true" outlineLevel="0" collapsed="false">
      <c r="A980" s="68"/>
      <c r="B980" s="68"/>
      <c r="C980" s="68"/>
      <c r="D980" s="68"/>
      <c r="E980" s="68"/>
      <c r="F980" s="68"/>
      <c r="G980" s="68"/>
      <c r="H980" s="64" t="str">
        <f aca="false">IF(OR(A980="",B980=""),"",CONCATENATE("https://matarstund.is/serfaedi?id=",LOWER(SUBSTITUTE(B980," ","-"))))</f>
        <v/>
      </c>
    </row>
    <row r="981" customFormat="false" ht="15" hidden="false" customHeight="true" outlineLevel="0" collapsed="false">
      <c r="A981" s="9"/>
      <c r="B981" s="9"/>
      <c r="C981" s="9"/>
      <c r="D981" s="9"/>
      <c r="E981" s="9"/>
      <c r="F981" s="9"/>
      <c r="G981" s="9"/>
      <c r="H981" s="64" t="str">
        <f aca="false">IF(OR(A981="",B981=""),"",CONCATENATE("https://matarstund.is/serfaedi?id=",LOWER(SUBSTITUTE(B981," ","-"))))</f>
        <v/>
      </c>
    </row>
    <row r="982" customFormat="false" ht="15" hidden="false" customHeight="true" outlineLevel="0" collapsed="false">
      <c r="A982" s="68"/>
      <c r="B982" s="68"/>
      <c r="C982" s="68"/>
      <c r="D982" s="68"/>
      <c r="E982" s="68"/>
      <c r="F982" s="68"/>
      <c r="G982" s="68"/>
      <c r="H982" s="64" t="str">
        <f aca="false">IF(OR(A982="",B982=""),"",CONCATENATE("https://matarstund.is/serfaedi?id=",LOWER(SUBSTITUTE(B982," ","-"))))</f>
        <v/>
      </c>
    </row>
    <row r="983" customFormat="false" ht="15" hidden="false" customHeight="true" outlineLevel="0" collapsed="false">
      <c r="A983" s="9"/>
      <c r="B983" s="9"/>
      <c r="C983" s="9"/>
      <c r="D983" s="9"/>
      <c r="E983" s="9"/>
      <c r="F983" s="9"/>
      <c r="G983" s="9"/>
      <c r="H983" s="64" t="str">
        <f aca="false">IF(OR(A983="",B983=""),"",CONCATENATE("https://matarstund.is/serfaedi?id=",LOWER(SUBSTITUTE(B983," ","-"))))</f>
        <v/>
      </c>
    </row>
    <row r="984" customFormat="false" ht="15" hidden="false" customHeight="true" outlineLevel="0" collapsed="false">
      <c r="A984" s="68"/>
      <c r="B984" s="68"/>
      <c r="C984" s="68"/>
      <c r="D984" s="68"/>
      <c r="E984" s="68"/>
      <c r="F984" s="68"/>
      <c r="G984" s="68"/>
      <c r="H984" s="64" t="str">
        <f aca="false">IF(OR(A984="",B984=""),"",CONCATENATE("https://matarstund.is/serfaedi?id=",LOWER(SUBSTITUTE(B984," ","-"))))</f>
        <v/>
      </c>
    </row>
    <row r="985" customFormat="false" ht="15" hidden="false" customHeight="true" outlineLevel="0" collapsed="false">
      <c r="A985" s="9"/>
      <c r="B985" s="9"/>
      <c r="C985" s="9"/>
      <c r="D985" s="9"/>
      <c r="E985" s="9"/>
      <c r="F985" s="9"/>
      <c r="G985" s="9"/>
      <c r="H985" s="64" t="str">
        <f aca="false">IF(OR(A985="",B985=""),"",CONCATENATE("https://matarstund.is/serfaedi?id=",LOWER(SUBSTITUTE(B985," ","-"))))</f>
        <v/>
      </c>
    </row>
    <row r="986" customFormat="false" ht="15" hidden="false" customHeight="true" outlineLevel="0" collapsed="false">
      <c r="A986" s="68"/>
      <c r="B986" s="68"/>
      <c r="C986" s="68"/>
      <c r="D986" s="68"/>
      <c r="E986" s="68"/>
      <c r="F986" s="68"/>
      <c r="G986" s="68"/>
      <c r="H986" s="64" t="str">
        <f aca="false">IF(OR(A986="",B986=""),"",CONCATENATE("https://matarstund.is/serfaedi?id=",LOWER(SUBSTITUTE(B986," ","-"))))</f>
        <v/>
      </c>
    </row>
    <row r="987" customFormat="false" ht="15" hidden="false" customHeight="true" outlineLevel="0" collapsed="false">
      <c r="A987" s="9"/>
      <c r="B987" s="9"/>
      <c r="C987" s="9"/>
      <c r="D987" s="9"/>
      <c r="E987" s="9"/>
      <c r="F987" s="9"/>
      <c r="G987" s="9"/>
      <c r="H987" s="64" t="str">
        <f aca="false">IF(OR(A987="",B987=""),"",CONCATENATE("https://matarstund.is/serfaedi?id=",LOWER(SUBSTITUTE(B987," ","-"))))</f>
        <v/>
      </c>
    </row>
    <row r="988" customFormat="false" ht="15" hidden="false" customHeight="true" outlineLevel="0" collapsed="false">
      <c r="A988" s="68"/>
      <c r="B988" s="68"/>
      <c r="C988" s="68"/>
      <c r="D988" s="68"/>
      <c r="E988" s="68"/>
      <c r="F988" s="68"/>
      <c r="G988" s="68"/>
      <c r="H988" s="64" t="str">
        <f aca="false">IF(OR(A988="",B988=""),"",CONCATENATE("https://matarstund.is/serfaedi?id=",LOWER(SUBSTITUTE(B988," ","-"))))</f>
        <v/>
      </c>
    </row>
    <row r="989" customFormat="false" ht="15" hidden="false" customHeight="true" outlineLevel="0" collapsed="false">
      <c r="A989" s="9"/>
      <c r="B989" s="9"/>
      <c r="C989" s="9"/>
      <c r="D989" s="9"/>
      <c r="E989" s="9"/>
      <c r="F989" s="9"/>
      <c r="G989" s="9"/>
      <c r="H989" s="64" t="str">
        <f aca="false">IF(OR(A989="",B989=""),"",CONCATENATE("https://matarstund.is/serfaedi?id=",LOWER(SUBSTITUTE(B989," ","-"))))</f>
        <v/>
      </c>
    </row>
    <row r="990" customFormat="false" ht="15" hidden="false" customHeight="true" outlineLevel="0" collapsed="false">
      <c r="A990" s="68"/>
      <c r="B990" s="68"/>
      <c r="C990" s="68"/>
      <c r="D990" s="68"/>
      <c r="E990" s="68"/>
      <c r="F990" s="68"/>
      <c r="G990" s="68"/>
      <c r="H990" s="64" t="str">
        <f aca="false">IF(OR(A990="",B990=""),"",CONCATENATE("https://matarstund.is/serfaedi?id=",LOWER(SUBSTITUTE(B990," ","-"))))</f>
        <v/>
      </c>
    </row>
    <row r="991" customFormat="false" ht="15" hidden="false" customHeight="true" outlineLevel="0" collapsed="false">
      <c r="A991" s="9"/>
      <c r="B991" s="9"/>
      <c r="C991" s="9"/>
      <c r="D991" s="9"/>
      <c r="E991" s="9"/>
      <c r="F991" s="9"/>
      <c r="G991" s="9"/>
      <c r="H991" s="64" t="str">
        <f aca="false">IF(OR(A991="",B991=""),"",CONCATENATE("https://matarstund.is/serfaedi?id=",LOWER(SUBSTITUTE(B991," ","-"))))</f>
        <v/>
      </c>
    </row>
    <row r="992" customFormat="false" ht="15" hidden="false" customHeight="true" outlineLevel="0" collapsed="false">
      <c r="A992" s="68"/>
      <c r="B992" s="68"/>
      <c r="C992" s="68"/>
      <c r="D992" s="68"/>
      <c r="E992" s="68"/>
      <c r="F992" s="68"/>
      <c r="G992" s="68"/>
      <c r="H992" s="64" t="str">
        <f aca="false">IF(OR(A992="",B992=""),"",CONCATENATE("https://matarstund.is/serfaedi?id=",LOWER(SUBSTITUTE(B992," ","-"))))</f>
        <v/>
      </c>
    </row>
    <row r="993" customFormat="false" ht="15" hidden="false" customHeight="true" outlineLevel="0" collapsed="false">
      <c r="A993" s="9"/>
      <c r="B993" s="9"/>
      <c r="C993" s="9"/>
      <c r="D993" s="9"/>
      <c r="E993" s="9"/>
      <c r="F993" s="9"/>
      <c r="G993" s="9"/>
      <c r="H993" s="64" t="str">
        <f aca="false">IF(OR(A993="",B993=""),"",CONCATENATE("https://matarstund.is/serfaedi?id=",LOWER(SUBSTITUTE(B993," ","-"))))</f>
        <v/>
      </c>
    </row>
    <row r="994" customFormat="false" ht="15" hidden="false" customHeight="true" outlineLevel="0" collapsed="false">
      <c r="A994" s="68"/>
      <c r="B994" s="68"/>
      <c r="C994" s="68"/>
      <c r="D994" s="68"/>
      <c r="E994" s="68"/>
      <c r="F994" s="68"/>
      <c r="G994" s="68"/>
      <c r="H994" s="64" t="str">
        <f aca="false">IF(OR(A994="",B994=""),"",CONCATENATE("https://matarstund.is/serfaedi?id=",LOWER(SUBSTITUTE(B994," ","-"))))</f>
        <v/>
      </c>
    </row>
    <row r="995" customFormat="false" ht="15" hidden="false" customHeight="true" outlineLevel="0" collapsed="false">
      <c r="A995" s="9"/>
      <c r="B995" s="9"/>
      <c r="C995" s="9"/>
      <c r="D995" s="9"/>
      <c r="E995" s="9"/>
      <c r="F995" s="9"/>
      <c r="G995" s="9"/>
      <c r="H995" s="64" t="str">
        <f aca="false">IF(OR(A995="",B995=""),"",CONCATENATE("https://matarstund.is/serfaedi?id=",LOWER(SUBSTITUTE(B995," ","-"))))</f>
        <v/>
      </c>
    </row>
    <row r="996" customFormat="false" ht="15" hidden="false" customHeight="true" outlineLevel="0" collapsed="false">
      <c r="A996" s="68"/>
      <c r="B996" s="68"/>
      <c r="C996" s="68"/>
      <c r="D996" s="68"/>
      <c r="E996" s="68"/>
      <c r="F996" s="68"/>
      <c r="G996" s="68"/>
      <c r="H996" s="64" t="str">
        <f aca="false">IF(OR(A996="",B996=""),"",CONCATENATE("https://matarstund.is/serfaedi?id=",LOWER(SUBSTITUTE(B996," ","-"))))</f>
        <v/>
      </c>
    </row>
    <row r="997" customFormat="false" ht="15" hidden="false" customHeight="true" outlineLevel="0" collapsed="false">
      <c r="A997" s="9"/>
      <c r="B997" s="9"/>
      <c r="C997" s="9"/>
      <c r="D997" s="9"/>
      <c r="E997" s="9"/>
      <c r="F997" s="9"/>
      <c r="G997" s="9"/>
      <c r="H997" s="64" t="str">
        <f aca="false">IF(OR(A997="",B997=""),"",CONCATENATE("https://matarstund.is/serfaedi?id=",LOWER(SUBSTITUTE(B997," ","-"))))</f>
        <v/>
      </c>
    </row>
    <row r="998" customFormat="false" ht="15" hidden="false" customHeight="true" outlineLevel="0" collapsed="false">
      <c r="A998" s="68"/>
      <c r="B998" s="68"/>
      <c r="C998" s="68"/>
      <c r="D998" s="68"/>
      <c r="E998" s="68"/>
      <c r="F998" s="68"/>
      <c r="G998" s="68"/>
      <c r="H998" s="64" t="str">
        <f aca="false">IF(OR(A998="",B998=""),"",CONCATENATE("https://matarstund.is/serfaedi?id=",LOWER(SUBSTITUTE(B998," ","-"))))</f>
        <v/>
      </c>
    </row>
    <row r="999" customFormat="false" ht="15" hidden="false" customHeight="true" outlineLevel="0" collapsed="false">
      <c r="A999" s="9"/>
      <c r="B999" s="9"/>
      <c r="C999" s="9"/>
      <c r="D999" s="9"/>
      <c r="E999" s="9"/>
      <c r="F999" s="9"/>
      <c r="G999" s="9"/>
      <c r="H999" s="64" t="str">
        <f aca="false">IF(OR(A999="",B999=""),"",CONCATENATE("https://matarstund.is/serfaedi?id=",LOWER(SUBSTITUTE(B999," ","-"))))</f>
        <v/>
      </c>
    </row>
    <row r="1000" customFormat="false" ht="15" hidden="false" customHeight="true" outlineLevel="0" collapsed="false">
      <c r="A1000" s="68"/>
      <c r="B1000" s="68"/>
      <c r="C1000" s="68"/>
      <c r="D1000" s="68"/>
      <c r="E1000" s="68"/>
      <c r="F1000" s="68"/>
      <c r="G1000" s="68"/>
      <c r="H1000" s="64" t="str">
        <f aca="false">IF(OR(A1000="",B1000=""),"",CONCATENATE("https://matarstund.is/serfaedi?id=",LOWER(SUBSTITUTE(B1000," ","-"))))</f>
        <v/>
      </c>
    </row>
    <row r="1001" customFormat="false" ht="15" hidden="false" customHeight="true" outlineLevel="0" collapsed="false">
      <c r="A1001" s="9"/>
      <c r="B1001" s="9"/>
      <c r="C1001" s="9"/>
      <c r="D1001" s="9"/>
      <c r="E1001" s="9"/>
      <c r="F1001" s="9"/>
      <c r="G1001" s="9"/>
      <c r="H1001" s="64" t="str">
        <f aca="false">IF(OR(A1001="",B1001=""),"",CONCATENATE("https://matarstund.is/serfaedi?id=",LOWER(SUBSTITUTE(B1001," ","-"))))</f>
        <v/>
      </c>
    </row>
    <row r="1002" customFormat="false" ht="15" hidden="false" customHeight="true" outlineLevel="0" collapsed="false">
      <c r="A1002" s="68"/>
      <c r="B1002" s="68"/>
      <c r="C1002" s="68"/>
      <c r="D1002" s="68"/>
      <c r="E1002" s="68"/>
      <c r="F1002" s="68"/>
      <c r="G1002" s="68"/>
      <c r="H1002" s="64" t="str">
        <f aca="false">IF(OR(A1002="",B1002=""),"",CONCATENATE("https://matarstund.is/serfaedi?id=",LOWER(SUBSTITUTE(B1002," ","-"))))</f>
        <v/>
      </c>
    </row>
    <row r="1003" customFormat="false" ht="15" hidden="false" customHeight="true" outlineLevel="0" collapsed="false">
      <c r="A1003" s="9"/>
      <c r="B1003" s="9"/>
      <c r="C1003" s="9"/>
      <c r="D1003" s="9"/>
      <c r="E1003" s="9"/>
      <c r="F1003" s="9"/>
      <c r="G1003" s="9"/>
      <c r="H1003" s="64" t="str">
        <f aca="false">IF(OR(A1003="",B1003=""),"",CONCATENATE("https://matarstund.is/serfaedi?id=",LOWER(SUBSTITUTE(B1003," ","-"))))</f>
        <v/>
      </c>
    </row>
    <row r="1004" customFormat="false" ht="15" hidden="false" customHeight="true" outlineLevel="0" collapsed="false">
      <c r="A1004" s="68"/>
      <c r="B1004" s="68"/>
      <c r="C1004" s="68"/>
      <c r="D1004" s="68"/>
      <c r="E1004" s="68"/>
      <c r="F1004" s="68"/>
      <c r="G1004" s="68"/>
      <c r="H1004" s="64" t="str">
        <f aca="false">IF(OR(A1004="",B1004=""),"",CONCATENATE("https://matarstund.is/serfaedi?id=",LOWER(SUBSTITUTE(B1004," ","-"))))</f>
        <v/>
      </c>
    </row>
    <row r="1005" customFormat="false" ht="15" hidden="false" customHeight="true" outlineLevel="0" collapsed="false">
      <c r="A1005" s="9"/>
      <c r="B1005" s="9"/>
      <c r="C1005" s="9"/>
      <c r="D1005" s="9"/>
      <c r="E1005" s="9"/>
      <c r="F1005" s="9"/>
      <c r="G1005" s="9"/>
      <c r="H1005" s="64" t="str">
        <f aca="false">IF(OR(A1005="",B1005=""),"",CONCATENATE("https://matarstund.is/serfaedi?id=",LOWER(SUBSTITUTE(B1005," ","-"))))</f>
        <v/>
      </c>
    </row>
    <row r="1006" customFormat="false" ht="15" hidden="false" customHeight="true" outlineLevel="0" collapsed="false">
      <c r="A1006" s="68"/>
      <c r="B1006" s="68"/>
      <c r="C1006" s="68"/>
      <c r="D1006" s="68"/>
      <c r="E1006" s="68"/>
      <c r="F1006" s="68"/>
      <c r="G1006" s="68"/>
      <c r="H1006" s="64" t="str">
        <f aca="false">IF(OR(A1006="",B1006=""),"",CONCATENATE("https://matarstund.is/serfaedi?id=",LOWER(SUBSTITUTE(B1006," ","-"))))</f>
        <v/>
      </c>
    </row>
    <row r="1007" customFormat="false" ht="15" hidden="false" customHeight="true" outlineLevel="0" collapsed="false">
      <c r="A1007" s="9"/>
      <c r="B1007" s="9"/>
      <c r="C1007" s="9"/>
      <c r="D1007" s="9"/>
      <c r="E1007" s="9"/>
      <c r="F1007" s="9"/>
      <c r="G1007" s="9"/>
      <c r="H1007" s="64" t="str">
        <f aca="false">IF(OR(A1007="",B1007=""),"",CONCATENATE("https://matarstund.is/serfaedi?id=",LOWER(SUBSTITUTE(B1007," ","-"))))</f>
        <v/>
      </c>
    </row>
    <row r="1008" customFormat="false" ht="15" hidden="false" customHeight="true" outlineLevel="0" collapsed="false">
      <c r="A1008" s="68"/>
      <c r="B1008" s="68"/>
      <c r="C1008" s="68"/>
      <c r="D1008" s="68"/>
      <c r="E1008" s="68"/>
      <c r="F1008" s="68"/>
      <c r="G1008" s="68"/>
      <c r="H1008" s="64" t="str">
        <f aca="false">IF(OR(A1008="",B1008=""),"",CONCATENATE("https://matarstund.is/serfaedi?id=",LOWER(SUBSTITUTE(B1008," ","-"))))</f>
        <v/>
      </c>
    </row>
    <row r="1009" customFormat="false" ht="15" hidden="false" customHeight="true" outlineLevel="0" collapsed="false">
      <c r="A1009" s="9"/>
      <c r="B1009" s="9"/>
      <c r="C1009" s="9"/>
      <c r="D1009" s="9"/>
      <c r="E1009" s="9"/>
      <c r="F1009" s="9"/>
      <c r="G1009" s="9"/>
      <c r="H1009" s="64" t="str">
        <f aca="false">IF(OR(A1009="",B1009=""),"",CONCATENATE("https://matarstund.is/serfaedi?id=",LOWER(SUBSTITUTE(B1009," ","-"))))</f>
        <v/>
      </c>
    </row>
    <row r="1010" customFormat="false" ht="15" hidden="false" customHeight="true" outlineLevel="0" collapsed="false">
      <c r="A1010" s="68"/>
      <c r="B1010" s="68"/>
      <c r="C1010" s="68"/>
      <c r="D1010" s="68"/>
      <c r="E1010" s="68"/>
      <c r="F1010" s="68"/>
      <c r="G1010" s="68"/>
      <c r="H1010" s="64" t="str">
        <f aca="false">IF(OR(A1010="",B1010=""),"",CONCATENATE("https://matarstund.is/serfaedi?id=",LOWER(SUBSTITUTE(B1010," ","-"))))</f>
        <v/>
      </c>
    </row>
    <row r="1011" customFormat="false" ht="15" hidden="false" customHeight="true" outlineLevel="0" collapsed="false">
      <c r="A1011" s="9"/>
      <c r="B1011" s="9"/>
      <c r="C1011" s="9"/>
      <c r="D1011" s="9"/>
      <c r="E1011" s="9"/>
      <c r="F1011" s="9"/>
      <c r="G1011" s="9"/>
      <c r="H1011" s="64" t="str">
        <f aca="false">IF(OR(A1011="",B1011=""),"",CONCATENATE("https://matarstund.is/serfaedi?id=",LOWER(SUBSTITUTE(B1011," ","-"))))</f>
        <v/>
      </c>
    </row>
    <row r="1012" customFormat="false" ht="15" hidden="false" customHeight="true" outlineLevel="0" collapsed="false">
      <c r="A1012" s="68"/>
      <c r="B1012" s="68"/>
      <c r="C1012" s="68"/>
      <c r="D1012" s="68"/>
      <c r="E1012" s="68"/>
      <c r="F1012" s="68"/>
      <c r="G1012" s="68"/>
      <c r="H1012" s="64" t="str">
        <f aca="false">IF(OR(A1012="",B1012=""),"",CONCATENATE("https://matarstund.is/serfaedi?id=",LOWER(SUBSTITUTE(B1012," ","-"))))</f>
        <v/>
      </c>
    </row>
    <row r="1013" customFormat="false" ht="15" hidden="false" customHeight="true" outlineLevel="0" collapsed="false">
      <c r="A1013" s="9"/>
      <c r="B1013" s="9"/>
      <c r="C1013" s="9"/>
      <c r="D1013" s="9"/>
      <c r="E1013" s="9"/>
      <c r="F1013" s="9"/>
      <c r="G1013" s="9"/>
      <c r="H1013" s="64" t="str">
        <f aca="false">IF(OR(A1013="",B1013=""),"",CONCATENATE("https://matarstund.is/serfaedi?id=",LOWER(SUBSTITUTE(B1013," ","-"))))</f>
        <v/>
      </c>
    </row>
    <row r="1014" customFormat="false" ht="15" hidden="false" customHeight="true" outlineLevel="0" collapsed="false">
      <c r="A1014" s="68"/>
      <c r="B1014" s="68"/>
      <c r="C1014" s="68"/>
      <c r="D1014" s="68"/>
      <c r="E1014" s="68"/>
      <c r="F1014" s="68"/>
      <c r="G1014" s="68"/>
      <c r="H1014" s="64" t="str">
        <f aca="false">IF(OR(A1014="",B1014=""),"",CONCATENATE("https://matarstund.is/serfaedi?id=",LOWER(SUBSTITUTE(B1014," ","-"))))</f>
        <v/>
      </c>
    </row>
    <row r="1015" customFormat="false" ht="15" hidden="false" customHeight="true" outlineLevel="0" collapsed="false">
      <c r="A1015" s="9"/>
      <c r="B1015" s="9"/>
      <c r="C1015" s="9"/>
      <c r="D1015" s="9"/>
      <c r="E1015" s="9"/>
      <c r="F1015" s="9"/>
      <c r="G1015" s="9"/>
      <c r="H1015" s="64" t="str">
        <f aca="false">IF(OR(A1015="",B1015=""),"",CONCATENATE("https://matarstund.is/serfaedi?id=",LOWER(SUBSTITUTE(B1015," ","-"))))</f>
        <v/>
      </c>
    </row>
    <row r="1016" customFormat="false" ht="15" hidden="false" customHeight="true" outlineLevel="0" collapsed="false">
      <c r="A1016" s="68"/>
      <c r="B1016" s="68"/>
      <c r="C1016" s="68"/>
      <c r="D1016" s="68"/>
      <c r="E1016" s="68"/>
      <c r="F1016" s="68"/>
      <c r="G1016" s="68"/>
      <c r="H1016" s="64" t="str">
        <f aca="false">IF(OR(A1016="",B1016=""),"",CONCATENATE("https://matarstund.is/serfaedi?id=",LOWER(SUBSTITUTE(B1016," ","-"))))</f>
        <v/>
      </c>
    </row>
    <row r="1017" customFormat="false" ht="15" hidden="false" customHeight="true" outlineLevel="0" collapsed="false">
      <c r="A1017" s="9"/>
      <c r="B1017" s="9"/>
      <c r="C1017" s="9"/>
      <c r="D1017" s="9"/>
      <c r="E1017" s="9"/>
      <c r="F1017" s="9"/>
      <c r="G1017" s="9"/>
      <c r="H1017" s="64" t="str">
        <f aca="false">IF(OR(A1017="",B1017=""),"",CONCATENATE("https://matarstund.is/serfaedi?id=",LOWER(SUBSTITUTE(B1017," ","-"))))</f>
        <v/>
      </c>
    </row>
    <row r="1018" customFormat="false" ht="15" hidden="false" customHeight="true" outlineLevel="0" collapsed="false">
      <c r="A1018" s="68"/>
      <c r="B1018" s="68"/>
      <c r="C1018" s="68"/>
      <c r="D1018" s="68"/>
      <c r="E1018" s="68"/>
      <c r="F1018" s="68"/>
      <c r="G1018" s="68"/>
      <c r="H1018" s="64" t="str">
        <f aca="false">IF(OR(A1018="",B1018=""),"",CONCATENATE("https://matarstund.is/serfaedi?id=",LOWER(SUBSTITUTE(B1018," ","-"))))</f>
        <v/>
      </c>
    </row>
    <row r="1019" customFormat="false" ht="15" hidden="false" customHeight="true" outlineLevel="0" collapsed="false">
      <c r="A1019" s="9"/>
      <c r="B1019" s="9"/>
      <c r="C1019" s="9"/>
      <c r="D1019" s="9"/>
      <c r="E1019" s="9"/>
      <c r="F1019" s="9"/>
      <c r="G1019" s="9"/>
      <c r="H1019" s="64" t="str">
        <f aca="false">IF(OR(A1019="",B1019=""),"",CONCATENATE("https://matarstund.is/serfaedi?id=",LOWER(SUBSTITUTE(B1019," ","-"))))</f>
        <v/>
      </c>
    </row>
    <row r="1020" customFormat="false" ht="15" hidden="false" customHeight="true" outlineLevel="0" collapsed="false">
      <c r="A1020" s="68"/>
      <c r="B1020" s="68"/>
      <c r="C1020" s="68"/>
      <c r="D1020" s="68"/>
      <c r="E1020" s="68"/>
      <c r="F1020" s="68"/>
      <c r="G1020" s="68"/>
      <c r="H1020" s="64" t="str">
        <f aca="false">IF(OR(A1020="",B1020=""),"",CONCATENATE("https://matarstund.is/serfaedi?id=",LOWER(SUBSTITUTE(B1020," ","-"))))</f>
        <v/>
      </c>
    </row>
    <row r="1021" customFormat="false" ht="15" hidden="false" customHeight="true" outlineLevel="0" collapsed="false">
      <c r="A1021" s="9"/>
      <c r="B1021" s="9"/>
      <c r="C1021" s="9"/>
      <c r="D1021" s="9"/>
      <c r="E1021" s="9"/>
      <c r="F1021" s="9"/>
      <c r="G1021" s="9"/>
      <c r="H1021" s="64" t="str">
        <f aca="false">IF(OR(A1021="",B1021=""),"",CONCATENATE("https://matarstund.is/serfaedi?id=",LOWER(SUBSTITUTE(B1021," ","-"))))</f>
        <v/>
      </c>
    </row>
    <row r="1022" customFormat="false" ht="15" hidden="false" customHeight="true" outlineLevel="0" collapsed="false">
      <c r="A1022" s="68"/>
      <c r="B1022" s="68"/>
      <c r="C1022" s="68"/>
      <c r="D1022" s="68"/>
      <c r="E1022" s="68"/>
      <c r="F1022" s="68"/>
      <c r="G1022" s="68"/>
      <c r="H1022" s="64" t="str">
        <f aca="false">IF(OR(A1022="",B1022=""),"",CONCATENATE("https://matarstund.is/serfaedi?id=",LOWER(SUBSTITUTE(B1022," ","-"))))</f>
        <v/>
      </c>
    </row>
    <row r="1023" customFormat="false" ht="15" hidden="false" customHeight="true" outlineLevel="0" collapsed="false">
      <c r="A1023" s="9"/>
      <c r="B1023" s="9"/>
      <c r="C1023" s="9"/>
      <c r="D1023" s="9"/>
      <c r="E1023" s="9"/>
      <c r="F1023" s="9"/>
      <c r="G1023" s="9"/>
      <c r="H1023" s="64" t="str">
        <f aca="false">IF(OR(A1023="",B1023=""),"",CONCATENATE("https://matarstund.is/serfaedi?id=",LOWER(SUBSTITUTE(B1023," ","-"))))</f>
        <v/>
      </c>
    </row>
    <row r="1024" customFormat="false" ht="15" hidden="false" customHeight="true" outlineLevel="0" collapsed="false">
      <c r="A1024" s="68"/>
      <c r="B1024" s="68"/>
      <c r="C1024" s="68"/>
      <c r="D1024" s="68"/>
      <c r="E1024" s="68"/>
      <c r="F1024" s="68"/>
      <c r="G1024" s="68"/>
      <c r="H1024" s="64" t="str">
        <f aca="false">IF(OR(A1024="",B1024=""),"",CONCATENATE("https://matarstund.is/serfaedi?id=",LOWER(SUBSTITUTE(B1024," ","-"))))</f>
        <v/>
      </c>
    </row>
    <row r="1025" customFormat="false" ht="15" hidden="false" customHeight="true" outlineLevel="0" collapsed="false">
      <c r="A1025" s="9"/>
      <c r="B1025" s="9"/>
      <c r="C1025" s="9"/>
      <c r="D1025" s="9"/>
      <c r="E1025" s="9"/>
      <c r="F1025" s="9"/>
      <c r="G1025" s="9"/>
      <c r="H1025" s="64" t="str">
        <f aca="false">IF(OR(A1025="",B1025=""),"",CONCATENATE("https://matarstund.is/serfaedi?id=",LOWER(SUBSTITUTE(B1025," ","-"))))</f>
        <v/>
      </c>
    </row>
    <row r="1026" customFormat="false" ht="15" hidden="false" customHeight="true" outlineLevel="0" collapsed="false">
      <c r="A1026" s="68"/>
      <c r="B1026" s="68"/>
      <c r="C1026" s="68"/>
      <c r="D1026" s="68"/>
      <c r="E1026" s="68"/>
      <c r="F1026" s="68"/>
      <c r="G1026" s="68"/>
      <c r="H1026" s="64" t="str">
        <f aca="false">IF(OR(A1026="",B1026=""),"",CONCATENATE("https://matarstund.is/serfaedi?id=",LOWER(SUBSTITUTE(B1026," ","-"))))</f>
        <v/>
      </c>
    </row>
    <row r="1027" customFormat="false" ht="15" hidden="false" customHeight="true" outlineLevel="0" collapsed="false">
      <c r="A1027" s="9"/>
      <c r="B1027" s="9"/>
      <c r="C1027" s="9"/>
      <c r="D1027" s="9"/>
      <c r="E1027" s="9"/>
      <c r="F1027" s="9"/>
      <c r="G1027" s="9"/>
      <c r="H1027" s="64" t="str">
        <f aca="false">IF(OR(A1027="",B1027=""),"",CONCATENATE("https://matarstund.is/serfaedi?id=",LOWER(SUBSTITUTE(B1027," ","-"))))</f>
        <v/>
      </c>
    </row>
    <row r="1028" customFormat="false" ht="15" hidden="false" customHeight="true" outlineLevel="0" collapsed="false">
      <c r="A1028" s="68"/>
      <c r="B1028" s="68"/>
      <c r="C1028" s="68"/>
      <c r="D1028" s="68"/>
      <c r="E1028" s="68"/>
      <c r="F1028" s="68"/>
      <c r="G1028" s="68"/>
      <c r="H1028" s="64" t="str">
        <f aca="false">IF(OR(A1028="",B1028=""),"",CONCATENATE("https://matarstund.is/serfaedi?id=",LOWER(SUBSTITUTE(B1028," ","-"))))</f>
        <v/>
      </c>
    </row>
    <row r="1029" customFormat="false" ht="15" hidden="false" customHeight="true" outlineLevel="0" collapsed="false">
      <c r="A1029" s="9"/>
      <c r="B1029" s="9"/>
      <c r="C1029" s="9"/>
      <c r="D1029" s="9"/>
      <c r="E1029" s="9"/>
      <c r="F1029" s="9"/>
      <c r="G1029" s="9"/>
      <c r="H1029" s="64" t="str">
        <f aca="false">IF(OR(A1029="",B1029=""),"",CONCATENATE("https://matarstund.is/serfaedi?id=",LOWER(SUBSTITUTE(B1029," ","-"))))</f>
        <v/>
      </c>
    </row>
    <row r="1030" customFormat="false" ht="15" hidden="false" customHeight="true" outlineLevel="0" collapsed="false">
      <c r="A1030" s="68"/>
      <c r="B1030" s="68"/>
      <c r="C1030" s="68"/>
      <c r="D1030" s="68"/>
      <c r="E1030" s="68"/>
      <c r="F1030" s="68"/>
      <c r="G1030" s="68"/>
      <c r="H1030" s="64" t="str">
        <f aca="false">IF(OR(A1030="",B1030=""),"",CONCATENATE("https://matarstund.is/serfaedi?id=",LOWER(SUBSTITUTE(B1030," ","-"))))</f>
        <v/>
      </c>
    </row>
    <row r="1031" customFormat="false" ht="15" hidden="false" customHeight="true" outlineLevel="0" collapsed="false">
      <c r="A1031" s="9"/>
      <c r="B1031" s="9"/>
      <c r="C1031" s="9"/>
      <c r="D1031" s="9"/>
      <c r="E1031" s="9"/>
      <c r="F1031" s="9"/>
      <c r="G1031" s="9"/>
      <c r="H1031" s="64" t="str">
        <f aca="false">IF(OR(A1031="",B1031=""),"",CONCATENATE("https://matarstund.is/serfaedi?id=",LOWER(SUBSTITUTE(B1031," ","-"))))</f>
        <v/>
      </c>
    </row>
    <row r="1032" customFormat="false" ht="15" hidden="false" customHeight="true" outlineLevel="0" collapsed="false">
      <c r="A1032" s="68"/>
      <c r="B1032" s="68"/>
      <c r="C1032" s="68"/>
      <c r="D1032" s="68"/>
      <c r="E1032" s="68"/>
      <c r="F1032" s="68"/>
      <c r="G1032" s="68"/>
      <c r="H1032" s="64" t="str">
        <f aca="false">IF(OR(A1032="",B1032=""),"",CONCATENATE("https://matarstund.is/serfaedi?id=",LOWER(SUBSTITUTE(B1032," ","-"))))</f>
        <v/>
      </c>
    </row>
    <row r="1033" customFormat="false" ht="15" hidden="false" customHeight="true" outlineLevel="0" collapsed="false">
      <c r="A1033" s="9"/>
      <c r="B1033" s="9"/>
      <c r="C1033" s="9"/>
      <c r="D1033" s="9"/>
      <c r="E1033" s="9"/>
      <c r="F1033" s="9"/>
      <c r="G1033" s="9"/>
      <c r="H1033" s="64" t="str">
        <f aca="false">IF(OR(A1033="",B1033=""),"",CONCATENATE("https://matarstund.is/serfaedi?id=",LOWER(SUBSTITUTE(B1033," ","-"))))</f>
        <v/>
      </c>
    </row>
    <row r="1034" customFormat="false" ht="15" hidden="false" customHeight="true" outlineLevel="0" collapsed="false">
      <c r="A1034" s="68"/>
      <c r="B1034" s="68"/>
      <c r="C1034" s="68"/>
      <c r="D1034" s="68"/>
      <c r="E1034" s="68"/>
      <c r="F1034" s="68"/>
      <c r="G1034" s="68"/>
      <c r="H1034" s="64" t="str">
        <f aca="false">IF(OR(A1034="",B1034=""),"",CONCATENATE("https://matarstund.is/serfaedi?id=",LOWER(SUBSTITUTE(B1034," ","-"))))</f>
        <v/>
      </c>
    </row>
    <row r="1035" customFormat="false" ht="15" hidden="false" customHeight="true" outlineLevel="0" collapsed="false">
      <c r="A1035" s="9"/>
      <c r="B1035" s="9"/>
      <c r="C1035" s="9"/>
      <c r="D1035" s="9"/>
      <c r="E1035" s="9"/>
      <c r="F1035" s="9"/>
      <c r="G1035" s="9"/>
      <c r="H1035" s="64" t="str">
        <f aca="false">IF(OR(A1035="",B1035=""),"",CONCATENATE("https://matarstund.is/serfaedi?id=",LOWER(SUBSTITUTE(B1035," ","-"))))</f>
        <v/>
      </c>
    </row>
    <row r="1036" customFormat="false" ht="15" hidden="false" customHeight="true" outlineLevel="0" collapsed="false">
      <c r="A1036" s="68"/>
      <c r="B1036" s="68"/>
      <c r="C1036" s="68"/>
      <c r="D1036" s="68"/>
      <c r="E1036" s="68"/>
      <c r="F1036" s="68"/>
      <c r="G1036" s="68"/>
      <c r="H1036" s="64" t="str">
        <f aca="false">IF(OR(A1036="",B1036=""),"",CONCATENATE("https://matarstund.is/serfaedi?id=",LOWER(SUBSTITUTE(B1036," ","-"))))</f>
        <v/>
      </c>
    </row>
    <row r="1037" customFormat="false" ht="15" hidden="false" customHeight="true" outlineLevel="0" collapsed="false">
      <c r="A1037" s="9"/>
      <c r="B1037" s="9"/>
      <c r="C1037" s="9"/>
      <c r="D1037" s="9"/>
      <c r="E1037" s="9"/>
      <c r="F1037" s="9"/>
      <c r="G1037" s="9"/>
      <c r="H1037" s="64" t="str">
        <f aca="false">IF(OR(A1037="",B1037=""),"",CONCATENATE("https://matarstund.is/serfaedi?id=",LOWER(SUBSTITUTE(B1037," ","-"))))</f>
        <v/>
      </c>
    </row>
    <row r="1038" customFormat="false" ht="15" hidden="false" customHeight="true" outlineLevel="0" collapsed="false">
      <c r="A1038" s="68"/>
      <c r="B1038" s="68"/>
      <c r="C1038" s="68"/>
      <c r="D1038" s="68"/>
      <c r="E1038" s="68"/>
      <c r="F1038" s="68"/>
      <c r="G1038" s="68"/>
      <c r="H1038" s="64" t="str">
        <f aca="false">IF(OR(A1038="",B1038=""),"",CONCATENATE("https://matarstund.is/serfaedi?id=",LOWER(SUBSTITUTE(B1038," ","-"))))</f>
        <v/>
      </c>
    </row>
    <row r="1039" customFormat="false" ht="15" hidden="false" customHeight="true" outlineLevel="0" collapsed="false">
      <c r="A1039" s="9"/>
      <c r="B1039" s="9"/>
      <c r="C1039" s="9"/>
      <c r="D1039" s="9"/>
      <c r="E1039" s="9"/>
      <c r="F1039" s="9"/>
      <c r="G1039" s="9"/>
      <c r="H1039" s="64" t="str">
        <f aca="false">IF(OR(A1039="",B1039=""),"",CONCATENATE("https://matarstund.is/serfaedi?id=",LOWER(SUBSTITUTE(B1039," ","-"))))</f>
        <v/>
      </c>
    </row>
    <row r="1040" customFormat="false" ht="15" hidden="false" customHeight="true" outlineLevel="0" collapsed="false">
      <c r="A1040" s="68"/>
      <c r="B1040" s="68"/>
      <c r="C1040" s="68"/>
      <c r="D1040" s="68"/>
      <c r="E1040" s="68"/>
      <c r="F1040" s="68"/>
      <c r="G1040" s="68"/>
      <c r="H1040" s="64" t="str">
        <f aca="false">IF(OR(A1040="",B1040=""),"",CONCATENATE("https://matarstund.is/serfaedi?id=",LOWER(SUBSTITUTE(B1040," ","-"))))</f>
        <v/>
      </c>
    </row>
    <row r="1041" customFormat="false" ht="15" hidden="false" customHeight="true" outlineLevel="0" collapsed="false">
      <c r="A1041" s="9"/>
      <c r="B1041" s="9"/>
      <c r="C1041" s="9"/>
      <c r="D1041" s="9"/>
      <c r="E1041" s="9"/>
      <c r="F1041" s="9"/>
      <c r="G1041" s="9"/>
      <c r="H1041" s="64" t="str">
        <f aca="false">IF(OR(A1041="",B1041=""),"",CONCATENATE("https://matarstund.is/serfaedi?id=",LOWER(SUBSTITUTE(B1041," ","-"))))</f>
        <v/>
      </c>
    </row>
    <row r="1042" customFormat="false" ht="15" hidden="false" customHeight="true" outlineLevel="0" collapsed="false">
      <c r="A1042" s="68"/>
      <c r="B1042" s="68"/>
      <c r="C1042" s="68"/>
      <c r="D1042" s="68"/>
      <c r="E1042" s="68"/>
      <c r="F1042" s="68"/>
      <c r="G1042" s="68"/>
      <c r="H1042" s="64" t="str">
        <f aca="false">IF(OR(A1042="",B1042=""),"",CONCATENATE("https://matarstund.is/serfaedi?id=",LOWER(SUBSTITUTE(B1042," ","-"))))</f>
        <v/>
      </c>
    </row>
    <row r="1043" customFormat="false" ht="15" hidden="false" customHeight="true" outlineLevel="0" collapsed="false">
      <c r="A1043" s="9"/>
      <c r="B1043" s="9"/>
      <c r="C1043" s="9"/>
      <c r="D1043" s="9"/>
      <c r="E1043" s="9"/>
      <c r="F1043" s="9"/>
      <c r="G1043" s="9"/>
      <c r="H1043" s="64" t="str">
        <f aca="false">IF(OR(A1043="",B1043=""),"",CONCATENATE("https://matarstund.is/serfaedi?id=",LOWER(SUBSTITUTE(B1043," ","-"))))</f>
        <v/>
      </c>
    </row>
    <row r="1044" customFormat="false" ht="15" hidden="false" customHeight="true" outlineLevel="0" collapsed="false">
      <c r="A1044" s="68"/>
      <c r="B1044" s="68"/>
      <c r="C1044" s="68"/>
      <c r="D1044" s="68"/>
      <c r="E1044" s="68"/>
      <c r="F1044" s="68"/>
      <c r="G1044" s="68"/>
      <c r="H1044" s="64" t="str">
        <f aca="false">IF(OR(A1044="",B1044=""),"",CONCATENATE("https://matarstund.is/serfaedi?id=",LOWER(SUBSTITUTE(B1044," ","-"))))</f>
        <v/>
      </c>
    </row>
    <row r="1045" customFormat="false" ht="15" hidden="false" customHeight="true" outlineLevel="0" collapsed="false">
      <c r="A1045" s="9"/>
      <c r="B1045" s="9"/>
      <c r="C1045" s="9"/>
      <c r="D1045" s="9"/>
      <c r="E1045" s="9"/>
      <c r="F1045" s="9"/>
      <c r="G1045" s="9"/>
      <c r="H1045" s="64" t="str">
        <f aca="false">IF(OR(A1045="",B1045=""),"",CONCATENATE("https://matarstund.is/serfaedi?id=",LOWER(SUBSTITUTE(B1045," ","-"))))</f>
        <v/>
      </c>
    </row>
    <row r="1046" customFormat="false" ht="15" hidden="false" customHeight="true" outlineLevel="0" collapsed="false">
      <c r="A1046" s="68"/>
      <c r="B1046" s="68"/>
      <c r="C1046" s="68"/>
      <c r="D1046" s="68"/>
      <c r="E1046" s="68"/>
      <c r="F1046" s="68"/>
      <c r="G1046" s="68"/>
      <c r="H1046" s="64" t="str">
        <f aca="false">IF(OR(A1046="",B1046=""),"",CONCATENATE("https://matarstund.is/serfaedi?id=",LOWER(SUBSTITUTE(B1046," ","-"))))</f>
        <v/>
      </c>
    </row>
    <row r="1047" customFormat="false" ht="15" hidden="false" customHeight="true" outlineLevel="0" collapsed="false">
      <c r="A1047" s="9"/>
      <c r="B1047" s="9"/>
      <c r="C1047" s="9"/>
      <c r="D1047" s="9"/>
      <c r="E1047" s="9"/>
      <c r="F1047" s="9"/>
      <c r="G1047" s="9"/>
      <c r="H1047" s="64" t="str">
        <f aca="false">IF(OR(A1047="",B1047=""),"",CONCATENATE("https://matarstund.is/serfaedi?id=",LOWER(SUBSTITUTE(B1047," ","-"))))</f>
        <v/>
      </c>
    </row>
    <row r="1048" customFormat="false" ht="15" hidden="false" customHeight="true" outlineLevel="0" collapsed="false">
      <c r="A1048" s="68"/>
      <c r="B1048" s="68"/>
      <c r="C1048" s="68"/>
      <c r="D1048" s="68"/>
      <c r="E1048" s="68"/>
      <c r="F1048" s="68"/>
      <c r="G1048" s="68"/>
      <c r="H1048" s="64" t="str">
        <f aca="false">IF(OR(A1048="",B1048=""),"",CONCATENATE("https://matarstund.is/serfaedi?id=",LOWER(SUBSTITUTE(B1048," ","-"))))</f>
        <v/>
      </c>
    </row>
    <row r="1049" customFormat="false" ht="15" hidden="false" customHeight="true" outlineLevel="0" collapsed="false">
      <c r="A1049" s="9"/>
      <c r="B1049" s="9"/>
      <c r="C1049" s="9"/>
      <c r="D1049" s="9"/>
      <c r="E1049" s="9"/>
      <c r="F1049" s="9"/>
      <c r="G1049" s="9"/>
      <c r="H1049" s="64" t="str">
        <f aca="false">IF(OR(A1049="",B1049=""),"",CONCATENATE("https://matarstund.is/serfaedi?id=",LOWER(SUBSTITUTE(B1049," ","-"))))</f>
        <v/>
      </c>
    </row>
    <row r="1050" customFormat="false" ht="15" hidden="false" customHeight="true" outlineLevel="0" collapsed="false">
      <c r="A1050" s="68"/>
      <c r="B1050" s="68"/>
      <c r="C1050" s="68"/>
      <c r="D1050" s="68"/>
      <c r="E1050" s="68"/>
      <c r="F1050" s="68"/>
      <c r="G1050" s="68"/>
      <c r="H1050" s="64" t="str">
        <f aca="false">IF(OR(A1050="",B1050=""),"",CONCATENATE("https://matarstund.is/serfaedi?id=",LOWER(SUBSTITUTE(B1050," ","-"))))</f>
        <v/>
      </c>
    </row>
    <row r="1051" customFormat="false" ht="15" hidden="false" customHeight="true" outlineLevel="0" collapsed="false">
      <c r="A1051" s="9"/>
      <c r="B1051" s="9"/>
      <c r="C1051" s="9"/>
      <c r="D1051" s="9"/>
      <c r="E1051" s="9"/>
      <c r="F1051" s="9"/>
      <c r="G1051" s="9"/>
      <c r="H1051" s="64" t="str">
        <f aca="false">IF(OR(A1051="",B1051=""),"",CONCATENATE("https://matarstund.is/serfaedi?id=",LOWER(SUBSTITUTE(B1051," ","-"))))</f>
        <v/>
      </c>
    </row>
    <row r="1052" customFormat="false" ht="15" hidden="false" customHeight="true" outlineLevel="0" collapsed="false">
      <c r="A1052" s="68"/>
      <c r="B1052" s="68"/>
      <c r="C1052" s="68"/>
      <c r="D1052" s="68"/>
      <c r="E1052" s="68"/>
      <c r="F1052" s="68"/>
      <c r="G1052" s="68"/>
      <c r="H1052" s="64" t="str">
        <f aca="false">IF(OR(A1052="",B1052=""),"",CONCATENATE("https://matarstund.is/serfaedi?id=",LOWER(SUBSTITUTE(B1052," ","-"))))</f>
        <v/>
      </c>
    </row>
    <row r="1053" customFormat="false" ht="15" hidden="false" customHeight="true" outlineLevel="0" collapsed="false">
      <c r="A1053" s="9"/>
      <c r="B1053" s="9"/>
      <c r="C1053" s="9"/>
      <c r="D1053" s="9"/>
      <c r="E1053" s="9"/>
      <c r="F1053" s="9"/>
      <c r="G1053" s="9"/>
      <c r="H1053" s="64" t="str">
        <f aca="false">IF(OR(A1053="",B1053=""),"",CONCATENATE("https://matarstund.is/serfaedi?id=",LOWER(SUBSTITUTE(B1053," ","-"))))</f>
        <v/>
      </c>
    </row>
    <row r="1054" customFormat="false" ht="15" hidden="false" customHeight="true" outlineLevel="0" collapsed="false">
      <c r="A1054" s="68"/>
      <c r="B1054" s="68"/>
      <c r="C1054" s="68"/>
      <c r="D1054" s="68"/>
      <c r="E1054" s="68"/>
      <c r="F1054" s="68"/>
      <c r="G1054" s="68"/>
      <c r="H1054" s="64" t="str">
        <f aca="false">IF(OR(A1054="",B1054=""),"",CONCATENATE("https://matarstund.is/serfaedi?id=",LOWER(SUBSTITUTE(B1054," ","-"))))</f>
        <v/>
      </c>
    </row>
    <row r="1055" customFormat="false" ht="15" hidden="false" customHeight="true" outlineLevel="0" collapsed="false">
      <c r="A1055" s="9"/>
      <c r="B1055" s="9"/>
      <c r="C1055" s="9"/>
      <c r="D1055" s="9"/>
      <c r="E1055" s="9"/>
      <c r="F1055" s="9"/>
      <c r="G1055" s="9"/>
      <c r="H1055" s="64" t="str">
        <f aca="false">IF(OR(A1055="",B1055=""),"",CONCATENATE("https://matarstund.is/serfaedi?id=",LOWER(SUBSTITUTE(B1055," ","-"))))</f>
        <v/>
      </c>
    </row>
    <row r="1056" customFormat="false" ht="15" hidden="false" customHeight="true" outlineLevel="0" collapsed="false">
      <c r="A1056" s="68"/>
      <c r="B1056" s="68"/>
      <c r="C1056" s="68"/>
      <c r="D1056" s="68"/>
      <c r="E1056" s="68"/>
      <c r="F1056" s="68"/>
      <c r="G1056" s="68"/>
      <c r="H1056" s="64" t="str">
        <f aca="false">IF(OR(A1056="",B1056=""),"",CONCATENATE("https://matarstund.is/serfaedi?id=",LOWER(SUBSTITUTE(B1056," ","-"))))</f>
        <v/>
      </c>
    </row>
    <row r="1057" customFormat="false" ht="15" hidden="false" customHeight="true" outlineLevel="0" collapsed="false">
      <c r="A1057" s="9"/>
      <c r="B1057" s="9"/>
      <c r="C1057" s="9"/>
      <c r="D1057" s="9"/>
      <c r="E1057" s="9"/>
      <c r="F1057" s="9"/>
      <c r="G1057" s="9"/>
      <c r="H1057" s="64" t="str">
        <f aca="false">IF(OR(A1057="",B1057=""),"",CONCATENATE("https://matarstund.is/serfaedi?id=",LOWER(SUBSTITUTE(B1057," ","-"))))</f>
        <v/>
      </c>
    </row>
    <row r="1058" customFormat="false" ht="15" hidden="false" customHeight="true" outlineLevel="0" collapsed="false">
      <c r="A1058" s="68"/>
      <c r="B1058" s="68"/>
      <c r="C1058" s="68"/>
      <c r="D1058" s="68"/>
      <c r="E1058" s="68"/>
      <c r="F1058" s="68"/>
      <c r="G1058" s="68"/>
      <c r="H1058" s="64" t="str">
        <f aca="false">IF(OR(A1058="",B1058=""),"",CONCATENATE("https://matarstund.is/serfaedi?id=",LOWER(SUBSTITUTE(B1058," ","-"))))</f>
        <v/>
      </c>
    </row>
    <row r="1059" customFormat="false" ht="15" hidden="false" customHeight="true" outlineLevel="0" collapsed="false">
      <c r="A1059" s="9"/>
      <c r="B1059" s="9"/>
      <c r="C1059" s="9"/>
      <c r="D1059" s="9"/>
      <c r="E1059" s="9"/>
      <c r="F1059" s="9"/>
      <c r="G1059" s="9"/>
      <c r="H1059" s="64" t="str">
        <f aca="false">IF(OR(A1059="",B1059=""),"",CONCATENATE("https://matarstund.is/serfaedi?id=",LOWER(SUBSTITUTE(B1059," ","-"))))</f>
        <v/>
      </c>
    </row>
    <row r="1060" customFormat="false" ht="15" hidden="false" customHeight="true" outlineLevel="0" collapsed="false">
      <c r="A1060" s="68"/>
      <c r="B1060" s="68"/>
      <c r="C1060" s="68"/>
      <c r="D1060" s="68"/>
      <c r="E1060" s="68"/>
      <c r="F1060" s="68"/>
      <c r="G1060" s="68"/>
      <c r="H1060" s="64" t="str">
        <f aca="false">IF(OR(A1060="",B1060=""),"",CONCATENATE("https://matarstund.is/serfaedi?id=",LOWER(SUBSTITUTE(B1060," ","-"))))</f>
        <v/>
      </c>
    </row>
    <row r="1061" customFormat="false" ht="15" hidden="false" customHeight="true" outlineLevel="0" collapsed="false">
      <c r="A1061" s="9"/>
      <c r="B1061" s="9"/>
      <c r="C1061" s="9"/>
      <c r="D1061" s="9"/>
      <c r="E1061" s="9"/>
      <c r="F1061" s="9"/>
      <c r="G1061" s="9"/>
      <c r="H1061" s="64" t="str">
        <f aca="false">IF(OR(A1061="",B1061=""),"",CONCATENATE("https://matarstund.is/serfaedi?id=",LOWER(SUBSTITUTE(B1061," ","-"))))</f>
        <v/>
      </c>
    </row>
    <row r="1062" customFormat="false" ht="15" hidden="false" customHeight="true" outlineLevel="0" collapsed="false">
      <c r="A1062" s="68"/>
      <c r="B1062" s="68"/>
      <c r="C1062" s="68"/>
      <c r="D1062" s="68"/>
      <c r="E1062" s="68"/>
      <c r="F1062" s="68"/>
      <c r="G1062" s="68"/>
      <c r="H1062" s="64" t="str">
        <f aca="false">IF(OR(A1062="",B1062=""),"",CONCATENATE("https://matarstund.is/serfaedi?id=",LOWER(SUBSTITUTE(B1062," ","-"))))</f>
        <v/>
      </c>
    </row>
    <row r="1063" customFormat="false" ht="15" hidden="false" customHeight="true" outlineLevel="0" collapsed="false">
      <c r="A1063" s="9"/>
      <c r="B1063" s="9"/>
      <c r="C1063" s="9"/>
      <c r="D1063" s="9"/>
      <c r="E1063" s="9"/>
      <c r="F1063" s="9"/>
      <c r="G1063" s="9"/>
      <c r="H1063" s="64" t="str">
        <f aca="false">IF(OR(A1063="",B1063=""),"",CONCATENATE("https://matarstund.is/serfaedi?id=",LOWER(SUBSTITUTE(B1063," ","-"))))</f>
        <v/>
      </c>
    </row>
    <row r="1064" customFormat="false" ht="15" hidden="false" customHeight="true" outlineLevel="0" collapsed="false">
      <c r="A1064" s="68"/>
      <c r="B1064" s="68"/>
      <c r="C1064" s="68"/>
      <c r="D1064" s="68"/>
      <c r="E1064" s="68"/>
      <c r="F1064" s="68"/>
      <c r="G1064" s="68"/>
      <c r="H1064" s="64" t="str">
        <f aca="false">IF(OR(A1064="",B1064=""),"",CONCATENATE("https://matarstund.is/serfaedi?id=",LOWER(SUBSTITUTE(B1064," ","-"))))</f>
        <v/>
      </c>
    </row>
    <row r="1065" customFormat="false" ht="15" hidden="false" customHeight="true" outlineLevel="0" collapsed="false">
      <c r="A1065" s="9"/>
      <c r="B1065" s="9"/>
      <c r="C1065" s="9"/>
      <c r="D1065" s="9"/>
      <c r="E1065" s="9"/>
      <c r="F1065" s="9"/>
      <c r="G1065" s="9"/>
      <c r="H1065" s="64" t="str">
        <f aca="false">IF(OR(A1065="",B1065=""),"",CONCATENATE("https://matarstund.is/serfaedi?id=",LOWER(SUBSTITUTE(B1065," ","-"))))</f>
        <v/>
      </c>
    </row>
    <row r="1066" customFormat="false" ht="15" hidden="false" customHeight="true" outlineLevel="0" collapsed="false">
      <c r="A1066" s="68"/>
      <c r="B1066" s="68"/>
      <c r="C1066" s="68"/>
      <c r="D1066" s="68"/>
      <c r="E1066" s="68"/>
      <c r="F1066" s="68"/>
      <c r="G1066" s="68"/>
      <c r="H1066" s="64" t="str">
        <f aca="false">IF(OR(A1066="",B1066=""),"",CONCATENATE("https://matarstund.is/serfaedi?id=",LOWER(SUBSTITUTE(B1066," ","-"))))</f>
        <v/>
      </c>
    </row>
    <row r="1067" customFormat="false" ht="15" hidden="false" customHeight="true" outlineLevel="0" collapsed="false">
      <c r="A1067" s="9"/>
      <c r="B1067" s="9"/>
      <c r="C1067" s="9"/>
      <c r="D1067" s="9"/>
      <c r="E1067" s="9"/>
      <c r="F1067" s="9"/>
      <c r="G1067" s="9"/>
      <c r="H1067" s="64" t="str">
        <f aca="false">IF(OR(A1067="",B1067=""),"",CONCATENATE("https://matarstund.is/serfaedi?id=",LOWER(SUBSTITUTE(B1067," ","-"))))</f>
        <v/>
      </c>
    </row>
    <row r="1068" customFormat="false" ht="15" hidden="false" customHeight="true" outlineLevel="0" collapsed="false">
      <c r="A1068" s="68"/>
      <c r="B1068" s="68"/>
      <c r="C1068" s="68"/>
      <c r="D1068" s="68"/>
      <c r="E1068" s="68"/>
      <c r="F1068" s="68"/>
      <c r="G1068" s="68"/>
      <c r="H1068" s="64" t="str">
        <f aca="false">IF(OR(A1068="",B1068=""),"",CONCATENATE("https://matarstund.is/serfaedi?id=",LOWER(SUBSTITUTE(B1068," ","-"))))</f>
        <v/>
      </c>
    </row>
    <row r="1069" customFormat="false" ht="15" hidden="false" customHeight="true" outlineLevel="0" collapsed="false">
      <c r="A1069" s="9"/>
      <c r="B1069" s="9"/>
      <c r="C1069" s="9"/>
      <c r="D1069" s="9"/>
      <c r="E1069" s="9"/>
      <c r="F1069" s="9"/>
      <c r="G1069" s="9"/>
      <c r="H1069" s="64" t="str">
        <f aca="false">IF(OR(A1069="",B1069=""),"",CONCATENATE("https://matarstund.is/serfaedi?id=",LOWER(SUBSTITUTE(B1069," ","-"))))</f>
        <v/>
      </c>
    </row>
    <row r="1070" customFormat="false" ht="15" hidden="false" customHeight="true" outlineLevel="0" collapsed="false">
      <c r="A1070" s="68"/>
      <c r="B1070" s="68"/>
      <c r="C1070" s="68"/>
      <c r="D1070" s="68"/>
      <c r="E1070" s="68"/>
      <c r="F1070" s="68"/>
      <c r="G1070" s="68"/>
      <c r="H1070" s="64" t="str">
        <f aca="false">IF(OR(A1070="",B1070=""),"",CONCATENATE("https://matarstund.is/serfaedi?id=",LOWER(SUBSTITUTE(B1070," ","-"))))</f>
        <v/>
      </c>
    </row>
    <row r="1071" customFormat="false" ht="15" hidden="false" customHeight="true" outlineLevel="0" collapsed="false">
      <c r="A1071" s="9"/>
      <c r="B1071" s="9"/>
      <c r="C1071" s="9"/>
      <c r="D1071" s="9"/>
      <c r="E1071" s="9"/>
      <c r="F1071" s="9"/>
      <c r="G1071" s="9"/>
      <c r="H1071" s="64" t="str">
        <f aca="false">IF(OR(A1071="",B1071=""),"",CONCATENATE("https://matarstund.is/serfaedi?id=",LOWER(SUBSTITUTE(B1071," ","-"))))</f>
        <v/>
      </c>
    </row>
    <row r="1072" customFormat="false" ht="15" hidden="false" customHeight="true" outlineLevel="0" collapsed="false">
      <c r="A1072" s="68"/>
      <c r="B1072" s="68"/>
      <c r="C1072" s="68"/>
      <c r="D1072" s="68"/>
      <c r="E1072" s="68"/>
      <c r="F1072" s="68"/>
      <c r="G1072" s="68"/>
      <c r="H1072" s="64" t="str">
        <f aca="false">IF(OR(A1072="",B1072=""),"",CONCATENATE("https://matarstund.is/serfaedi?id=",LOWER(SUBSTITUTE(B1072," ","-"))))</f>
        <v/>
      </c>
    </row>
    <row r="1073" customFormat="false" ht="15" hidden="false" customHeight="true" outlineLevel="0" collapsed="false">
      <c r="A1073" s="9"/>
      <c r="B1073" s="9"/>
      <c r="C1073" s="9"/>
      <c r="D1073" s="9"/>
      <c r="E1073" s="9"/>
      <c r="F1073" s="9"/>
      <c r="G1073" s="9"/>
      <c r="H1073" s="64" t="str">
        <f aca="false">IF(OR(A1073="",B1073=""),"",CONCATENATE("https://matarstund.is/serfaedi?id=",LOWER(SUBSTITUTE(B1073," ","-"))))</f>
        <v/>
      </c>
    </row>
    <row r="1074" customFormat="false" ht="15" hidden="false" customHeight="true" outlineLevel="0" collapsed="false">
      <c r="A1074" s="68"/>
      <c r="B1074" s="68"/>
      <c r="C1074" s="68"/>
      <c r="D1074" s="68"/>
      <c r="E1074" s="68"/>
      <c r="F1074" s="68"/>
      <c r="G1074" s="68"/>
      <c r="H1074" s="64" t="str">
        <f aca="false">IF(OR(A1074="",B1074=""),"",CONCATENATE("https://matarstund.is/serfaedi?id=",LOWER(SUBSTITUTE(B1074," ","-"))))</f>
        <v/>
      </c>
    </row>
    <row r="1075" customFormat="false" ht="15" hidden="false" customHeight="true" outlineLevel="0" collapsed="false">
      <c r="A1075" s="9"/>
      <c r="B1075" s="9"/>
      <c r="C1075" s="9"/>
      <c r="D1075" s="9"/>
      <c r="E1075" s="9"/>
      <c r="F1075" s="9"/>
      <c r="G1075" s="9"/>
      <c r="H1075" s="64" t="str">
        <f aca="false">IF(OR(A1075="",B1075=""),"",CONCATENATE("https://matarstund.is/serfaedi?id=",LOWER(SUBSTITUTE(B1075," ","-"))))</f>
        <v/>
      </c>
    </row>
    <row r="1076" customFormat="false" ht="15" hidden="false" customHeight="true" outlineLevel="0" collapsed="false">
      <c r="A1076" s="68"/>
      <c r="B1076" s="68"/>
      <c r="C1076" s="68"/>
      <c r="D1076" s="68"/>
      <c r="E1076" s="68"/>
      <c r="F1076" s="68"/>
      <c r="G1076" s="68"/>
      <c r="H1076" s="64" t="str">
        <f aca="false">IF(OR(A1076="",B1076=""),"",CONCATENATE("https://matarstund.is/serfaedi?id=",LOWER(SUBSTITUTE(B1076," ","-"))))</f>
        <v/>
      </c>
    </row>
    <row r="1077" customFormat="false" ht="15" hidden="false" customHeight="true" outlineLevel="0" collapsed="false">
      <c r="A1077" s="9"/>
      <c r="B1077" s="9"/>
      <c r="C1077" s="9"/>
      <c r="D1077" s="9"/>
      <c r="E1077" s="9"/>
      <c r="F1077" s="9"/>
      <c r="G1077" s="9"/>
      <c r="H1077" s="64" t="str">
        <f aca="false">IF(OR(A1077="",B1077=""),"",CONCATENATE("https://matarstund.is/serfaedi?id=",LOWER(SUBSTITUTE(B1077," ","-"))))</f>
        <v/>
      </c>
    </row>
    <row r="1078" customFormat="false" ht="15" hidden="false" customHeight="true" outlineLevel="0" collapsed="false">
      <c r="A1078" s="68"/>
      <c r="B1078" s="68"/>
      <c r="C1078" s="68"/>
      <c r="D1078" s="68"/>
      <c r="E1078" s="68"/>
      <c r="F1078" s="68"/>
      <c r="G1078" s="68"/>
      <c r="H1078" s="64" t="str">
        <f aca="false">IF(OR(A1078="",B1078=""),"",CONCATENATE("https://matarstund.is/serfaedi?id=",LOWER(SUBSTITUTE(B1078," ","-"))))</f>
        <v/>
      </c>
    </row>
    <row r="1079" customFormat="false" ht="15" hidden="false" customHeight="true" outlineLevel="0" collapsed="false">
      <c r="A1079" s="9"/>
      <c r="B1079" s="9"/>
      <c r="C1079" s="9"/>
      <c r="D1079" s="9"/>
      <c r="E1079" s="9"/>
      <c r="F1079" s="9"/>
      <c r="G1079" s="9"/>
      <c r="H1079" s="64" t="str">
        <f aca="false">IF(OR(A1079="",B1079=""),"",CONCATENATE("https://matarstund.is/serfaedi?id=",LOWER(SUBSTITUTE(B1079," ","-"))))</f>
        <v/>
      </c>
    </row>
    <row r="1080" customFormat="false" ht="15" hidden="false" customHeight="true" outlineLevel="0" collapsed="false">
      <c r="A1080" s="68"/>
      <c r="B1080" s="68"/>
      <c r="C1080" s="68"/>
      <c r="D1080" s="68"/>
      <c r="E1080" s="68"/>
      <c r="F1080" s="68"/>
      <c r="G1080" s="68"/>
      <c r="H1080" s="64" t="str">
        <f aca="false">IF(OR(A1080="",B1080=""),"",CONCATENATE("https://matarstund.is/serfaedi?id=",LOWER(SUBSTITUTE(B1080," ","-"))))</f>
        <v/>
      </c>
    </row>
    <row r="1081" customFormat="false" ht="15" hidden="false" customHeight="true" outlineLevel="0" collapsed="false">
      <c r="A1081" s="9"/>
      <c r="B1081" s="9"/>
      <c r="C1081" s="9"/>
      <c r="D1081" s="9"/>
      <c r="E1081" s="9"/>
      <c r="F1081" s="9"/>
      <c r="G1081" s="9"/>
      <c r="H1081" s="64" t="str">
        <f aca="false">IF(OR(A1081="",B1081=""),"",CONCATENATE("https://matarstund.is/serfaedi?id=",LOWER(SUBSTITUTE(B1081," ","-"))))</f>
        <v/>
      </c>
    </row>
    <row r="1082" customFormat="false" ht="15" hidden="false" customHeight="true" outlineLevel="0" collapsed="false">
      <c r="A1082" s="68"/>
      <c r="B1082" s="68"/>
      <c r="C1082" s="68"/>
      <c r="D1082" s="68"/>
      <c r="E1082" s="68"/>
      <c r="F1082" s="68"/>
      <c r="G1082" s="68"/>
      <c r="H1082" s="64" t="str">
        <f aca="false">IF(OR(A1082="",B1082=""),"",CONCATENATE("https://matarstund.is/serfaedi?id=",LOWER(SUBSTITUTE(B1082," ","-"))))</f>
        <v/>
      </c>
    </row>
    <row r="1083" customFormat="false" ht="15" hidden="false" customHeight="true" outlineLevel="0" collapsed="false">
      <c r="A1083" s="9"/>
      <c r="B1083" s="9"/>
      <c r="C1083" s="9"/>
      <c r="D1083" s="9"/>
      <c r="E1083" s="9"/>
      <c r="F1083" s="9"/>
      <c r="G1083" s="9"/>
      <c r="H1083" s="64" t="str">
        <f aca="false">IF(OR(A1083="",B1083=""),"",CONCATENATE("https://matarstund.is/serfaedi?id=",LOWER(SUBSTITUTE(B1083," ","-"))))</f>
        <v/>
      </c>
    </row>
    <row r="1084" customFormat="false" ht="15" hidden="false" customHeight="true" outlineLevel="0" collapsed="false">
      <c r="A1084" s="68"/>
      <c r="B1084" s="68"/>
      <c r="C1084" s="68"/>
      <c r="D1084" s="68"/>
      <c r="E1084" s="68"/>
      <c r="F1084" s="68"/>
      <c r="G1084" s="68"/>
      <c r="H1084" s="64" t="str">
        <f aca="false">IF(OR(A1084="",B1084=""),"",CONCATENATE("https://matarstund.is/serfaedi?id=",LOWER(SUBSTITUTE(B1084," ","-"))))</f>
        <v/>
      </c>
    </row>
    <row r="1085" customFormat="false" ht="15" hidden="false" customHeight="true" outlineLevel="0" collapsed="false">
      <c r="A1085" s="9"/>
      <c r="B1085" s="9"/>
      <c r="C1085" s="9"/>
      <c r="D1085" s="9"/>
      <c r="E1085" s="9"/>
      <c r="F1085" s="9"/>
      <c r="G1085" s="9"/>
      <c r="H1085" s="64" t="str">
        <f aca="false">IF(OR(A1085="",B1085=""),"",CONCATENATE("https://matarstund.is/serfaedi?id=",LOWER(SUBSTITUTE(B1085," ","-"))))</f>
        <v/>
      </c>
    </row>
    <row r="1086" customFormat="false" ht="15" hidden="false" customHeight="true" outlineLevel="0" collapsed="false">
      <c r="A1086" s="68"/>
      <c r="B1086" s="68"/>
      <c r="C1086" s="68"/>
      <c r="D1086" s="68"/>
      <c r="E1086" s="68"/>
      <c r="F1086" s="68"/>
      <c r="G1086" s="68"/>
      <c r="H1086" s="64" t="str">
        <f aca="false">IF(OR(A1086="",B1086=""),"",CONCATENATE("https://matarstund.is/serfaedi?id=",LOWER(SUBSTITUTE(B1086," ","-"))))</f>
        <v/>
      </c>
    </row>
    <row r="1087" customFormat="false" ht="15" hidden="false" customHeight="true" outlineLevel="0" collapsed="false">
      <c r="A1087" s="9"/>
      <c r="B1087" s="9"/>
      <c r="C1087" s="9"/>
      <c r="D1087" s="9"/>
      <c r="E1087" s="9"/>
      <c r="F1087" s="9"/>
      <c r="G1087" s="9"/>
      <c r="H1087" s="64" t="str">
        <f aca="false">IF(OR(A1087="",B1087=""),"",CONCATENATE("https://matarstund.is/serfaedi?id=",LOWER(SUBSTITUTE(B1087," ","-"))))</f>
        <v/>
      </c>
    </row>
    <row r="1088" customFormat="false" ht="15" hidden="false" customHeight="true" outlineLevel="0" collapsed="false">
      <c r="A1088" s="68"/>
      <c r="B1088" s="68"/>
      <c r="C1088" s="68"/>
      <c r="D1088" s="68"/>
      <c r="E1088" s="68"/>
      <c r="F1088" s="68"/>
      <c r="G1088" s="68"/>
      <c r="H1088" s="64" t="str">
        <f aca="false">IF(OR(A1088="",B1088=""),"",CONCATENATE("https://matarstund.is/serfaedi?id=",LOWER(SUBSTITUTE(B1088," ","-"))))</f>
        <v/>
      </c>
    </row>
    <row r="1089" customFormat="false" ht="15" hidden="false" customHeight="true" outlineLevel="0" collapsed="false">
      <c r="A1089" s="9"/>
      <c r="B1089" s="9"/>
      <c r="C1089" s="9"/>
      <c r="D1089" s="9"/>
      <c r="E1089" s="9"/>
      <c r="F1089" s="9"/>
      <c r="G1089" s="9"/>
      <c r="H1089" s="64" t="str">
        <f aca="false">IF(OR(A1089="",B1089=""),"",CONCATENATE("https://matarstund.is/serfaedi?id=",LOWER(SUBSTITUTE(B1089," ","-"))))</f>
        <v/>
      </c>
    </row>
    <row r="1090" customFormat="false" ht="15" hidden="false" customHeight="true" outlineLevel="0" collapsed="false">
      <c r="A1090" s="68"/>
      <c r="B1090" s="68"/>
      <c r="C1090" s="68"/>
      <c r="D1090" s="68"/>
      <c r="E1090" s="68"/>
      <c r="F1090" s="68"/>
      <c r="G1090" s="68"/>
      <c r="H1090" s="64" t="str">
        <f aca="false">IF(OR(A1090="",B1090=""),"",CONCATENATE("https://matarstund.is/serfaedi?id=",LOWER(SUBSTITUTE(B1090," ","-"))))</f>
        <v/>
      </c>
    </row>
    <row r="1091" customFormat="false" ht="15" hidden="false" customHeight="true" outlineLevel="0" collapsed="false">
      <c r="A1091" s="9"/>
      <c r="B1091" s="9"/>
      <c r="C1091" s="9"/>
      <c r="D1091" s="9"/>
      <c r="E1091" s="9"/>
      <c r="F1091" s="9"/>
      <c r="G1091" s="9"/>
      <c r="H1091" s="64" t="str">
        <f aca="false">IF(OR(A1091="",B1091=""),"",CONCATENATE("https://matarstund.is/serfaedi?id=",LOWER(SUBSTITUTE(B1091," ","-"))))</f>
        <v/>
      </c>
    </row>
    <row r="1092" customFormat="false" ht="15" hidden="false" customHeight="true" outlineLevel="0" collapsed="false">
      <c r="A1092" s="68"/>
      <c r="B1092" s="68"/>
      <c r="C1092" s="68"/>
      <c r="D1092" s="68"/>
      <c r="E1092" s="68"/>
      <c r="F1092" s="68"/>
      <c r="G1092" s="68"/>
      <c r="H1092" s="64" t="str">
        <f aca="false">IF(OR(A1092="",B1092=""),"",CONCATENATE("https://matarstund.is/serfaedi?id=",LOWER(SUBSTITUTE(B1092," ","-"))))</f>
        <v/>
      </c>
    </row>
    <row r="1093" customFormat="false" ht="15" hidden="false" customHeight="true" outlineLevel="0" collapsed="false">
      <c r="A1093" s="9"/>
      <c r="B1093" s="9"/>
      <c r="C1093" s="9"/>
      <c r="D1093" s="9"/>
      <c r="E1093" s="9"/>
      <c r="F1093" s="9"/>
      <c r="G1093" s="9"/>
      <c r="H1093" s="64" t="str">
        <f aca="false">IF(OR(A1093="",B1093=""),"",CONCATENATE("https://matarstund.is/serfaedi?id=",LOWER(SUBSTITUTE(B1093," ","-"))))</f>
        <v/>
      </c>
    </row>
    <row r="1094" customFormat="false" ht="15" hidden="false" customHeight="true" outlineLevel="0" collapsed="false">
      <c r="A1094" s="68"/>
      <c r="B1094" s="68"/>
      <c r="C1094" s="68"/>
      <c r="D1094" s="68"/>
      <c r="E1094" s="68"/>
      <c r="F1094" s="68"/>
      <c r="G1094" s="68"/>
      <c r="H1094" s="64" t="str">
        <f aca="false">IF(OR(A1094="",B1094=""),"",CONCATENATE("https://matarstund.is/serfaedi?id=",LOWER(SUBSTITUTE(B1094," ","-"))))</f>
        <v/>
      </c>
    </row>
    <row r="1095" customFormat="false" ht="15" hidden="false" customHeight="true" outlineLevel="0" collapsed="false">
      <c r="A1095" s="9"/>
      <c r="B1095" s="9"/>
      <c r="C1095" s="9"/>
      <c r="D1095" s="9"/>
      <c r="E1095" s="9"/>
      <c r="F1095" s="9"/>
      <c r="G1095" s="9"/>
      <c r="H1095" s="64" t="str">
        <f aca="false">IF(OR(A1095="",B1095=""),"",CONCATENATE("https://matarstund.is/serfaedi?id=",LOWER(SUBSTITUTE(B1095," ","-"))))</f>
        <v/>
      </c>
    </row>
    <row r="1096" customFormat="false" ht="15" hidden="false" customHeight="true" outlineLevel="0" collapsed="false">
      <c r="A1096" s="68"/>
      <c r="B1096" s="68"/>
      <c r="C1096" s="68"/>
      <c r="D1096" s="68"/>
      <c r="E1096" s="68"/>
      <c r="F1096" s="68"/>
      <c r="G1096" s="68"/>
      <c r="H1096" s="64" t="str">
        <f aca="false">IF(OR(A1096="",B1096=""),"",CONCATENATE("https://matarstund.is/serfaedi?id=",LOWER(SUBSTITUTE(B1096," ","-"))))</f>
        <v/>
      </c>
    </row>
    <row r="1097" customFormat="false" ht="15" hidden="false" customHeight="true" outlineLevel="0" collapsed="false">
      <c r="A1097" s="9"/>
      <c r="B1097" s="9"/>
      <c r="C1097" s="9"/>
      <c r="D1097" s="9"/>
      <c r="E1097" s="9"/>
      <c r="F1097" s="9"/>
      <c r="G1097" s="9"/>
      <c r="H1097" s="64" t="str">
        <f aca="false">IF(OR(A1097="",B1097=""),"",CONCATENATE("https://matarstund.is/serfaedi?id=",LOWER(SUBSTITUTE(B1097," ","-"))))</f>
        <v/>
      </c>
    </row>
    <row r="1098" customFormat="false" ht="15" hidden="false" customHeight="true" outlineLevel="0" collapsed="false">
      <c r="A1098" s="68"/>
      <c r="B1098" s="68"/>
      <c r="C1098" s="68"/>
      <c r="D1098" s="68"/>
      <c r="E1098" s="68"/>
      <c r="F1098" s="68"/>
      <c r="G1098" s="68"/>
      <c r="H1098" s="64" t="str">
        <f aca="false">IF(OR(A1098="",B1098=""),"",CONCATENATE("https://matarstund.is/serfaedi?id=",LOWER(SUBSTITUTE(B1098," ","-"))))</f>
        <v/>
      </c>
    </row>
    <row r="1099" customFormat="false" ht="15" hidden="false" customHeight="true" outlineLevel="0" collapsed="false">
      <c r="A1099" s="9"/>
      <c r="B1099" s="9"/>
      <c r="C1099" s="9"/>
      <c r="D1099" s="9"/>
      <c r="E1099" s="9"/>
      <c r="F1099" s="9"/>
      <c r="G1099" s="9"/>
      <c r="H1099" s="64" t="str">
        <f aca="false">IF(OR(A1099="",B1099=""),"",CONCATENATE("https://matarstund.is/serfaedi?id=",LOWER(SUBSTITUTE(B1099," ","-"))))</f>
        <v/>
      </c>
    </row>
    <row r="1100" customFormat="false" ht="15" hidden="false" customHeight="true" outlineLevel="0" collapsed="false">
      <c r="A1100" s="68"/>
      <c r="B1100" s="68"/>
      <c r="C1100" s="68"/>
      <c r="D1100" s="68"/>
      <c r="E1100" s="68"/>
      <c r="F1100" s="68"/>
      <c r="G1100" s="68"/>
      <c r="H1100" s="64" t="str">
        <f aca="false">IF(OR(A1100="",B1100=""),"",CONCATENATE("https://matarstund.is/serfaedi?id=",LOWER(SUBSTITUTE(B1100," ","-"))))</f>
        <v/>
      </c>
    </row>
    <row r="1101" customFormat="false" ht="15" hidden="false" customHeight="true" outlineLevel="0" collapsed="false">
      <c r="A1101" s="9"/>
      <c r="B1101" s="9"/>
      <c r="C1101" s="9"/>
      <c r="D1101" s="9"/>
      <c r="E1101" s="9"/>
      <c r="F1101" s="9"/>
      <c r="G1101" s="9"/>
      <c r="H1101" s="64" t="str">
        <f aca="false">IF(OR(A1101="",B1101=""),"",CONCATENATE("https://matarstund.is/serfaedi?id=",LOWER(SUBSTITUTE(B1101," ","-"))))</f>
        <v/>
      </c>
    </row>
    <row r="1102" customFormat="false" ht="15" hidden="false" customHeight="true" outlineLevel="0" collapsed="false">
      <c r="A1102" s="68"/>
      <c r="B1102" s="68"/>
      <c r="C1102" s="68"/>
      <c r="D1102" s="68"/>
      <c r="E1102" s="68"/>
      <c r="F1102" s="68"/>
      <c r="G1102" s="68"/>
      <c r="H1102" s="64" t="str">
        <f aca="false">IF(OR(A1102="",B1102=""),"",CONCATENATE("https://matarstund.is/serfaedi?id=",LOWER(SUBSTITUTE(B1102," ","-"))))</f>
        <v/>
      </c>
    </row>
    <row r="1103" customFormat="false" ht="15" hidden="false" customHeight="true" outlineLevel="0" collapsed="false">
      <c r="A1103" s="9"/>
      <c r="B1103" s="9"/>
      <c r="C1103" s="9"/>
      <c r="D1103" s="9"/>
      <c r="E1103" s="9"/>
      <c r="F1103" s="9"/>
      <c r="G1103" s="9"/>
      <c r="H1103" s="64" t="str">
        <f aca="false">IF(OR(A1103="",B1103=""),"",CONCATENATE("https://matarstund.is/serfaedi?id=",LOWER(SUBSTITUTE(B1103," ","-"))))</f>
        <v/>
      </c>
    </row>
    <row r="1104" customFormat="false" ht="15" hidden="false" customHeight="true" outlineLevel="0" collapsed="false">
      <c r="A1104" s="68"/>
      <c r="B1104" s="68"/>
      <c r="C1104" s="68"/>
      <c r="D1104" s="68"/>
      <c r="E1104" s="68"/>
      <c r="F1104" s="68"/>
      <c r="G1104" s="68"/>
      <c r="H1104" s="64" t="str">
        <f aca="false">IF(OR(A1104="",B1104=""),"",CONCATENATE("https://matarstund.is/serfaedi?id=",LOWER(SUBSTITUTE(B1104," ","-"))))</f>
        <v/>
      </c>
    </row>
    <row r="1105" customFormat="false" ht="15" hidden="false" customHeight="true" outlineLevel="0" collapsed="false">
      <c r="A1105" s="9"/>
      <c r="B1105" s="9"/>
      <c r="C1105" s="9"/>
      <c r="D1105" s="9"/>
      <c r="E1105" s="9"/>
      <c r="F1105" s="9"/>
      <c r="G1105" s="9"/>
      <c r="H1105" s="64" t="str">
        <f aca="false">IF(OR(A1105="",B1105=""),"",CONCATENATE("https://matarstund.is/serfaedi?id=",LOWER(SUBSTITUTE(B1105," ","-"))))</f>
        <v/>
      </c>
    </row>
    <row r="1106" customFormat="false" ht="15" hidden="false" customHeight="true" outlineLevel="0" collapsed="false">
      <c r="A1106" s="68"/>
      <c r="B1106" s="68"/>
      <c r="C1106" s="68"/>
      <c r="D1106" s="68"/>
      <c r="E1106" s="68"/>
      <c r="F1106" s="68"/>
      <c r="G1106" s="68"/>
      <c r="H1106" s="64" t="str">
        <f aca="false">IF(OR(A1106="",B1106=""),"",CONCATENATE("https://matarstund.is/serfaedi?id=",LOWER(SUBSTITUTE(B1106," ","-"))))</f>
        <v/>
      </c>
    </row>
    <row r="1107" customFormat="false" ht="15" hidden="false" customHeight="true" outlineLevel="0" collapsed="false">
      <c r="A1107" s="9"/>
      <c r="B1107" s="9"/>
      <c r="C1107" s="9"/>
      <c r="D1107" s="9"/>
      <c r="E1107" s="9"/>
      <c r="F1107" s="9"/>
      <c r="G1107" s="9"/>
      <c r="H1107" s="64" t="str">
        <f aca="false">IF(OR(A1107="",B1107=""),"",CONCATENATE("https://matarstund.is/serfaedi?id=",LOWER(SUBSTITUTE(B1107," ","-"))))</f>
        <v/>
      </c>
    </row>
    <row r="1108" customFormat="false" ht="15" hidden="false" customHeight="true" outlineLevel="0" collapsed="false">
      <c r="A1108" s="68"/>
      <c r="B1108" s="68"/>
      <c r="C1108" s="68"/>
      <c r="D1108" s="68"/>
      <c r="E1108" s="68"/>
      <c r="F1108" s="68"/>
      <c r="G1108" s="68"/>
      <c r="H1108" s="64" t="str">
        <f aca="false">IF(OR(A1108="",B1108=""),"",CONCATENATE("https://matarstund.is/serfaedi?id=",LOWER(SUBSTITUTE(B1108," ","-"))))</f>
        <v/>
      </c>
    </row>
    <row r="1109" customFormat="false" ht="15" hidden="false" customHeight="true" outlineLevel="0" collapsed="false">
      <c r="A1109" s="9"/>
      <c r="B1109" s="9"/>
      <c r="C1109" s="9"/>
      <c r="D1109" s="9"/>
      <c r="E1109" s="9"/>
      <c r="F1109" s="9"/>
      <c r="G1109" s="9"/>
      <c r="H1109" s="64" t="str">
        <f aca="false">IF(OR(A1109="",B1109=""),"",CONCATENATE("https://matarstund.is/serfaedi?id=",LOWER(SUBSTITUTE(B1109," ","-"))))</f>
        <v/>
      </c>
    </row>
    <row r="1110" customFormat="false" ht="15" hidden="false" customHeight="true" outlineLevel="0" collapsed="false">
      <c r="A1110" s="68"/>
      <c r="B1110" s="68"/>
      <c r="C1110" s="68"/>
      <c r="D1110" s="68"/>
      <c r="E1110" s="68"/>
      <c r="F1110" s="68"/>
      <c r="G1110" s="68"/>
      <c r="H1110" s="64" t="str">
        <f aca="false">IF(OR(A1110="",B1110=""),"",CONCATENATE("https://matarstund.is/serfaedi?id=",LOWER(SUBSTITUTE(B1110," ","-"))))</f>
        <v/>
      </c>
    </row>
    <row r="1111" customFormat="false" ht="15" hidden="false" customHeight="true" outlineLevel="0" collapsed="false">
      <c r="A1111" s="9"/>
      <c r="B1111" s="9"/>
      <c r="C1111" s="9"/>
      <c r="D1111" s="9"/>
      <c r="E1111" s="9"/>
      <c r="F1111" s="9"/>
      <c r="G1111" s="9"/>
      <c r="H1111" s="64" t="str">
        <f aca="false">IF(OR(A1111="",B1111=""),"",CONCATENATE("https://matarstund.is/serfaedi?id=",LOWER(SUBSTITUTE(B1111," ","-"))))</f>
        <v/>
      </c>
    </row>
    <row r="1112" customFormat="false" ht="15" hidden="false" customHeight="true" outlineLevel="0" collapsed="false">
      <c r="A1112" s="68"/>
      <c r="B1112" s="68"/>
      <c r="C1112" s="68"/>
      <c r="D1112" s="68"/>
      <c r="E1112" s="68"/>
      <c r="F1112" s="68"/>
      <c r="G1112" s="68"/>
      <c r="H1112" s="64" t="str">
        <f aca="false">IF(OR(A1112="",B1112=""),"",CONCATENATE("https://matarstund.is/serfaedi?id=",LOWER(SUBSTITUTE(B1112," ","-"))))</f>
        <v/>
      </c>
    </row>
    <row r="1113" customFormat="false" ht="15" hidden="false" customHeight="true" outlineLevel="0" collapsed="false">
      <c r="A1113" s="9"/>
      <c r="B1113" s="9"/>
      <c r="C1113" s="9"/>
      <c r="D1113" s="9"/>
      <c r="E1113" s="9"/>
      <c r="F1113" s="9"/>
      <c r="G1113" s="9"/>
      <c r="H1113" s="64" t="str">
        <f aca="false">IF(OR(A1113="",B1113=""),"",CONCATENATE("https://matarstund.is/serfaedi?id=",LOWER(SUBSTITUTE(B1113," ","-"))))</f>
        <v/>
      </c>
    </row>
    <row r="1114" customFormat="false" ht="15" hidden="false" customHeight="true" outlineLevel="0" collapsed="false">
      <c r="A1114" s="68"/>
      <c r="B1114" s="68"/>
      <c r="C1114" s="68"/>
      <c r="D1114" s="68"/>
      <c r="E1114" s="68"/>
      <c r="F1114" s="68"/>
      <c r="G1114" s="68"/>
      <c r="H1114" s="64" t="str">
        <f aca="false">IF(OR(A1114="",B1114=""),"",CONCATENATE("https://matarstund.is/serfaedi?id=",LOWER(SUBSTITUTE(B1114," ","-"))))</f>
        <v/>
      </c>
    </row>
    <row r="1115" customFormat="false" ht="15" hidden="false" customHeight="true" outlineLevel="0" collapsed="false">
      <c r="A1115" s="9"/>
      <c r="B1115" s="9"/>
      <c r="C1115" s="9"/>
      <c r="D1115" s="9"/>
      <c r="E1115" s="9"/>
      <c r="F1115" s="9"/>
      <c r="G1115" s="9"/>
      <c r="H1115" s="64" t="str">
        <f aca="false">IF(OR(A1115="",B1115=""),"",CONCATENATE("https://matarstund.is/serfaedi?id=",LOWER(SUBSTITUTE(B1115," ","-"))))</f>
        <v/>
      </c>
    </row>
    <row r="1116" customFormat="false" ht="15" hidden="false" customHeight="true" outlineLevel="0" collapsed="false">
      <c r="A1116" s="68"/>
      <c r="B1116" s="68"/>
      <c r="C1116" s="68"/>
      <c r="D1116" s="68"/>
      <c r="E1116" s="68"/>
      <c r="F1116" s="68"/>
      <c r="G1116" s="68"/>
      <c r="H1116" s="64" t="str">
        <f aca="false">IF(OR(A1116="",B1116=""),"",CONCATENATE("https://matarstund.is/serfaedi?id=",LOWER(SUBSTITUTE(B1116," ","-"))))</f>
        <v/>
      </c>
    </row>
    <row r="1117" customFormat="false" ht="15" hidden="false" customHeight="true" outlineLevel="0" collapsed="false">
      <c r="A1117" s="9"/>
      <c r="B1117" s="9"/>
      <c r="C1117" s="9"/>
      <c r="D1117" s="9"/>
      <c r="E1117" s="9"/>
      <c r="F1117" s="9"/>
      <c r="G1117" s="9"/>
      <c r="H1117" s="64" t="str">
        <f aca="false">IF(OR(A1117="",B1117=""),"",CONCATENATE("https://matarstund.is/serfaedi?id=",LOWER(SUBSTITUTE(B1117," ","-"))))</f>
        <v/>
      </c>
    </row>
    <row r="1118" customFormat="false" ht="15" hidden="false" customHeight="true" outlineLevel="0" collapsed="false">
      <c r="A1118" s="68"/>
      <c r="B1118" s="68"/>
      <c r="C1118" s="68"/>
      <c r="D1118" s="68"/>
      <c r="E1118" s="68"/>
      <c r="F1118" s="68"/>
      <c r="G1118" s="68"/>
      <c r="H1118" s="64" t="str">
        <f aca="false">IF(OR(A1118="",B1118=""),"",CONCATENATE("https://matarstund.is/serfaedi?id=",LOWER(SUBSTITUTE(B1118," ","-"))))</f>
        <v/>
      </c>
    </row>
    <row r="1119" customFormat="false" ht="15" hidden="false" customHeight="true" outlineLevel="0" collapsed="false">
      <c r="A1119" s="9"/>
      <c r="B1119" s="9"/>
      <c r="C1119" s="9"/>
      <c r="D1119" s="9"/>
      <c r="E1119" s="9"/>
      <c r="F1119" s="9"/>
      <c r="G1119" s="9"/>
      <c r="H1119" s="64" t="str">
        <f aca="false">IF(OR(A1119="",B1119=""),"",CONCATENATE("https://matarstund.is/serfaedi?id=",LOWER(SUBSTITUTE(B1119," ","-"))))</f>
        <v/>
      </c>
    </row>
    <row r="1120" customFormat="false" ht="15" hidden="false" customHeight="true" outlineLevel="0" collapsed="false">
      <c r="A1120" s="68"/>
      <c r="B1120" s="68"/>
      <c r="C1120" s="68"/>
      <c r="D1120" s="68"/>
      <c r="E1120" s="68"/>
      <c r="F1120" s="68"/>
      <c r="G1120" s="68"/>
      <c r="H1120" s="64" t="str">
        <f aca="false">IF(OR(A1120="",B1120=""),"",CONCATENATE("https://matarstund.is/serfaedi?id=",LOWER(SUBSTITUTE(B1120," ","-"))))</f>
        <v/>
      </c>
    </row>
    <row r="1121" customFormat="false" ht="15" hidden="false" customHeight="true" outlineLevel="0" collapsed="false">
      <c r="A1121" s="9"/>
      <c r="B1121" s="9"/>
      <c r="C1121" s="9"/>
      <c r="D1121" s="9"/>
      <c r="E1121" s="9"/>
      <c r="F1121" s="9"/>
      <c r="G1121" s="9"/>
      <c r="H1121" s="64" t="str">
        <f aca="false">IF(OR(A1121="",B1121=""),"",CONCATENATE("https://matarstund.is/serfaedi?id=",LOWER(SUBSTITUTE(B1121," ","-"))))</f>
        <v/>
      </c>
    </row>
    <row r="1122" customFormat="false" ht="15" hidden="false" customHeight="true" outlineLevel="0" collapsed="false">
      <c r="A1122" s="68"/>
      <c r="B1122" s="68"/>
      <c r="C1122" s="68"/>
      <c r="D1122" s="68"/>
      <c r="E1122" s="68"/>
      <c r="F1122" s="68"/>
      <c r="G1122" s="68"/>
      <c r="H1122" s="64" t="str">
        <f aca="false">IF(OR(A1122="",B1122=""),"",CONCATENATE("https://matarstund.is/serfaedi?id=",LOWER(SUBSTITUTE(B1122," ","-"))))</f>
        <v/>
      </c>
    </row>
    <row r="1123" customFormat="false" ht="15" hidden="false" customHeight="true" outlineLevel="0" collapsed="false">
      <c r="A1123" s="9"/>
      <c r="B1123" s="9"/>
      <c r="C1123" s="9"/>
      <c r="D1123" s="9"/>
      <c r="E1123" s="9"/>
      <c r="F1123" s="9"/>
      <c r="G1123" s="9"/>
      <c r="H1123" s="64" t="str">
        <f aca="false">IF(OR(A1123="",B1123=""),"",CONCATENATE("https://matarstund.is/serfaedi?id=",LOWER(SUBSTITUTE(B1123," ","-"))))</f>
        <v/>
      </c>
    </row>
    <row r="1124" customFormat="false" ht="15" hidden="false" customHeight="true" outlineLevel="0" collapsed="false">
      <c r="A1124" s="68"/>
      <c r="B1124" s="68"/>
      <c r="C1124" s="68"/>
      <c r="D1124" s="68"/>
      <c r="E1124" s="68"/>
      <c r="F1124" s="68"/>
      <c r="G1124" s="68"/>
      <c r="H1124" s="64" t="str">
        <f aca="false">IF(OR(A1124="",B1124=""),"",CONCATENATE("https://matarstund.is/serfaedi?id=",LOWER(SUBSTITUTE(B1124," ","-"))))</f>
        <v/>
      </c>
    </row>
    <row r="1125" customFormat="false" ht="15" hidden="false" customHeight="true" outlineLevel="0" collapsed="false">
      <c r="A1125" s="9"/>
      <c r="B1125" s="9"/>
      <c r="C1125" s="9"/>
      <c r="D1125" s="9"/>
      <c r="E1125" s="9"/>
      <c r="F1125" s="9"/>
      <c r="G1125" s="9"/>
      <c r="H1125" s="64" t="str">
        <f aca="false">IF(OR(A1125="",B1125=""),"",CONCATENATE("https://matarstund.is/serfaedi?id=",LOWER(SUBSTITUTE(B1125," ","-"))))</f>
        <v/>
      </c>
    </row>
    <row r="1126" customFormat="false" ht="15" hidden="false" customHeight="true" outlineLevel="0" collapsed="false">
      <c r="A1126" s="68"/>
      <c r="B1126" s="68"/>
      <c r="C1126" s="68"/>
      <c r="D1126" s="68"/>
      <c r="E1126" s="68"/>
      <c r="F1126" s="68"/>
      <c r="G1126" s="68"/>
      <c r="H1126" s="64" t="str">
        <f aca="false">IF(OR(A1126="",B1126=""),"",CONCATENATE("https://matarstund.is/serfaedi?id=",LOWER(SUBSTITUTE(B1126," ","-"))))</f>
        <v/>
      </c>
    </row>
    <row r="1127" customFormat="false" ht="15" hidden="false" customHeight="true" outlineLevel="0" collapsed="false">
      <c r="A1127" s="9"/>
      <c r="B1127" s="9"/>
      <c r="C1127" s="9"/>
      <c r="D1127" s="9"/>
      <c r="E1127" s="9"/>
      <c r="F1127" s="9"/>
      <c r="G1127" s="9"/>
      <c r="H1127" s="64" t="str">
        <f aca="false">IF(OR(A1127="",B1127=""),"",CONCATENATE("https://matarstund.is/serfaedi?id=",LOWER(SUBSTITUTE(B1127," ","-"))))</f>
        <v/>
      </c>
    </row>
    <row r="1128" customFormat="false" ht="15" hidden="false" customHeight="true" outlineLevel="0" collapsed="false">
      <c r="A1128" s="68"/>
      <c r="B1128" s="68"/>
      <c r="C1128" s="68"/>
      <c r="D1128" s="68"/>
      <c r="E1128" s="68"/>
      <c r="F1128" s="68"/>
      <c r="G1128" s="68"/>
      <c r="H1128" s="64" t="str">
        <f aca="false">IF(OR(A1128="",B1128=""),"",CONCATENATE("https://matarstund.is/serfaedi?id=",LOWER(SUBSTITUTE(B1128," ","-"))))</f>
        <v/>
      </c>
    </row>
    <row r="1129" customFormat="false" ht="15" hidden="false" customHeight="true" outlineLevel="0" collapsed="false">
      <c r="A1129" s="9"/>
      <c r="B1129" s="9"/>
      <c r="C1129" s="9"/>
      <c r="D1129" s="9"/>
      <c r="E1129" s="9"/>
      <c r="F1129" s="9"/>
      <c r="G1129" s="9"/>
      <c r="H1129" s="64" t="str">
        <f aca="false">IF(OR(A1129="",B1129=""),"",CONCATENATE("https://matarstund.is/serfaedi?id=",LOWER(SUBSTITUTE(B1129," ","-"))))</f>
        <v/>
      </c>
    </row>
    <row r="1130" customFormat="false" ht="15" hidden="false" customHeight="true" outlineLevel="0" collapsed="false">
      <c r="A1130" s="68"/>
      <c r="B1130" s="68"/>
      <c r="C1130" s="68"/>
      <c r="D1130" s="68"/>
      <c r="E1130" s="68"/>
      <c r="F1130" s="68"/>
      <c r="G1130" s="68"/>
      <c r="H1130" s="64" t="str">
        <f aca="false">IF(OR(A1130="",B1130=""),"",CONCATENATE("https://matarstund.is/serfaedi?id=",LOWER(SUBSTITUTE(B1130," ","-"))))</f>
        <v/>
      </c>
    </row>
    <row r="1131" customFormat="false" ht="15" hidden="false" customHeight="true" outlineLevel="0" collapsed="false">
      <c r="A1131" s="9"/>
      <c r="B1131" s="9"/>
      <c r="C1131" s="9"/>
      <c r="D1131" s="9"/>
      <c r="E1131" s="9"/>
      <c r="F1131" s="9"/>
      <c r="G1131" s="9"/>
      <c r="H1131" s="64" t="str">
        <f aca="false">IF(OR(A1131="",B1131=""),"",CONCATENATE("https://matarstund.is/serfaedi?id=",LOWER(SUBSTITUTE(B1131," ","-"))))</f>
        <v/>
      </c>
    </row>
    <row r="1132" customFormat="false" ht="15" hidden="false" customHeight="true" outlineLevel="0" collapsed="false">
      <c r="A1132" s="68"/>
      <c r="B1132" s="68"/>
      <c r="C1132" s="68"/>
      <c r="D1132" s="68"/>
      <c r="E1132" s="68"/>
      <c r="F1132" s="68"/>
      <c r="G1132" s="68"/>
      <c r="H1132" s="64" t="str">
        <f aca="false">IF(OR(A1132="",B1132=""),"",CONCATENATE("https://matarstund.is/serfaedi?id=",LOWER(SUBSTITUTE(B1132," ","-"))))</f>
        <v/>
      </c>
    </row>
    <row r="1133" customFormat="false" ht="15" hidden="false" customHeight="true" outlineLevel="0" collapsed="false">
      <c r="A1133" s="9"/>
      <c r="B1133" s="9"/>
      <c r="C1133" s="9"/>
      <c r="D1133" s="9"/>
      <c r="E1133" s="9"/>
      <c r="F1133" s="9"/>
      <c r="G1133" s="9"/>
      <c r="H1133" s="64" t="str">
        <f aca="false">IF(OR(A1133="",B1133=""),"",CONCATENATE("https://matarstund.is/serfaedi?id=",LOWER(SUBSTITUTE(B1133," ","-"))))</f>
        <v/>
      </c>
    </row>
    <row r="1134" customFormat="false" ht="15" hidden="false" customHeight="true" outlineLevel="0" collapsed="false">
      <c r="A1134" s="68"/>
      <c r="B1134" s="68"/>
      <c r="C1134" s="68"/>
      <c r="D1134" s="68"/>
      <c r="E1134" s="68"/>
      <c r="F1134" s="68"/>
      <c r="G1134" s="68"/>
      <c r="H1134" s="64" t="str">
        <f aca="false">IF(OR(A1134="",B1134=""),"",CONCATENATE("https://matarstund.is/serfaedi?id=",LOWER(SUBSTITUTE(B1134," ","-"))))</f>
        <v/>
      </c>
    </row>
    <row r="1135" customFormat="false" ht="15" hidden="false" customHeight="true" outlineLevel="0" collapsed="false">
      <c r="A1135" s="9"/>
      <c r="B1135" s="9"/>
      <c r="C1135" s="9"/>
      <c r="D1135" s="9"/>
      <c r="E1135" s="9"/>
      <c r="F1135" s="9"/>
      <c r="G1135" s="9"/>
      <c r="H1135" s="64" t="str">
        <f aca="false">IF(OR(A1135="",B1135=""),"",CONCATENATE("https://matarstund.is/serfaedi?id=",LOWER(SUBSTITUTE(B1135," ","-"))))</f>
        <v/>
      </c>
    </row>
    <row r="1136" customFormat="false" ht="15" hidden="false" customHeight="true" outlineLevel="0" collapsed="false">
      <c r="A1136" s="68"/>
      <c r="B1136" s="68"/>
      <c r="C1136" s="68"/>
      <c r="D1136" s="68"/>
      <c r="E1136" s="68"/>
      <c r="F1136" s="68"/>
      <c r="G1136" s="68"/>
      <c r="H1136" s="64" t="str">
        <f aca="false">IF(OR(A1136="",B1136=""),"",CONCATENATE("https://matarstund.is/serfaedi?id=",LOWER(SUBSTITUTE(B1136," ","-"))))</f>
        <v/>
      </c>
    </row>
    <row r="1137" customFormat="false" ht="15" hidden="false" customHeight="true" outlineLevel="0" collapsed="false">
      <c r="A1137" s="9"/>
      <c r="B1137" s="9"/>
      <c r="C1137" s="9"/>
      <c r="D1137" s="9"/>
      <c r="E1137" s="9"/>
      <c r="F1137" s="9"/>
      <c r="G1137" s="9"/>
      <c r="H1137" s="64" t="str">
        <f aca="false">IF(OR(A1137="",B1137=""),"",CONCATENATE("https://matarstund.is/serfaedi?id=",LOWER(SUBSTITUTE(B1137," ","-"))))</f>
        <v/>
      </c>
    </row>
    <row r="1138" customFormat="false" ht="15" hidden="false" customHeight="true" outlineLevel="0" collapsed="false">
      <c r="A1138" s="68"/>
      <c r="B1138" s="68"/>
      <c r="C1138" s="68"/>
      <c r="D1138" s="68"/>
      <c r="E1138" s="68"/>
      <c r="F1138" s="68"/>
      <c r="G1138" s="68"/>
      <c r="H1138" s="64" t="str">
        <f aca="false">IF(OR(A1138="",B1138=""),"",CONCATENATE("https://matarstund.is/serfaedi?id=",LOWER(SUBSTITUTE(B1138," ","-"))))</f>
        <v/>
      </c>
    </row>
    <row r="1139" customFormat="false" ht="15" hidden="false" customHeight="true" outlineLevel="0" collapsed="false">
      <c r="A1139" s="9"/>
      <c r="B1139" s="9"/>
      <c r="C1139" s="9"/>
      <c r="D1139" s="9"/>
      <c r="E1139" s="9"/>
      <c r="F1139" s="9"/>
      <c r="G1139" s="9"/>
      <c r="H1139" s="64" t="str">
        <f aca="false">IF(OR(A1139="",B1139=""),"",CONCATENATE("https://matarstund.is/serfaedi?id=",LOWER(SUBSTITUTE(B1139," ","-"))))</f>
        <v/>
      </c>
    </row>
    <row r="1140" customFormat="false" ht="15" hidden="false" customHeight="true" outlineLevel="0" collapsed="false">
      <c r="A1140" s="68"/>
      <c r="B1140" s="68"/>
      <c r="C1140" s="68"/>
      <c r="D1140" s="68"/>
      <c r="E1140" s="68"/>
      <c r="F1140" s="68"/>
      <c r="G1140" s="68"/>
      <c r="H1140" s="64" t="str">
        <f aca="false">IF(OR(A1140="",B1140=""),"",CONCATENATE("https://matarstund.is/serfaedi?id=",LOWER(SUBSTITUTE(B1140," ","-"))))</f>
        <v/>
      </c>
    </row>
    <row r="1141" customFormat="false" ht="15" hidden="false" customHeight="true" outlineLevel="0" collapsed="false">
      <c r="A1141" s="9"/>
      <c r="B1141" s="9"/>
      <c r="C1141" s="9"/>
      <c r="D1141" s="9"/>
      <c r="E1141" s="9"/>
      <c r="F1141" s="9"/>
      <c r="G1141" s="9"/>
      <c r="H1141" s="64" t="str">
        <f aca="false">IF(OR(A1141="",B1141=""),"",CONCATENATE("https://matarstund.is/serfaedi?id=",LOWER(SUBSTITUTE(B1141," ","-"))))</f>
        <v/>
      </c>
    </row>
    <row r="1142" customFormat="false" ht="15" hidden="false" customHeight="true" outlineLevel="0" collapsed="false">
      <c r="A1142" s="68"/>
      <c r="B1142" s="68"/>
      <c r="C1142" s="68"/>
      <c r="D1142" s="68"/>
      <c r="E1142" s="68"/>
      <c r="F1142" s="68"/>
      <c r="G1142" s="68"/>
      <c r="H1142" s="64" t="str">
        <f aca="false">IF(OR(A1142="",B1142=""),"",CONCATENATE("https://matarstund.is/serfaedi?id=",LOWER(SUBSTITUTE(B1142," ","-"))))</f>
        <v/>
      </c>
    </row>
    <row r="1143" customFormat="false" ht="15" hidden="false" customHeight="true" outlineLevel="0" collapsed="false">
      <c r="A1143" s="9"/>
      <c r="B1143" s="9"/>
      <c r="C1143" s="9"/>
      <c r="D1143" s="9"/>
      <c r="E1143" s="9"/>
      <c r="F1143" s="9"/>
      <c r="G1143" s="9"/>
      <c r="H1143" s="64" t="str">
        <f aca="false">IF(OR(A1143="",B1143=""),"",CONCATENATE("https://matarstund.is/serfaedi?id=",LOWER(SUBSTITUTE(B1143," ","-"))))</f>
        <v/>
      </c>
    </row>
    <row r="1144" customFormat="false" ht="15" hidden="false" customHeight="true" outlineLevel="0" collapsed="false">
      <c r="A1144" s="68"/>
      <c r="B1144" s="68"/>
      <c r="C1144" s="68"/>
      <c r="D1144" s="68"/>
      <c r="E1144" s="68"/>
      <c r="F1144" s="68"/>
      <c r="G1144" s="68"/>
      <c r="H1144" s="64" t="str">
        <f aca="false">IF(OR(A1144="",B1144=""),"",CONCATENATE("https://matarstund.is/serfaedi?id=",LOWER(SUBSTITUTE(B1144," ","-"))))</f>
        <v/>
      </c>
    </row>
    <row r="1145" customFormat="false" ht="15" hidden="false" customHeight="true" outlineLevel="0" collapsed="false">
      <c r="A1145" s="9"/>
      <c r="B1145" s="9"/>
      <c r="C1145" s="9"/>
      <c r="D1145" s="9"/>
      <c r="E1145" s="9"/>
      <c r="F1145" s="9"/>
      <c r="G1145" s="9"/>
      <c r="H1145" s="64" t="str">
        <f aca="false">IF(OR(A1145="",B1145=""),"",CONCATENATE("https://matarstund.is/serfaedi?id=",LOWER(SUBSTITUTE(B1145," ","-"))))</f>
        <v/>
      </c>
    </row>
    <row r="1146" customFormat="false" ht="15" hidden="false" customHeight="true" outlineLevel="0" collapsed="false">
      <c r="A1146" s="68"/>
      <c r="B1146" s="68"/>
      <c r="C1146" s="68"/>
      <c r="D1146" s="68"/>
      <c r="E1146" s="68"/>
      <c r="F1146" s="68"/>
      <c r="G1146" s="68"/>
      <c r="H1146" s="64" t="str">
        <f aca="false">IF(OR(A1146="",B1146=""),"",CONCATENATE("https://matarstund.is/serfaedi?id=",LOWER(SUBSTITUTE(B1146," ","-"))))</f>
        <v/>
      </c>
    </row>
    <row r="1147" customFormat="false" ht="15" hidden="false" customHeight="true" outlineLevel="0" collapsed="false">
      <c r="A1147" s="9"/>
      <c r="B1147" s="9"/>
      <c r="C1147" s="9"/>
      <c r="D1147" s="9"/>
      <c r="E1147" s="9"/>
      <c r="F1147" s="9"/>
      <c r="G1147" s="9"/>
      <c r="H1147" s="64" t="str">
        <f aca="false">IF(OR(A1147="",B1147=""),"",CONCATENATE("https://matarstund.is/serfaedi?id=",LOWER(SUBSTITUTE(B1147," ","-"))))</f>
        <v/>
      </c>
    </row>
    <row r="1148" customFormat="false" ht="15" hidden="false" customHeight="true" outlineLevel="0" collapsed="false">
      <c r="A1148" s="68"/>
      <c r="B1148" s="68"/>
      <c r="C1148" s="68"/>
      <c r="D1148" s="68"/>
      <c r="E1148" s="68"/>
      <c r="F1148" s="68"/>
      <c r="G1148" s="68"/>
      <c r="H1148" s="64" t="str">
        <f aca="false">IF(OR(A1148="",B1148=""),"",CONCATENATE("https://matarstund.is/serfaedi?id=",LOWER(SUBSTITUTE(B1148," ","-"))))</f>
        <v/>
      </c>
    </row>
    <row r="1149" customFormat="false" ht="15" hidden="false" customHeight="true" outlineLevel="0" collapsed="false">
      <c r="A1149" s="9"/>
      <c r="B1149" s="9"/>
      <c r="C1149" s="9"/>
      <c r="D1149" s="9"/>
      <c r="E1149" s="9"/>
      <c r="F1149" s="9"/>
      <c r="G1149" s="9"/>
      <c r="H1149" s="64" t="str">
        <f aca="false">IF(OR(A1149="",B1149=""),"",CONCATENATE("https://matarstund.is/serfaedi?id=",LOWER(SUBSTITUTE(B1149," ","-"))))</f>
        <v/>
      </c>
    </row>
    <row r="1150" customFormat="false" ht="15" hidden="false" customHeight="true" outlineLevel="0" collapsed="false">
      <c r="A1150" s="68"/>
      <c r="B1150" s="68"/>
      <c r="C1150" s="68"/>
      <c r="D1150" s="68"/>
      <c r="E1150" s="68"/>
      <c r="F1150" s="68"/>
      <c r="G1150" s="68"/>
      <c r="H1150" s="64" t="str">
        <f aca="false">IF(OR(A1150="",B1150=""),"",CONCATENATE("https://matarstund.is/serfaedi?id=",LOWER(SUBSTITUTE(B1150," ","-"))))</f>
        <v/>
      </c>
    </row>
    <row r="1151" customFormat="false" ht="15" hidden="false" customHeight="true" outlineLevel="0" collapsed="false">
      <c r="A1151" s="9"/>
      <c r="B1151" s="9"/>
      <c r="C1151" s="9"/>
      <c r="D1151" s="9"/>
      <c r="E1151" s="9"/>
      <c r="F1151" s="9"/>
      <c r="G1151" s="9"/>
      <c r="H1151" s="64" t="str">
        <f aca="false">IF(OR(A1151="",B1151=""),"",CONCATENATE("https://matarstund.is/serfaedi?id=",LOWER(SUBSTITUTE(B1151," ","-"))))</f>
        <v/>
      </c>
    </row>
    <row r="1152" customFormat="false" ht="15" hidden="false" customHeight="true" outlineLevel="0" collapsed="false">
      <c r="A1152" s="68"/>
      <c r="B1152" s="68"/>
      <c r="C1152" s="68"/>
      <c r="D1152" s="68"/>
      <c r="E1152" s="68"/>
      <c r="F1152" s="68"/>
      <c r="G1152" s="68"/>
      <c r="H1152" s="64" t="str">
        <f aca="false">IF(OR(A1152="",B1152=""),"",CONCATENATE("https://matarstund.is/serfaedi?id=",LOWER(SUBSTITUTE(B1152," ","-"))))</f>
        <v/>
      </c>
    </row>
    <row r="1153" customFormat="false" ht="15" hidden="false" customHeight="true" outlineLevel="0" collapsed="false">
      <c r="A1153" s="9"/>
      <c r="B1153" s="9"/>
      <c r="C1153" s="9"/>
      <c r="D1153" s="9"/>
      <c r="E1153" s="9"/>
      <c r="F1153" s="9"/>
      <c r="G1153" s="9"/>
      <c r="H1153" s="64" t="str">
        <f aca="false">IF(OR(A1153="",B1153=""),"",CONCATENATE("https://matarstund.is/serfaedi?id=",LOWER(SUBSTITUTE(B1153," ","-"))))</f>
        <v/>
      </c>
    </row>
    <row r="1154" customFormat="false" ht="15" hidden="false" customHeight="true" outlineLevel="0" collapsed="false">
      <c r="A1154" s="68"/>
      <c r="B1154" s="68"/>
      <c r="C1154" s="68"/>
      <c r="D1154" s="68"/>
      <c r="E1154" s="68"/>
      <c r="F1154" s="68"/>
      <c r="G1154" s="68"/>
      <c r="H1154" s="64" t="str">
        <f aca="false">IF(OR(A1154="",B1154=""),"",CONCATENATE("https://matarstund.is/serfaedi?id=",LOWER(SUBSTITUTE(B1154," ","-"))))</f>
        <v/>
      </c>
    </row>
    <row r="1155" customFormat="false" ht="15" hidden="false" customHeight="true" outlineLevel="0" collapsed="false">
      <c r="A1155" s="9"/>
      <c r="B1155" s="9"/>
      <c r="C1155" s="9"/>
      <c r="D1155" s="9"/>
      <c r="E1155" s="9"/>
      <c r="F1155" s="9"/>
      <c r="G1155" s="9"/>
      <c r="H1155" s="64" t="str">
        <f aca="false">IF(OR(A1155="",B1155=""),"",CONCATENATE("https://matarstund.is/serfaedi?id=",LOWER(SUBSTITUTE(B1155," ","-"))))</f>
        <v/>
      </c>
    </row>
    <row r="1156" customFormat="false" ht="15" hidden="false" customHeight="true" outlineLevel="0" collapsed="false">
      <c r="A1156" s="68"/>
      <c r="B1156" s="68"/>
      <c r="C1156" s="68"/>
      <c r="D1156" s="68"/>
      <c r="E1156" s="68"/>
      <c r="F1156" s="68"/>
      <c r="G1156" s="68"/>
      <c r="H1156" s="64" t="str">
        <f aca="false">IF(OR(A1156="",B1156=""),"",CONCATENATE("https://matarstund.is/serfaedi?id=",LOWER(SUBSTITUTE(B1156," ","-"))))</f>
        <v/>
      </c>
    </row>
    <row r="1157" customFormat="false" ht="15" hidden="false" customHeight="true" outlineLevel="0" collapsed="false">
      <c r="A1157" s="9"/>
      <c r="B1157" s="9"/>
      <c r="C1157" s="9"/>
      <c r="D1157" s="9"/>
      <c r="E1157" s="9"/>
      <c r="F1157" s="9"/>
      <c r="G1157" s="9"/>
      <c r="H1157" s="64" t="str">
        <f aca="false">IF(OR(A1157="",B1157=""),"",CONCATENATE("https://matarstund.is/serfaedi?id=",LOWER(SUBSTITUTE(B1157," ","-"))))</f>
        <v/>
      </c>
    </row>
    <row r="1158" customFormat="false" ht="15" hidden="false" customHeight="true" outlineLevel="0" collapsed="false">
      <c r="A1158" s="68"/>
      <c r="B1158" s="68"/>
      <c r="C1158" s="68"/>
      <c r="D1158" s="68"/>
      <c r="E1158" s="68"/>
      <c r="F1158" s="68"/>
      <c r="G1158" s="68"/>
      <c r="H1158" s="64" t="str">
        <f aca="false">IF(OR(A1158="",B1158=""),"",CONCATENATE("https://matarstund.is/serfaedi?id=",LOWER(SUBSTITUTE(B1158," ","-"))))</f>
        <v/>
      </c>
    </row>
    <row r="1159" customFormat="false" ht="15" hidden="false" customHeight="true" outlineLevel="0" collapsed="false">
      <c r="A1159" s="9"/>
      <c r="B1159" s="9"/>
      <c r="C1159" s="9"/>
      <c r="D1159" s="9"/>
      <c r="E1159" s="9"/>
      <c r="F1159" s="9"/>
      <c r="G1159" s="9"/>
      <c r="H1159" s="64" t="str">
        <f aca="false">IF(OR(A1159="",B1159=""),"",CONCATENATE("https://matarstund.is/serfaedi?id=",LOWER(SUBSTITUTE(B1159," ","-"))))</f>
        <v/>
      </c>
    </row>
    <row r="1160" customFormat="false" ht="15" hidden="false" customHeight="true" outlineLevel="0" collapsed="false">
      <c r="A1160" s="68"/>
      <c r="B1160" s="68"/>
      <c r="C1160" s="68"/>
      <c r="D1160" s="68"/>
      <c r="E1160" s="68"/>
      <c r="F1160" s="68"/>
      <c r="G1160" s="68"/>
      <c r="H1160" s="64" t="str">
        <f aca="false">IF(OR(A1160="",B1160=""),"",CONCATENATE("https://matarstund.is/serfaedi?id=",LOWER(SUBSTITUTE(B1160," ","-"))))</f>
        <v/>
      </c>
    </row>
    <row r="1161" customFormat="false" ht="15" hidden="false" customHeight="true" outlineLevel="0" collapsed="false">
      <c r="A1161" s="9"/>
      <c r="B1161" s="9"/>
      <c r="C1161" s="9"/>
      <c r="D1161" s="9"/>
      <c r="E1161" s="9"/>
      <c r="F1161" s="9"/>
      <c r="G1161" s="9"/>
      <c r="H1161" s="64" t="str">
        <f aca="false">IF(OR(A1161="",B1161=""),"",CONCATENATE("https://matarstund.is/serfaedi?id=",LOWER(SUBSTITUTE(B1161," ","-"))))</f>
        <v/>
      </c>
    </row>
    <row r="1162" customFormat="false" ht="15" hidden="false" customHeight="true" outlineLevel="0" collapsed="false">
      <c r="A1162" s="68"/>
      <c r="B1162" s="68"/>
      <c r="C1162" s="68"/>
      <c r="D1162" s="68"/>
      <c r="E1162" s="68"/>
      <c r="F1162" s="68"/>
      <c r="G1162" s="68"/>
      <c r="H1162" s="64" t="str">
        <f aca="false">IF(OR(A1162="",B1162=""),"",CONCATENATE("https://matarstund.is/serfaedi?id=",LOWER(SUBSTITUTE(B1162," ","-"))))</f>
        <v/>
      </c>
    </row>
    <row r="1163" customFormat="false" ht="15" hidden="false" customHeight="true" outlineLevel="0" collapsed="false">
      <c r="A1163" s="9"/>
      <c r="B1163" s="9"/>
      <c r="C1163" s="9"/>
      <c r="D1163" s="9"/>
      <c r="E1163" s="9"/>
      <c r="F1163" s="9"/>
      <c r="G1163" s="9"/>
      <c r="H1163" s="64" t="str">
        <f aca="false">IF(OR(A1163="",B1163=""),"",CONCATENATE("https://matarstund.is/serfaedi?id=",LOWER(SUBSTITUTE(B1163," ","-"))))</f>
        <v/>
      </c>
    </row>
    <row r="1164" customFormat="false" ht="15" hidden="false" customHeight="true" outlineLevel="0" collapsed="false">
      <c r="A1164" s="68"/>
      <c r="B1164" s="68"/>
      <c r="C1164" s="68"/>
      <c r="D1164" s="68"/>
      <c r="E1164" s="68"/>
      <c r="F1164" s="68"/>
      <c r="G1164" s="68"/>
      <c r="H1164" s="64" t="str">
        <f aca="false">IF(OR(A1164="",B1164=""),"",CONCATENATE("https://matarstund.is/serfaedi?id=",LOWER(SUBSTITUTE(B1164," ","-"))))</f>
        <v/>
      </c>
    </row>
    <row r="1165" customFormat="false" ht="15" hidden="false" customHeight="true" outlineLevel="0" collapsed="false">
      <c r="A1165" s="9"/>
      <c r="B1165" s="9"/>
      <c r="C1165" s="9"/>
      <c r="D1165" s="9"/>
      <c r="E1165" s="9"/>
      <c r="F1165" s="9"/>
      <c r="G1165" s="9"/>
      <c r="H1165" s="64" t="str">
        <f aca="false">IF(OR(A1165="",B1165=""),"",CONCATENATE("https://matarstund.is/serfaedi?id=",LOWER(SUBSTITUTE(B1165," ","-"))))</f>
        <v/>
      </c>
    </row>
    <row r="1166" customFormat="false" ht="15" hidden="false" customHeight="true" outlineLevel="0" collapsed="false">
      <c r="A1166" s="68"/>
      <c r="B1166" s="68"/>
      <c r="C1166" s="68"/>
      <c r="D1166" s="68"/>
      <c r="E1166" s="68"/>
      <c r="F1166" s="68"/>
      <c r="G1166" s="68"/>
      <c r="H1166" s="64" t="str">
        <f aca="false">IF(OR(A1166="",B1166=""),"",CONCATENATE("https://matarstund.is/serfaedi?id=",LOWER(SUBSTITUTE(B1166," ","-"))))</f>
        <v/>
      </c>
    </row>
    <row r="1167" customFormat="false" ht="15" hidden="false" customHeight="true" outlineLevel="0" collapsed="false">
      <c r="A1167" s="9"/>
      <c r="B1167" s="9"/>
      <c r="C1167" s="9"/>
      <c r="D1167" s="9"/>
      <c r="E1167" s="9"/>
      <c r="F1167" s="9"/>
      <c r="G1167" s="9"/>
      <c r="H1167" s="64" t="str">
        <f aca="false">IF(OR(A1167="",B1167=""),"",CONCATENATE("https://matarstund.is/serfaedi?id=",LOWER(SUBSTITUTE(B1167," ","-"))))</f>
        <v/>
      </c>
    </row>
    <row r="1168" customFormat="false" ht="15" hidden="false" customHeight="true" outlineLevel="0" collapsed="false">
      <c r="A1168" s="68"/>
      <c r="B1168" s="68"/>
      <c r="C1168" s="68"/>
      <c r="D1168" s="68"/>
      <c r="E1168" s="68"/>
      <c r="F1168" s="68"/>
      <c r="G1168" s="68"/>
      <c r="H1168" s="64" t="str">
        <f aca="false">IF(OR(A1168="",B1168=""),"",CONCATENATE("https://matarstund.is/serfaedi?id=",LOWER(SUBSTITUTE(B1168," ","-"))))</f>
        <v/>
      </c>
    </row>
    <row r="1169" customFormat="false" ht="15" hidden="false" customHeight="true" outlineLevel="0" collapsed="false">
      <c r="A1169" s="9"/>
      <c r="B1169" s="9"/>
      <c r="C1169" s="9"/>
      <c r="D1169" s="9"/>
      <c r="E1169" s="9"/>
      <c r="F1169" s="9"/>
      <c r="G1169" s="9"/>
      <c r="H1169" s="64" t="str">
        <f aca="false">IF(OR(A1169="",B1169=""),"",CONCATENATE("https://matarstund.is/serfaedi?id=",LOWER(SUBSTITUTE(B1169," ","-"))))</f>
        <v/>
      </c>
    </row>
    <row r="1170" customFormat="false" ht="15" hidden="false" customHeight="true" outlineLevel="0" collapsed="false">
      <c r="A1170" s="68"/>
      <c r="B1170" s="68"/>
      <c r="C1170" s="68"/>
      <c r="D1170" s="68"/>
      <c r="E1170" s="68"/>
      <c r="F1170" s="68"/>
      <c r="G1170" s="68"/>
      <c r="H1170" s="64" t="str">
        <f aca="false">IF(OR(A1170="",B1170=""),"",CONCATENATE("https://matarstund.is/serfaedi?id=",LOWER(SUBSTITUTE(B1170," ","-"))))</f>
        <v/>
      </c>
    </row>
    <row r="1171" customFormat="false" ht="15" hidden="false" customHeight="true" outlineLevel="0" collapsed="false">
      <c r="A1171" s="9"/>
      <c r="B1171" s="9"/>
      <c r="C1171" s="9"/>
      <c r="D1171" s="9"/>
      <c r="E1171" s="9"/>
      <c r="F1171" s="9"/>
      <c r="G1171" s="9"/>
      <c r="H1171" s="64" t="str">
        <f aca="false">IF(OR(A1171="",B1171=""),"",CONCATENATE("https://matarstund.is/serfaedi?id=",LOWER(SUBSTITUTE(B1171," ","-"))))</f>
        <v/>
      </c>
    </row>
    <row r="1172" customFormat="false" ht="15" hidden="false" customHeight="true" outlineLevel="0" collapsed="false">
      <c r="A1172" s="68"/>
      <c r="B1172" s="68"/>
      <c r="C1172" s="68"/>
      <c r="D1172" s="68"/>
      <c r="E1172" s="68"/>
      <c r="F1172" s="68"/>
      <c r="G1172" s="68"/>
      <c r="H1172" s="64" t="str">
        <f aca="false">IF(OR(A1172="",B1172=""),"",CONCATENATE("https://matarstund.is/serfaedi?id=",LOWER(SUBSTITUTE(B1172," ","-"))))</f>
        <v/>
      </c>
    </row>
    <row r="1173" customFormat="false" ht="15" hidden="false" customHeight="true" outlineLevel="0" collapsed="false">
      <c r="A1173" s="9"/>
      <c r="B1173" s="9"/>
      <c r="C1173" s="9"/>
      <c r="D1173" s="9"/>
      <c r="E1173" s="9"/>
      <c r="F1173" s="9"/>
      <c r="G1173" s="9"/>
      <c r="H1173" s="64" t="str">
        <f aca="false">IF(OR(A1173="",B1173=""),"",CONCATENATE("https://matarstund.is/serfaedi?id=",LOWER(SUBSTITUTE(B1173," ","-"))))</f>
        <v/>
      </c>
    </row>
    <row r="1174" customFormat="false" ht="15" hidden="false" customHeight="true" outlineLevel="0" collapsed="false">
      <c r="A1174" s="68"/>
      <c r="B1174" s="68"/>
      <c r="C1174" s="68"/>
      <c r="D1174" s="68"/>
      <c r="E1174" s="68"/>
      <c r="F1174" s="68"/>
      <c r="G1174" s="68"/>
      <c r="H1174" s="64" t="str">
        <f aca="false">IF(OR(A1174="",B1174=""),"",CONCATENATE("https://matarstund.is/serfaedi?id=",LOWER(SUBSTITUTE(B1174," ","-"))))</f>
        <v/>
      </c>
    </row>
    <row r="1175" customFormat="false" ht="15" hidden="false" customHeight="true" outlineLevel="0" collapsed="false">
      <c r="A1175" s="9"/>
      <c r="B1175" s="9"/>
      <c r="C1175" s="9"/>
      <c r="D1175" s="9"/>
      <c r="E1175" s="9"/>
      <c r="F1175" s="9"/>
      <c r="G1175" s="9"/>
      <c r="H1175" s="64" t="str">
        <f aca="false">IF(OR(A1175="",B1175=""),"",CONCATENATE("https://matarstund.is/serfaedi?id=",LOWER(SUBSTITUTE(B1175," ","-"))))</f>
        <v/>
      </c>
    </row>
    <row r="1176" customFormat="false" ht="15" hidden="false" customHeight="true" outlineLevel="0" collapsed="false">
      <c r="A1176" s="68"/>
      <c r="B1176" s="68"/>
      <c r="C1176" s="68"/>
      <c r="D1176" s="68"/>
      <c r="E1176" s="68"/>
      <c r="F1176" s="68"/>
      <c r="G1176" s="68"/>
      <c r="H1176" s="64" t="str">
        <f aca="false">IF(OR(A1176="",B1176=""),"",CONCATENATE("https://matarstund.is/serfaedi?id=",LOWER(SUBSTITUTE(B1176," ","-"))))</f>
        <v/>
      </c>
    </row>
    <row r="1177" customFormat="false" ht="15" hidden="false" customHeight="true" outlineLevel="0" collapsed="false">
      <c r="A1177" s="9"/>
      <c r="B1177" s="9"/>
      <c r="C1177" s="9"/>
      <c r="D1177" s="9"/>
      <c r="E1177" s="9"/>
      <c r="F1177" s="9"/>
      <c r="G1177" s="9"/>
      <c r="H1177" s="64" t="str">
        <f aca="false">IF(OR(A1177="",B1177=""),"",CONCATENATE("https://matarstund.is/serfaedi?id=",LOWER(SUBSTITUTE(B1177," ","-"))))</f>
        <v/>
      </c>
    </row>
    <row r="1178" customFormat="false" ht="15" hidden="false" customHeight="true" outlineLevel="0" collapsed="false">
      <c r="A1178" s="68"/>
      <c r="B1178" s="68"/>
      <c r="C1178" s="68"/>
      <c r="D1178" s="68"/>
      <c r="E1178" s="68"/>
      <c r="F1178" s="68"/>
      <c r="G1178" s="68"/>
      <c r="H1178" s="64" t="str">
        <f aca="false">IF(OR(A1178="",B1178=""),"",CONCATENATE("https://matarstund.is/serfaedi?id=",LOWER(SUBSTITUTE(B1178," ","-"))))</f>
        <v/>
      </c>
    </row>
    <row r="1179" customFormat="false" ht="15" hidden="false" customHeight="true" outlineLevel="0" collapsed="false">
      <c r="A1179" s="9"/>
      <c r="B1179" s="9"/>
      <c r="C1179" s="9"/>
      <c r="D1179" s="9"/>
      <c r="E1179" s="9"/>
      <c r="F1179" s="9"/>
      <c r="G1179" s="9"/>
      <c r="H1179" s="64" t="str">
        <f aca="false">IF(OR(A1179="",B1179=""),"",CONCATENATE("https://matarstund.is/serfaedi?id=",LOWER(SUBSTITUTE(B1179," ","-"))))</f>
        <v/>
      </c>
    </row>
    <row r="1180" customFormat="false" ht="15" hidden="false" customHeight="true" outlineLevel="0" collapsed="false">
      <c r="A1180" s="68"/>
      <c r="B1180" s="68"/>
      <c r="C1180" s="68"/>
      <c r="D1180" s="68"/>
      <c r="E1180" s="68"/>
      <c r="F1180" s="68"/>
      <c r="G1180" s="68"/>
      <c r="H1180" s="64" t="str">
        <f aca="false">IF(OR(A1180="",B1180=""),"",CONCATENATE("https://matarstund.is/serfaedi?id=",LOWER(SUBSTITUTE(B1180," ","-"))))</f>
        <v/>
      </c>
    </row>
    <row r="1181" customFormat="false" ht="15" hidden="false" customHeight="true" outlineLevel="0" collapsed="false">
      <c r="A1181" s="9"/>
      <c r="B1181" s="9"/>
      <c r="C1181" s="9"/>
      <c r="D1181" s="9"/>
      <c r="E1181" s="9"/>
      <c r="F1181" s="9"/>
      <c r="G1181" s="9"/>
      <c r="H1181" s="64" t="str">
        <f aca="false">IF(OR(A1181="",B1181=""),"",CONCATENATE("https://matarstund.is/serfaedi?id=",LOWER(SUBSTITUTE(B1181," ","-"))))</f>
        <v/>
      </c>
    </row>
    <row r="1182" customFormat="false" ht="15" hidden="false" customHeight="true" outlineLevel="0" collapsed="false">
      <c r="A1182" s="68"/>
      <c r="B1182" s="68"/>
      <c r="C1182" s="68"/>
      <c r="D1182" s="68"/>
      <c r="E1182" s="68"/>
      <c r="F1182" s="68"/>
      <c r="G1182" s="68"/>
      <c r="H1182" s="64" t="str">
        <f aca="false">IF(OR(A1182="",B1182=""),"",CONCATENATE("https://matarstund.is/serfaedi?id=",LOWER(SUBSTITUTE(B1182," ","-"))))</f>
        <v/>
      </c>
    </row>
    <row r="1183" customFormat="false" ht="15" hidden="false" customHeight="true" outlineLevel="0" collapsed="false">
      <c r="A1183" s="9"/>
      <c r="B1183" s="9"/>
      <c r="C1183" s="9"/>
      <c r="D1183" s="9"/>
      <c r="E1183" s="9"/>
      <c r="F1183" s="9"/>
      <c r="G1183" s="9"/>
      <c r="H1183" s="64" t="str">
        <f aca="false">IF(OR(A1183="",B1183=""),"",CONCATENATE("https://matarstund.is/serfaedi?id=",LOWER(SUBSTITUTE(B1183," ","-"))))</f>
        <v/>
      </c>
    </row>
    <row r="1184" customFormat="false" ht="15" hidden="false" customHeight="true" outlineLevel="0" collapsed="false">
      <c r="A1184" s="68"/>
      <c r="B1184" s="68"/>
      <c r="C1184" s="68"/>
      <c r="D1184" s="68"/>
      <c r="E1184" s="68"/>
      <c r="F1184" s="68"/>
      <c r="G1184" s="68"/>
      <c r="H1184" s="64" t="str">
        <f aca="false">IF(OR(A1184="",B1184=""),"",CONCATENATE("https://matarstund.is/serfaedi?id=",LOWER(SUBSTITUTE(B1184," ","-"))))</f>
        <v/>
      </c>
    </row>
    <row r="1185" customFormat="false" ht="15" hidden="false" customHeight="true" outlineLevel="0" collapsed="false">
      <c r="A1185" s="9"/>
      <c r="B1185" s="9"/>
      <c r="C1185" s="9"/>
      <c r="D1185" s="9"/>
      <c r="E1185" s="9"/>
      <c r="F1185" s="9"/>
      <c r="G1185" s="9"/>
      <c r="H1185" s="64" t="str">
        <f aca="false">IF(OR(A1185="",B1185=""),"",CONCATENATE("https://matarstund.is/serfaedi?id=",LOWER(SUBSTITUTE(B1185," ","-"))))</f>
        <v/>
      </c>
    </row>
    <row r="1186" customFormat="false" ht="15" hidden="false" customHeight="true" outlineLevel="0" collapsed="false">
      <c r="A1186" s="68"/>
      <c r="B1186" s="68"/>
      <c r="C1186" s="68"/>
      <c r="D1186" s="68"/>
      <c r="E1186" s="68"/>
      <c r="F1186" s="68"/>
      <c r="G1186" s="68"/>
      <c r="H1186" s="64" t="str">
        <f aca="false">IF(OR(A1186="",B1186=""),"",CONCATENATE("https://matarstund.is/serfaedi?id=",LOWER(SUBSTITUTE(B1186," ","-"))))</f>
        <v/>
      </c>
    </row>
    <row r="1187" customFormat="false" ht="15" hidden="false" customHeight="true" outlineLevel="0" collapsed="false">
      <c r="A1187" s="9"/>
      <c r="B1187" s="9"/>
      <c r="C1187" s="9"/>
      <c r="D1187" s="9"/>
      <c r="E1187" s="9"/>
      <c r="F1187" s="9"/>
      <c r="G1187" s="9"/>
      <c r="H1187" s="64" t="str">
        <f aca="false">IF(OR(A1187="",B1187=""),"",CONCATENATE("https://matarstund.is/serfaedi?id=",LOWER(SUBSTITUTE(B1187," ","-"))))</f>
        <v/>
      </c>
    </row>
    <row r="1188" customFormat="false" ht="15" hidden="false" customHeight="true" outlineLevel="0" collapsed="false">
      <c r="A1188" s="68"/>
      <c r="B1188" s="68"/>
      <c r="C1188" s="68"/>
      <c r="D1188" s="68"/>
      <c r="E1188" s="68"/>
      <c r="F1188" s="68"/>
      <c r="G1188" s="68"/>
      <c r="H1188" s="64" t="str">
        <f aca="false">IF(OR(A1188="",B1188=""),"",CONCATENATE("https://matarstund.is/serfaedi?id=",LOWER(SUBSTITUTE(B1188," ","-"))))</f>
        <v/>
      </c>
    </row>
    <row r="1189" customFormat="false" ht="15" hidden="false" customHeight="true" outlineLevel="0" collapsed="false">
      <c r="A1189" s="9"/>
      <c r="B1189" s="9"/>
      <c r="C1189" s="9"/>
      <c r="D1189" s="9"/>
      <c r="E1189" s="9"/>
      <c r="F1189" s="9"/>
      <c r="G1189" s="9"/>
      <c r="H1189" s="64" t="str">
        <f aca="false">IF(OR(A1189="",B1189=""),"",CONCATENATE("https://matarstund.is/serfaedi?id=",LOWER(SUBSTITUTE(B1189," ","-"))))</f>
        <v/>
      </c>
    </row>
    <row r="1190" customFormat="false" ht="15" hidden="false" customHeight="true" outlineLevel="0" collapsed="false">
      <c r="A1190" s="68"/>
      <c r="B1190" s="68"/>
      <c r="C1190" s="68"/>
      <c r="D1190" s="68"/>
      <c r="E1190" s="68"/>
      <c r="F1190" s="68"/>
      <c r="G1190" s="68"/>
      <c r="H1190" s="64" t="str">
        <f aca="false">IF(OR(A1190="",B1190=""),"",CONCATENATE("https://matarstund.is/serfaedi?id=",LOWER(SUBSTITUTE(B1190," ","-"))))</f>
        <v/>
      </c>
    </row>
    <row r="1191" customFormat="false" ht="15" hidden="false" customHeight="true" outlineLevel="0" collapsed="false">
      <c r="A1191" s="9"/>
      <c r="B1191" s="9"/>
      <c r="C1191" s="9"/>
      <c r="D1191" s="9"/>
      <c r="E1191" s="9"/>
      <c r="F1191" s="9"/>
      <c r="G1191" s="9"/>
      <c r="H1191" s="64" t="str">
        <f aca="false">IF(OR(A1191="",B1191=""),"",CONCATENATE("https://matarstund.is/serfaedi?id=",LOWER(SUBSTITUTE(B1191," ","-"))))</f>
        <v/>
      </c>
    </row>
    <row r="1192" customFormat="false" ht="15" hidden="false" customHeight="true" outlineLevel="0" collapsed="false">
      <c r="A1192" s="68"/>
      <c r="B1192" s="68"/>
      <c r="C1192" s="68"/>
      <c r="D1192" s="68"/>
      <c r="E1192" s="68"/>
      <c r="F1192" s="68"/>
      <c r="G1192" s="68"/>
      <c r="H1192" s="64" t="str">
        <f aca="false">IF(OR(A1192="",B1192=""),"",CONCATENATE("https://matarstund.is/serfaedi?id=",LOWER(SUBSTITUTE(B1192," ","-"))))</f>
        <v/>
      </c>
    </row>
    <row r="1193" customFormat="false" ht="15" hidden="false" customHeight="true" outlineLevel="0" collapsed="false">
      <c r="A1193" s="9"/>
      <c r="B1193" s="9"/>
      <c r="C1193" s="9"/>
      <c r="D1193" s="9"/>
      <c r="E1193" s="9"/>
      <c r="F1193" s="9"/>
      <c r="G1193" s="9"/>
      <c r="H1193" s="64" t="str">
        <f aca="false">IF(OR(A1193="",B1193=""),"",CONCATENATE("https://matarstund.is/serfaedi?id=",LOWER(SUBSTITUTE(B1193," ","-"))))</f>
        <v/>
      </c>
    </row>
    <row r="1194" customFormat="false" ht="15" hidden="false" customHeight="true" outlineLevel="0" collapsed="false">
      <c r="A1194" s="68"/>
      <c r="B1194" s="68"/>
      <c r="C1194" s="68"/>
      <c r="D1194" s="68"/>
      <c r="E1194" s="68"/>
      <c r="F1194" s="68"/>
      <c r="G1194" s="68"/>
      <c r="H1194" s="64" t="str">
        <f aca="false">IF(OR(A1194="",B1194=""),"",CONCATENATE("https://matarstund.is/serfaedi?id=",LOWER(SUBSTITUTE(B1194," ","-"))))</f>
        <v/>
      </c>
    </row>
    <row r="1195" customFormat="false" ht="15" hidden="false" customHeight="true" outlineLevel="0" collapsed="false">
      <c r="A1195" s="9"/>
      <c r="B1195" s="9"/>
      <c r="C1195" s="9"/>
      <c r="D1195" s="9"/>
      <c r="E1195" s="9"/>
      <c r="F1195" s="9"/>
      <c r="G1195" s="9"/>
      <c r="H1195" s="64" t="str">
        <f aca="false">IF(OR(A1195="",B1195=""),"",CONCATENATE("https://matarstund.is/serfaedi?id=",LOWER(SUBSTITUTE(B1195," ","-"))))</f>
        <v/>
      </c>
    </row>
    <row r="1196" customFormat="false" ht="15" hidden="false" customHeight="true" outlineLevel="0" collapsed="false">
      <c r="A1196" s="68"/>
      <c r="B1196" s="68"/>
      <c r="C1196" s="68"/>
      <c r="D1196" s="68"/>
      <c r="E1196" s="68"/>
      <c r="F1196" s="68"/>
      <c r="G1196" s="68"/>
      <c r="H1196" s="64" t="str">
        <f aca="false">IF(OR(A1196="",B1196=""),"",CONCATENATE("https://matarstund.is/serfaedi?id=",LOWER(SUBSTITUTE(B1196," ","-"))))</f>
        <v/>
      </c>
    </row>
    <row r="1197" customFormat="false" ht="15" hidden="false" customHeight="true" outlineLevel="0" collapsed="false">
      <c r="A1197" s="9"/>
      <c r="B1197" s="9"/>
      <c r="C1197" s="9"/>
      <c r="D1197" s="9"/>
      <c r="E1197" s="9"/>
      <c r="F1197" s="9"/>
      <c r="G1197" s="9"/>
      <c r="H1197" s="64" t="str">
        <f aca="false">IF(OR(A1197="",B1197=""),"",CONCATENATE("https://matarstund.is/serfaedi?id=",LOWER(SUBSTITUTE(B1197," ","-"))))</f>
        <v/>
      </c>
    </row>
    <row r="1198" customFormat="false" ht="15" hidden="false" customHeight="true" outlineLevel="0" collapsed="false">
      <c r="A1198" s="68"/>
      <c r="B1198" s="68"/>
      <c r="C1198" s="68"/>
      <c r="D1198" s="68"/>
      <c r="E1198" s="68"/>
      <c r="F1198" s="68"/>
      <c r="G1198" s="68"/>
      <c r="H1198" s="64" t="str">
        <f aca="false">IF(OR(A1198="",B1198=""),"",CONCATENATE("https://matarstund.is/serfaedi?id=",LOWER(SUBSTITUTE(B1198," ","-"))))</f>
        <v/>
      </c>
    </row>
    <row r="1199" customFormat="false" ht="15" hidden="false" customHeight="true" outlineLevel="0" collapsed="false">
      <c r="A1199" s="9"/>
      <c r="B1199" s="9"/>
      <c r="C1199" s="9"/>
      <c r="D1199" s="9"/>
      <c r="E1199" s="9"/>
      <c r="F1199" s="9"/>
      <c r="G1199" s="9"/>
      <c r="H1199" s="64" t="str">
        <f aca="false">IF(OR(A1199="",B1199=""),"",CONCATENATE("https://matarstund.is/serfaedi?id=",LOWER(SUBSTITUTE(B1199," ","-"))))</f>
        <v/>
      </c>
    </row>
    <row r="1200" customFormat="false" ht="15" hidden="false" customHeight="true" outlineLevel="0" collapsed="false">
      <c r="A1200" s="68"/>
      <c r="B1200" s="68"/>
      <c r="C1200" s="68"/>
      <c r="D1200" s="68"/>
      <c r="E1200" s="68"/>
      <c r="F1200" s="68"/>
      <c r="G1200" s="68"/>
      <c r="H1200" s="64" t="str">
        <f aca="false">IF(OR(A1200="",B1200=""),"",CONCATENATE("https://matarstund.is/serfaedi?id=",LOWER(SUBSTITUTE(B1200," ","-"))))</f>
        <v/>
      </c>
    </row>
    <row r="1201" customFormat="false" ht="15" hidden="false" customHeight="true" outlineLevel="0" collapsed="false">
      <c r="A1201" s="9"/>
      <c r="B1201" s="9"/>
      <c r="C1201" s="9"/>
      <c r="D1201" s="9"/>
      <c r="E1201" s="9"/>
      <c r="F1201" s="9"/>
      <c r="G1201" s="9"/>
      <c r="H1201" s="64" t="str">
        <f aca="false">IF(OR(A1201="",B1201=""),"",CONCATENATE("https://matarstund.is/serfaedi?id=",LOWER(SUBSTITUTE(B1201," ","-"))))</f>
        <v/>
      </c>
    </row>
    <row r="1202" customFormat="false" ht="15" hidden="false" customHeight="true" outlineLevel="0" collapsed="false">
      <c r="A1202" s="68"/>
      <c r="B1202" s="68"/>
      <c r="C1202" s="68"/>
      <c r="D1202" s="68"/>
      <c r="E1202" s="68"/>
      <c r="F1202" s="68"/>
      <c r="G1202" s="68"/>
      <c r="H1202" s="64" t="str">
        <f aca="false">IF(OR(A1202="",B1202=""),"",CONCATENATE("https://matarstund.is/serfaedi?id=",LOWER(SUBSTITUTE(B1202," ","-"))))</f>
        <v/>
      </c>
    </row>
    <row r="1203" customFormat="false" ht="15" hidden="false" customHeight="true" outlineLevel="0" collapsed="false">
      <c r="A1203" s="9"/>
      <c r="B1203" s="9"/>
      <c r="C1203" s="9"/>
      <c r="D1203" s="9"/>
      <c r="E1203" s="9"/>
      <c r="F1203" s="9"/>
      <c r="G1203" s="9"/>
      <c r="H1203" s="64" t="str">
        <f aca="false">IF(OR(A1203="",B1203=""),"",CONCATENATE("https://matarstund.is/serfaedi?id=",LOWER(SUBSTITUTE(B1203," ","-"))))</f>
        <v/>
      </c>
    </row>
    <row r="1204" customFormat="false" ht="15" hidden="false" customHeight="true" outlineLevel="0" collapsed="false">
      <c r="A1204" s="68"/>
      <c r="B1204" s="68"/>
      <c r="C1204" s="68"/>
      <c r="D1204" s="68"/>
      <c r="E1204" s="68"/>
      <c r="F1204" s="68"/>
      <c r="G1204" s="68"/>
      <c r="H1204" s="64" t="str">
        <f aca="false">IF(OR(A1204="",B1204=""),"",CONCATENATE("https://matarstund.is/serfaedi?id=",LOWER(SUBSTITUTE(B1204," ","-"))))</f>
        <v/>
      </c>
    </row>
    <row r="1205" customFormat="false" ht="15" hidden="false" customHeight="true" outlineLevel="0" collapsed="false">
      <c r="A1205" s="9"/>
      <c r="B1205" s="9"/>
      <c r="C1205" s="9"/>
      <c r="D1205" s="9"/>
      <c r="E1205" s="9"/>
      <c r="F1205" s="9"/>
      <c r="G1205" s="9"/>
      <c r="H1205" s="64" t="str">
        <f aca="false">IF(OR(A1205="",B1205=""),"",CONCATENATE("https://matarstund.is/serfaedi?id=",LOWER(SUBSTITUTE(B1205," ","-"))))</f>
        <v/>
      </c>
    </row>
    <row r="1206" customFormat="false" ht="15" hidden="false" customHeight="true" outlineLevel="0" collapsed="false">
      <c r="A1206" s="68"/>
      <c r="B1206" s="68"/>
      <c r="C1206" s="68"/>
      <c r="D1206" s="68"/>
      <c r="E1206" s="68"/>
      <c r="F1206" s="68"/>
      <c r="G1206" s="68"/>
      <c r="H1206" s="64" t="str">
        <f aca="false">IF(OR(A1206="",B1206=""),"",CONCATENATE("https://matarstund.is/serfaedi?id=",LOWER(SUBSTITUTE(B1206," ","-"))))</f>
        <v/>
      </c>
    </row>
    <row r="1207" customFormat="false" ht="15" hidden="false" customHeight="true" outlineLevel="0" collapsed="false">
      <c r="A1207" s="9"/>
      <c r="B1207" s="9"/>
      <c r="C1207" s="9"/>
      <c r="D1207" s="9"/>
      <c r="E1207" s="9"/>
      <c r="F1207" s="9"/>
      <c r="G1207" s="9"/>
      <c r="H1207" s="64" t="str">
        <f aca="false">IF(OR(A1207="",B1207=""),"",CONCATENATE("https://matarstund.is/serfaedi?id=",LOWER(SUBSTITUTE(B1207," ","-"))))</f>
        <v/>
      </c>
    </row>
    <row r="1208" customFormat="false" ht="15" hidden="false" customHeight="true" outlineLevel="0" collapsed="false">
      <c r="A1208" s="68"/>
      <c r="B1208" s="68"/>
      <c r="C1208" s="68"/>
      <c r="D1208" s="68"/>
      <c r="E1208" s="68"/>
      <c r="F1208" s="68"/>
      <c r="G1208" s="68"/>
      <c r="H1208" s="64" t="str">
        <f aca="false">IF(OR(A1208="",B1208=""),"",CONCATENATE("https://matarstund.is/serfaedi?id=",LOWER(SUBSTITUTE(B1208," ","-"))))</f>
        <v/>
      </c>
    </row>
    <row r="1209" customFormat="false" ht="15" hidden="false" customHeight="true" outlineLevel="0" collapsed="false">
      <c r="A1209" s="9"/>
      <c r="B1209" s="9"/>
      <c r="C1209" s="9"/>
      <c r="D1209" s="9"/>
      <c r="E1209" s="9"/>
      <c r="F1209" s="9"/>
      <c r="G1209" s="9"/>
      <c r="H1209" s="64" t="str">
        <f aca="false">IF(OR(A1209="",B1209=""),"",CONCATENATE("https://matarstund.is/serfaedi?id=",LOWER(SUBSTITUTE(B1209," ","-"))))</f>
        <v/>
      </c>
    </row>
    <row r="1210" customFormat="false" ht="15" hidden="false" customHeight="true" outlineLevel="0" collapsed="false">
      <c r="A1210" s="68"/>
      <c r="B1210" s="68"/>
      <c r="C1210" s="68"/>
      <c r="D1210" s="68"/>
      <c r="E1210" s="68"/>
      <c r="F1210" s="68"/>
      <c r="G1210" s="68"/>
      <c r="H1210" s="64" t="str">
        <f aca="false">IF(OR(A1210="",B1210=""),"",CONCATENATE("https://matarstund.is/serfaedi?id=",LOWER(SUBSTITUTE(B1210," ","-"))))</f>
        <v/>
      </c>
    </row>
    <row r="1211" customFormat="false" ht="15" hidden="false" customHeight="true" outlineLevel="0" collapsed="false">
      <c r="A1211" s="9"/>
      <c r="B1211" s="9"/>
      <c r="C1211" s="9"/>
      <c r="D1211" s="9"/>
      <c r="E1211" s="9"/>
      <c r="F1211" s="9"/>
      <c r="G1211" s="9"/>
      <c r="H1211" s="64" t="str">
        <f aca="false">IF(OR(A1211="",B1211=""),"",CONCATENATE("https://matarstund.is/serfaedi?id=",LOWER(SUBSTITUTE(B1211," ","-"))))</f>
        <v/>
      </c>
    </row>
    <row r="1212" customFormat="false" ht="15" hidden="false" customHeight="true" outlineLevel="0" collapsed="false">
      <c r="A1212" s="68"/>
      <c r="B1212" s="68"/>
      <c r="C1212" s="68"/>
      <c r="D1212" s="68"/>
      <c r="E1212" s="68"/>
      <c r="F1212" s="68"/>
      <c r="G1212" s="68"/>
      <c r="H1212" s="64" t="str">
        <f aca="false">IF(OR(A1212="",B1212=""),"",CONCATENATE("https://matarstund.is/serfaedi?id=",LOWER(SUBSTITUTE(B1212," ","-"))))</f>
        <v/>
      </c>
    </row>
    <row r="1213" customFormat="false" ht="15" hidden="false" customHeight="true" outlineLevel="0" collapsed="false">
      <c r="A1213" s="9"/>
      <c r="B1213" s="9"/>
      <c r="C1213" s="9"/>
      <c r="D1213" s="9"/>
      <c r="E1213" s="9"/>
      <c r="F1213" s="9"/>
      <c r="G1213" s="9"/>
      <c r="H1213" s="64" t="str">
        <f aca="false">IF(OR(A1213="",B1213=""),"",CONCATENATE("https://matarstund.is/serfaedi?id=",LOWER(SUBSTITUTE(B1213," ","-"))))</f>
        <v/>
      </c>
    </row>
    <row r="1214" customFormat="false" ht="15" hidden="false" customHeight="true" outlineLevel="0" collapsed="false">
      <c r="A1214" s="68"/>
      <c r="B1214" s="68"/>
      <c r="C1214" s="68"/>
      <c r="D1214" s="68"/>
      <c r="E1214" s="68"/>
      <c r="F1214" s="68"/>
      <c r="G1214" s="68"/>
      <c r="H1214" s="64" t="str">
        <f aca="false">IF(OR(A1214="",B1214=""),"",CONCATENATE("https://matarstund.is/serfaedi?id=",LOWER(SUBSTITUTE(B1214," ","-"))))</f>
        <v/>
      </c>
    </row>
    <row r="1215" customFormat="false" ht="15" hidden="false" customHeight="true" outlineLevel="0" collapsed="false">
      <c r="A1215" s="9"/>
      <c r="B1215" s="9"/>
      <c r="C1215" s="9"/>
      <c r="D1215" s="9"/>
      <c r="E1215" s="9"/>
      <c r="F1215" s="9"/>
      <c r="G1215" s="9"/>
      <c r="H1215" s="64" t="str">
        <f aca="false">IF(OR(A1215="",B1215=""),"",CONCATENATE("https://matarstund.is/serfaedi?id=",LOWER(SUBSTITUTE(B1215," ","-"))))</f>
        <v/>
      </c>
    </row>
    <row r="1216" customFormat="false" ht="15" hidden="false" customHeight="true" outlineLevel="0" collapsed="false">
      <c r="A1216" s="68"/>
      <c r="B1216" s="68"/>
      <c r="C1216" s="68"/>
      <c r="D1216" s="68"/>
      <c r="E1216" s="68"/>
      <c r="F1216" s="68"/>
      <c r="G1216" s="68"/>
      <c r="H1216" s="64" t="str">
        <f aca="false">IF(OR(A1216="",B1216=""),"",CONCATENATE("https://matarstund.is/serfaedi?id=",LOWER(SUBSTITUTE(B1216," ","-"))))</f>
        <v/>
      </c>
    </row>
    <row r="1217" customFormat="false" ht="15" hidden="false" customHeight="true" outlineLevel="0" collapsed="false">
      <c r="A1217" s="9"/>
      <c r="B1217" s="9"/>
      <c r="C1217" s="9"/>
      <c r="D1217" s="9"/>
      <c r="E1217" s="9"/>
      <c r="F1217" s="9"/>
      <c r="G1217" s="9"/>
      <c r="H1217" s="64" t="str">
        <f aca="false">IF(OR(A1217="",B1217=""),"",CONCATENATE("https://matarstund.is/serfaedi?id=",LOWER(SUBSTITUTE(B1217," ","-"))))</f>
        <v/>
      </c>
    </row>
    <row r="1218" customFormat="false" ht="15" hidden="false" customHeight="true" outlineLevel="0" collapsed="false">
      <c r="A1218" s="68"/>
      <c r="B1218" s="68"/>
      <c r="C1218" s="68"/>
      <c r="D1218" s="68"/>
      <c r="E1218" s="68"/>
      <c r="F1218" s="68"/>
      <c r="G1218" s="68"/>
      <c r="H1218" s="64" t="str">
        <f aca="false">IF(OR(A1218="",B1218=""),"",CONCATENATE("https://matarstund.is/serfaedi?id=",LOWER(SUBSTITUTE(B1218," ","-"))))</f>
        <v/>
      </c>
    </row>
    <row r="1219" customFormat="false" ht="15" hidden="false" customHeight="true" outlineLevel="0" collapsed="false">
      <c r="A1219" s="9"/>
      <c r="B1219" s="9"/>
      <c r="C1219" s="9"/>
      <c r="D1219" s="9"/>
      <c r="E1219" s="9"/>
      <c r="F1219" s="9"/>
      <c r="G1219" s="9"/>
      <c r="H1219" s="64" t="str">
        <f aca="false">IF(OR(A1219="",B1219=""),"",CONCATENATE("https://matarstund.is/serfaedi?id=",LOWER(SUBSTITUTE(B1219," ","-"))))</f>
        <v/>
      </c>
    </row>
    <row r="1220" customFormat="false" ht="15" hidden="false" customHeight="true" outlineLevel="0" collapsed="false">
      <c r="A1220" s="68"/>
      <c r="B1220" s="68"/>
      <c r="C1220" s="68"/>
      <c r="D1220" s="68"/>
      <c r="E1220" s="68"/>
      <c r="F1220" s="68"/>
      <c r="G1220" s="68"/>
      <c r="H1220" s="64" t="str">
        <f aca="false">IF(OR(A1220="",B1220=""),"",CONCATENATE("https://matarstund.is/serfaedi?id=",LOWER(SUBSTITUTE(B1220," ","-"))))</f>
        <v/>
      </c>
    </row>
    <row r="1221" customFormat="false" ht="15" hidden="false" customHeight="true" outlineLevel="0" collapsed="false">
      <c r="A1221" s="9"/>
      <c r="B1221" s="9"/>
      <c r="C1221" s="9"/>
      <c r="D1221" s="9"/>
      <c r="E1221" s="9"/>
      <c r="F1221" s="9"/>
      <c r="G1221" s="9"/>
      <c r="H1221" s="64" t="str">
        <f aca="false">IF(OR(A1221="",B1221=""),"",CONCATENATE("https://matarstund.is/serfaedi?id=",LOWER(SUBSTITUTE(B1221," ","-"))))</f>
        <v/>
      </c>
    </row>
    <row r="1222" customFormat="false" ht="15" hidden="false" customHeight="true" outlineLevel="0" collapsed="false">
      <c r="A1222" s="68"/>
      <c r="B1222" s="68"/>
      <c r="C1222" s="68"/>
      <c r="D1222" s="68"/>
      <c r="E1222" s="68"/>
      <c r="F1222" s="68"/>
      <c r="G1222" s="68"/>
      <c r="H1222" s="64" t="str">
        <f aca="false">IF(OR(A1222="",B1222=""),"",CONCATENATE("https://matarstund.is/serfaedi?id=",LOWER(SUBSTITUTE(B1222," ","-"))))</f>
        <v/>
      </c>
    </row>
    <row r="1223" customFormat="false" ht="15" hidden="false" customHeight="true" outlineLevel="0" collapsed="false">
      <c r="A1223" s="9"/>
      <c r="B1223" s="9"/>
      <c r="C1223" s="9"/>
      <c r="D1223" s="9"/>
      <c r="E1223" s="9"/>
      <c r="F1223" s="9"/>
      <c r="G1223" s="9"/>
      <c r="H1223" s="64" t="str">
        <f aca="false">IF(OR(A1223="",B1223=""),"",CONCATENATE("https://matarstund.is/serfaedi?id=",LOWER(SUBSTITUTE(B1223," ","-"))))</f>
        <v/>
      </c>
    </row>
    <row r="1224" customFormat="false" ht="15" hidden="false" customHeight="true" outlineLevel="0" collapsed="false">
      <c r="A1224" s="68"/>
      <c r="B1224" s="68"/>
      <c r="C1224" s="68"/>
      <c r="D1224" s="68"/>
      <c r="E1224" s="68"/>
      <c r="F1224" s="68"/>
      <c r="G1224" s="68"/>
      <c r="H1224" s="64" t="str">
        <f aca="false">IF(OR(A1224="",B1224=""),"",CONCATENATE("https://matarstund.is/serfaedi?id=",LOWER(SUBSTITUTE(B1224," ","-"))))</f>
        <v/>
      </c>
    </row>
    <row r="1225" customFormat="false" ht="15" hidden="false" customHeight="true" outlineLevel="0" collapsed="false">
      <c r="A1225" s="9"/>
      <c r="B1225" s="9"/>
      <c r="C1225" s="9"/>
      <c r="D1225" s="9"/>
      <c r="E1225" s="9"/>
      <c r="F1225" s="9"/>
      <c r="G1225" s="9"/>
      <c r="H1225" s="64" t="str">
        <f aca="false">IF(OR(A1225="",B1225=""),"",CONCATENATE("https://matarstund.is/serfaedi?id=",LOWER(SUBSTITUTE(B1225," ","-"))))</f>
        <v/>
      </c>
    </row>
    <row r="1226" customFormat="false" ht="15" hidden="false" customHeight="true" outlineLevel="0" collapsed="false">
      <c r="A1226" s="68"/>
      <c r="B1226" s="68"/>
      <c r="C1226" s="68"/>
      <c r="D1226" s="68"/>
      <c r="E1226" s="68"/>
      <c r="F1226" s="68"/>
      <c r="G1226" s="68"/>
      <c r="H1226" s="64" t="str">
        <f aca="false">IF(OR(A1226="",B1226=""),"",CONCATENATE("https://matarstund.is/serfaedi?id=",LOWER(SUBSTITUTE(B1226," ","-"))))</f>
        <v/>
      </c>
    </row>
    <row r="1227" customFormat="false" ht="15" hidden="false" customHeight="true" outlineLevel="0" collapsed="false">
      <c r="A1227" s="9"/>
      <c r="B1227" s="9"/>
      <c r="C1227" s="9"/>
      <c r="D1227" s="9"/>
      <c r="E1227" s="9"/>
      <c r="F1227" s="9"/>
      <c r="G1227" s="9"/>
      <c r="H1227" s="64" t="str">
        <f aca="false">IF(OR(A1227="",B1227=""),"",CONCATENATE("https://matarstund.is/serfaedi?id=",LOWER(SUBSTITUTE(B1227," ","-"))))</f>
        <v/>
      </c>
    </row>
    <row r="1228" customFormat="false" ht="15" hidden="false" customHeight="true" outlineLevel="0" collapsed="false">
      <c r="A1228" s="68"/>
      <c r="B1228" s="68"/>
      <c r="C1228" s="68"/>
      <c r="D1228" s="68"/>
      <c r="E1228" s="68"/>
      <c r="F1228" s="68"/>
      <c r="G1228" s="68"/>
      <c r="H1228" s="64" t="str">
        <f aca="false">IF(OR(A1228="",B1228=""),"",CONCATENATE("https://matarstund.is/serfaedi?id=",LOWER(SUBSTITUTE(B1228," ","-"))))</f>
        <v/>
      </c>
    </row>
    <row r="1229" customFormat="false" ht="15" hidden="false" customHeight="true" outlineLevel="0" collapsed="false">
      <c r="A1229" s="9"/>
      <c r="B1229" s="9"/>
      <c r="C1229" s="9"/>
      <c r="D1229" s="9"/>
      <c r="E1229" s="9"/>
      <c r="F1229" s="9"/>
      <c r="G1229" s="9"/>
      <c r="H1229" s="64" t="str">
        <f aca="false">IF(OR(A1229="",B1229=""),"",CONCATENATE("https://matarstund.is/serfaedi?id=",LOWER(SUBSTITUTE(B1229," ","-"))))</f>
        <v/>
      </c>
    </row>
    <row r="1230" customFormat="false" ht="15" hidden="false" customHeight="true" outlineLevel="0" collapsed="false">
      <c r="A1230" s="68"/>
      <c r="B1230" s="68"/>
      <c r="C1230" s="68"/>
      <c r="D1230" s="68"/>
      <c r="E1230" s="68"/>
      <c r="F1230" s="68"/>
      <c r="G1230" s="68"/>
      <c r="H1230" s="64" t="str">
        <f aca="false">IF(OR(A1230="",B1230=""),"",CONCATENATE("https://matarstund.is/serfaedi?id=",LOWER(SUBSTITUTE(B1230," ","-"))))</f>
        <v/>
      </c>
    </row>
    <row r="1231" customFormat="false" ht="15" hidden="false" customHeight="true" outlineLevel="0" collapsed="false">
      <c r="A1231" s="9"/>
      <c r="B1231" s="9"/>
      <c r="C1231" s="9"/>
      <c r="D1231" s="9"/>
      <c r="E1231" s="9"/>
      <c r="F1231" s="9"/>
      <c r="G1231" s="9"/>
      <c r="H1231" s="64" t="str">
        <f aca="false">IF(OR(A1231="",B1231=""),"",CONCATENATE("https://matarstund.is/serfaedi?id=",LOWER(SUBSTITUTE(B1231," ","-"))))</f>
        <v/>
      </c>
    </row>
    <row r="1232" customFormat="false" ht="15" hidden="false" customHeight="true" outlineLevel="0" collapsed="false">
      <c r="A1232" s="68"/>
      <c r="B1232" s="68"/>
      <c r="C1232" s="68"/>
      <c r="D1232" s="68"/>
      <c r="E1232" s="68"/>
      <c r="F1232" s="68"/>
      <c r="G1232" s="68"/>
      <c r="H1232" s="64" t="str">
        <f aca="false">IF(OR(A1232="",B1232=""),"",CONCATENATE("https://matarstund.is/serfaedi?id=",LOWER(SUBSTITUTE(B1232," ","-"))))</f>
        <v/>
      </c>
    </row>
    <row r="1233" customFormat="false" ht="15" hidden="false" customHeight="true" outlineLevel="0" collapsed="false">
      <c r="A1233" s="9"/>
      <c r="B1233" s="9"/>
      <c r="C1233" s="9"/>
      <c r="D1233" s="9"/>
      <c r="E1233" s="9"/>
      <c r="F1233" s="9"/>
      <c r="G1233" s="9"/>
      <c r="H1233" s="64" t="str">
        <f aca="false">IF(OR(A1233="",B1233=""),"",CONCATENATE("https://matarstund.is/serfaedi?id=",LOWER(SUBSTITUTE(B1233," ","-"))))</f>
        <v/>
      </c>
    </row>
    <row r="1234" customFormat="false" ht="15" hidden="false" customHeight="true" outlineLevel="0" collapsed="false">
      <c r="A1234" s="68"/>
      <c r="B1234" s="68"/>
      <c r="C1234" s="68"/>
      <c r="D1234" s="68"/>
      <c r="E1234" s="68"/>
      <c r="F1234" s="68"/>
      <c r="G1234" s="68"/>
      <c r="H1234" s="64" t="str">
        <f aca="false">IF(OR(A1234="",B1234=""),"",CONCATENATE("https://matarstund.is/serfaedi?id=",LOWER(SUBSTITUTE(B1234," ","-"))))</f>
        <v/>
      </c>
    </row>
    <row r="1235" customFormat="false" ht="15" hidden="false" customHeight="true" outlineLevel="0" collapsed="false">
      <c r="A1235" s="9"/>
      <c r="B1235" s="9"/>
      <c r="C1235" s="9"/>
      <c r="D1235" s="9"/>
      <c r="E1235" s="9"/>
      <c r="F1235" s="9"/>
      <c r="G1235" s="9"/>
      <c r="H1235" s="64" t="str">
        <f aca="false">IF(OR(A1235="",B1235=""),"",CONCATENATE("https://matarstund.is/serfaedi?id=",LOWER(SUBSTITUTE(B1235," ","-"))))</f>
        <v/>
      </c>
    </row>
    <row r="1236" customFormat="false" ht="15" hidden="false" customHeight="true" outlineLevel="0" collapsed="false">
      <c r="A1236" s="68"/>
      <c r="B1236" s="68"/>
      <c r="C1236" s="68"/>
      <c r="D1236" s="68"/>
      <c r="E1236" s="68"/>
      <c r="F1236" s="68"/>
      <c r="G1236" s="68"/>
      <c r="H1236" s="64" t="str">
        <f aca="false">IF(OR(A1236="",B1236=""),"",CONCATENATE("https://matarstund.is/serfaedi?id=",LOWER(SUBSTITUTE(B1236," ","-"))))</f>
        <v/>
      </c>
    </row>
    <row r="1237" customFormat="false" ht="15" hidden="false" customHeight="true" outlineLevel="0" collapsed="false">
      <c r="A1237" s="9"/>
      <c r="B1237" s="9"/>
      <c r="C1237" s="9"/>
      <c r="D1237" s="9"/>
      <c r="E1237" s="9"/>
      <c r="F1237" s="9"/>
      <c r="G1237" s="9"/>
      <c r="H1237" s="64" t="str">
        <f aca="false">IF(OR(A1237="",B1237=""),"",CONCATENATE("https://matarstund.is/serfaedi?id=",LOWER(SUBSTITUTE(B1237," ","-"))))</f>
        <v/>
      </c>
    </row>
    <row r="1238" customFormat="false" ht="15" hidden="false" customHeight="true" outlineLevel="0" collapsed="false">
      <c r="A1238" s="68"/>
      <c r="B1238" s="68"/>
      <c r="C1238" s="68"/>
      <c r="D1238" s="68"/>
      <c r="E1238" s="68"/>
      <c r="F1238" s="68"/>
      <c r="G1238" s="68"/>
      <c r="H1238" s="64" t="str">
        <f aca="false">IF(OR(A1238="",B1238=""),"",CONCATENATE("https://matarstund.is/serfaedi?id=",LOWER(SUBSTITUTE(B1238," ","-"))))</f>
        <v/>
      </c>
    </row>
    <row r="1239" customFormat="false" ht="15" hidden="false" customHeight="true" outlineLevel="0" collapsed="false">
      <c r="A1239" s="9"/>
      <c r="B1239" s="9"/>
      <c r="C1239" s="9"/>
      <c r="D1239" s="9"/>
      <c r="E1239" s="9"/>
      <c r="F1239" s="9"/>
      <c r="G1239" s="9"/>
      <c r="H1239" s="64" t="str">
        <f aca="false">IF(OR(A1239="",B1239=""),"",CONCATENATE("https://matarstund.is/serfaedi?id=",LOWER(SUBSTITUTE(B1239," ","-"))))</f>
        <v/>
      </c>
    </row>
    <row r="1240" customFormat="false" ht="15" hidden="false" customHeight="true" outlineLevel="0" collapsed="false">
      <c r="A1240" s="68"/>
      <c r="B1240" s="68"/>
      <c r="C1240" s="68"/>
      <c r="D1240" s="68"/>
      <c r="E1240" s="68"/>
      <c r="F1240" s="68"/>
      <c r="G1240" s="68"/>
      <c r="H1240" s="64" t="str">
        <f aca="false">IF(OR(A1240="",B1240=""),"",CONCATENATE("https://matarstund.is/serfaedi?id=",LOWER(SUBSTITUTE(B1240," ","-"))))</f>
        <v/>
      </c>
    </row>
    <row r="1241" customFormat="false" ht="15" hidden="false" customHeight="true" outlineLevel="0" collapsed="false">
      <c r="A1241" s="9"/>
      <c r="B1241" s="9"/>
      <c r="C1241" s="9"/>
      <c r="D1241" s="9"/>
      <c r="E1241" s="9"/>
      <c r="F1241" s="9"/>
      <c r="G1241" s="9"/>
      <c r="H1241" s="64" t="str">
        <f aca="false">IF(OR(A1241="",B1241=""),"",CONCATENATE("https://matarstund.is/serfaedi?id=",LOWER(SUBSTITUTE(B1241," ","-"))))</f>
        <v/>
      </c>
    </row>
    <row r="1242" customFormat="false" ht="15" hidden="false" customHeight="true" outlineLevel="0" collapsed="false">
      <c r="A1242" s="68"/>
      <c r="B1242" s="68"/>
      <c r="C1242" s="68"/>
      <c r="D1242" s="68"/>
      <c r="E1242" s="68"/>
      <c r="F1242" s="68"/>
      <c r="G1242" s="68"/>
      <c r="H1242" s="64" t="str">
        <f aca="false">IF(OR(A1242="",B1242=""),"",CONCATENATE("https://matarstund.is/serfaedi?id=",LOWER(SUBSTITUTE(B1242," ","-"))))</f>
        <v/>
      </c>
    </row>
    <row r="1243" customFormat="false" ht="15" hidden="false" customHeight="true" outlineLevel="0" collapsed="false">
      <c r="A1243" s="9"/>
      <c r="B1243" s="9"/>
      <c r="C1243" s="9"/>
      <c r="D1243" s="9"/>
      <c r="E1243" s="9"/>
      <c r="F1243" s="9"/>
      <c r="G1243" s="9"/>
      <c r="H1243" s="64" t="str">
        <f aca="false">IF(OR(A1243="",B1243=""),"",CONCATENATE("https://matarstund.is/serfaedi?id=",LOWER(SUBSTITUTE(B1243," ","-"))))</f>
        <v/>
      </c>
    </row>
    <row r="1244" customFormat="false" ht="15" hidden="false" customHeight="true" outlineLevel="0" collapsed="false">
      <c r="A1244" s="68"/>
      <c r="B1244" s="68"/>
      <c r="C1244" s="68"/>
      <c r="D1244" s="68"/>
      <c r="E1244" s="68"/>
      <c r="F1244" s="68"/>
      <c r="G1244" s="68"/>
      <c r="H1244" s="64" t="str">
        <f aca="false">IF(OR(A1244="",B1244=""),"",CONCATENATE("https://matarstund.is/serfaedi?id=",LOWER(SUBSTITUTE(B1244," ","-"))))</f>
        <v/>
      </c>
    </row>
    <row r="1245" customFormat="false" ht="15" hidden="false" customHeight="true" outlineLevel="0" collapsed="false">
      <c r="A1245" s="9"/>
      <c r="B1245" s="9"/>
      <c r="C1245" s="9"/>
      <c r="D1245" s="9"/>
      <c r="E1245" s="9"/>
      <c r="F1245" s="9"/>
      <c r="G1245" s="9"/>
      <c r="H1245" s="64" t="str">
        <f aca="false">IF(OR(A1245="",B1245=""),"",CONCATENATE("https://matarstund.is/serfaedi?id=",LOWER(SUBSTITUTE(B1245," ","-"))))</f>
        <v/>
      </c>
    </row>
    <row r="1246" customFormat="false" ht="15" hidden="false" customHeight="true" outlineLevel="0" collapsed="false">
      <c r="A1246" s="68"/>
      <c r="B1246" s="68"/>
      <c r="C1246" s="68"/>
      <c r="D1246" s="68"/>
      <c r="E1246" s="68"/>
      <c r="F1246" s="68"/>
      <c r="G1246" s="68"/>
      <c r="H1246" s="64" t="str">
        <f aca="false">IF(OR(A1246="",B1246=""),"",CONCATENATE("https://matarstund.is/serfaedi?id=",LOWER(SUBSTITUTE(B1246," ","-"))))</f>
        <v/>
      </c>
    </row>
    <row r="1247" customFormat="false" ht="15" hidden="false" customHeight="true" outlineLevel="0" collapsed="false">
      <c r="A1247" s="9"/>
      <c r="B1247" s="9"/>
      <c r="C1247" s="9"/>
      <c r="D1247" s="9"/>
      <c r="E1247" s="9"/>
      <c r="F1247" s="9"/>
      <c r="G1247" s="9"/>
      <c r="H1247" s="64" t="str">
        <f aca="false">IF(OR(A1247="",B1247=""),"",CONCATENATE("https://matarstund.is/serfaedi?id=",LOWER(SUBSTITUTE(B1247," ","-"))))</f>
        <v/>
      </c>
    </row>
    <row r="1248" customFormat="false" ht="15" hidden="false" customHeight="true" outlineLevel="0" collapsed="false">
      <c r="A1248" s="68"/>
      <c r="B1248" s="68"/>
      <c r="C1248" s="68"/>
      <c r="D1248" s="68"/>
      <c r="E1248" s="68"/>
      <c r="F1248" s="68"/>
      <c r="G1248" s="68"/>
      <c r="H1248" s="64" t="str">
        <f aca="false">IF(OR(A1248="",B1248=""),"",CONCATENATE("https://matarstund.is/serfaedi?id=",LOWER(SUBSTITUTE(B1248," ","-"))))</f>
        <v/>
      </c>
    </row>
    <row r="1249" customFormat="false" ht="15" hidden="false" customHeight="true" outlineLevel="0" collapsed="false">
      <c r="A1249" s="9"/>
      <c r="B1249" s="9"/>
      <c r="C1249" s="9"/>
      <c r="D1249" s="9"/>
      <c r="E1249" s="9"/>
      <c r="F1249" s="9"/>
      <c r="G1249" s="9"/>
      <c r="H1249" s="64" t="str">
        <f aca="false">IF(OR(A1249="",B1249=""),"",CONCATENATE("https://matarstund.is/serfaedi?id=",LOWER(SUBSTITUTE(B1249," ","-"))))</f>
        <v/>
      </c>
    </row>
    <row r="1250" customFormat="false" ht="15" hidden="false" customHeight="true" outlineLevel="0" collapsed="false">
      <c r="A1250" s="68"/>
      <c r="B1250" s="68"/>
      <c r="C1250" s="68"/>
      <c r="D1250" s="68"/>
      <c r="E1250" s="68"/>
      <c r="F1250" s="68"/>
      <c r="G1250" s="68"/>
      <c r="H1250" s="64" t="str">
        <f aca="false">IF(OR(A1250="",B1250=""),"",CONCATENATE("https://matarstund.is/serfaedi?id=",LOWER(SUBSTITUTE(B1250," ","-"))))</f>
        <v/>
      </c>
    </row>
    <row r="1251" customFormat="false" ht="15" hidden="false" customHeight="true" outlineLevel="0" collapsed="false">
      <c r="A1251" s="9"/>
      <c r="B1251" s="9"/>
      <c r="C1251" s="9"/>
      <c r="D1251" s="9"/>
      <c r="E1251" s="9"/>
      <c r="F1251" s="9"/>
      <c r="G1251" s="9"/>
      <c r="H1251" s="64" t="str">
        <f aca="false">IF(OR(A1251="",B1251=""),"",CONCATENATE("https://matarstund.is/serfaedi?id=",LOWER(SUBSTITUTE(B1251," ","-"))))</f>
        <v/>
      </c>
    </row>
    <row r="1252" customFormat="false" ht="15" hidden="false" customHeight="true" outlineLevel="0" collapsed="false">
      <c r="A1252" s="68"/>
      <c r="B1252" s="68"/>
      <c r="C1252" s="68"/>
      <c r="D1252" s="68"/>
      <c r="E1252" s="68"/>
      <c r="F1252" s="68"/>
      <c r="G1252" s="68"/>
      <c r="H1252" s="64" t="str">
        <f aca="false">IF(OR(A1252="",B1252=""),"",CONCATENATE("https://matarstund.is/serfaedi?id=",LOWER(SUBSTITUTE(B1252," ","-"))))</f>
        <v/>
      </c>
    </row>
    <row r="1253" customFormat="false" ht="15" hidden="false" customHeight="true" outlineLevel="0" collapsed="false">
      <c r="A1253" s="9"/>
      <c r="B1253" s="9"/>
      <c r="C1253" s="9"/>
      <c r="D1253" s="9"/>
      <c r="E1253" s="9"/>
      <c r="F1253" s="9"/>
      <c r="G1253" s="9"/>
      <c r="H1253" s="64" t="str">
        <f aca="false">IF(OR(A1253="",B1253=""),"",CONCATENATE("https://matarstund.is/serfaedi?id=",LOWER(SUBSTITUTE(B1253," ","-"))))</f>
        <v/>
      </c>
    </row>
    <row r="1254" customFormat="false" ht="15" hidden="false" customHeight="true" outlineLevel="0" collapsed="false">
      <c r="A1254" s="68"/>
      <c r="B1254" s="68"/>
      <c r="C1254" s="68"/>
      <c r="D1254" s="68"/>
      <c r="E1254" s="68"/>
      <c r="F1254" s="68"/>
      <c r="G1254" s="68"/>
      <c r="H1254" s="64" t="str">
        <f aca="false">IF(OR(A1254="",B1254=""),"",CONCATENATE("https://matarstund.is/serfaedi?id=",LOWER(SUBSTITUTE(B1254," ","-"))))</f>
        <v/>
      </c>
    </row>
    <row r="1255" customFormat="false" ht="15" hidden="false" customHeight="true" outlineLevel="0" collapsed="false">
      <c r="A1255" s="9"/>
      <c r="B1255" s="9"/>
      <c r="C1255" s="9"/>
      <c r="D1255" s="9"/>
      <c r="E1255" s="9"/>
      <c r="F1255" s="9"/>
      <c r="G1255" s="9"/>
      <c r="H1255" s="64" t="str">
        <f aca="false">IF(OR(A1255="",B1255=""),"",CONCATENATE("https://matarstund.is/serfaedi?id=",LOWER(SUBSTITUTE(B1255," ","-"))))</f>
        <v/>
      </c>
    </row>
    <row r="1256" customFormat="false" ht="15" hidden="false" customHeight="true" outlineLevel="0" collapsed="false">
      <c r="A1256" s="68"/>
      <c r="B1256" s="68"/>
      <c r="C1256" s="68"/>
      <c r="D1256" s="68"/>
      <c r="E1256" s="68"/>
      <c r="F1256" s="68"/>
      <c r="G1256" s="68"/>
      <c r="H1256" s="64" t="str">
        <f aca="false">IF(OR(A1256="",B1256=""),"",CONCATENATE("https://matarstund.is/serfaedi?id=",LOWER(SUBSTITUTE(B1256," ","-"))))</f>
        <v/>
      </c>
    </row>
    <row r="1257" customFormat="false" ht="15" hidden="false" customHeight="true" outlineLevel="0" collapsed="false">
      <c r="A1257" s="9"/>
      <c r="B1257" s="9"/>
      <c r="C1257" s="9"/>
      <c r="D1257" s="9"/>
      <c r="E1257" s="9"/>
      <c r="F1257" s="9"/>
      <c r="G1257" s="9"/>
      <c r="H1257" s="64" t="str">
        <f aca="false">IF(OR(A1257="",B1257=""),"",CONCATENATE("https://matarstund.is/serfaedi?id=",LOWER(SUBSTITUTE(B1257," ","-"))))</f>
        <v/>
      </c>
    </row>
    <row r="1258" customFormat="false" ht="15" hidden="false" customHeight="true" outlineLevel="0" collapsed="false">
      <c r="A1258" s="68"/>
      <c r="B1258" s="68"/>
      <c r="C1258" s="68"/>
      <c r="D1258" s="68"/>
      <c r="E1258" s="68"/>
      <c r="F1258" s="68"/>
      <c r="G1258" s="68"/>
      <c r="H1258" s="64" t="str">
        <f aca="false">IF(OR(A1258="",B1258=""),"",CONCATENATE("https://matarstund.is/serfaedi?id=",LOWER(SUBSTITUTE(B1258," ","-"))))</f>
        <v/>
      </c>
    </row>
    <row r="1259" customFormat="false" ht="15" hidden="false" customHeight="true" outlineLevel="0" collapsed="false">
      <c r="A1259" s="9"/>
      <c r="B1259" s="9"/>
      <c r="C1259" s="9"/>
      <c r="D1259" s="9"/>
      <c r="E1259" s="9"/>
      <c r="F1259" s="9"/>
      <c r="G1259" s="9"/>
      <c r="H1259" s="64" t="str">
        <f aca="false">IF(OR(A1259="",B1259=""),"",CONCATENATE("https://matarstund.is/serfaedi?id=",LOWER(SUBSTITUTE(B1259," ","-"))))</f>
        <v/>
      </c>
    </row>
    <row r="1260" customFormat="false" ht="15" hidden="false" customHeight="true" outlineLevel="0" collapsed="false">
      <c r="A1260" s="68"/>
      <c r="B1260" s="68"/>
      <c r="C1260" s="68"/>
      <c r="D1260" s="68"/>
      <c r="E1260" s="68"/>
      <c r="F1260" s="68"/>
      <c r="G1260" s="68"/>
      <c r="H1260" s="64" t="str">
        <f aca="false">IF(OR(A1260="",B1260=""),"",CONCATENATE("https://matarstund.is/serfaedi?id=",LOWER(SUBSTITUTE(B1260," ","-"))))</f>
        <v/>
      </c>
    </row>
    <row r="1261" customFormat="false" ht="15" hidden="false" customHeight="true" outlineLevel="0" collapsed="false">
      <c r="A1261" s="9"/>
      <c r="B1261" s="9"/>
      <c r="C1261" s="9"/>
      <c r="D1261" s="9"/>
      <c r="E1261" s="9"/>
      <c r="F1261" s="9"/>
      <c r="G1261" s="9"/>
      <c r="H1261" s="64" t="str">
        <f aca="false">IF(OR(A1261="",B1261=""),"",CONCATENATE("https://matarstund.is/serfaedi?id=",LOWER(SUBSTITUTE(B1261," ","-"))))</f>
        <v/>
      </c>
    </row>
    <row r="1262" customFormat="false" ht="15" hidden="false" customHeight="true" outlineLevel="0" collapsed="false">
      <c r="A1262" s="68"/>
      <c r="B1262" s="68"/>
      <c r="C1262" s="68"/>
      <c r="D1262" s="68"/>
      <c r="E1262" s="68"/>
      <c r="F1262" s="68"/>
      <c r="G1262" s="68"/>
      <c r="H1262" s="64" t="str">
        <f aca="false">IF(OR(A1262="",B1262=""),"",CONCATENATE("https://matarstund.is/serfaedi?id=",LOWER(SUBSTITUTE(B1262," ","-"))))</f>
        <v/>
      </c>
    </row>
    <row r="1263" customFormat="false" ht="15" hidden="false" customHeight="true" outlineLevel="0" collapsed="false">
      <c r="A1263" s="9"/>
      <c r="B1263" s="9"/>
      <c r="C1263" s="9"/>
      <c r="D1263" s="9"/>
      <c r="E1263" s="9"/>
      <c r="F1263" s="9"/>
      <c r="G1263" s="9"/>
      <c r="H1263" s="64" t="str">
        <f aca="false">IF(OR(A1263="",B1263=""),"",CONCATENATE("https://matarstund.is/serfaedi?id=",LOWER(SUBSTITUTE(B1263," ","-"))))</f>
        <v/>
      </c>
    </row>
    <row r="1264" customFormat="false" ht="15" hidden="false" customHeight="true" outlineLevel="0" collapsed="false">
      <c r="A1264" s="68"/>
      <c r="B1264" s="68"/>
      <c r="C1264" s="68"/>
      <c r="D1264" s="68"/>
      <c r="E1264" s="68"/>
      <c r="F1264" s="68"/>
      <c r="G1264" s="68"/>
      <c r="H1264" s="64" t="str">
        <f aca="false">IF(OR(A1264="",B1264=""),"",CONCATENATE("https://matarstund.is/serfaedi?id=",LOWER(SUBSTITUTE(B1264," ","-"))))</f>
        <v/>
      </c>
    </row>
    <row r="1265" customFormat="false" ht="15" hidden="false" customHeight="true" outlineLevel="0" collapsed="false">
      <c r="A1265" s="9"/>
      <c r="B1265" s="9"/>
      <c r="C1265" s="9"/>
      <c r="D1265" s="9"/>
      <c r="E1265" s="9"/>
      <c r="F1265" s="9"/>
      <c r="G1265" s="9"/>
      <c r="H1265" s="64" t="str">
        <f aca="false">IF(OR(A1265="",B1265=""),"",CONCATENATE("https://matarstund.is/serfaedi?id=",LOWER(SUBSTITUTE(B1265," ","-"))))</f>
        <v/>
      </c>
    </row>
    <row r="1266" customFormat="false" ht="15" hidden="false" customHeight="true" outlineLevel="0" collapsed="false">
      <c r="A1266" s="68"/>
      <c r="B1266" s="68"/>
      <c r="C1266" s="68"/>
      <c r="D1266" s="68"/>
      <c r="E1266" s="68"/>
      <c r="F1266" s="68"/>
      <c r="G1266" s="68"/>
      <c r="H1266" s="64" t="str">
        <f aca="false">IF(OR(A1266="",B1266=""),"",CONCATENATE("https://matarstund.is/serfaedi?id=",LOWER(SUBSTITUTE(B1266," ","-"))))</f>
        <v/>
      </c>
    </row>
    <row r="1267" customFormat="false" ht="15" hidden="false" customHeight="true" outlineLevel="0" collapsed="false">
      <c r="A1267" s="9"/>
      <c r="B1267" s="9"/>
      <c r="C1267" s="9"/>
      <c r="D1267" s="9"/>
      <c r="E1267" s="9"/>
      <c r="F1267" s="9"/>
      <c r="G1267" s="9"/>
      <c r="H1267" s="64" t="str">
        <f aca="false">IF(OR(A1267="",B1267=""),"",CONCATENATE("https://matarstund.is/serfaedi?id=",LOWER(SUBSTITUTE(B1267," ","-"))))</f>
        <v/>
      </c>
    </row>
    <row r="1268" customFormat="false" ht="15" hidden="false" customHeight="true" outlineLevel="0" collapsed="false">
      <c r="A1268" s="68"/>
      <c r="B1268" s="68"/>
      <c r="C1268" s="68"/>
      <c r="D1268" s="68"/>
      <c r="E1268" s="68"/>
      <c r="F1268" s="68"/>
      <c r="G1268" s="68"/>
      <c r="H1268" s="64" t="str">
        <f aca="false">IF(OR(A1268="",B1268=""),"",CONCATENATE("https://matarstund.is/serfaedi?id=",LOWER(SUBSTITUTE(B1268," ","-"))))</f>
        <v/>
      </c>
    </row>
    <row r="1269" customFormat="false" ht="15" hidden="false" customHeight="true" outlineLevel="0" collapsed="false">
      <c r="A1269" s="9"/>
      <c r="B1269" s="9"/>
      <c r="C1269" s="9"/>
      <c r="D1269" s="9"/>
      <c r="E1269" s="9"/>
      <c r="F1269" s="9"/>
      <c r="G1269" s="9"/>
      <c r="H1269" s="64" t="str">
        <f aca="false">IF(OR(A1269="",B1269=""),"",CONCATENATE("https://matarstund.is/serfaedi?id=",LOWER(SUBSTITUTE(B1269," ","-"))))</f>
        <v/>
      </c>
    </row>
    <row r="1270" customFormat="false" ht="15" hidden="false" customHeight="true" outlineLevel="0" collapsed="false">
      <c r="A1270" s="68"/>
      <c r="B1270" s="68"/>
      <c r="C1270" s="68"/>
      <c r="D1270" s="68"/>
      <c r="E1270" s="68"/>
      <c r="F1270" s="68"/>
      <c r="G1270" s="68"/>
      <c r="H1270" s="64" t="str">
        <f aca="false">IF(OR(A1270="",B1270=""),"",CONCATENATE("https://matarstund.is/serfaedi?id=",LOWER(SUBSTITUTE(B1270," ","-"))))</f>
        <v/>
      </c>
    </row>
    <row r="1271" customFormat="false" ht="15" hidden="false" customHeight="true" outlineLevel="0" collapsed="false">
      <c r="A1271" s="9"/>
      <c r="B1271" s="9"/>
      <c r="C1271" s="9"/>
      <c r="D1271" s="9"/>
      <c r="E1271" s="9"/>
      <c r="F1271" s="9"/>
      <c r="G1271" s="9"/>
      <c r="H1271" s="64" t="str">
        <f aca="false">IF(OR(A1271="",B1271=""),"",CONCATENATE("https://matarstund.is/serfaedi?id=",LOWER(SUBSTITUTE(B1271," ","-"))))</f>
        <v/>
      </c>
    </row>
    <row r="1272" customFormat="false" ht="15" hidden="false" customHeight="true" outlineLevel="0" collapsed="false">
      <c r="A1272" s="68"/>
      <c r="B1272" s="68"/>
      <c r="C1272" s="68"/>
      <c r="D1272" s="68"/>
      <c r="E1272" s="68"/>
      <c r="F1272" s="68"/>
      <c r="G1272" s="68"/>
      <c r="H1272" s="64" t="str">
        <f aca="false">IF(OR(A1272="",B1272=""),"",CONCATENATE("https://matarstund.is/serfaedi?id=",LOWER(SUBSTITUTE(B1272," ","-"))))</f>
        <v/>
      </c>
    </row>
    <row r="1273" customFormat="false" ht="15" hidden="false" customHeight="true" outlineLevel="0" collapsed="false">
      <c r="A1273" s="9"/>
      <c r="B1273" s="9"/>
      <c r="C1273" s="9"/>
      <c r="D1273" s="9"/>
      <c r="E1273" s="9"/>
      <c r="F1273" s="9"/>
      <c r="G1273" s="9"/>
      <c r="H1273" s="64" t="str">
        <f aca="false">IF(OR(A1273="",B1273=""),"",CONCATENATE("https://matarstund.is/serfaedi?id=",LOWER(SUBSTITUTE(B1273," ","-"))))</f>
        <v/>
      </c>
    </row>
    <row r="1274" customFormat="false" ht="15" hidden="false" customHeight="true" outlineLevel="0" collapsed="false">
      <c r="A1274" s="68"/>
      <c r="B1274" s="68"/>
      <c r="C1274" s="68"/>
      <c r="D1274" s="68"/>
      <c r="E1274" s="68"/>
      <c r="F1274" s="68"/>
      <c r="G1274" s="68"/>
      <c r="H1274" s="64" t="str">
        <f aca="false">IF(OR(A1274="",B1274=""),"",CONCATENATE("https://matarstund.is/serfaedi?id=",LOWER(SUBSTITUTE(B1274," ","-"))))</f>
        <v/>
      </c>
    </row>
    <row r="1275" customFormat="false" ht="15" hidden="false" customHeight="true" outlineLevel="0" collapsed="false">
      <c r="A1275" s="9"/>
      <c r="B1275" s="9"/>
      <c r="C1275" s="9"/>
      <c r="D1275" s="9"/>
      <c r="E1275" s="9"/>
      <c r="F1275" s="9"/>
      <c r="G1275" s="9"/>
      <c r="H1275" s="64" t="str">
        <f aca="false">IF(OR(A1275="",B1275=""),"",CONCATENATE("https://matarstund.is/serfaedi?id=",LOWER(SUBSTITUTE(B1275," ","-"))))</f>
        <v/>
      </c>
    </row>
    <row r="1276" customFormat="false" ht="15" hidden="false" customHeight="true" outlineLevel="0" collapsed="false">
      <c r="A1276" s="68"/>
      <c r="B1276" s="68"/>
      <c r="C1276" s="68"/>
      <c r="D1276" s="68"/>
      <c r="E1276" s="68"/>
      <c r="F1276" s="68"/>
      <c r="G1276" s="68"/>
      <c r="H1276" s="64" t="str">
        <f aca="false">IF(OR(A1276="",B1276=""),"",CONCATENATE("https://matarstund.is/serfaedi?id=",LOWER(SUBSTITUTE(B1276," ","-"))))</f>
        <v/>
      </c>
    </row>
    <row r="1277" customFormat="false" ht="15" hidden="false" customHeight="true" outlineLevel="0" collapsed="false">
      <c r="A1277" s="9"/>
      <c r="B1277" s="9"/>
      <c r="C1277" s="9"/>
      <c r="D1277" s="9"/>
      <c r="E1277" s="9"/>
      <c r="F1277" s="9"/>
      <c r="G1277" s="9"/>
      <c r="H1277" s="64" t="str">
        <f aca="false">IF(OR(A1277="",B1277=""),"",CONCATENATE("https://matarstund.is/serfaedi?id=",LOWER(SUBSTITUTE(B1277," ","-"))))</f>
        <v/>
      </c>
    </row>
    <row r="1278" customFormat="false" ht="15" hidden="false" customHeight="true" outlineLevel="0" collapsed="false">
      <c r="A1278" s="68"/>
      <c r="B1278" s="68"/>
      <c r="C1278" s="68"/>
      <c r="D1278" s="68"/>
      <c r="E1278" s="68"/>
      <c r="F1278" s="68"/>
      <c r="G1278" s="68"/>
      <c r="H1278" s="64" t="str">
        <f aca="false">IF(OR(A1278="",B1278=""),"",CONCATENATE("https://matarstund.is/serfaedi?id=",LOWER(SUBSTITUTE(B1278," ","-"))))</f>
        <v/>
      </c>
    </row>
    <row r="1279" customFormat="false" ht="15" hidden="false" customHeight="true" outlineLevel="0" collapsed="false">
      <c r="A1279" s="9"/>
      <c r="B1279" s="9"/>
      <c r="C1279" s="9"/>
      <c r="D1279" s="9"/>
      <c r="E1279" s="9"/>
      <c r="F1279" s="9"/>
      <c r="G1279" s="9"/>
      <c r="H1279" s="64" t="str">
        <f aca="false">IF(OR(A1279="",B1279=""),"",CONCATENATE("https://matarstund.is/serfaedi?id=",LOWER(SUBSTITUTE(B1279," ","-"))))</f>
        <v/>
      </c>
    </row>
    <row r="1280" customFormat="false" ht="15" hidden="false" customHeight="true" outlineLevel="0" collapsed="false">
      <c r="A1280" s="68"/>
      <c r="B1280" s="68"/>
      <c r="C1280" s="68"/>
      <c r="D1280" s="68"/>
      <c r="E1280" s="68"/>
      <c r="F1280" s="68"/>
      <c r="G1280" s="68"/>
      <c r="H1280" s="64" t="str">
        <f aca="false">IF(OR(A1280="",B1280=""),"",CONCATENATE("https://matarstund.is/serfaedi?id=",LOWER(SUBSTITUTE(B1280," ","-"))))</f>
        <v/>
      </c>
    </row>
    <row r="1281" customFormat="false" ht="15" hidden="false" customHeight="true" outlineLevel="0" collapsed="false">
      <c r="A1281" s="9"/>
      <c r="B1281" s="9"/>
      <c r="C1281" s="9"/>
      <c r="D1281" s="9"/>
      <c r="E1281" s="9"/>
      <c r="F1281" s="9"/>
      <c r="G1281" s="9"/>
      <c r="H1281" s="64" t="str">
        <f aca="false">IF(OR(A1281="",B1281=""),"",CONCATENATE("https://matarstund.is/serfaedi?id=",LOWER(SUBSTITUTE(B1281," ","-"))))</f>
        <v/>
      </c>
    </row>
    <row r="1282" customFormat="false" ht="15" hidden="false" customHeight="true" outlineLevel="0" collapsed="false">
      <c r="A1282" s="68"/>
      <c r="B1282" s="68"/>
      <c r="C1282" s="68"/>
      <c r="D1282" s="68"/>
      <c r="E1282" s="68"/>
      <c r="F1282" s="68"/>
      <c r="G1282" s="68"/>
      <c r="H1282" s="64" t="str">
        <f aca="false">IF(OR(A1282="",B1282=""),"",CONCATENATE("https://matarstund.is/serfaedi?id=",LOWER(SUBSTITUTE(B1282," ","-"))))</f>
        <v/>
      </c>
    </row>
    <row r="1283" customFormat="false" ht="15" hidden="false" customHeight="true" outlineLevel="0" collapsed="false">
      <c r="A1283" s="9"/>
      <c r="B1283" s="9"/>
      <c r="C1283" s="9"/>
      <c r="D1283" s="9"/>
      <c r="E1283" s="9"/>
      <c r="F1283" s="9"/>
      <c r="G1283" s="9"/>
      <c r="H1283" s="64" t="str">
        <f aca="false">IF(OR(A1283="",B1283=""),"",CONCATENATE("https://matarstund.is/serfaedi?id=",LOWER(SUBSTITUTE(B1283," ","-"))))</f>
        <v/>
      </c>
    </row>
    <row r="1284" customFormat="false" ht="15" hidden="false" customHeight="true" outlineLevel="0" collapsed="false">
      <c r="A1284" s="68"/>
      <c r="B1284" s="68"/>
      <c r="C1284" s="68"/>
      <c r="D1284" s="68"/>
      <c r="E1284" s="68"/>
      <c r="F1284" s="68"/>
      <c r="G1284" s="68"/>
      <c r="H1284" s="64" t="str">
        <f aca="false">IF(OR(A1284="",B1284=""),"",CONCATENATE("https://matarstund.is/serfaedi?id=",LOWER(SUBSTITUTE(B1284," ","-"))))</f>
        <v/>
      </c>
    </row>
    <row r="1285" customFormat="false" ht="15" hidden="false" customHeight="true" outlineLevel="0" collapsed="false">
      <c r="A1285" s="9"/>
      <c r="B1285" s="9"/>
      <c r="C1285" s="9"/>
      <c r="D1285" s="9"/>
      <c r="E1285" s="9"/>
      <c r="F1285" s="9"/>
      <c r="G1285" s="9"/>
      <c r="H1285" s="64" t="str">
        <f aca="false">IF(OR(A1285="",B1285=""),"",CONCATENATE("https://matarstund.is/serfaedi?id=",LOWER(SUBSTITUTE(B1285," ","-"))))</f>
        <v/>
      </c>
    </row>
    <row r="1286" customFormat="false" ht="15" hidden="false" customHeight="true" outlineLevel="0" collapsed="false">
      <c r="A1286" s="68"/>
      <c r="B1286" s="68"/>
      <c r="C1286" s="68"/>
      <c r="D1286" s="68"/>
      <c r="E1286" s="68"/>
      <c r="F1286" s="68"/>
      <c r="G1286" s="68"/>
      <c r="H1286" s="64" t="str">
        <f aca="false">IF(OR(A1286="",B1286=""),"",CONCATENATE("https://matarstund.is/serfaedi?id=",LOWER(SUBSTITUTE(B1286," ","-"))))</f>
        <v/>
      </c>
    </row>
    <row r="1287" customFormat="false" ht="15" hidden="false" customHeight="true" outlineLevel="0" collapsed="false">
      <c r="A1287" s="9"/>
      <c r="B1287" s="9"/>
      <c r="C1287" s="9"/>
      <c r="D1287" s="9"/>
      <c r="E1287" s="9"/>
      <c r="F1287" s="9"/>
      <c r="G1287" s="9"/>
      <c r="H1287" s="64" t="str">
        <f aca="false">IF(OR(A1287="",B1287=""),"",CONCATENATE("https://matarstund.is/serfaedi?id=",LOWER(SUBSTITUTE(B1287," ","-"))))</f>
        <v/>
      </c>
    </row>
    <row r="1288" customFormat="false" ht="15" hidden="false" customHeight="true" outlineLevel="0" collapsed="false">
      <c r="A1288" s="68"/>
      <c r="B1288" s="68"/>
      <c r="C1288" s="68"/>
      <c r="D1288" s="68"/>
      <c r="E1288" s="68"/>
      <c r="F1288" s="68"/>
      <c r="G1288" s="68"/>
      <c r="H1288" s="64" t="str">
        <f aca="false">IF(OR(A1288="",B1288=""),"",CONCATENATE("https://matarstund.is/serfaedi?id=",LOWER(SUBSTITUTE(B1288," ","-"))))</f>
        <v/>
      </c>
    </row>
    <row r="1289" customFormat="false" ht="15" hidden="false" customHeight="true" outlineLevel="0" collapsed="false">
      <c r="A1289" s="9"/>
      <c r="B1289" s="9"/>
      <c r="C1289" s="9"/>
      <c r="D1289" s="9"/>
      <c r="E1289" s="9"/>
      <c r="F1289" s="9"/>
      <c r="G1289" s="9"/>
      <c r="H1289" s="64" t="str">
        <f aca="false">IF(OR(A1289="",B1289=""),"",CONCATENATE("https://matarstund.is/serfaedi?id=",LOWER(SUBSTITUTE(B1289," ","-"))))</f>
        <v/>
      </c>
    </row>
    <row r="1290" customFormat="false" ht="15" hidden="false" customHeight="true" outlineLevel="0" collapsed="false">
      <c r="A1290" s="68"/>
      <c r="B1290" s="68"/>
      <c r="C1290" s="68"/>
      <c r="D1290" s="68"/>
      <c r="E1290" s="68"/>
      <c r="F1290" s="68"/>
      <c r="G1290" s="68"/>
      <c r="H1290" s="64" t="str">
        <f aca="false">IF(OR(A1290="",B1290=""),"",CONCATENATE("https://matarstund.is/serfaedi?id=",LOWER(SUBSTITUTE(B1290," ","-"))))</f>
        <v/>
      </c>
    </row>
    <row r="1291" customFormat="false" ht="15" hidden="false" customHeight="true" outlineLevel="0" collapsed="false">
      <c r="A1291" s="9"/>
      <c r="B1291" s="9"/>
      <c r="C1291" s="9"/>
      <c r="D1291" s="9"/>
      <c r="E1291" s="9"/>
      <c r="F1291" s="9"/>
      <c r="G1291" s="9"/>
      <c r="H1291" s="64" t="str">
        <f aca="false">IF(OR(A1291="",B1291=""),"",CONCATENATE("https://matarstund.is/serfaedi?id=",LOWER(SUBSTITUTE(B1291," ","-"))))</f>
        <v/>
      </c>
    </row>
    <row r="1292" customFormat="false" ht="15" hidden="false" customHeight="true" outlineLevel="0" collapsed="false">
      <c r="A1292" s="68"/>
      <c r="B1292" s="68"/>
      <c r="C1292" s="68"/>
      <c r="D1292" s="68"/>
      <c r="E1292" s="68"/>
      <c r="F1292" s="68"/>
      <c r="G1292" s="68"/>
      <c r="H1292" s="64" t="str">
        <f aca="false">IF(OR(A1292="",B1292=""),"",CONCATENATE("https://matarstund.is/serfaedi?id=",LOWER(SUBSTITUTE(B1292," ","-"))))</f>
        <v/>
      </c>
    </row>
    <row r="1293" customFormat="false" ht="15" hidden="false" customHeight="true" outlineLevel="0" collapsed="false">
      <c r="A1293" s="9"/>
      <c r="B1293" s="9"/>
      <c r="C1293" s="9"/>
      <c r="D1293" s="9"/>
      <c r="E1293" s="9"/>
      <c r="F1293" s="9"/>
      <c r="G1293" s="9"/>
      <c r="H1293" s="64" t="str">
        <f aca="false">IF(OR(A1293="",B1293=""),"",CONCATENATE("https://matarstund.is/serfaedi?id=",LOWER(SUBSTITUTE(B1293," ","-"))))</f>
        <v/>
      </c>
    </row>
    <row r="1294" customFormat="false" ht="15" hidden="false" customHeight="true" outlineLevel="0" collapsed="false">
      <c r="A1294" s="68"/>
      <c r="B1294" s="68"/>
      <c r="C1294" s="68"/>
      <c r="D1294" s="68"/>
      <c r="E1294" s="68"/>
      <c r="F1294" s="68"/>
      <c r="G1294" s="68"/>
      <c r="H1294" s="64" t="str">
        <f aca="false">IF(OR(A1294="",B1294=""),"",CONCATENATE("https://matarstund.is/serfaedi?id=",LOWER(SUBSTITUTE(B1294," ","-"))))</f>
        <v/>
      </c>
    </row>
    <row r="1295" customFormat="false" ht="15" hidden="false" customHeight="true" outlineLevel="0" collapsed="false">
      <c r="A1295" s="9"/>
      <c r="B1295" s="9"/>
      <c r="C1295" s="9"/>
      <c r="D1295" s="9"/>
      <c r="E1295" s="9"/>
      <c r="F1295" s="9"/>
      <c r="G1295" s="9"/>
      <c r="H1295" s="64" t="str">
        <f aca="false">IF(OR(A1295="",B1295=""),"",CONCATENATE("https://matarstund.is/serfaedi?id=",LOWER(SUBSTITUTE(B1295," ","-"))))</f>
        <v/>
      </c>
    </row>
    <row r="1296" customFormat="false" ht="15" hidden="false" customHeight="true" outlineLevel="0" collapsed="false">
      <c r="A1296" s="68"/>
      <c r="B1296" s="68"/>
      <c r="C1296" s="68"/>
      <c r="D1296" s="68"/>
      <c r="E1296" s="68"/>
      <c r="F1296" s="68"/>
      <c r="G1296" s="68"/>
      <c r="H1296" s="64" t="str">
        <f aca="false">IF(OR(A1296="",B1296=""),"",CONCATENATE("https://matarstund.is/serfaedi?id=",LOWER(SUBSTITUTE(B1296," ","-"))))</f>
        <v/>
      </c>
    </row>
    <row r="1297" customFormat="false" ht="15" hidden="false" customHeight="true" outlineLevel="0" collapsed="false">
      <c r="A1297" s="9"/>
      <c r="B1297" s="9"/>
      <c r="C1297" s="9"/>
      <c r="D1297" s="9"/>
      <c r="E1297" s="9"/>
      <c r="F1297" s="9"/>
      <c r="G1297" s="9"/>
      <c r="H1297" s="64" t="str">
        <f aca="false">IF(OR(A1297="",B1297=""),"",CONCATENATE("https://matarstund.is/serfaedi?id=",LOWER(SUBSTITUTE(B1297," ","-"))))</f>
        <v/>
      </c>
    </row>
    <row r="1298" customFormat="false" ht="15" hidden="false" customHeight="true" outlineLevel="0" collapsed="false">
      <c r="A1298" s="68"/>
      <c r="B1298" s="68"/>
      <c r="C1298" s="68"/>
      <c r="D1298" s="68"/>
      <c r="E1298" s="68"/>
      <c r="F1298" s="68"/>
      <c r="G1298" s="68"/>
      <c r="H1298" s="64" t="str">
        <f aca="false">IF(OR(A1298="",B1298=""),"",CONCATENATE("https://matarstund.is/serfaedi?id=",LOWER(SUBSTITUTE(B1298," ","-"))))</f>
        <v/>
      </c>
    </row>
    <row r="1299" customFormat="false" ht="15" hidden="false" customHeight="true" outlineLevel="0" collapsed="false">
      <c r="A1299" s="9"/>
      <c r="B1299" s="9"/>
      <c r="C1299" s="9"/>
      <c r="D1299" s="9"/>
      <c r="E1299" s="9"/>
      <c r="F1299" s="9"/>
      <c r="G1299" s="9"/>
      <c r="H1299" s="64" t="str">
        <f aca="false">IF(OR(A1299="",B1299=""),"",CONCATENATE("https://matarstund.is/serfaedi?id=",LOWER(SUBSTITUTE(B1299," ","-"))))</f>
        <v/>
      </c>
    </row>
    <row r="1300" customFormat="false" ht="15" hidden="false" customHeight="true" outlineLevel="0" collapsed="false">
      <c r="A1300" s="68"/>
      <c r="B1300" s="68"/>
      <c r="C1300" s="68"/>
      <c r="D1300" s="68"/>
      <c r="E1300" s="68"/>
      <c r="F1300" s="68"/>
      <c r="G1300" s="68"/>
      <c r="H1300" s="64" t="str">
        <f aca="false">IF(OR(A1300="",B1300=""),"",CONCATENATE("https://matarstund.is/serfaedi?id=",LOWER(SUBSTITUTE(B1300," ","-"))))</f>
        <v/>
      </c>
    </row>
    <row r="1301" customFormat="false" ht="15" hidden="false" customHeight="true" outlineLevel="0" collapsed="false">
      <c r="A1301" s="9"/>
      <c r="B1301" s="9"/>
      <c r="C1301" s="9"/>
      <c r="D1301" s="9"/>
      <c r="E1301" s="9"/>
      <c r="F1301" s="9"/>
      <c r="G1301" s="9"/>
      <c r="H1301" s="64" t="str">
        <f aca="false">IF(OR(A1301="",B1301=""),"",CONCATENATE("https://matarstund.is/serfaedi?id=",LOWER(SUBSTITUTE(B1301," ","-"))))</f>
        <v/>
      </c>
    </row>
    <row r="1302" customFormat="false" ht="15" hidden="false" customHeight="true" outlineLevel="0" collapsed="false">
      <c r="A1302" s="68"/>
      <c r="B1302" s="68"/>
      <c r="C1302" s="68"/>
      <c r="D1302" s="68"/>
      <c r="E1302" s="68"/>
      <c r="F1302" s="68"/>
      <c r="G1302" s="68"/>
      <c r="H1302" s="64" t="str">
        <f aca="false">IF(OR(A1302="",B1302=""),"",CONCATENATE("https://matarstund.is/serfaedi?id=",LOWER(SUBSTITUTE(B1302," ","-"))))</f>
        <v/>
      </c>
    </row>
    <row r="1303" customFormat="false" ht="15" hidden="false" customHeight="true" outlineLevel="0" collapsed="false">
      <c r="A1303" s="9"/>
      <c r="B1303" s="9"/>
      <c r="C1303" s="9"/>
      <c r="D1303" s="9"/>
      <c r="E1303" s="9"/>
      <c r="F1303" s="9"/>
      <c r="G1303" s="9"/>
      <c r="H1303" s="64" t="str">
        <f aca="false">IF(OR(A1303="",B1303=""),"",CONCATENATE("https://matarstund.is/serfaedi?id=",LOWER(SUBSTITUTE(B1303," ","-"))))</f>
        <v/>
      </c>
    </row>
    <row r="1304" customFormat="false" ht="15" hidden="false" customHeight="true" outlineLevel="0" collapsed="false">
      <c r="A1304" s="68"/>
      <c r="B1304" s="68"/>
      <c r="C1304" s="68"/>
      <c r="D1304" s="68"/>
      <c r="E1304" s="68"/>
      <c r="F1304" s="68"/>
      <c r="G1304" s="68"/>
      <c r="H1304" s="64" t="str">
        <f aca="false">IF(OR(A1304="",B1304=""),"",CONCATENATE("https://matarstund.is/serfaedi?id=",LOWER(SUBSTITUTE(B1304," ","-"))))</f>
        <v/>
      </c>
    </row>
    <row r="1305" customFormat="false" ht="15" hidden="false" customHeight="true" outlineLevel="0" collapsed="false">
      <c r="A1305" s="9"/>
      <c r="B1305" s="9"/>
      <c r="C1305" s="9"/>
      <c r="D1305" s="9"/>
      <c r="E1305" s="9"/>
      <c r="F1305" s="9"/>
      <c r="G1305" s="9"/>
      <c r="H1305" s="64" t="str">
        <f aca="false">IF(OR(A1305="",B1305=""),"",CONCATENATE("https://matarstund.is/serfaedi?id=",LOWER(SUBSTITUTE(B1305," ","-"))))</f>
        <v/>
      </c>
    </row>
    <row r="1306" customFormat="false" ht="15" hidden="false" customHeight="true" outlineLevel="0" collapsed="false">
      <c r="A1306" s="68"/>
      <c r="B1306" s="68"/>
      <c r="C1306" s="68"/>
      <c r="D1306" s="68"/>
      <c r="E1306" s="68"/>
      <c r="F1306" s="68"/>
      <c r="G1306" s="68"/>
      <c r="H1306" s="64" t="str">
        <f aca="false">IF(OR(A1306="",B1306=""),"",CONCATENATE("https://matarstund.is/serfaedi?id=",LOWER(SUBSTITUTE(B1306," ","-"))))</f>
        <v/>
      </c>
    </row>
    <row r="1307" customFormat="false" ht="15" hidden="false" customHeight="true" outlineLevel="0" collapsed="false">
      <c r="A1307" s="9"/>
      <c r="B1307" s="9"/>
      <c r="C1307" s="9"/>
      <c r="D1307" s="9"/>
      <c r="E1307" s="9"/>
      <c r="F1307" s="9"/>
      <c r="G1307" s="9"/>
      <c r="H1307" s="64" t="str">
        <f aca="false">IF(OR(A1307="",B1307=""),"",CONCATENATE("https://matarstund.is/serfaedi?id=",LOWER(SUBSTITUTE(B1307," ","-"))))</f>
        <v/>
      </c>
    </row>
    <row r="1308" customFormat="false" ht="15" hidden="false" customHeight="true" outlineLevel="0" collapsed="false">
      <c r="A1308" s="68"/>
      <c r="B1308" s="68"/>
      <c r="C1308" s="68"/>
      <c r="D1308" s="68"/>
      <c r="E1308" s="68"/>
      <c r="F1308" s="68"/>
      <c r="G1308" s="68"/>
      <c r="H1308" s="64" t="str">
        <f aca="false">IF(OR(A1308="",B1308=""),"",CONCATENATE("https://matarstund.is/serfaedi?id=",LOWER(SUBSTITUTE(B1308," ","-"))))</f>
        <v/>
      </c>
    </row>
    <row r="1309" customFormat="false" ht="15" hidden="false" customHeight="true" outlineLevel="0" collapsed="false">
      <c r="A1309" s="9"/>
      <c r="B1309" s="9"/>
      <c r="C1309" s="9"/>
      <c r="D1309" s="9"/>
      <c r="E1309" s="9"/>
      <c r="F1309" s="9"/>
      <c r="G1309" s="9"/>
      <c r="H1309" s="64" t="str">
        <f aca="false">IF(OR(A1309="",B1309=""),"",CONCATENATE("https://matarstund.is/serfaedi?id=",LOWER(SUBSTITUTE(B1309," ","-"))))</f>
        <v/>
      </c>
    </row>
    <row r="1310" customFormat="false" ht="15" hidden="false" customHeight="true" outlineLevel="0" collapsed="false">
      <c r="A1310" s="68"/>
      <c r="B1310" s="68"/>
      <c r="C1310" s="68"/>
      <c r="D1310" s="68"/>
      <c r="E1310" s="68"/>
      <c r="F1310" s="68"/>
      <c r="G1310" s="68"/>
      <c r="H1310" s="64" t="str">
        <f aca="false">IF(OR(A1310="",B1310=""),"",CONCATENATE("https://matarstund.is/serfaedi?id=",LOWER(SUBSTITUTE(B1310," ","-"))))</f>
        <v/>
      </c>
    </row>
    <row r="1311" customFormat="false" ht="15" hidden="false" customHeight="true" outlineLevel="0" collapsed="false">
      <c r="A1311" s="9"/>
      <c r="B1311" s="9"/>
      <c r="C1311" s="9"/>
      <c r="D1311" s="9"/>
      <c r="E1311" s="9"/>
      <c r="F1311" s="9"/>
      <c r="G1311" s="9"/>
      <c r="H1311" s="64" t="str">
        <f aca="false">IF(OR(A1311="",B1311=""),"",CONCATENATE("https://matarstund.is/serfaedi?id=",LOWER(SUBSTITUTE(B1311," ","-"))))</f>
        <v/>
      </c>
    </row>
    <row r="1312" customFormat="false" ht="15" hidden="false" customHeight="true" outlineLevel="0" collapsed="false">
      <c r="A1312" s="68"/>
      <c r="B1312" s="68"/>
      <c r="C1312" s="68"/>
      <c r="D1312" s="68"/>
      <c r="E1312" s="68"/>
      <c r="F1312" s="68"/>
      <c r="G1312" s="68"/>
      <c r="H1312" s="64" t="str">
        <f aca="false">IF(OR(A1312="",B1312=""),"",CONCATENATE("https://matarstund.is/serfaedi?id=",LOWER(SUBSTITUTE(B1312," ","-"))))</f>
        <v/>
      </c>
    </row>
    <row r="1313" customFormat="false" ht="15" hidden="false" customHeight="true" outlineLevel="0" collapsed="false">
      <c r="A1313" s="9"/>
      <c r="B1313" s="9"/>
      <c r="C1313" s="9"/>
      <c r="D1313" s="9"/>
      <c r="E1313" s="9"/>
      <c r="F1313" s="9"/>
      <c r="G1313" s="9"/>
      <c r="H1313" s="64" t="str">
        <f aca="false">IF(OR(A1313="",B1313=""),"",CONCATENATE("https://matarstund.is/serfaedi?id=",LOWER(SUBSTITUTE(B1313," ","-"))))</f>
        <v/>
      </c>
    </row>
    <row r="1314" customFormat="false" ht="15" hidden="false" customHeight="true" outlineLevel="0" collapsed="false">
      <c r="A1314" s="68"/>
      <c r="B1314" s="68"/>
      <c r="C1314" s="68"/>
      <c r="D1314" s="68"/>
      <c r="E1314" s="68"/>
      <c r="F1314" s="68"/>
      <c r="G1314" s="68"/>
      <c r="H1314" s="64" t="str">
        <f aca="false">IF(OR(A1314="",B1314=""),"",CONCATENATE("https://matarstund.is/serfaedi?id=",LOWER(SUBSTITUTE(B1314," ","-"))))</f>
        <v/>
      </c>
    </row>
    <row r="1315" customFormat="false" ht="15" hidden="false" customHeight="true" outlineLevel="0" collapsed="false">
      <c r="A1315" s="9"/>
      <c r="B1315" s="9"/>
      <c r="C1315" s="9"/>
      <c r="D1315" s="9"/>
      <c r="E1315" s="9"/>
      <c r="F1315" s="9"/>
      <c r="G1315" s="9"/>
      <c r="H1315" s="64" t="str">
        <f aca="false">IF(OR(A1315="",B1315=""),"",CONCATENATE("https://matarstund.is/serfaedi?id=",LOWER(SUBSTITUTE(B1315," ","-"))))</f>
        <v/>
      </c>
    </row>
    <row r="1316" customFormat="false" ht="15" hidden="false" customHeight="true" outlineLevel="0" collapsed="false">
      <c r="A1316" s="68"/>
      <c r="B1316" s="68"/>
      <c r="C1316" s="68"/>
      <c r="D1316" s="68"/>
      <c r="E1316" s="68"/>
      <c r="F1316" s="68"/>
      <c r="G1316" s="68"/>
      <c r="H1316" s="64" t="str">
        <f aca="false">IF(OR(A1316="",B1316=""),"",CONCATENATE("https://matarstund.is/serfaedi?id=",LOWER(SUBSTITUTE(B1316," ","-"))))</f>
        <v/>
      </c>
    </row>
    <row r="1317" customFormat="false" ht="15" hidden="false" customHeight="true" outlineLevel="0" collapsed="false">
      <c r="A1317" s="9"/>
      <c r="B1317" s="9"/>
      <c r="C1317" s="9"/>
      <c r="D1317" s="9"/>
      <c r="E1317" s="9"/>
      <c r="F1317" s="9"/>
      <c r="G1317" s="9"/>
      <c r="H1317" s="64" t="str">
        <f aca="false">IF(OR(A1317="",B1317=""),"",CONCATENATE("https://matarstund.is/serfaedi?id=",LOWER(SUBSTITUTE(B1317," ","-"))))</f>
        <v/>
      </c>
    </row>
    <row r="1318" customFormat="false" ht="15" hidden="false" customHeight="true" outlineLevel="0" collapsed="false">
      <c r="A1318" s="68"/>
      <c r="B1318" s="68"/>
      <c r="C1318" s="68"/>
      <c r="D1318" s="68"/>
      <c r="E1318" s="68"/>
      <c r="F1318" s="68"/>
      <c r="G1318" s="68"/>
      <c r="H1318" s="64" t="str">
        <f aca="false">IF(OR(A1318="",B1318=""),"",CONCATENATE("https://matarstund.is/serfaedi?id=",LOWER(SUBSTITUTE(B1318," ","-"))))</f>
        <v/>
      </c>
    </row>
    <row r="1319" customFormat="false" ht="15" hidden="false" customHeight="true" outlineLevel="0" collapsed="false">
      <c r="A1319" s="9"/>
      <c r="B1319" s="9"/>
      <c r="C1319" s="9"/>
      <c r="D1319" s="9"/>
      <c r="E1319" s="9"/>
      <c r="F1319" s="9"/>
      <c r="G1319" s="9"/>
      <c r="H1319" s="64" t="str">
        <f aca="false">IF(OR(A1319="",B1319=""),"",CONCATENATE("https://matarstund.is/serfaedi?id=",LOWER(SUBSTITUTE(B1319," ","-"))))</f>
        <v/>
      </c>
    </row>
    <row r="1320" customFormat="false" ht="15" hidden="false" customHeight="true" outlineLevel="0" collapsed="false">
      <c r="A1320" s="68"/>
      <c r="B1320" s="68"/>
      <c r="C1320" s="68"/>
      <c r="D1320" s="68"/>
      <c r="E1320" s="68"/>
      <c r="F1320" s="68"/>
      <c r="G1320" s="68"/>
      <c r="H1320" s="64" t="str">
        <f aca="false">IF(OR(A1320="",B1320=""),"",CONCATENATE("https://matarstund.is/serfaedi?id=",LOWER(SUBSTITUTE(B1320," ","-"))))</f>
        <v/>
      </c>
    </row>
    <row r="1321" customFormat="false" ht="15" hidden="false" customHeight="true" outlineLevel="0" collapsed="false">
      <c r="A1321" s="9"/>
      <c r="B1321" s="9"/>
      <c r="C1321" s="9"/>
      <c r="D1321" s="9"/>
      <c r="E1321" s="9"/>
      <c r="F1321" s="9"/>
      <c r="G1321" s="9"/>
      <c r="H1321" s="64" t="str">
        <f aca="false">IF(OR(A1321="",B1321=""),"",CONCATENATE("https://matarstund.is/serfaedi?id=",LOWER(SUBSTITUTE(B1321," ","-"))))</f>
        <v/>
      </c>
    </row>
    <row r="1322" customFormat="false" ht="15" hidden="false" customHeight="true" outlineLevel="0" collapsed="false">
      <c r="A1322" s="68"/>
      <c r="B1322" s="68"/>
      <c r="C1322" s="68"/>
      <c r="D1322" s="68"/>
      <c r="E1322" s="68"/>
      <c r="F1322" s="68"/>
      <c r="G1322" s="68"/>
      <c r="H1322" s="64" t="str">
        <f aca="false">IF(OR(A1322="",B1322=""),"",CONCATENATE("https://matarstund.is/serfaedi?id=",LOWER(SUBSTITUTE(B1322," ","-"))))</f>
        <v/>
      </c>
    </row>
    <row r="1323" customFormat="false" ht="15" hidden="false" customHeight="true" outlineLevel="0" collapsed="false">
      <c r="A1323" s="9"/>
      <c r="B1323" s="9"/>
      <c r="C1323" s="9"/>
      <c r="D1323" s="9"/>
      <c r="E1323" s="9"/>
      <c r="F1323" s="9"/>
      <c r="G1323" s="9"/>
      <c r="H1323" s="64" t="str">
        <f aca="false">IF(OR(A1323="",B1323=""),"",CONCATENATE("https://matarstund.is/serfaedi?id=",LOWER(SUBSTITUTE(B1323," ","-"))))</f>
        <v/>
      </c>
    </row>
    <row r="1324" customFormat="false" ht="15" hidden="false" customHeight="true" outlineLevel="0" collapsed="false">
      <c r="A1324" s="68"/>
      <c r="B1324" s="68"/>
      <c r="C1324" s="68"/>
      <c r="D1324" s="68"/>
      <c r="E1324" s="68"/>
      <c r="F1324" s="68"/>
      <c r="G1324" s="68"/>
      <c r="H1324" s="64" t="str">
        <f aca="false">IF(OR(A1324="",B1324=""),"",CONCATENATE("https://matarstund.is/serfaedi?id=",LOWER(SUBSTITUTE(B1324," ","-"))))</f>
        <v/>
      </c>
    </row>
    <row r="1325" customFormat="false" ht="15" hidden="false" customHeight="true" outlineLevel="0" collapsed="false">
      <c r="A1325" s="9"/>
      <c r="B1325" s="9"/>
      <c r="C1325" s="9"/>
      <c r="D1325" s="9"/>
      <c r="E1325" s="9"/>
      <c r="F1325" s="9"/>
      <c r="G1325" s="9"/>
      <c r="H1325" s="64" t="str">
        <f aca="false">IF(OR(A1325="",B1325=""),"",CONCATENATE("https://matarstund.is/serfaedi?id=",LOWER(SUBSTITUTE(B1325," ","-"))))</f>
        <v/>
      </c>
    </row>
    <row r="1326" customFormat="false" ht="15" hidden="false" customHeight="true" outlineLevel="0" collapsed="false">
      <c r="A1326" s="68"/>
      <c r="B1326" s="68"/>
      <c r="C1326" s="68"/>
      <c r="D1326" s="68"/>
      <c r="E1326" s="68"/>
      <c r="F1326" s="68"/>
      <c r="G1326" s="68"/>
      <c r="H1326" s="64" t="str">
        <f aca="false">IF(OR(A1326="",B1326=""),"",CONCATENATE("https://matarstund.is/serfaedi?id=",LOWER(SUBSTITUTE(B1326," ","-"))))</f>
        <v/>
      </c>
    </row>
    <row r="1327" customFormat="false" ht="15" hidden="false" customHeight="true" outlineLevel="0" collapsed="false">
      <c r="A1327" s="9"/>
      <c r="B1327" s="9"/>
      <c r="C1327" s="9"/>
      <c r="D1327" s="9"/>
      <c r="E1327" s="9"/>
      <c r="F1327" s="9"/>
      <c r="G1327" s="9"/>
      <c r="H1327" s="64" t="str">
        <f aca="false">IF(OR(A1327="",B1327=""),"",CONCATENATE("https://matarstund.is/serfaedi?id=",LOWER(SUBSTITUTE(B1327," ","-"))))</f>
        <v/>
      </c>
    </row>
    <row r="1328" customFormat="false" ht="15" hidden="false" customHeight="true" outlineLevel="0" collapsed="false">
      <c r="A1328" s="68"/>
      <c r="B1328" s="68"/>
      <c r="C1328" s="68"/>
      <c r="D1328" s="68"/>
      <c r="E1328" s="68"/>
      <c r="F1328" s="68"/>
      <c r="G1328" s="68"/>
      <c r="H1328" s="64" t="str">
        <f aca="false">IF(OR(A1328="",B1328=""),"",CONCATENATE("https://matarstund.is/serfaedi?id=",LOWER(SUBSTITUTE(B1328," ","-"))))</f>
        <v/>
      </c>
    </row>
    <row r="1329" customFormat="false" ht="15" hidden="false" customHeight="true" outlineLevel="0" collapsed="false">
      <c r="A1329" s="9"/>
      <c r="B1329" s="9"/>
      <c r="C1329" s="9"/>
      <c r="D1329" s="9"/>
      <c r="E1329" s="9"/>
      <c r="F1329" s="9"/>
      <c r="G1329" s="9"/>
      <c r="H1329" s="64" t="str">
        <f aca="false">IF(OR(A1329="",B1329=""),"",CONCATENATE("https://matarstund.is/serfaedi?id=",LOWER(SUBSTITUTE(B1329," ","-"))))</f>
        <v/>
      </c>
    </row>
    <row r="1330" customFormat="false" ht="15" hidden="false" customHeight="true" outlineLevel="0" collapsed="false">
      <c r="A1330" s="68"/>
      <c r="B1330" s="68"/>
      <c r="C1330" s="68"/>
      <c r="D1330" s="68"/>
      <c r="E1330" s="68"/>
      <c r="F1330" s="68"/>
      <c r="G1330" s="68"/>
      <c r="H1330" s="64" t="str">
        <f aca="false">IF(OR(A1330="",B1330=""),"",CONCATENATE("https://matarstund.is/serfaedi?id=",LOWER(SUBSTITUTE(B1330," ","-"))))</f>
        <v/>
      </c>
    </row>
    <row r="1331" customFormat="false" ht="15" hidden="false" customHeight="true" outlineLevel="0" collapsed="false">
      <c r="A1331" s="9"/>
      <c r="B1331" s="9"/>
      <c r="C1331" s="9"/>
      <c r="D1331" s="9"/>
      <c r="E1331" s="9"/>
      <c r="F1331" s="9"/>
      <c r="G1331" s="9"/>
      <c r="H1331" s="64" t="str">
        <f aca="false">IF(OR(A1331="",B1331=""),"",CONCATENATE("https://matarstund.is/serfaedi?id=",LOWER(SUBSTITUTE(B1331," ","-"))))</f>
        <v/>
      </c>
    </row>
    <row r="1332" customFormat="false" ht="15" hidden="false" customHeight="true" outlineLevel="0" collapsed="false">
      <c r="A1332" s="68"/>
      <c r="B1332" s="68"/>
      <c r="C1332" s="68"/>
      <c r="D1332" s="68"/>
      <c r="E1332" s="68"/>
      <c r="F1332" s="68"/>
      <c r="G1332" s="68"/>
      <c r="H1332" s="64" t="str">
        <f aca="false">IF(OR(A1332="",B1332=""),"",CONCATENATE("https://matarstund.is/serfaedi?id=",LOWER(SUBSTITUTE(B1332," ","-"))))</f>
        <v/>
      </c>
    </row>
    <row r="1333" customFormat="false" ht="15" hidden="false" customHeight="true" outlineLevel="0" collapsed="false">
      <c r="A1333" s="9"/>
      <c r="B1333" s="9"/>
      <c r="C1333" s="9"/>
      <c r="D1333" s="9"/>
      <c r="E1333" s="9"/>
      <c r="F1333" s="9"/>
      <c r="G1333" s="9"/>
      <c r="H1333" s="64" t="str">
        <f aca="false">IF(OR(A1333="",B1333=""),"",CONCATENATE("https://matarstund.is/serfaedi?id=",LOWER(SUBSTITUTE(B1333," ","-"))))</f>
        <v/>
      </c>
    </row>
    <row r="1334" customFormat="false" ht="15" hidden="false" customHeight="true" outlineLevel="0" collapsed="false">
      <c r="A1334" s="68"/>
      <c r="B1334" s="68"/>
      <c r="C1334" s="68"/>
      <c r="D1334" s="68"/>
      <c r="E1334" s="68"/>
      <c r="F1334" s="68"/>
      <c r="G1334" s="68"/>
      <c r="H1334" s="64" t="str">
        <f aca="false">IF(OR(A1334="",B1334=""),"",CONCATENATE("https://matarstund.is/serfaedi?id=",LOWER(SUBSTITUTE(B1334," ","-"))))</f>
        <v/>
      </c>
    </row>
    <row r="1335" customFormat="false" ht="15" hidden="false" customHeight="true" outlineLevel="0" collapsed="false">
      <c r="A1335" s="9"/>
      <c r="B1335" s="9"/>
      <c r="C1335" s="9"/>
      <c r="D1335" s="9"/>
      <c r="E1335" s="9"/>
      <c r="F1335" s="9"/>
      <c r="G1335" s="9"/>
      <c r="H1335" s="64" t="str">
        <f aca="false">IF(OR(A1335="",B1335=""),"",CONCATENATE("https://matarstund.is/serfaedi?id=",LOWER(SUBSTITUTE(B1335," ","-"))))</f>
        <v/>
      </c>
    </row>
    <row r="1336" customFormat="false" ht="15" hidden="false" customHeight="true" outlineLevel="0" collapsed="false">
      <c r="A1336" s="68"/>
      <c r="B1336" s="68"/>
      <c r="C1336" s="68"/>
      <c r="D1336" s="68"/>
      <c r="E1336" s="68"/>
      <c r="F1336" s="68"/>
      <c r="G1336" s="68"/>
      <c r="H1336" s="64" t="str">
        <f aca="false">IF(OR(A1336="",B1336=""),"",CONCATENATE("https://matarstund.is/serfaedi?id=",LOWER(SUBSTITUTE(B1336," ","-"))))</f>
        <v/>
      </c>
    </row>
    <row r="1337" customFormat="false" ht="15" hidden="false" customHeight="true" outlineLevel="0" collapsed="false">
      <c r="A1337" s="9"/>
      <c r="B1337" s="9"/>
      <c r="C1337" s="9"/>
      <c r="D1337" s="9"/>
      <c r="E1337" s="9"/>
      <c r="F1337" s="9"/>
      <c r="G1337" s="9"/>
      <c r="H1337" s="64" t="str">
        <f aca="false">IF(OR(A1337="",B1337=""),"",CONCATENATE("https://matarstund.is/serfaedi?id=",LOWER(SUBSTITUTE(B1337," ","-"))))</f>
        <v/>
      </c>
    </row>
    <row r="1338" customFormat="false" ht="15" hidden="false" customHeight="true" outlineLevel="0" collapsed="false">
      <c r="A1338" s="68"/>
      <c r="B1338" s="68"/>
      <c r="C1338" s="68"/>
      <c r="D1338" s="68"/>
      <c r="E1338" s="68"/>
      <c r="F1338" s="68"/>
      <c r="G1338" s="68"/>
      <c r="H1338" s="64" t="str">
        <f aca="false">IF(OR(A1338="",B1338=""),"",CONCATENATE("https://matarstund.is/serfaedi?id=",LOWER(SUBSTITUTE(B1338," ","-"))))</f>
        <v/>
      </c>
    </row>
    <row r="1339" customFormat="false" ht="15" hidden="false" customHeight="true" outlineLevel="0" collapsed="false">
      <c r="A1339" s="9"/>
      <c r="B1339" s="9"/>
      <c r="C1339" s="9"/>
      <c r="D1339" s="9"/>
      <c r="E1339" s="9"/>
      <c r="F1339" s="9"/>
      <c r="G1339" s="9"/>
      <c r="H1339" s="64" t="str">
        <f aca="false">IF(OR(A1339="",B1339=""),"",CONCATENATE("https://matarstund.is/serfaedi?id=",LOWER(SUBSTITUTE(B1339," ","-"))))</f>
        <v/>
      </c>
    </row>
    <row r="1340" customFormat="false" ht="15" hidden="false" customHeight="true" outlineLevel="0" collapsed="false">
      <c r="A1340" s="68"/>
      <c r="B1340" s="68"/>
      <c r="C1340" s="68"/>
      <c r="D1340" s="68"/>
      <c r="E1340" s="68"/>
      <c r="F1340" s="68"/>
      <c r="G1340" s="68"/>
      <c r="H1340" s="64" t="str">
        <f aca="false">IF(OR(A1340="",B1340=""),"",CONCATENATE("https://matarstund.is/serfaedi?id=",LOWER(SUBSTITUTE(B1340," ","-"))))</f>
        <v/>
      </c>
    </row>
    <row r="1341" customFormat="false" ht="15" hidden="false" customHeight="true" outlineLevel="0" collapsed="false">
      <c r="A1341" s="9"/>
      <c r="B1341" s="9"/>
      <c r="C1341" s="9"/>
      <c r="D1341" s="9"/>
      <c r="E1341" s="9"/>
      <c r="F1341" s="9"/>
      <c r="G1341" s="9"/>
      <c r="H1341" s="64" t="str">
        <f aca="false">IF(OR(A1341="",B1341=""),"",CONCATENATE("https://matarstund.is/serfaedi?id=",LOWER(SUBSTITUTE(B1341," ","-"))))</f>
        <v/>
      </c>
    </row>
    <row r="1342" customFormat="false" ht="15" hidden="false" customHeight="true" outlineLevel="0" collapsed="false">
      <c r="A1342" s="68"/>
      <c r="B1342" s="68"/>
      <c r="C1342" s="68"/>
      <c r="D1342" s="68"/>
      <c r="E1342" s="68"/>
      <c r="F1342" s="68"/>
      <c r="G1342" s="68"/>
      <c r="H1342" s="64" t="str">
        <f aca="false">IF(OR(A1342="",B1342=""),"",CONCATENATE("https://matarstund.is/serfaedi?id=",LOWER(SUBSTITUTE(B1342," ","-"))))</f>
        <v/>
      </c>
    </row>
    <row r="1343" customFormat="false" ht="15" hidden="false" customHeight="true" outlineLevel="0" collapsed="false">
      <c r="A1343" s="9"/>
      <c r="B1343" s="9"/>
      <c r="C1343" s="9"/>
      <c r="D1343" s="9"/>
      <c r="E1343" s="9"/>
      <c r="F1343" s="9"/>
      <c r="G1343" s="9"/>
      <c r="H1343" s="64" t="str">
        <f aca="false">IF(OR(A1343="",B1343=""),"",CONCATENATE("https://matarstund.is/serfaedi?id=",LOWER(SUBSTITUTE(B1343," ","-"))))</f>
        <v/>
      </c>
    </row>
    <row r="1344" customFormat="false" ht="15" hidden="false" customHeight="true" outlineLevel="0" collapsed="false">
      <c r="A1344" s="68"/>
      <c r="B1344" s="68"/>
      <c r="C1344" s="68"/>
      <c r="D1344" s="68"/>
      <c r="E1344" s="68"/>
      <c r="F1344" s="68"/>
      <c r="G1344" s="68"/>
      <c r="H1344" s="64" t="str">
        <f aca="false">IF(OR(A1344="",B1344=""),"",CONCATENATE("https://matarstund.is/serfaedi?id=",LOWER(SUBSTITUTE(B1344," ","-"))))</f>
        <v/>
      </c>
    </row>
    <row r="1345" customFormat="false" ht="15" hidden="false" customHeight="true" outlineLevel="0" collapsed="false">
      <c r="A1345" s="9"/>
      <c r="B1345" s="9"/>
      <c r="C1345" s="9"/>
      <c r="D1345" s="9"/>
      <c r="E1345" s="9"/>
      <c r="F1345" s="9"/>
      <c r="G1345" s="9"/>
      <c r="H1345" s="64" t="str">
        <f aca="false">IF(OR(A1345="",B1345=""),"",CONCATENATE("https://matarstund.is/serfaedi?id=",LOWER(SUBSTITUTE(B1345," ","-"))))</f>
        <v/>
      </c>
    </row>
    <row r="1346" customFormat="false" ht="15" hidden="false" customHeight="true" outlineLevel="0" collapsed="false">
      <c r="A1346" s="68"/>
      <c r="B1346" s="68"/>
      <c r="C1346" s="68"/>
      <c r="D1346" s="68"/>
      <c r="E1346" s="68"/>
      <c r="F1346" s="68"/>
      <c r="G1346" s="68"/>
      <c r="H1346" s="64" t="str">
        <f aca="false">IF(OR(A1346="",B1346=""),"",CONCATENATE("https://matarstund.is/serfaedi?id=",LOWER(SUBSTITUTE(B1346," ","-"))))</f>
        <v/>
      </c>
    </row>
    <row r="1347" customFormat="false" ht="15" hidden="false" customHeight="true" outlineLevel="0" collapsed="false">
      <c r="A1347" s="9"/>
      <c r="B1347" s="9"/>
      <c r="C1347" s="9"/>
      <c r="D1347" s="9"/>
      <c r="E1347" s="9"/>
      <c r="F1347" s="9"/>
      <c r="G1347" s="9"/>
      <c r="H1347" s="64" t="str">
        <f aca="false">IF(OR(A1347="",B1347=""),"",CONCATENATE("https://matarstund.is/serfaedi?id=",LOWER(SUBSTITUTE(B1347," ","-"))))</f>
        <v/>
      </c>
    </row>
    <row r="1348" customFormat="false" ht="15" hidden="false" customHeight="true" outlineLevel="0" collapsed="false">
      <c r="A1348" s="68"/>
      <c r="B1348" s="68"/>
      <c r="C1348" s="68"/>
      <c r="D1348" s="68"/>
      <c r="E1348" s="68"/>
      <c r="F1348" s="68"/>
      <c r="G1348" s="68"/>
      <c r="H1348" s="64" t="str">
        <f aca="false">IF(OR(A1348="",B1348=""),"",CONCATENATE("https://matarstund.is/serfaedi?id=",LOWER(SUBSTITUTE(B1348," ","-"))))</f>
        <v/>
      </c>
    </row>
    <row r="1349" customFormat="false" ht="15" hidden="false" customHeight="true" outlineLevel="0" collapsed="false">
      <c r="A1349" s="9"/>
      <c r="B1349" s="9"/>
      <c r="C1349" s="9"/>
      <c r="D1349" s="9"/>
      <c r="E1349" s="9"/>
      <c r="F1349" s="9"/>
      <c r="G1349" s="9"/>
      <c r="H1349" s="64" t="str">
        <f aca="false">IF(OR(A1349="",B1349=""),"",CONCATENATE("https://matarstund.is/serfaedi?id=",LOWER(SUBSTITUTE(B1349," ","-"))))</f>
        <v/>
      </c>
    </row>
    <row r="1350" customFormat="false" ht="15" hidden="false" customHeight="true" outlineLevel="0" collapsed="false">
      <c r="A1350" s="68"/>
      <c r="B1350" s="68"/>
      <c r="C1350" s="68"/>
      <c r="D1350" s="68"/>
      <c r="E1350" s="68"/>
      <c r="F1350" s="68"/>
      <c r="G1350" s="68"/>
      <c r="H1350" s="64" t="str">
        <f aca="false">IF(OR(A1350="",B1350=""),"",CONCATENATE("https://matarstund.is/serfaedi?id=",LOWER(SUBSTITUTE(B1350," ","-"))))</f>
        <v/>
      </c>
    </row>
    <row r="1351" customFormat="false" ht="15" hidden="false" customHeight="true" outlineLevel="0" collapsed="false">
      <c r="A1351" s="9"/>
      <c r="B1351" s="9"/>
      <c r="C1351" s="9"/>
      <c r="D1351" s="9"/>
      <c r="E1351" s="9"/>
      <c r="F1351" s="9"/>
      <c r="G1351" s="9"/>
      <c r="H1351" s="64" t="str">
        <f aca="false">IF(OR(A1351="",B1351=""),"",CONCATENATE("https://matarstund.is/serfaedi?id=",LOWER(SUBSTITUTE(B1351," ","-"))))</f>
        <v/>
      </c>
    </row>
    <row r="1352" customFormat="false" ht="15" hidden="false" customHeight="true" outlineLevel="0" collapsed="false">
      <c r="A1352" s="68"/>
      <c r="B1352" s="68"/>
      <c r="C1352" s="68"/>
      <c r="D1352" s="68"/>
      <c r="E1352" s="68"/>
      <c r="F1352" s="68"/>
      <c r="G1352" s="68"/>
      <c r="H1352" s="64" t="str">
        <f aca="false">IF(OR(A1352="",B1352=""),"",CONCATENATE("https://matarstund.is/serfaedi?id=",LOWER(SUBSTITUTE(B1352," ","-"))))</f>
        <v/>
      </c>
    </row>
    <row r="1353" customFormat="false" ht="15" hidden="false" customHeight="true" outlineLevel="0" collapsed="false">
      <c r="A1353" s="9"/>
      <c r="B1353" s="9"/>
      <c r="C1353" s="9"/>
      <c r="D1353" s="9"/>
      <c r="E1353" s="9"/>
      <c r="F1353" s="9"/>
      <c r="G1353" s="9"/>
      <c r="H1353" s="64" t="str">
        <f aca="false">IF(OR(A1353="",B1353=""),"",CONCATENATE("https://matarstund.is/serfaedi?id=",LOWER(SUBSTITUTE(B1353," ","-"))))</f>
        <v/>
      </c>
    </row>
    <row r="1354" customFormat="false" ht="15" hidden="false" customHeight="true" outlineLevel="0" collapsed="false">
      <c r="A1354" s="68"/>
      <c r="B1354" s="68"/>
      <c r="C1354" s="68"/>
      <c r="D1354" s="68"/>
      <c r="E1354" s="68"/>
      <c r="F1354" s="68"/>
      <c r="G1354" s="68"/>
      <c r="H1354" s="64" t="str">
        <f aca="false">IF(OR(A1354="",B1354=""),"",CONCATENATE("https://matarstund.is/serfaedi?id=",LOWER(SUBSTITUTE(B1354," ","-"))))</f>
        <v/>
      </c>
    </row>
    <row r="1355" customFormat="false" ht="15" hidden="false" customHeight="true" outlineLevel="0" collapsed="false">
      <c r="A1355" s="9"/>
      <c r="B1355" s="9"/>
      <c r="C1355" s="9"/>
      <c r="D1355" s="9"/>
      <c r="E1355" s="9"/>
      <c r="F1355" s="9"/>
      <c r="G1355" s="9"/>
      <c r="H1355" s="64" t="str">
        <f aca="false">IF(OR(A1355="",B1355=""),"",CONCATENATE("https://matarstund.is/serfaedi?id=",LOWER(SUBSTITUTE(B1355," ","-"))))</f>
        <v/>
      </c>
    </row>
    <row r="1356" customFormat="false" ht="15" hidden="false" customHeight="true" outlineLevel="0" collapsed="false">
      <c r="A1356" s="68"/>
      <c r="B1356" s="68"/>
      <c r="C1356" s="68"/>
      <c r="D1356" s="68"/>
      <c r="E1356" s="68"/>
      <c r="F1356" s="68"/>
      <c r="G1356" s="68"/>
      <c r="H1356" s="64" t="str">
        <f aca="false">IF(OR(A1356="",B1356=""),"",CONCATENATE("https://matarstund.is/serfaedi?id=",LOWER(SUBSTITUTE(B1356," ","-"))))</f>
        <v/>
      </c>
    </row>
    <row r="1357" customFormat="false" ht="15" hidden="false" customHeight="true" outlineLevel="0" collapsed="false">
      <c r="A1357" s="9"/>
      <c r="B1357" s="9"/>
      <c r="C1357" s="9"/>
      <c r="D1357" s="9"/>
      <c r="E1357" s="9"/>
      <c r="F1357" s="9"/>
      <c r="G1357" s="9"/>
      <c r="H1357" s="64" t="str">
        <f aca="false">IF(OR(A1357="",B1357=""),"",CONCATENATE("https://matarstund.is/serfaedi?id=",LOWER(SUBSTITUTE(B1357," ","-"))))</f>
        <v/>
      </c>
    </row>
    <row r="1358" customFormat="false" ht="15" hidden="false" customHeight="true" outlineLevel="0" collapsed="false">
      <c r="A1358" s="68"/>
      <c r="B1358" s="68"/>
      <c r="C1358" s="68"/>
      <c r="D1358" s="68"/>
      <c r="E1358" s="68"/>
      <c r="F1358" s="68"/>
      <c r="G1358" s="68"/>
      <c r="H1358" s="64" t="str">
        <f aca="false">IF(OR(A1358="",B1358=""),"",CONCATENATE("https://matarstund.is/serfaedi?id=",LOWER(SUBSTITUTE(B1358," ","-"))))</f>
        <v/>
      </c>
    </row>
    <row r="1359" customFormat="false" ht="15" hidden="false" customHeight="true" outlineLevel="0" collapsed="false">
      <c r="A1359" s="9"/>
      <c r="B1359" s="9"/>
      <c r="C1359" s="9"/>
      <c r="D1359" s="9"/>
      <c r="E1359" s="9"/>
      <c r="F1359" s="9"/>
      <c r="G1359" s="9"/>
      <c r="H1359" s="64" t="str">
        <f aca="false">IF(OR(A1359="",B1359=""),"",CONCATENATE("https://matarstund.is/serfaedi?id=",LOWER(SUBSTITUTE(B1359," ","-"))))</f>
        <v/>
      </c>
    </row>
    <row r="1360" customFormat="false" ht="15" hidden="false" customHeight="true" outlineLevel="0" collapsed="false">
      <c r="A1360" s="68"/>
      <c r="B1360" s="68"/>
      <c r="C1360" s="68"/>
      <c r="D1360" s="68"/>
      <c r="E1360" s="68"/>
      <c r="F1360" s="68"/>
      <c r="G1360" s="68"/>
      <c r="H1360" s="64" t="str">
        <f aca="false">IF(OR(A1360="",B1360=""),"",CONCATENATE("https://matarstund.is/serfaedi?id=",LOWER(SUBSTITUTE(B1360," ","-"))))</f>
        <v/>
      </c>
    </row>
    <row r="1361" customFormat="false" ht="15" hidden="false" customHeight="true" outlineLevel="0" collapsed="false">
      <c r="A1361" s="9"/>
      <c r="B1361" s="9"/>
      <c r="C1361" s="9"/>
      <c r="D1361" s="9"/>
      <c r="E1361" s="9"/>
      <c r="F1361" s="9"/>
      <c r="G1361" s="9"/>
      <c r="H1361" s="64" t="str">
        <f aca="false">IF(OR(A1361="",B1361=""),"",CONCATENATE("https://matarstund.is/serfaedi?id=",LOWER(SUBSTITUTE(B1361," ","-"))))</f>
        <v/>
      </c>
    </row>
    <row r="1362" customFormat="false" ht="15" hidden="false" customHeight="true" outlineLevel="0" collapsed="false">
      <c r="A1362" s="68"/>
      <c r="B1362" s="68"/>
      <c r="C1362" s="68"/>
      <c r="D1362" s="68"/>
      <c r="E1362" s="68"/>
      <c r="F1362" s="68"/>
      <c r="G1362" s="68"/>
      <c r="H1362" s="64" t="str">
        <f aca="false">IF(OR(A1362="",B1362=""),"",CONCATENATE("https://matarstund.is/serfaedi?id=",LOWER(SUBSTITUTE(B1362," ","-"))))</f>
        <v/>
      </c>
    </row>
    <row r="1363" customFormat="false" ht="15" hidden="false" customHeight="true" outlineLevel="0" collapsed="false">
      <c r="A1363" s="9"/>
      <c r="B1363" s="9"/>
      <c r="C1363" s="9"/>
      <c r="D1363" s="9"/>
      <c r="E1363" s="9"/>
      <c r="F1363" s="9"/>
      <c r="G1363" s="9"/>
      <c r="H1363" s="64" t="str">
        <f aca="false">IF(OR(A1363="",B1363=""),"",CONCATENATE("https://matarstund.is/serfaedi?id=",LOWER(SUBSTITUTE(B1363," ","-"))))</f>
        <v/>
      </c>
    </row>
    <row r="1364" customFormat="false" ht="15" hidden="false" customHeight="true" outlineLevel="0" collapsed="false">
      <c r="A1364" s="68"/>
      <c r="B1364" s="68"/>
      <c r="C1364" s="68"/>
      <c r="D1364" s="68"/>
      <c r="E1364" s="68"/>
      <c r="F1364" s="68"/>
      <c r="G1364" s="68"/>
      <c r="H1364" s="64" t="str">
        <f aca="false">IF(OR(A1364="",B1364=""),"",CONCATENATE("https://matarstund.is/serfaedi?id=",LOWER(SUBSTITUTE(B1364," ","-"))))</f>
        <v/>
      </c>
    </row>
    <row r="1365" customFormat="false" ht="15" hidden="false" customHeight="true" outlineLevel="0" collapsed="false">
      <c r="A1365" s="9"/>
      <c r="B1365" s="9"/>
      <c r="C1365" s="9"/>
      <c r="D1365" s="9"/>
      <c r="E1365" s="9"/>
      <c r="F1365" s="9"/>
      <c r="G1365" s="9"/>
      <c r="H1365" s="64" t="str">
        <f aca="false">IF(OR(A1365="",B1365=""),"",CONCATENATE("https://matarstund.is/serfaedi?id=",LOWER(SUBSTITUTE(B1365," ","-"))))</f>
        <v/>
      </c>
    </row>
    <row r="1366" customFormat="false" ht="15" hidden="false" customHeight="true" outlineLevel="0" collapsed="false">
      <c r="A1366" s="68"/>
      <c r="B1366" s="68"/>
      <c r="C1366" s="68"/>
      <c r="D1366" s="68"/>
      <c r="E1366" s="68"/>
      <c r="F1366" s="68"/>
      <c r="G1366" s="68"/>
      <c r="H1366" s="64" t="str">
        <f aca="false">IF(OR(A1366="",B1366=""),"",CONCATENATE("https://matarstund.is/serfaedi?id=",LOWER(SUBSTITUTE(B1366," ","-"))))</f>
        <v/>
      </c>
    </row>
    <row r="1367" customFormat="false" ht="15" hidden="false" customHeight="true" outlineLevel="0" collapsed="false">
      <c r="A1367" s="9"/>
      <c r="B1367" s="9"/>
      <c r="C1367" s="9"/>
      <c r="D1367" s="9"/>
      <c r="E1367" s="9"/>
      <c r="F1367" s="9"/>
      <c r="G1367" s="9"/>
      <c r="H1367" s="64" t="str">
        <f aca="false">IF(OR(A1367="",B1367=""),"",CONCATENATE("https://matarstund.is/serfaedi?id=",LOWER(SUBSTITUTE(B1367," ","-"))))</f>
        <v/>
      </c>
    </row>
    <row r="1368" customFormat="false" ht="15" hidden="false" customHeight="true" outlineLevel="0" collapsed="false">
      <c r="A1368" s="68"/>
      <c r="B1368" s="68"/>
      <c r="C1368" s="68"/>
      <c r="D1368" s="68"/>
      <c r="E1368" s="68"/>
      <c r="F1368" s="68"/>
      <c r="G1368" s="68"/>
      <c r="H1368" s="64" t="str">
        <f aca="false">IF(OR(A1368="",B1368=""),"",CONCATENATE("https://matarstund.is/serfaedi?id=",LOWER(SUBSTITUTE(B1368," ","-"))))</f>
        <v/>
      </c>
    </row>
    <row r="1369" customFormat="false" ht="15" hidden="false" customHeight="true" outlineLevel="0" collapsed="false">
      <c r="A1369" s="9"/>
      <c r="B1369" s="9"/>
      <c r="C1369" s="9"/>
      <c r="D1369" s="9"/>
      <c r="E1369" s="9"/>
      <c r="F1369" s="9"/>
      <c r="G1369" s="9"/>
      <c r="H1369" s="64" t="str">
        <f aca="false">IF(OR(A1369="",B1369=""),"",CONCATENATE("https://matarstund.is/serfaedi?id=",LOWER(SUBSTITUTE(B1369," ","-"))))</f>
        <v/>
      </c>
    </row>
    <row r="1370" customFormat="false" ht="15" hidden="false" customHeight="true" outlineLevel="0" collapsed="false">
      <c r="A1370" s="68"/>
      <c r="B1370" s="68"/>
      <c r="C1370" s="68"/>
      <c r="D1370" s="68"/>
      <c r="E1370" s="68"/>
      <c r="F1370" s="68"/>
      <c r="G1370" s="68"/>
      <c r="H1370" s="64" t="str">
        <f aca="false">IF(OR(A1370="",B1370=""),"",CONCATENATE("https://matarstund.is/serfaedi?id=",LOWER(SUBSTITUTE(B1370," ","-"))))</f>
        <v/>
      </c>
    </row>
    <row r="1371" customFormat="false" ht="15" hidden="false" customHeight="true" outlineLevel="0" collapsed="false">
      <c r="A1371" s="9"/>
      <c r="B1371" s="9"/>
      <c r="C1371" s="9"/>
      <c r="D1371" s="9"/>
      <c r="E1371" s="9"/>
      <c r="F1371" s="9"/>
      <c r="G1371" s="9"/>
      <c r="H1371" s="64" t="str">
        <f aca="false">IF(OR(A1371="",B1371=""),"",CONCATENATE("https://matarstund.is/serfaedi?id=",LOWER(SUBSTITUTE(B1371," ","-"))))</f>
        <v/>
      </c>
    </row>
    <row r="1372" customFormat="false" ht="15" hidden="false" customHeight="true" outlineLevel="0" collapsed="false">
      <c r="A1372" s="68"/>
      <c r="B1372" s="68"/>
      <c r="C1372" s="68"/>
      <c r="D1372" s="68"/>
      <c r="E1372" s="68"/>
      <c r="F1372" s="68"/>
      <c r="G1372" s="68"/>
      <c r="H1372" s="64" t="str">
        <f aca="false">IF(OR(A1372="",B1372=""),"",CONCATENATE("https://matarstund.is/serfaedi?id=",LOWER(SUBSTITUTE(B1372," ","-"))))</f>
        <v/>
      </c>
    </row>
    <row r="1373" customFormat="false" ht="15" hidden="false" customHeight="true" outlineLevel="0" collapsed="false">
      <c r="A1373" s="9"/>
      <c r="B1373" s="9"/>
      <c r="C1373" s="9"/>
      <c r="D1373" s="9"/>
      <c r="E1373" s="9"/>
      <c r="F1373" s="9"/>
      <c r="G1373" s="9"/>
      <c r="H1373" s="64" t="str">
        <f aca="false">IF(OR(A1373="",B1373=""),"",CONCATENATE("https://matarstund.is/serfaedi?id=",LOWER(SUBSTITUTE(B1373," ","-"))))</f>
        <v/>
      </c>
    </row>
    <row r="1374" customFormat="false" ht="15" hidden="false" customHeight="true" outlineLevel="0" collapsed="false">
      <c r="A1374" s="68"/>
      <c r="B1374" s="68"/>
      <c r="C1374" s="68"/>
      <c r="D1374" s="68"/>
      <c r="E1374" s="68"/>
      <c r="F1374" s="68"/>
      <c r="G1374" s="68"/>
      <c r="H1374" s="64" t="str">
        <f aca="false">IF(OR(A1374="",B1374=""),"",CONCATENATE("https://matarstund.is/serfaedi?id=",LOWER(SUBSTITUTE(B1374," ","-"))))</f>
        <v/>
      </c>
    </row>
    <row r="1375" customFormat="false" ht="15" hidden="false" customHeight="true" outlineLevel="0" collapsed="false">
      <c r="A1375" s="9"/>
      <c r="B1375" s="9"/>
      <c r="C1375" s="9"/>
      <c r="D1375" s="9"/>
      <c r="E1375" s="9"/>
      <c r="F1375" s="9"/>
      <c r="G1375" s="9"/>
      <c r="H1375" s="64" t="str">
        <f aca="false">IF(OR(A1375="",B1375=""),"",CONCATENATE("https://matarstund.is/serfaedi?id=",LOWER(SUBSTITUTE(B1375," ","-"))))</f>
        <v/>
      </c>
    </row>
    <row r="1376" customFormat="false" ht="15" hidden="false" customHeight="true" outlineLevel="0" collapsed="false">
      <c r="A1376" s="68"/>
      <c r="B1376" s="68"/>
      <c r="C1376" s="68"/>
      <c r="D1376" s="68"/>
      <c r="E1376" s="68"/>
      <c r="F1376" s="68"/>
      <c r="G1376" s="68"/>
      <c r="H1376" s="64" t="str">
        <f aca="false">IF(OR(A1376="",B1376=""),"",CONCATENATE("https://matarstund.is/serfaedi?id=",LOWER(SUBSTITUTE(B1376," ","-"))))</f>
        <v/>
      </c>
    </row>
    <row r="1377" customFormat="false" ht="15" hidden="false" customHeight="true" outlineLevel="0" collapsed="false">
      <c r="A1377" s="9"/>
      <c r="B1377" s="9"/>
      <c r="C1377" s="9"/>
      <c r="D1377" s="9"/>
      <c r="E1377" s="9"/>
      <c r="F1377" s="9"/>
      <c r="G1377" s="9"/>
      <c r="H1377" s="64" t="str">
        <f aca="false">IF(OR(A1377="",B1377=""),"",CONCATENATE("https://matarstund.is/serfaedi?id=",LOWER(SUBSTITUTE(B1377," ","-"))))</f>
        <v/>
      </c>
    </row>
    <row r="1378" customFormat="false" ht="15" hidden="false" customHeight="true" outlineLevel="0" collapsed="false">
      <c r="A1378" s="68"/>
      <c r="B1378" s="68"/>
      <c r="C1378" s="68"/>
      <c r="D1378" s="68"/>
      <c r="E1378" s="68"/>
      <c r="F1378" s="68"/>
      <c r="G1378" s="68"/>
      <c r="H1378" s="64" t="str">
        <f aca="false">IF(OR(A1378="",B1378=""),"",CONCATENATE("https://matarstund.is/serfaedi?id=",LOWER(SUBSTITUTE(B1378," ","-"))))</f>
        <v/>
      </c>
    </row>
    <row r="1379" customFormat="false" ht="15" hidden="false" customHeight="true" outlineLevel="0" collapsed="false">
      <c r="A1379" s="9"/>
      <c r="B1379" s="9"/>
      <c r="C1379" s="9"/>
      <c r="D1379" s="9"/>
      <c r="E1379" s="9"/>
      <c r="F1379" s="9"/>
      <c r="G1379" s="9"/>
      <c r="H1379" s="64" t="str">
        <f aca="false">IF(OR(A1379="",B1379=""),"",CONCATENATE("https://matarstund.is/serfaedi?id=",LOWER(SUBSTITUTE(B1379," ","-"))))</f>
        <v/>
      </c>
    </row>
    <row r="1380" customFormat="false" ht="15" hidden="false" customHeight="true" outlineLevel="0" collapsed="false">
      <c r="A1380" s="68"/>
      <c r="B1380" s="68"/>
      <c r="C1380" s="68"/>
      <c r="D1380" s="68"/>
      <c r="E1380" s="68"/>
      <c r="F1380" s="68"/>
      <c r="G1380" s="68"/>
      <c r="H1380" s="64" t="str">
        <f aca="false">IF(OR(A1380="",B1380=""),"",CONCATENATE("https://matarstund.is/serfaedi?id=",LOWER(SUBSTITUTE(B1380," ","-"))))</f>
        <v/>
      </c>
    </row>
    <row r="1381" customFormat="false" ht="15" hidden="false" customHeight="true" outlineLevel="0" collapsed="false">
      <c r="A1381" s="9"/>
      <c r="B1381" s="9"/>
      <c r="C1381" s="9"/>
      <c r="D1381" s="9"/>
      <c r="E1381" s="9"/>
      <c r="F1381" s="9"/>
      <c r="G1381" s="9"/>
      <c r="H1381" s="64" t="str">
        <f aca="false">IF(OR(A1381="",B1381=""),"",CONCATENATE("https://matarstund.is/serfaedi?id=",LOWER(SUBSTITUTE(B1381," ","-"))))</f>
        <v/>
      </c>
    </row>
    <row r="1382" customFormat="false" ht="15" hidden="false" customHeight="true" outlineLevel="0" collapsed="false">
      <c r="A1382" s="68"/>
      <c r="B1382" s="68"/>
      <c r="C1382" s="68"/>
      <c r="D1382" s="68"/>
      <c r="E1382" s="68"/>
      <c r="F1382" s="68"/>
      <c r="G1382" s="68"/>
      <c r="H1382" s="64" t="str">
        <f aca="false">IF(OR(A1382="",B1382=""),"",CONCATENATE("https://matarstund.is/serfaedi?id=",LOWER(SUBSTITUTE(B1382," ","-"))))</f>
        <v/>
      </c>
    </row>
    <row r="1383" customFormat="false" ht="15" hidden="false" customHeight="true" outlineLevel="0" collapsed="false">
      <c r="A1383" s="9"/>
      <c r="B1383" s="9"/>
      <c r="C1383" s="9"/>
      <c r="D1383" s="9"/>
      <c r="E1383" s="9"/>
      <c r="F1383" s="9"/>
      <c r="G1383" s="9"/>
      <c r="H1383" s="64" t="str">
        <f aca="false">IF(OR(A1383="",B1383=""),"",CONCATENATE("https://matarstund.is/serfaedi?id=",LOWER(SUBSTITUTE(B1383," ","-"))))</f>
        <v/>
      </c>
    </row>
    <row r="1384" customFormat="false" ht="15" hidden="false" customHeight="true" outlineLevel="0" collapsed="false">
      <c r="A1384" s="68"/>
      <c r="B1384" s="68"/>
      <c r="C1384" s="68"/>
      <c r="D1384" s="68"/>
      <c r="E1384" s="68"/>
      <c r="F1384" s="68"/>
      <c r="G1384" s="68"/>
      <c r="H1384" s="64" t="str">
        <f aca="false">IF(OR(A1384="",B1384=""),"",CONCATENATE("https://matarstund.is/serfaedi?id=",LOWER(SUBSTITUTE(B1384," ","-"))))</f>
        <v/>
      </c>
    </row>
    <row r="1385" customFormat="false" ht="15" hidden="false" customHeight="true" outlineLevel="0" collapsed="false">
      <c r="A1385" s="9"/>
      <c r="B1385" s="9"/>
      <c r="C1385" s="9"/>
      <c r="D1385" s="9"/>
      <c r="E1385" s="9"/>
      <c r="F1385" s="9"/>
      <c r="G1385" s="9"/>
      <c r="H1385" s="64" t="str">
        <f aca="false">IF(OR(A1385="",B1385=""),"",CONCATENATE("https://matarstund.is/serfaedi?id=",LOWER(SUBSTITUTE(B1385," ","-"))))</f>
        <v/>
      </c>
    </row>
    <row r="1386" customFormat="false" ht="15" hidden="false" customHeight="true" outlineLevel="0" collapsed="false">
      <c r="A1386" s="68"/>
      <c r="B1386" s="68"/>
      <c r="C1386" s="68"/>
      <c r="D1386" s="68"/>
      <c r="E1386" s="68"/>
      <c r="F1386" s="68"/>
      <c r="G1386" s="68"/>
      <c r="H1386" s="64" t="str">
        <f aca="false">IF(OR(A1386="",B1386=""),"",CONCATENATE("https://matarstund.is/serfaedi?id=",LOWER(SUBSTITUTE(B1386," ","-"))))</f>
        <v/>
      </c>
    </row>
    <row r="1387" customFormat="false" ht="15" hidden="false" customHeight="true" outlineLevel="0" collapsed="false">
      <c r="A1387" s="9"/>
      <c r="B1387" s="9"/>
      <c r="C1387" s="9"/>
      <c r="D1387" s="9"/>
      <c r="E1387" s="9"/>
      <c r="F1387" s="9"/>
      <c r="G1387" s="9"/>
      <c r="H1387" s="64" t="str">
        <f aca="false">IF(OR(A1387="",B1387=""),"",CONCATENATE("https://matarstund.is/serfaedi?id=",LOWER(SUBSTITUTE(B1387," ","-"))))</f>
        <v/>
      </c>
    </row>
    <row r="1388" customFormat="false" ht="15" hidden="false" customHeight="true" outlineLevel="0" collapsed="false">
      <c r="A1388" s="68"/>
      <c r="B1388" s="68"/>
      <c r="C1388" s="68"/>
      <c r="D1388" s="68"/>
      <c r="E1388" s="68"/>
      <c r="F1388" s="68"/>
      <c r="G1388" s="68"/>
      <c r="H1388" s="64" t="str">
        <f aca="false">IF(OR(A1388="",B1388=""),"",CONCATENATE("https://matarstund.is/serfaedi?id=",LOWER(SUBSTITUTE(B1388," ","-"))))</f>
        <v/>
      </c>
    </row>
    <row r="1389" customFormat="false" ht="15" hidden="false" customHeight="true" outlineLevel="0" collapsed="false">
      <c r="A1389" s="9"/>
      <c r="B1389" s="9"/>
      <c r="C1389" s="9"/>
      <c r="D1389" s="9"/>
      <c r="E1389" s="9"/>
      <c r="F1389" s="9"/>
      <c r="G1389" s="9"/>
      <c r="H1389" s="64" t="str">
        <f aca="false">IF(OR(A1389="",B1389=""),"",CONCATENATE("https://matarstund.is/serfaedi?id=",LOWER(SUBSTITUTE(B1389," ","-"))))</f>
        <v/>
      </c>
    </row>
    <row r="1390" customFormat="false" ht="15" hidden="false" customHeight="true" outlineLevel="0" collapsed="false">
      <c r="A1390" s="68"/>
      <c r="B1390" s="68"/>
      <c r="C1390" s="68"/>
      <c r="D1390" s="68"/>
      <c r="E1390" s="68"/>
      <c r="F1390" s="68"/>
      <c r="G1390" s="68"/>
      <c r="H1390" s="64" t="str">
        <f aca="false">IF(OR(A1390="",B1390=""),"",CONCATENATE("https://matarstund.is/serfaedi?id=",LOWER(SUBSTITUTE(B1390," ","-"))))</f>
        <v/>
      </c>
    </row>
    <row r="1391" customFormat="false" ht="15" hidden="false" customHeight="true" outlineLevel="0" collapsed="false">
      <c r="A1391" s="9"/>
      <c r="B1391" s="9"/>
      <c r="C1391" s="9"/>
      <c r="D1391" s="9"/>
      <c r="E1391" s="9"/>
      <c r="F1391" s="9"/>
      <c r="G1391" s="9"/>
      <c r="H1391" s="64" t="str">
        <f aca="false">IF(OR(A1391="",B1391=""),"",CONCATENATE("https://matarstund.is/serfaedi?id=",LOWER(SUBSTITUTE(B1391," ","-"))))</f>
        <v/>
      </c>
    </row>
    <row r="1392" customFormat="false" ht="15" hidden="false" customHeight="true" outlineLevel="0" collapsed="false">
      <c r="A1392" s="68"/>
      <c r="B1392" s="68"/>
      <c r="C1392" s="68"/>
      <c r="D1392" s="68"/>
      <c r="E1392" s="68"/>
      <c r="F1392" s="68"/>
      <c r="G1392" s="68"/>
      <c r="H1392" s="64" t="str">
        <f aca="false">IF(OR(A1392="",B1392=""),"",CONCATENATE("https://matarstund.is/serfaedi?id=",LOWER(SUBSTITUTE(B1392," ","-"))))</f>
        <v/>
      </c>
    </row>
    <row r="1393" customFormat="false" ht="15" hidden="false" customHeight="true" outlineLevel="0" collapsed="false">
      <c r="A1393" s="9"/>
      <c r="B1393" s="9"/>
      <c r="C1393" s="9"/>
      <c r="D1393" s="9"/>
      <c r="E1393" s="9"/>
      <c r="F1393" s="9"/>
      <c r="G1393" s="9"/>
      <c r="H1393" s="64" t="str">
        <f aca="false">IF(OR(A1393="",B1393=""),"",CONCATENATE("https://matarstund.is/serfaedi?id=",LOWER(SUBSTITUTE(B1393," ","-"))))</f>
        <v/>
      </c>
    </row>
    <row r="1394" customFormat="false" ht="15" hidden="false" customHeight="true" outlineLevel="0" collapsed="false">
      <c r="A1394" s="68"/>
      <c r="B1394" s="68"/>
      <c r="C1394" s="68"/>
      <c r="D1394" s="68"/>
      <c r="E1394" s="68"/>
      <c r="F1394" s="68"/>
      <c r="G1394" s="68"/>
      <c r="H1394" s="64" t="str">
        <f aca="false">IF(OR(A1394="",B1394=""),"",CONCATENATE("https://matarstund.is/serfaedi?id=",LOWER(SUBSTITUTE(B1394," ","-"))))</f>
        <v/>
      </c>
    </row>
    <row r="1395" customFormat="false" ht="15" hidden="false" customHeight="true" outlineLevel="0" collapsed="false">
      <c r="A1395" s="9"/>
      <c r="B1395" s="9"/>
      <c r="C1395" s="9"/>
      <c r="D1395" s="9"/>
      <c r="E1395" s="9"/>
      <c r="F1395" s="9"/>
      <c r="G1395" s="9"/>
      <c r="H1395" s="64" t="str">
        <f aca="false">IF(OR(A1395="",B1395=""),"",CONCATENATE("https://matarstund.is/serfaedi?id=",LOWER(SUBSTITUTE(B1395," ","-"))))</f>
        <v/>
      </c>
    </row>
    <row r="1396" customFormat="false" ht="15" hidden="false" customHeight="true" outlineLevel="0" collapsed="false">
      <c r="A1396" s="68"/>
      <c r="B1396" s="68"/>
      <c r="C1396" s="68"/>
      <c r="D1396" s="68"/>
      <c r="E1396" s="68"/>
      <c r="F1396" s="68"/>
      <c r="G1396" s="68"/>
      <c r="H1396" s="64" t="str">
        <f aca="false">IF(OR(A1396="",B1396=""),"",CONCATENATE("https://matarstund.is/serfaedi?id=",LOWER(SUBSTITUTE(B1396," ","-"))))</f>
        <v/>
      </c>
    </row>
    <row r="1397" customFormat="false" ht="15" hidden="false" customHeight="true" outlineLevel="0" collapsed="false">
      <c r="A1397" s="9"/>
      <c r="B1397" s="9"/>
      <c r="C1397" s="9"/>
      <c r="D1397" s="9"/>
      <c r="E1397" s="9"/>
      <c r="F1397" s="9"/>
      <c r="G1397" s="9"/>
      <c r="H1397" s="64" t="str">
        <f aca="false">IF(OR(A1397="",B1397=""),"",CONCATENATE("https://matarstund.is/serfaedi?id=",LOWER(SUBSTITUTE(B1397," ","-"))))</f>
        <v/>
      </c>
    </row>
    <row r="1398" customFormat="false" ht="15" hidden="false" customHeight="true" outlineLevel="0" collapsed="false">
      <c r="A1398" s="68"/>
      <c r="B1398" s="68"/>
      <c r="C1398" s="68"/>
      <c r="D1398" s="68"/>
      <c r="E1398" s="68"/>
      <c r="F1398" s="68"/>
      <c r="G1398" s="68"/>
      <c r="H1398" s="64" t="str">
        <f aca="false">IF(OR(A1398="",B1398=""),"",CONCATENATE("https://matarstund.is/serfaedi?id=",LOWER(SUBSTITUTE(B1398," ","-"))))</f>
        <v/>
      </c>
    </row>
    <row r="1399" customFormat="false" ht="15" hidden="false" customHeight="true" outlineLevel="0" collapsed="false">
      <c r="A1399" s="9"/>
      <c r="B1399" s="9"/>
      <c r="C1399" s="9"/>
      <c r="D1399" s="9"/>
      <c r="E1399" s="9"/>
      <c r="F1399" s="9"/>
      <c r="G1399" s="9"/>
      <c r="H1399" s="64" t="str">
        <f aca="false">IF(OR(A1399="",B1399=""),"",CONCATENATE("https://matarstund.is/serfaedi?id=",LOWER(SUBSTITUTE(B1399," ","-"))))</f>
        <v/>
      </c>
    </row>
    <row r="1400" customFormat="false" ht="15" hidden="false" customHeight="true" outlineLevel="0" collapsed="false">
      <c r="A1400" s="68"/>
      <c r="B1400" s="68"/>
      <c r="C1400" s="68"/>
      <c r="D1400" s="68"/>
      <c r="E1400" s="68"/>
      <c r="F1400" s="68"/>
      <c r="G1400" s="68"/>
      <c r="H1400" s="64" t="str">
        <f aca="false">IF(OR(A1400="",B1400=""),"",CONCATENATE("https://matarstund.is/serfaedi?id=",LOWER(SUBSTITUTE(B1400," ","-"))))</f>
        <v/>
      </c>
    </row>
    <row r="1401" customFormat="false" ht="15" hidden="false" customHeight="true" outlineLevel="0" collapsed="false">
      <c r="A1401" s="9"/>
      <c r="B1401" s="9"/>
      <c r="C1401" s="9"/>
      <c r="D1401" s="9"/>
      <c r="E1401" s="9"/>
      <c r="F1401" s="9"/>
      <c r="G1401" s="9"/>
      <c r="H1401" s="64" t="str">
        <f aca="false">IF(OR(A1401="",B1401=""),"",CONCATENATE("https://matarstund.is/serfaedi?id=",LOWER(SUBSTITUTE(B1401," ","-"))))</f>
        <v/>
      </c>
    </row>
    <row r="1402" customFormat="false" ht="15" hidden="false" customHeight="true" outlineLevel="0" collapsed="false">
      <c r="A1402" s="68"/>
      <c r="B1402" s="68"/>
      <c r="C1402" s="68"/>
      <c r="D1402" s="68"/>
      <c r="E1402" s="68"/>
      <c r="F1402" s="68"/>
      <c r="G1402" s="68"/>
      <c r="H1402" s="64" t="str">
        <f aca="false">IF(OR(A1402="",B1402=""),"",CONCATENATE("https://matarstund.is/serfaedi?id=",LOWER(SUBSTITUTE(B1402," ","-"))))</f>
        <v/>
      </c>
    </row>
    <row r="1403" customFormat="false" ht="15" hidden="false" customHeight="true" outlineLevel="0" collapsed="false">
      <c r="A1403" s="9"/>
      <c r="B1403" s="9"/>
      <c r="C1403" s="9"/>
      <c r="D1403" s="9"/>
      <c r="E1403" s="9"/>
      <c r="F1403" s="9"/>
      <c r="G1403" s="9"/>
      <c r="H1403" s="64" t="str">
        <f aca="false">IF(OR(A1403="",B1403=""),"",CONCATENATE("https://matarstund.is/serfaedi?id=",LOWER(SUBSTITUTE(B1403," ","-"))))</f>
        <v/>
      </c>
    </row>
    <row r="1404" customFormat="false" ht="15" hidden="false" customHeight="true" outlineLevel="0" collapsed="false">
      <c r="A1404" s="68"/>
      <c r="B1404" s="68"/>
      <c r="C1404" s="68"/>
      <c r="D1404" s="68"/>
      <c r="E1404" s="68"/>
      <c r="F1404" s="68"/>
      <c r="G1404" s="68"/>
      <c r="H1404" s="64" t="str">
        <f aca="false">IF(OR(A1404="",B1404=""),"",CONCATENATE("https://matarstund.is/serfaedi?id=",LOWER(SUBSTITUTE(B1404," ","-"))))</f>
        <v/>
      </c>
    </row>
    <row r="1405" customFormat="false" ht="15" hidden="false" customHeight="true" outlineLevel="0" collapsed="false">
      <c r="A1405" s="9"/>
      <c r="B1405" s="9"/>
      <c r="C1405" s="9"/>
      <c r="D1405" s="9"/>
      <c r="E1405" s="9"/>
      <c r="F1405" s="9"/>
      <c r="G1405" s="9"/>
      <c r="H1405" s="64" t="str">
        <f aca="false">IF(OR(A1405="",B1405=""),"",CONCATENATE("https://matarstund.is/serfaedi?id=",LOWER(SUBSTITUTE(B1405," ","-"))))</f>
        <v/>
      </c>
    </row>
    <row r="1406" customFormat="false" ht="15" hidden="false" customHeight="true" outlineLevel="0" collapsed="false">
      <c r="A1406" s="68"/>
      <c r="B1406" s="68"/>
      <c r="C1406" s="68"/>
      <c r="D1406" s="68"/>
      <c r="E1406" s="68"/>
      <c r="F1406" s="68"/>
      <c r="G1406" s="68"/>
      <c r="H1406" s="64" t="str">
        <f aca="false">IF(OR(A1406="",B1406=""),"",CONCATENATE("https://matarstund.is/serfaedi?id=",LOWER(SUBSTITUTE(B1406," ","-"))))</f>
        <v/>
      </c>
    </row>
    <row r="1407" customFormat="false" ht="15" hidden="false" customHeight="true" outlineLevel="0" collapsed="false">
      <c r="A1407" s="9"/>
      <c r="B1407" s="9"/>
      <c r="C1407" s="9"/>
      <c r="D1407" s="9"/>
      <c r="E1407" s="9"/>
      <c r="F1407" s="9"/>
      <c r="G1407" s="9"/>
      <c r="H1407" s="64" t="str">
        <f aca="false">IF(OR(A1407="",B1407=""),"",CONCATENATE("https://matarstund.is/serfaedi?id=",LOWER(SUBSTITUTE(B1407," ","-"))))</f>
        <v/>
      </c>
    </row>
    <row r="1408" customFormat="false" ht="15" hidden="false" customHeight="true" outlineLevel="0" collapsed="false">
      <c r="A1408" s="68"/>
      <c r="B1408" s="68"/>
      <c r="C1408" s="68"/>
      <c r="D1408" s="68"/>
      <c r="E1408" s="68"/>
      <c r="F1408" s="68"/>
      <c r="G1408" s="68"/>
      <c r="H1408" s="64" t="str">
        <f aca="false">IF(OR(A1408="",B1408=""),"",CONCATENATE("https://matarstund.is/serfaedi?id=",LOWER(SUBSTITUTE(B1408," ","-"))))</f>
        <v/>
      </c>
    </row>
    <row r="1409" customFormat="false" ht="15" hidden="false" customHeight="true" outlineLevel="0" collapsed="false">
      <c r="A1409" s="9"/>
      <c r="B1409" s="9"/>
      <c r="C1409" s="9"/>
      <c r="D1409" s="9"/>
      <c r="E1409" s="9"/>
      <c r="F1409" s="9"/>
      <c r="G1409" s="9"/>
      <c r="H1409" s="64" t="str">
        <f aca="false">IF(OR(A1409="",B1409=""),"",CONCATENATE("https://matarstund.is/serfaedi?id=",LOWER(SUBSTITUTE(B1409," ","-"))))</f>
        <v/>
      </c>
    </row>
    <row r="1410" customFormat="false" ht="15" hidden="false" customHeight="true" outlineLevel="0" collapsed="false">
      <c r="A1410" s="68"/>
      <c r="B1410" s="68"/>
      <c r="C1410" s="68"/>
      <c r="D1410" s="68"/>
      <c r="E1410" s="68"/>
      <c r="F1410" s="68"/>
      <c r="G1410" s="68"/>
      <c r="H1410" s="64" t="str">
        <f aca="false">IF(OR(A1410="",B1410=""),"",CONCATENATE("https://matarstund.is/serfaedi?id=",LOWER(SUBSTITUTE(B1410," ","-"))))</f>
        <v/>
      </c>
    </row>
    <row r="1411" customFormat="false" ht="15" hidden="false" customHeight="true" outlineLevel="0" collapsed="false">
      <c r="A1411" s="9"/>
      <c r="B1411" s="9"/>
      <c r="C1411" s="9"/>
      <c r="D1411" s="9"/>
      <c r="E1411" s="9"/>
      <c r="F1411" s="9"/>
      <c r="G1411" s="9"/>
      <c r="H1411" s="64" t="str">
        <f aca="false">IF(OR(A1411="",B1411=""),"",CONCATENATE("https://matarstund.is/serfaedi?id=",LOWER(SUBSTITUTE(B1411," ","-"))))</f>
        <v/>
      </c>
    </row>
    <row r="1412" customFormat="false" ht="15" hidden="false" customHeight="true" outlineLevel="0" collapsed="false">
      <c r="A1412" s="68"/>
      <c r="B1412" s="68"/>
      <c r="C1412" s="68"/>
      <c r="D1412" s="68"/>
      <c r="E1412" s="68"/>
      <c r="F1412" s="68"/>
      <c r="G1412" s="68"/>
      <c r="H1412" s="64" t="str">
        <f aca="false">IF(OR(A1412="",B1412=""),"",CONCATENATE("https://matarstund.is/serfaedi?id=",LOWER(SUBSTITUTE(B1412," ","-"))))</f>
        <v/>
      </c>
    </row>
    <row r="1413" customFormat="false" ht="15" hidden="false" customHeight="true" outlineLevel="0" collapsed="false">
      <c r="A1413" s="9"/>
      <c r="B1413" s="9"/>
      <c r="C1413" s="9"/>
      <c r="D1413" s="9"/>
      <c r="E1413" s="9"/>
      <c r="F1413" s="9"/>
      <c r="G1413" s="9"/>
      <c r="H1413" s="64" t="str">
        <f aca="false">IF(OR(A1413="",B1413=""),"",CONCATENATE("https://matarstund.is/serfaedi?id=",LOWER(SUBSTITUTE(B1413," ","-"))))</f>
        <v/>
      </c>
    </row>
    <row r="1414" customFormat="false" ht="15" hidden="false" customHeight="true" outlineLevel="0" collapsed="false">
      <c r="A1414" s="68"/>
      <c r="B1414" s="68"/>
      <c r="C1414" s="68"/>
      <c r="D1414" s="68"/>
      <c r="E1414" s="68"/>
      <c r="F1414" s="68"/>
      <c r="G1414" s="68"/>
      <c r="H1414" s="64" t="str">
        <f aca="false">IF(OR(A1414="",B1414=""),"",CONCATENATE("https://matarstund.is/serfaedi?id=",LOWER(SUBSTITUTE(B1414," ","-"))))</f>
        <v/>
      </c>
    </row>
    <row r="1415" customFormat="false" ht="15" hidden="false" customHeight="true" outlineLevel="0" collapsed="false">
      <c r="A1415" s="9"/>
      <c r="B1415" s="9"/>
      <c r="C1415" s="9"/>
      <c r="D1415" s="9"/>
      <c r="E1415" s="9"/>
      <c r="F1415" s="9"/>
      <c r="G1415" s="9"/>
      <c r="H1415" s="64" t="str">
        <f aca="false">IF(OR(A1415="",B1415=""),"",CONCATENATE("https://matarstund.is/serfaedi?id=",LOWER(SUBSTITUTE(B1415," ","-"))))</f>
        <v/>
      </c>
    </row>
    <row r="1416" customFormat="false" ht="15" hidden="false" customHeight="true" outlineLevel="0" collapsed="false">
      <c r="A1416" s="68"/>
      <c r="B1416" s="68"/>
      <c r="C1416" s="68"/>
      <c r="D1416" s="68"/>
      <c r="E1416" s="68"/>
      <c r="F1416" s="68"/>
      <c r="G1416" s="68"/>
      <c r="H1416" s="64" t="str">
        <f aca="false">IF(OR(A1416="",B1416=""),"",CONCATENATE("https://matarstund.is/serfaedi?id=",LOWER(SUBSTITUTE(B1416," ","-"))))</f>
        <v/>
      </c>
    </row>
    <row r="1417" customFormat="false" ht="15" hidden="false" customHeight="true" outlineLevel="0" collapsed="false">
      <c r="A1417" s="9"/>
      <c r="B1417" s="9"/>
      <c r="C1417" s="9"/>
      <c r="D1417" s="9"/>
      <c r="E1417" s="9"/>
      <c r="F1417" s="9"/>
      <c r="G1417" s="9"/>
      <c r="H1417" s="64" t="str">
        <f aca="false">IF(OR(A1417="",B1417=""),"",CONCATENATE("https://matarstund.is/serfaedi?id=",LOWER(SUBSTITUTE(B1417," ","-"))))</f>
        <v/>
      </c>
    </row>
    <row r="1418" customFormat="false" ht="15" hidden="false" customHeight="true" outlineLevel="0" collapsed="false">
      <c r="A1418" s="68"/>
      <c r="B1418" s="68"/>
      <c r="C1418" s="68"/>
      <c r="D1418" s="68"/>
      <c r="E1418" s="68"/>
      <c r="F1418" s="68"/>
      <c r="G1418" s="68"/>
      <c r="H1418" s="64" t="str">
        <f aca="false">IF(OR(A1418="",B1418=""),"",CONCATENATE("https://matarstund.is/serfaedi?id=",LOWER(SUBSTITUTE(B1418," ","-"))))</f>
        <v/>
      </c>
    </row>
    <row r="1419" customFormat="false" ht="15" hidden="false" customHeight="true" outlineLevel="0" collapsed="false">
      <c r="A1419" s="9"/>
      <c r="B1419" s="9"/>
      <c r="C1419" s="9"/>
      <c r="D1419" s="9"/>
      <c r="E1419" s="9"/>
      <c r="F1419" s="9"/>
      <c r="G1419" s="9"/>
      <c r="H1419" s="64" t="str">
        <f aca="false">IF(OR(A1419="",B1419=""),"",CONCATENATE("https://matarstund.is/serfaedi?id=",LOWER(SUBSTITUTE(B1419," ","-"))))</f>
        <v/>
      </c>
    </row>
    <row r="1420" customFormat="false" ht="15" hidden="false" customHeight="true" outlineLevel="0" collapsed="false">
      <c r="A1420" s="68"/>
      <c r="B1420" s="68"/>
      <c r="C1420" s="68"/>
      <c r="D1420" s="68"/>
      <c r="E1420" s="68"/>
      <c r="F1420" s="68"/>
      <c r="G1420" s="68"/>
      <c r="H1420" s="64" t="str">
        <f aca="false">IF(OR(A1420="",B1420=""),"",CONCATENATE("https://matarstund.is/serfaedi?id=",LOWER(SUBSTITUTE(B1420," ","-"))))</f>
        <v/>
      </c>
    </row>
    <row r="1421" customFormat="false" ht="15" hidden="false" customHeight="true" outlineLevel="0" collapsed="false">
      <c r="A1421" s="9"/>
      <c r="B1421" s="9"/>
      <c r="C1421" s="9"/>
      <c r="D1421" s="9"/>
      <c r="E1421" s="9"/>
      <c r="F1421" s="9"/>
      <c r="G1421" s="9"/>
      <c r="H1421" s="64" t="str">
        <f aca="false">IF(OR(A1421="",B1421=""),"",CONCATENATE("https://matarstund.is/serfaedi?id=",LOWER(SUBSTITUTE(B1421," ","-"))))</f>
        <v/>
      </c>
    </row>
    <row r="1422" customFormat="false" ht="15" hidden="false" customHeight="true" outlineLevel="0" collapsed="false">
      <c r="A1422" s="68"/>
      <c r="B1422" s="68"/>
      <c r="C1422" s="68"/>
      <c r="D1422" s="68"/>
      <c r="E1422" s="68"/>
      <c r="F1422" s="68"/>
      <c r="G1422" s="68"/>
      <c r="H1422" s="64" t="str">
        <f aca="false">IF(OR(A1422="",B1422=""),"",CONCATENATE("https://matarstund.is/serfaedi?id=",LOWER(SUBSTITUTE(B1422," ","-"))))</f>
        <v/>
      </c>
    </row>
    <row r="1423" customFormat="false" ht="15" hidden="false" customHeight="true" outlineLevel="0" collapsed="false">
      <c r="A1423" s="9"/>
      <c r="B1423" s="9"/>
      <c r="C1423" s="9"/>
      <c r="D1423" s="9"/>
      <c r="E1423" s="9"/>
      <c r="F1423" s="9"/>
      <c r="G1423" s="9"/>
      <c r="H1423" s="64" t="str">
        <f aca="false">IF(OR(A1423="",B1423=""),"",CONCATENATE("https://matarstund.is/serfaedi?id=",LOWER(SUBSTITUTE(B1423," ","-"))))</f>
        <v/>
      </c>
    </row>
    <row r="1424" customFormat="false" ht="15" hidden="false" customHeight="true" outlineLevel="0" collapsed="false">
      <c r="A1424" s="68"/>
      <c r="B1424" s="68"/>
      <c r="C1424" s="68"/>
      <c r="D1424" s="68"/>
      <c r="E1424" s="68"/>
      <c r="F1424" s="68"/>
      <c r="G1424" s="68"/>
      <c r="H1424" s="64" t="str">
        <f aca="false">IF(OR(A1424="",B1424=""),"",CONCATENATE("https://matarstund.is/serfaedi?id=",LOWER(SUBSTITUTE(B1424," ","-"))))</f>
        <v/>
      </c>
    </row>
    <row r="1425" customFormat="false" ht="15" hidden="false" customHeight="true" outlineLevel="0" collapsed="false">
      <c r="A1425" s="9"/>
      <c r="B1425" s="9"/>
      <c r="C1425" s="9"/>
      <c r="D1425" s="9"/>
      <c r="E1425" s="9"/>
      <c r="F1425" s="9"/>
      <c r="G1425" s="9"/>
      <c r="H1425" s="64" t="str">
        <f aca="false">IF(OR(A1425="",B1425=""),"",CONCATENATE("https://matarstund.is/serfaedi?id=",LOWER(SUBSTITUTE(B1425," ","-"))))</f>
        <v/>
      </c>
    </row>
    <row r="1426" customFormat="false" ht="15" hidden="false" customHeight="true" outlineLevel="0" collapsed="false">
      <c r="A1426" s="68"/>
      <c r="B1426" s="68"/>
      <c r="C1426" s="68"/>
      <c r="D1426" s="68"/>
      <c r="E1426" s="68"/>
      <c r="F1426" s="68"/>
      <c r="G1426" s="68"/>
      <c r="H1426" s="64" t="str">
        <f aca="false">IF(OR(A1426="",B1426=""),"",CONCATENATE("https://matarstund.is/serfaedi?id=",LOWER(SUBSTITUTE(B1426," ","-"))))</f>
        <v/>
      </c>
    </row>
    <row r="1427" customFormat="false" ht="15" hidden="false" customHeight="true" outlineLevel="0" collapsed="false">
      <c r="A1427" s="9"/>
      <c r="B1427" s="9"/>
      <c r="C1427" s="9"/>
      <c r="D1427" s="9"/>
      <c r="E1427" s="9"/>
      <c r="F1427" s="9"/>
      <c r="G1427" s="9"/>
      <c r="H1427" s="64" t="str">
        <f aca="false">IF(OR(A1427="",B1427=""),"",CONCATENATE("https://matarstund.is/serfaedi?id=",LOWER(SUBSTITUTE(B1427," ","-"))))</f>
        <v/>
      </c>
    </row>
    <row r="1428" customFormat="false" ht="15" hidden="false" customHeight="true" outlineLevel="0" collapsed="false">
      <c r="A1428" s="68"/>
      <c r="B1428" s="68"/>
      <c r="C1428" s="68"/>
      <c r="D1428" s="68"/>
      <c r="E1428" s="68"/>
      <c r="F1428" s="68"/>
      <c r="G1428" s="68"/>
      <c r="H1428" s="64" t="str">
        <f aca="false">IF(OR(A1428="",B1428=""),"",CONCATENATE("https://matarstund.is/serfaedi?id=",LOWER(SUBSTITUTE(B1428," ","-"))))</f>
        <v/>
      </c>
    </row>
    <row r="1429" customFormat="false" ht="15" hidden="false" customHeight="true" outlineLevel="0" collapsed="false">
      <c r="A1429" s="9"/>
      <c r="B1429" s="9"/>
      <c r="C1429" s="9"/>
      <c r="D1429" s="9"/>
      <c r="E1429" s="9"/>
      <c r="F1429" s="9"/>
      <c r="G1429" s="9"/>
      <c r="H1429" s="64" t="str">
        <f aca="false">IF(OR(A1429="",B1429=""),"",CONCATENATE("https://matarstund.is/serfaedi?id=",LOWER(SUBSTITUTE(B1429," ","-"))))</f>
        <v/>
      </c>
    </row>
    <row r="1430" customFormat="false" ht="15" hidden="false" customHeight="true" outlineLevel="0" collapsed="false">
      <c r="A1430" s="68"/>
      <c r="B1430" s="68"/>
      <c r="C1430" s="68"/>
      <c r="D1430" s="68"/>
      <c r="E1430" s="68"/>
      <c r="F1430" s="68"/>
      <c r="G1430" s="68"/>
      <c r="H1430" s="64" t="str">
        <f aca="false">IF(OR(A1430="",B1430=""),"",CONCATENATE("https://matarstund.is/serfaedi?id=",LOWER(SUBSTITUTE(B1430," ","-"))))</f>
        <v/>
      </c>
    </row>
    <row r="1431" customFormat="false" ht="15" hidden="false" customHeight="true" outlineLevel="0" collapsed="false">
      <c r="A1431" s="9"/>
      <c r="B1431" s="9"/>
      <c r="C1431" s="9"/>
      <c r="D1431" s="9"/>
      <c r="E1431" s="9"/>
      <c r="F1431" s="9"/>
      <c r="G1431" s="9"/>
      <c r="H1431" s="64" t="str">
        <f aca="false">IF(OR(A1431="",B1431=""),"",CONCATENATE("https://matarstund.is/serfaedi?id=",LOWER(SUBSTITUTE(B1431," ","-"))))</f>
        <v/>
      </c>
    </row>
    <row r="1432" customFormat="false" ht="15" hidden="false" customHeight="true" outlineLevel="0" collapsed="false">
      <c r="A1432" s="68"/>
      <c r="B1432" s="68"/>
      <c r="C1432" s="68"/>
      <c r="D1432" s="68"/>
      <c r="E1432" s="68"/>
      <c r="F1432" s="68"/>
      <c r="G1432" s="68"/>
      <c r="H1432" s="64" t="str">
        <f aca="false">IF(OR(A1432="",B1432=""),"",CONCATENATE("https://matarstund.is/serfaedi?id=",LOWER(SUBSTITUTE(B1432," ","-"))))</f>
        <v/>
      </c>
    </row>
    <row r="1433" customFormat="false" ht="15" hidden="false" customHeight="true" outlineLevel="0" collapsed="false">
      <c r="A1433" s="9"/>
      <c r="B1433" s="9"/>
      <c r="C1433" s="9"/>
      <c r="D1433" s="9"/>
      <c r="E1433" s="9"/>
      <c r="F1433" s="9"/>
      <c r="G1433" s="9"/>
      <c r="H1433" s="64" t="str">
        <f aca="false">IF(OR(A1433="",B1433=""),"",CONCATENATE("https://matarstund.is/serfaedi?id=",LOWER(SUBSTITUTE(B1433," ","-"))))</f>
        <v/>
      </c>
    </row>
    <row r="1434" customFormat="false" ht="15" hidden="false" customHeight="true" outlineLevel="0" collapsed="false">
      <c r="A1434" s="68"/>
      <c r="B1434" s="68"/>
      <c r="C1434" s="68"/>
      <c r="D1434" s="68"/>
      <c r="E1434" s="68"/>
      <c r="F1434" s="68"/>
      <c r="G1434" s="68"/>
      <c r="H1434" s="64" t="str">
        <f aca="false">IF(OR(A1434="",B1434=""),"",CONCATENATE("https://matarstund.is/serfaedi?id=",LOWER(SUBSTITUTE(B1434," ","-"))))</f>
        <v/>
      </c>
    </row>
    <row r="1435" customFormat="false" ht="15" hidden="false" customHeight="true" outlineLevel="0" collapsed="false">
      <c r="A1435" s="9"/>
      <c r="B1435" s="9"/>
      <c r="C1435" s="9"/>
      <c r="D1435" s="9"/>
      <c r="E1435" s="9"/>
      <c r="F1435" s="9"/>
      <c r="G1435" s="9"/>
      <c r="H1435" s="64" t="str">
        <f aca="false">IF(OR(A1435="",B1435=""),"",CONCATENATE("https://matarstund.is/serfaedi?id=",LOWER(SUBSTITUTE(B1435," ","-"))))</f>
        <v/>
      </c>
    </row>
    <row r="1436" customFormat="false" ht="15" hidden="false" customHeight="true" outlineLevel="0" collapsed="false">
      <c r="A1436" s="68"/>
      <c r="B1436" s="68"/>
      <c r="C1436" s="68"/>
      <c r="D1436" s="68"/>
      <c r="E1436" s="68"/>
      <c r="F1436" s="68"/>
      <c r="G1436" s="68"/>
      <c r="H1436" s="64" t="str">
        <f aca="false">IF(OR(A1436="",B1436=""),"",CONCATENATE("https://matarstund.is/serfaedi?id=",LOWER(SUBSTITUTE(B1436," ","-"))))</f>
        <v/>
      </c>
    </row>
    <row r="1437" customFormat="false" ht="15" hidden="false" customHeight="true" outlineLevel="0" collapsed="false">
      <c r="A1437" s="9"/>
      <c r="B1437" s="9"/>
      <c r="C1437" s="9"/>
      <c r="D1437" s="9"/>
      <c r="E1437" s="9"/>
      <c r="F1437" s="9"/>
      <c r="G1437" s="9"/>
      <c r="H1437" s="64" t="str">
        <f aca="false">IF(OR(A1437="",B1437=""),"",CONCATENATE("https://matarstund.is/serfaedi?id=",LOWER(SUBSTITUTE(B1437," ","-"))))</f>
        <v/>
      </c>
    </row>
    <row r="1438" customFormat="false" ht="15" hidden="false" customHeight="true" outlineLevel="0" collapsed="false">
      <c r="A1438" s="68"/>
      <c r="B1438" s="68"/>
      <c r="C1438" s="68"/>
      <c r="D1438" s="68"/>
      <c r="E1438" s="68"/>
      <c r="F1438" s="68"/>
      <c r="G1438" s="68"/>
      <c r="H1438" s="64" t="str">
        <f aca="false">IF(OR(A1438="",B1438=""),"",CONCATENATE("https://matarstund.is/serfaedi?id=",LOWER(SUBSTITUTE(B1438," ","-"))))</f>
        <v/>
      </c>
    </row>
    <row r="1439" customFormat="false" ht="15" hidden="false" customHeight="true" outlineLevel="0" collapsed="false">
      <c r="A1439" s="9"/>
      <c r="B1439" s="9"/>
      <c r="C1439" s="9"/>
      <c r="D1439" s="9"/>
      <c r="E1439" s="9"/>
      <c r="F1439" s="9"/>
      <c r="G1439" s="9"/>
      <c r="H1439" s="64" t="str">
        <f aca="false">IF(OR(A1439="",B1439=""),"",CONCATENATE("https://matarstund.is/serfaedi?id=",LOWER(SUBSTITUTE(B1439," ","-"))))</f>
        <v/>
      </c>
    </row>
    <row r="1440" customFormat="false" ht="15" hidden="false" customHeight="true" outlineLevel="0" collapsed="false">
      <c r="A1440" s="68"/>
      <c r="B1440" s="68"/>
      <c r="C1440" s="68"/>
      <c r="D1440" s="68"/>
      <c r="E1440" s="68"/>
      <c r="F1440" s="68"/>
      <c r="G1440" s="68"/>
      <c r="H1440" s="64" t="str">
        <f aca="false">IF(OR(A1440="",B1440=""),"",CONCATENATE("https://matarstund.is/serfaedi?id=",LOWER(SUBSTITUTE(B1440," ","-"))))</f>
        <v/>
      </c>
    </row>
    <row r="1441" customFormat="false" ht="15" hidden="false" customHeight="true" outlineLevel="0" collapsed="false">
      <c r="A1441" s="9"/>
      <c r="B1441" s="9"/>
      <c r="C1441" s="9"/>
      <c r="D1441" s="9"/>
      <c r="E1441" s="9"/>
      <c r="F1441" s="9"/>
      <c r="G1441" s="9"/>
      <c r="H1441" s="64" t="str">
        <f aca="false">IF(OR(A1441="",B1441=""),"",CONCATENATE("https://matarstund.is/serfaedi?id=",LOWER(SUBSTITUTE(B1441," ","-"))))</f>
        <v/>
      </c>
    </row>
    <row r="1442" customFormat="false" ht="15" hidden="false" customHeight="true" outlineLevel="0" collapsed="false">
      <c r="A1442" s="68"/>
      <c r="B1442" s="68"/>
      <c r="C1442" s="68"/>
      <c r="D1442" s="68"/>
      <c r="E1442" s="68"/>
      <c r="F1442" s="68"/>
      <c r="G1442" s="68"/>
      <c r="H1442" s="64" t="str">
        <f aca="false">IF(OR(A1442="",B1442=""),"",CONCATENATE("https://matarstund.is/serfaedi?id=",LOWER(SUBSTITUTE(B1442," ","-"))))</f>
        <v/>
      </c>
    </row>
    <row r="1443" customFormat="false" ht="15" hidden="false" customHeight="true" outlineLevel="0" collapsed="false">
      <c r="A1443" s="9"/>
      <c r="B1443" s="9"/>
      <c r="C1443" s="9"/>
      <c r="D1443" s="9"/>
      <c r="E1443" s="9"/>
      <c r="F1443" s="9"/>
      <c r="G1443" s="9"/>
      <c r="H1443" s="64" t="str">
        <f aca="false">IF(OR(A1443="",B1443=""),"",CONCATENATE("https://matarstund.is/serfaedi?id=",LOWER(SUBSTITUTE(B1443," ","-"))))</f>
        <v/>
      </c>
    </row>
    <row r="1444" customFormat="false" ht="15" hidden="false" customHeight="true" outlineLevel="0" collapsed="false">
      <c r="A1444" s="68"/>
      <c r="B1444" s="68"/>
      <c r="C1444" s="68"/>
      <c r="D1444" s="68"/>
      <c r="E1444" s="68"/>
      <c r="F1444" s="68"/>
      <c r="G1444" s="68"/>
      <c r="H1444" s="64" t="str">
        <f aca="false">IF(OR(A1444="",B1444=""),"",CONCATENATE("https://matarstund.is/serfaedi?id=",LOWER(SUBSTITUTE(B1444," ","-"))))</f>
        <v/>
      </c>
    </row>
    <row r="1445" customFormat="false" ht="15" hidden="false" customHeight="true" outlineLevel="0" collapsed="false">
      <c r="A1445" s="9"/>
      <c r="B1445" s="9"/>
      <c r="C1445" s="9"/>
      <c r="D1445" s="9"/>
      <c r="E1445" s="9"/>
      <c r="F1445" s="9"/>
      <c r="G1445" s="9"/>
      <c r="H1445" s="64" t="str">
        <f aca="false">IF(OR(A1445="",B1445=""),"",CONCATENATE("https://matarstund.is/serfaedi?id=",LOWER(SUBSTITUTE(B1445," ","-"))))</f>
        <v/>
      </c>
    </row>
    <row r="1446" customFormat="false" ht="15" hidden="false" customHeight="true" outlineLevel="0" collapsed="false">
      <c r="A1446" s="68"/>
      <c r="B1446" s="68"/>
      <c r="C1446" s="68"/>
      <c r="D1446" s="68"/>
      <c r="E1446" s="68"/>
      <c r="F1446" s="68"/>
      <c r="G1446" s="68"/>
      <c r="H1446" s="64" t="str">
        <f aca="false">IF(OR(A1446="",B1446=""),"",CONCATENATE("https://matarstund.is/serfaedi?id=",LOWER(SUBSTITUTE(B1446," ","-"))))</f>
        <v/>
      </c>
    </row>
    <row r="1447" customFormat="false" ht="15" hidden="false" customHeight="true" outlineLevel="0" collapsed="false">
      <c r="A1447" s="9"/>
      <c r="B1447" s="9"/>
      <c r="C1447" s="9"/>
      <c r="D1447" s="9"/>
      <c r="E1447" s="9"/>
      <c r="F1447" s="9"/>
      <c r="G1447" s="9"/>
      <c r="H1447" s="64" t="str">
        <f aca="false">IF(OR(A1447="",B1447=""),"",CONCATENATE("https://matarstund.is/serfaedi?id=",LOWER(SUBSTITUTE(B1447," ","-"))))</f>
        <v/>
      </c>
    </row>
    <row r="1448" customFormat="false" ht="15" hidden="false" customHeight="true" outlineLevel="0" collapsed="false">
      <c r="A1448" s="68"/>
      <c r="B1448" s="68"/>
      <c r="C1448" s="68"/>
      <c r="D1448" s="68"/>
      <c r="E1448" s="68"/>
      <c r="F1448" s="68"/>
      <c r="G1448" s="68"/>
      <c r="H1448" s="64" t="str">
        <f aca="false">IF(OR(A1448="",B1448=""),"",CONCATENATE("https://matarstund.is/serfaedi?id=",LOWER(SUBSTITUTE(B1448," ","-"))))</f>
        <v/>
      </c>
    </row>
    <row r="1449" customFormat="false" ht="15" hidden="false" customHeight="true" outlineLevel="0" collapsed="false">
      <c r="A1449" s="9"/>
      <c r="B1449" s="9"/>
      <c r="C1449" s="9"/>
      <c r="D1449" s="9"/>
      <c r="E1449" s="9"/>
      <c r="F1449" s="9"/>
      <c r="G1449" s="9"/>
      <c r="H1449" s="64" t="str">
        <f aca="false">IF(OR(A1449="",B1449=""),"",CONCATENATE("https://matarstund.is/serfaedi?id=",LOWER(SUBSTITUTE(B1449," ","-"))))</f>
        <v/>
      </c>
    </row>
    <row r="1450" customFormat="false" ht="15" hidden="false" customHeight="true" outlineLevel="0" collapsed="false">
      <c r="A1450" s="68"/>
      <c r="B1450" s="68"/>
      <c r="C1450" s="68"/>
      <c r="D1450" s="68"/>
      <c r="E1450" s="68"/>
      <c r="F1450" s="68"/>
      <c r="G1450" s="68"/>
      <c r="H1450" s="64" t="str">
        <f aca="false">IF(OR(A1450="",B1450=""),"",CONCATENATE("https://matarstund.is/serfaedi?id=",LOWER(SUBSTITUTE(B1450," ","-"))))</f>
        <v/>
      </c>
    </row>
    <row r="1451" customFormat="false" ht="15" hidden="false" customHeight="true" outlineLevel="0" collapsed="false">
      <c r="A1451" s="9"/>
      <c r="B1451" s="9"/>
      <c r="C1451" s="9"/>
      <c r="D1451" s="9"/>
      <c r="E1451" s="9"/>
      <c r="F1451" s="9"/>
      <c r="G1451" s="9"/>
      <c r="H1451" s="64" t="str">
        <f aca="false">IF(OR(A1451="",B1451=""),"",CONCATENATE("https://matarstund.is/serfaedi?id=",LOWER(SUBSTITUTE(B1451," ","-"))))</f>
        <v/>
      </c>
    </row>
    <row r="1452" customFormat="false" ht="15" hidden="false" customHeight="true" outlineLevel="0" collapsed="false">
      <c r="A1452" s="68"/>
      <c r="B1452" s="68"/>
      <c r="C1452" s="68"/>
      <c r="D1452" s="68"/>
      <c r="E1452" s="68"/>
      <c r="F1452" s="68"/>
      <c r="G1452" s="68"/>
      <c r="H1452" s="64" t="str">
        <f aca="false">IF(OR(A1452="",B1452=""),"",CONCATENATE("https://matarstund.is/serfaedi?id=",LOWER(SUBSTITUTE(B1452," ","-"))))</f>
        <v/>
      </c>
    </row>
    <row r="1453" customFormat="false" ht="15" hidden="false" customHeight="true" outlineLevel="0" collapsed="false">
      <c r="A1453" s="9"/>
      <c r="B1453" s="9"/>
      <c r="C1453" s="9"/>
      <c r="D1453" s="9"/>
      <c r="E1453" s="9"/>
      <c r="F1453" s="9"/>
      <c r="G1453" s="9"/>
      <c r="H1453" s="64" t="str">
        <f aca="false">IF(OR(A1453="",B1453=""),"",CONCATENATE("https://matarstund.is/serfaedi?id=",LOWER(SUBSTITUTE(B1453," ","-"))))</f>
        <v/>
      </c>
    </row>
    <row r="1454" customFormat="false" ht="15" hidden="false" customHeight="true" outlineLevel="0" collapsed="false">
      <c r="A1454" s="68"/>
      <c r="B1454" s="68"/>
      <c r="C1454" s="68"/>
      <c r="D1454" s="68"/>
      <c r="E1454" s="68"/>
      <c r="F1454" s="68"/>
      <c r="G1454" s="68"/>
      <c r="H1454" s="64" t="str">
        <f aca="false">IF(OR(A1454="",B1454=""),"",CONCATENATE("https://matarstund.is/serfaedi?id=",LOWER(SUBSTITUTE(B1454," ","-"))))</f>
        <v/>
      </c>
    </row>
    <row r="1455" customFormat="false" ht="15" hidden="false" customHeight="true" outlineLevel="0" collapsed="false">
      <c r="A1455" s="9"/>
      <c r="B1455" s="9"/>
      <c r="C1455" s="9"/>
      <c r="D1455" s="9"/>
      <c r="E1455" s="9"/>
      <c r="F1455" s="9"/>
      <c r="G1455" s="9"/>
      <c r="H1455" s="64" t="str">
        <f aca="false">IF(OR(A1455="",B1455=""),"",CONCATENATE("https://matarstund.is/serfaedi?id=",LOWER(SUBSTITUTE(B1455," ","-"))))</f>
        <v/>
      </c>
    </row>
    <row r="1456" customFormat="false" ht="15" hidden="false" customHeight="true" outlineLevel="0" collapsed="false">
      <c r="A1456" s="68"/>
      <c r="B1456" s="68"/>
      <c r="C1456" s="68"/>
      <c r="D1456" s="68"/>
      <c r="E1456" s="68"/>
      <c r="F1456" s="68"/>
      <c r="G1456" s="68"/>
      <c r="H1456" s="64" t="str">
        <f aca="false">IF(OR(A1456="",B1456=""),"",CONCATENATE("https://matarstund.is/serfaedi?id=",LOWER(SUBSTITUTE(B1456," ","-"))))</f>
        <v/>
      </c>
    </row>
    <row r="1457" customFormat="false" ht="15" hidden="false" customHeight="true" outlineLevel="0" collapsed="false">
      <c r="A1457" s="9"/>
      <c r="B1457" s="9"/>
      <c r="C1457" s="9"/>
      <c r="D1457" s="9"/>
      <c r="E1457" s="9"/>
      <c r="F1457" s="9"/>
      <c r="G1457" s="9"/>
      <c r="H1457" s="64" t="str">
        <f aca="false">IF(OR(A1457="",B1457=""),"",CONCATENATE("https://matarstund.is/serfaedi?id=",LOWER(SUBSTITUTE(B1457," ","-"))))</f>
        <v/>
      </c>
    </row>
    <row r="1458" customFormat="false" ht="15" hidden="false" customHeight="true" outlineLevel="0" collapsed="false">
      <c r="A1458" s="68"/>
      <c r="B1458" s="68"/>
      <c r="C1458" s="68"/>
      <c r="D1458" s="68"/>
      <c r="E1458" s="68"/>
      <c r="F1458" s="68"/>
      <c r="G1458" s="68"/>
      <c r="H1458" s="64" t="str">
        <f aca="false">IF(OR(A1458="",B1458=""),"",CONCATENATE("https://matarstund.is/serfaedi?id=",LOWER(SUBSTITUTE(B1458," ","-"))))</f>
        <v/>
      </c>
    </row>
    <row r="1459" customFormat="false" ht="15" hidden="false" customHeight="true" outlineLevel="0" collapsed="false">
      <c r="A1459" s="9"/>
      <c r="B1459" s="9"/>
      <c r="C1459" s="9"/>
      <c r="D1459" s="9"/>
      <c r="E1459" s="9"/>
      <c r="F1459" s="9"/>
      <c r="G1459" s="9"/>
      <c r="H1459" s="64" t="str">
        <f aca="false">IF(OR(A1459="",B1459=""),"",CONCATENATE("https://matarstund.is/serfaedi?id=",LOWER(SUBSTITUTE(B1459," ","-"))))</f>
        <v/>
      </c>
    </row>
    <row r="1460" customFormat="false" ht="15" hidden="false" customHeight="true" outlineLevel="0" collapsed="false">
      <c r="A1460" s="68"/>
      <c r="B1460" s="68"/>
      <c r="C1460" s="68"/>
      <c r="D1460" s="68"/>
      <c r="E1460" s="68"/>
      <c r="F1460" s="68"/>
      <c r="G1460" s="68"/>
      <c r="H1460" s="64" t="str">
        <f aca="false">IF(OR(A1460="",B1460=""),"",CONCATENATE("https://matarstund.is/serfaedi?id=",LOWER(SUBSTITUTE(B1460," ","-"))))</f>
        <v/>
      </c>
    </row>
    <row r="1461" customFormat="false" ht="15" hidden="false" customHeight="true" outlineLevel="0" collapsed="false">
      <c r="A1461" s="9"/>
      <c r="B1461" s="9"/>
      <c r="C1461" s="9"/>
      <c r="D1461" s="9"/>
      <c r="E1461" s="9"/>
      <c r="F1461" s="9"/>
      <c r="G1461" s="9"/>
      <c r="H1461" s="64" t="str">
        <f aca="false">IF(OR(A1461="",B1461=""),"",CONCATENATE("https://matarstund.is/serfaedi?id=",LOWER(SUBSTITUTE(B1461," ","-"))))</f>
        <v/>
      </c>
    </row>
    <row r="1462" customFormat="false" ht="15" hidden="false" customHeight="true" outlineLevel="0" collapsed="false">
      <c r="A1462" s="68"/>
      <c r="B1462" s="68"/>
      <c r="C1462" s="68"/>
      <c r="D1462" s="68"/>
      <c r="E1462" s="68"/>
      <c r="F1462" s="68"/>
      <c r="G1462" s="68"/>
      <c r="H1462" s="64" t="str">
        <f aca="false">IF(OR(A1462="",B1462=""),"",CONCATENATE("https://matarstund.is/serfaedi?id=",LOWER(SUBSTITUTE(B1462," ","-"))))</f>
        <v/>
      </c>
    </row>
    <row r="1463" customFormat="false" ht="15" hidden="false" customHeight="true" outlineLevel="0" collapsed="false">
      <c r="A1463" s="9"/>
      <c r="B1463" s="9"/>
      <c r="C1463" s="9"/>
      <c r="D1463" s="9"/>
      <c r="E1463" s="9"/>
      <c r="F1463" s="9"/>
      <c r="G1463" s="9"/>
      <c r="H1463" s="64" t="str">
        <f aca="false">IF(OR(A1463="",B1463=""),"",CONCATENATE("https://matarstund.is/serfaedi?id=",LOWER(SUBSTITUTE(B1463," ","-"))))</f>
        <v/>
      </c>
    </row>
    <row r="1464" customFormat="false" ht="15" hidden="false" customHeight="true" outlineLevel="0" collapsed="false">
      <c r="A1464" s="68"/>
      <c r="B1464" s="68"/>
      <c r="C1464" s="68"/>
      <c r="D1464" s="68"/>
      <c r="E1464" s="68"/>
      <c r="F1464" s="68"/>
      <c r="G1464" s="68"/>
      <c r="H1464" s="64" t="str">
        <f aca="false">IF(OR(A1464="",B1464=""),"",CONCATENATE("https://matarstund.is/serfaedi?id=",LOWER(SUBSTITUTE(B1464," ","-"))))</f>
        <v/>
      </c>
    </row>
    <row r="1465" customFormat="false" ht="15" hidden="false" customHeight="true" outlineLevel="0" collapsed="false">
      <c r="A1465" s="9"/>
      <c r="B1465" s="9"/>
      <c r="C1465" s="9"/>
      <c r="D1465" s="9"/>
      <c r="E1465" s="9"/>
      <c r="F1465" s="9"/>
      <c r="G1465" s="9"/>
      <c r="H1465" s="64" t="str">
        <f aca="false">IF(OR(A1465="",B1465=""),"",CONCATENATE("https://matarstund.is/serfaedi?id=",LOWER(SUBSTITUTE(B1465," ","-"))))</f>
        <v/>
      </c>
    </row>
    <row r="1466" customFormat="false" ht="15" hidden="false" customHeight="true" outlineLevel="0" collapsed="false">
      <c r="A1466" s="68"/>
      <c r="B1466" s="68"/>
      <c r="C1466" s="68"/>
      <c r="D1466" s="68"/>
      <c r="E1466" s="68"/>
      <c r="F1466" s="68"/>
      <c r="G1466" s="68"/>
      <c r="H1466" s="64" t="str">
        <f aca="false">IF(OR(A1466="",B1466=""),"",CONCATENATE("https://matarstund.is/serfaedi?id=",LOWER(SUBSTITUTE(B1466," ","-"))))</f>
        <v/>
      </c>
    </row>
    <row r="1467" customFormat="false" ht="15" hidden="false" customHeight="true" outlineLevel="0" collapsed="false">
      <c r="A1467" s="9"/>
      <c r="B1467" s="9"/>
      <c r="C1467" s="9"/>
      <c r="D1467" s="9"/>
      <c r="E1467" s="9"/>
      <c r="F1467" s="9"/>
      <c r="G1467" s="9"/>
      <c r="H1467" s="64" t="str">
        <f aca="false">IF(OR(A1467="",B1467=""),"",CONCATENATE("https://matarstund.is/serfaedi?id=",LOWER(SUBSTITUTE(B1467," ","-"))))</f>
        <v/>
      </c>
    </row>
    <row r="1468" customFormat="false" ht="15" hidden="false" customHeight="true" outlineLevel="0" collapsed="false">
      <c r="A1468" s="68"/>
      <c r="B1468" s="68"/>
      <c r="C1468" s="68"/>
      <c r="D1468" s="68"/>
      <c r="E1468" s="68"/>
      <c r="F1468" s="68"/>
      <c r="G1468" s="68"/>
      <c r="H1468" s="64" t="str">
        <f aca="false">IF(OR(A1468="",B1468=""),"",CONCATENATE("https://matarstund.is/serfaedi?id=",LOWER(SUBSTITUTE(B1468," ","-"))))</f>
        <v/>
      </c>
    </row>
    <row r="1469" customFormat="false" ht="15" hidden="false" customHeight="true" outlineLevel="0" collapsed="false">
      <c r="A1469" s="9"/>
      <c r="B1469" s="9"/>
      <c r="C1469" s="9"/>
      <c r="D1469" s="9"/>
      <c r="E1469" s="9"/>
      <c r="F1469" s="9"/>
      <c r="G1469" s="9"/>
      <c r="H1469" s="64" t="str">
        <f aca="false">IF(OR(A1469="",B1469=""),"",CONCATENATE("https://matarstund.is/serfaedi?id=",LOWER(SUBSTITUTE(B1469," ","-"))))</f>
        <v/>
      </c>
    </row>
    <row r="1470" customFormat="false" ht="15" hidden="false" customHeight="true" outlineLevel="0" collapsed="false">
      <c r="A1470" s="68"/>
      <c r="B1470" s="68"/>
      <c r="C1470" s="68"/>
      <c r="D1470" s="68"/>
      <c r="E1470" s="68"/>
      <c r="F1470" s="68"/>
      <c r="G1470" s="68"/>
      <c r="H1470" s="64" t="str">
        <f aca="false">IF(OR(A1470="",B1470=""),"",CONCATENATE("https://matarstund.is/serfaedi?id=",LOWER(SUBSTITUTE(B1470," ","-"))))</f>
        <v/>
      </c>
    </row>
    <row r="1471" customFormat="false" ht="15" hidden="false" customHeight="true" outlineLevel="0" collapsed="false">
      <c r="A1471" s="9"/>
      <c r="B1471" s="9"/>
      <c r="C1471" s="9"/>
      <c r="D1471" s="9"/>
      <c r="E1471" s="9"/>
      <c r="F1471" s="9"/>
      <c r="G1471" s="9"/>
      <c r="H1471" s="64" t="str">
        <f aca="false">IF(OR(A1471="",B1471=""),"",CONCATENATE("https://matarstund.is/serfaedi?id=",LOWER(SUBSTITUTE(B1471," ","-"))))</f>
        <v/>
      </c>
    </row>
    <row r="1472" customFormat="false" ht="15" hidden="false" customHeight="true" outlineLevel="0" collapsed="false">
      <c r="A1472" s="68"/>
      <c r="B1472" s="68"/>
      <c r="C1472" s="68"/>
      <c r="D1472" s="68"/>
      <c r="E1472" s="68"/>
      <c r="F1472" s="68"/>
      <c r="G1472" s="68"/>
      <c r="H1472" s="64" t="str">
        <f aca="false">IF(OR(A1472="",B1472=""),"",CONCATENATE("https://matarstund.is/serfaedi?id=",LOWER(SUBSTITUTE(B1472," ","-"))))</f>
        <v/>
      </c>
    </row>
    <row r="1473" customFormat="false" ht="15" hidden="false" customHeight="true" outlineLevel="0" collapsed="false">
      <c r="A1473" s="9"/>
      <c r="B1473" s="9"/>
      <c r="C1473" s="9"/>
      <c r="D1473" s="9"/>
      <c r="E1473" s="9"/>
      <c r="F1473" s="9"/>
      <c r="G1473" s="9"/>
      <c r="H1473" s="64" t="str">
        <f aca="false">IF(OR(A1473="",B1473=""),"",CONCATENATE("https://matarstund.is/serfaedi?id=",LOWER(SUBSTITUTE(B1473," ","-"))))</f>
        <v/>
      </c>
    </row>
    <row r="1474" customFormat="false" ht="15" hidden="false" customHeight="true" outlineLevel="0" collapsed="false">
      <c r="A1474" s="68"/>
      <c r="B1474" s="68"/>
      <c r="C1474" s="68"/>
      <c r="D1474" s="68"/>
      <c r="E1474" s="68"/>
      <c r="F1474" s="68"/>
      <c r="G1474" s="68"/>
      <c r="H1474" s="64" t="str">
        <f aca="false">IF(OR(A1474="",B1474=""),"",CONCATENATE("https://matarstund.is/serfaedi?id=",LOWER(SUBSTITUTE(B1474," ","-"))))</f>
        <v/>
      </c>
    </row>
    <row r="1475" customFormat="false" ht="15" hidden="false" customHeight="true" outlineLevel="0" collapsed="false">
      <c r="A1475" s="9"/>
      <c r="B1475" s="9"/>
      <c r="C1475" s="9"/>
      <c r="D1475" s="9"/>
      <c r="E1475" s="9"/>
      <c r="F1475" s="9"/>
      <c r="G1475" s="9"/>
      <c r="H1475" s="64" t="str">
        <f aca="false">IF(OR(A1475="",B1475=""),"",CONCATENATE("https://matarstund.is/serfaedi?id=",LOWER(SUBSTITUTE(B1475," ","-"))))</f>
        <v/>
      </c>
    </row>
    <row r="1476" customFormat="false" ht="15" hidden="false" customHeight="true" outlineLevel="0" collapsed="false">
      <c r="A1476" s="68"/>
      <c r="B1476" s="68"/>
      <c r="C1476" s="68"/>
      <c r="D1476" s="68"/>
      <c r="E1476" s="68"/>
      <c r="F1476" s="68"/>
      <c r="G1476" s="68"/>
      <c r="H1476" s="64" t="str">
        <f aca="false">IF(OR(A1476="",B1476=""),"",CONCATENATE("https://matarstund.is/serfaedi?id=",LOWER(SUBSTITUTE(B1476," ","-"))))</f>
        <v/>
      </c>
    </row>
    <row r="1477" customFormat="false" ht="15" hidden="false" customHeight="true" outlineLevel="0" collapsed="false">
      <c r="A1477" s="9"/>
      <c r="B1477" s="9"/>
      <c r="C1477" s="9"/>
      <c r="D1477" s="9"/>
      <c r="E1477" s="9"/>
      <c r="F1477" s="9"/>
      <c r="G1477" s="9"/>
      <c r="H1477" s="64" t="str">
        <f aca="false">IF(OR(A1477="",B1477=""),"",CONCATENATE("https://matarstund.is/serfaedi?id=",LOWER(SUBSTITUTE(B1477," ","-"))))</f>
        <v/>
      </c>
    </row>
    <row r="1478" customFormat="false" ht="15" hidden="false" customHeight="true" outlineLevel="0" collapsed="false">
      <c r="A1478" s="68"/>
      <c r="B1478" s="68"/>
      <c r="C1478" s="68"/>
      <c r="D1478" s="68"/>
      <c r="E1478" s="68"/>
      <c r="F1478" s="68"/>
      <c r="G1478" s="68"/>
      <c r="H1478" s="64" t="str">
        <f aca="false">IF(OR(A1478="",B1478=""),"",CONCATENATE("https://matarstund.is/serfaedi?id=",LOWER(SUBSTITUTE(B1478," ","-"))))</f>
        <v/>
      </c>
    </row>
    <row r="1479" customFormat="false" ht="15" hidden="false" customHeight="true" outlineLevel="0" collapsed="false">
      <c r="A1479" s="9"/>
      <c r="B1479" s="9"/>
      <c r="C1479" s="9"/>
      <c r="D1479" s="9"/>
      <c r="E1479" s="9"/>
      <c r="F1479" s="9"/>
      <c r="G1479" s="9"/>
      <c r="H1479" s="64" t="str">
        <f aca="false">IF(OR(A1479="",B1479=""),"",CONCATENATE("https://matarstund.is/serfaedi?id=",LOWER(SUBSTITUTE(B1479," ","-"))))</f>
        <v/>
      </c>
    </row>
    <row r="1480" customFormat="false" ht="15" hidden="false" customHeight="true" outlineLevel="0" collapsed="false">
      <c r="A1480" s="68"/>
      <c r="B1480" s="68"/>
      <c r="C1480" s="68"/>
      <c r="D1480" s="68"/>
      <c r="E1480" s="68"/>
      <c r="F1480" s="68"/>
      <c r="G1480" s="68"/>
      <c r="H1480" s="64" t="str">
        <f aca="false">IF(OR(A1480="",B1480=""),"",CONCATENATE("https://matarstund.is/serfaedi?id=",LOWER(SUBSTITUTE(B1480," ","-"))))</f>
        <v/>
      </c>
    </row>
    <row r="1481" customFormat="false" ht="15" hidden="false" customHeight="true" outlineLevel="0" collapsed="false">
      <c r="A1481" s="9"/>
      <c r="B1481" s="9"/>
      <c r="C1481" s="9"/>
      <c r="D1481" s="9"/>
      <c r="E1481" s="9"/>
      <c r="F1481" s="9"/>
      <c r="G1481" s="9"/>
      <c r="H1481" s="64" t="str">
        <f aca="false">IF(OR(A1481="",B1481=""),"",CONCATENATE("https://matarstund.is/serfaedi?id=",LOWER(SUBSTITUTE(B1481," ","-"))))</f>
        <v/>
      </c>
    </row>
    <row r="1482" customFormat="false" ht="15" hidden="false" customHeight="true" outlineLevel="0" collapsed="false">
      <c r="A1482" s="68"/>
      <c r="B1482" s="68"/>
      <c r="C1482" s="68"/>
      <c r="D1482" s="68"/>
      <c r="E1482" s="68"/>
      <c r="F1482" s="68"/>
      <c r="G1482" s="68"/>
      <c r="H1482" s="64" t="str">
        <f aca="false">IF(OR(A1482="",B1482=""),"",CONCATENATE("https://matarstund.is/serfaedi?id=",LOWER(SUBSTITUTE(B1482," ","-"))))</f>
        <v/>
      </c>
    </row>
    <row r="1483" customFormat="false" ht="15" hidden="false" customHeight="true" outlineLevel="0" collapsed="false">
      <c r="A1483" s="9"/>
      <c r="B1483" s="9"/>
      <c r="C1483" s="9"/>
      <c r="D1483" s="9"/>
      <c r="E1483" s="9"/>
      <c r="F1483" s="9"/>
      <c r="G1483" s="9"/>
      <c r="H1483" s="64" t="str">
        <f aca="false">IF(OR(A1483="",B1483=""),"",CONCATENATE("https://matarstund.is/serfaedi?id=",LOWER(SUBSTITUTE(B1483," ","-"))))</f>
        <v/>
      </c>
    </row>
    <row r="1484" customFormat="false" ht="15" hidden="false" customHeight="true" outlineLevel="0" collapsed="false">
      <c r="A1484" s="68"/>
      <c r="B1484" s="68"/>
      <c r="C1484" s="68"/>
      <c r="D1484" s="68"/>
      <c r="E1484" s="68"/>
      <c r="F1484" s="68"/>
      <c r="G1484" s="68"/>
      <c r="H1484" s="64" t="str">
        <f aca="false">IF(OR(A1484="",B1484=""),"",CONCATENATE("https://matarstund.is/serfaedi?id=",LOWER(SUBSTITUTE(B1484," ","-"))))</f>
        <v/>
      </c>
    </row>
    <row r="1485" customFormat="false" ht="15" hidden="false" customHeight="true" outlineLevel="0" collapsed="false">
      <c r="A1485" s="9"/>
      <c r="B1485" s="9"/>
      <c r="C1485" s="9"/>
      <c r="D1485" s="9"/>
      <c r="E1485" s="9"/>
      <c r="F1485" s="9"/>
      <c r="G1485" s="9"/>
      <c r="H1485" s="64" t="str">
        <f aca="false">IF(OR(A1485="",B1485=""),"",CONCATENATE("https://matarstund.is/serfaedi?id=",LOWER(SUBSTITUTE(B1485," ","-"))))</f>
        <v/>
      </c>
    </row>
    <row r="1486" customFormat="false" ht="15" hidden="false" customHeight="true" outlineLevel="0" collapsed="false">
      <c r="A1486" s="68"/>
      <c r="B1486" s="68"/>
      <c r="C1486" s="68"/>
      <c r="D1486" s="68"/>
      <c r="E1486" s="68"/>
      <c r="F1486" s="68"/>
      <c r="G1486" s="68"/>
      <c r="H1486" s="64" t="str">
        <f aca="false">IF(OR(A1486="",B1486=""),"",CONCATENATE("https://matarstund.is/serfaedi?id=",LOWER(SUBSTITUTE(B1486," ","-"))))</f>
        <v/>
      </c>
    </row>
    <row r="1487" customFormat="false" ht="15" hidden="false" customHeight="true" outlineLevel="0" collapsed="false">
      <c r="A1487" s="9"/>
      <c r="B1487" s="9"/>
      <c r="C1487" s="9"/>
      <c r="D1487" s="9"/>
      <c r="E1487" s="9"/>
      <c r="F1487" s="9"/>
      <c r="G1487" s="9"/>
      <c r="H1487" s="64" t="str">
        <f aca="false">IF(OR(A1487="",B1487=""),"",CONCATENATE("https://matarstund.is/serfaedi?id=",LOWER(SUBSTITUTE(B1487," ","-"))))</f>
        <v/>
      </c>
    </row>
    <row r="1488" customFormat="false" ht="15" hidden="false" customHeight="true" outlineLevel="0" collapsed="false">
      <c r="A1488" s="68"/>
      <c r="B1488" s="68"/>
      <c r="C1488" s="68"/>
      <c r="D1488" s="68"/>
      <c r="E1488" s="68"/>
      <c r="F1488" s="68"/>
      <c r="G1488" s="68"/>
      <c r="H1488" s="64" t="str">
        <f aca="false">IF(OR(A1488="",B1488=""),"",CONCATENATE("https://matarstund.is/serfaedi?id=",LOWER(SUBSTITUTE(B1488," ","-"))))</f>
        <v/>
      </c>
    </row>
    <row r="1489" customFormat="false" ht="15" hidden="false" customHeight="true" outlineLevel="0" collapsed="false">
      <c r="A1489" s="9"/>
      <c r="B1489" s="9"/>
      <c r="C1489" s="9"/>
      <c r="D1489" s="9"/>
      <c r="E1489" s="9"/>
      <c r="F1489" s="9"/>
      <c r="G1489" s="9"/>
      <c r="H1489" s="64" t="str">
        <f aca="false">IF(OR(A1489="",B1489=""),"",CONCATENATE("https://matarstund.is/serfaedi?id=",LOWER(SUBSTITUTE(B1489," ","-"))))</f>
        <v/>
      </c>
    </row>
    <row r="1490" customFormat="false" ht="15" hidden="false" customHeight="true" outlineLevel="0" collapsed="false">
      <c r="A1490" s="68"/>
      <c r="B1490" s="68"/>
      <c r="C1490" s="68"/>
      <c r="D1490" s="68"/>
      <c r="E1490" s="68"/>
      <c r="F1490" s="68"/>
      <c r="G1490" s="68"/>
      <c r="H1490" s="64" t="str">
        <f aca="false">IF(OR(A1490="",B1490=""),"",CONCATENATE("https://matarstund.is/serfaedi?id=",LOWER(SUBSTITUTE(B1490," ","-"))))</f>
        <v/>
      </c>
    </row>
    <row r="1491" customFormat="false" ht="15" hidden="false" customHeight="true" outlineLevel="0" collapsed="false">
      <c r="A1491" s="9"/>
      <c r="B1491" s="9"/>
      <c r="C1491" s="9"/>
      <c r="D1491" s="9"/>
      <c r="E1491" s="9"/>
      <c r="F1491" s="9"/>
      <c r="G1491" s="9"/>
      <c r="H1491" s="64" t="str">
        <f aca="false">IF(OR(A1491="",B1491=""),"",CONCATENATE("https://matarstund.is/serfaedi?id=",LOWER(SUBSTITUTE(B1491," ","-"))))</f>
        <v/>
      </c>
    </row>
    <row r="1492" customFormat="false" ht="15" hidden="false" customHeight="true" outlineLevel="0" collapsed="false">
      <c r="A1492" s="68"/>
      <c r="B1492" s="68"/>
      <c r="C1492" s="68"/>
      <c r="D1492" s="68"/>
      <c r="E1492" s="68"/>
      <c r="F1492" s="68"/>
      <c r="G1492" s="68"/>
      <c r="H1492" s="64" t="str">
        <f aca="false">IF(OR(A1492="",B1492=""),"",CONCATENATE("https://matarstund.is/serfaedi?id=",LOWER(SUBSTITUTE(B1492," ","-"))))</f>
        <v/>
      </c>
    </row>
    <row r="1493" customFormat="false" ht="15" hidden="false" customHeight="true" outlineLevel="0" collapsed="false">
      <c r="A1493" s="9"/>
      <c r="B1493" s="9"/>
      <c r="C1493" s="9"/>
      <c r="D1493" s="9"/>
      <c r="E1493" s="9"/>
      <c r="F1493" s="9"/>
      <c r="G1493" s="9"/>
      <c r="H1493" s="64" t="str">
        <f aca="false">IF(OR(A1493="",B1493=""),"",CONCATENATE("https://matarstund.is/serfaedi?id=",LOWER(SUBSTITUTE(B1493," ","-"))))</f>
        <v/>
      </c>
    </row>
    <row r="1494" customFormat="false" ht="15" hidden="false" customHeight="true" outlineLevel="0" collapsed="false">
      <c r="A1494" s="68"/>
      <c r="B1494" s="68"/>
      <c r="C1494" s="68"/>
      <c r="D1494" s="68"/>
      <c r="E1494" s="68"/>
      <c r="F1494" s="68"/>
      <c r="G1494" s="68"/>
      <c r="H1494" s="64" t="str">
        <f aca="false">IF(OR(A1494="",B1494=""),"",CONCATENATE("https://matarstund.is/serfaedi?id=",LOWER(SUBSTITUTE(B1494," ","-"))))</f>
        <v/>
      </c>
    </row>
    <row r="1495" customFormat="false" ht="15" hidden="false" customHeight="true" outlineLevel="0" collapsed="false">
      <c r="A1495" s="9"/>
      <c r="B1495" s="9"/>
      <c r="C1495" s="9"/>
      <c r="D1495" s="9"/>
      <c r="E1495" s="9"/>
      <c r="F1495" s="9"/>
      <c r="G1495" s="9"/>
      <c r="H1495" s="64" t="str">
        <f aca="false">IF(OR(A1495="",B1495=""),"",CONCATENATE("https://matarstund.is/serfaedi?id=",LOWER(SUBSTITUTE(B1495," ","-"))))</f>
        <v/>
      </c>
    </row>
    <row r="1496" customFormat="false" ht="15" hidden="false" customHeight="true" outlineLevel="0" collapsed="false">
      <c r="A1496" s="68"/>
      <c r="B1496" s="68"/>
      <c r="C1496" s="68"/>
      <c r="D1496" s="68"/>
      <c r="E1496" s="68"/>
      <c r="F1496" s="68"/>
      <c r="G1496" s="68"/>
      <c r="H1496" s="64" t="str">
        <f aca="false">IF(OR(A1496="",B1496=""),"",CONCATENATE("https://matarstund.is/serfaedi?id=",LOWER(SUBSTITUTE(B1496," ","-"))))</f>
        <v/>
      </c>
    </row>
    <row r="1497" customFormat="false" ht="15" hidden="false" customHeight="true" outlineLevel="0" collapsed="false">
      <c r="A1497" s="9"/>
      <c r="B1497" s="9"/>
      <c r="C1497" s="9"/>
      <c r="D1497" s="9"/>
      <c r="E1497" s="9"/>
      <c r="F1497" s="9"/>
      <c r="G1497" s="9"/>
      <c r="H1497" s="64" t="str">
        <f aca="false">IF(OR(A1497="",B1497=""),"",CONCATENATE("https://matarstund.is/serfaedi?id=",LOWER(SUBSTITUTE(B1497," ","-"))))</f>
        <v/>
      </c>
    </row>
    <row r="1498" customFormat="false" ht="15" hidden="false" customHeight="true" outlineLevel="0" collapsed="false">
      <c r="A1498" s="68"/>
      <c r="B1498" s="68"/>
      <c r="C1498" s="68"/>
      <c r="D1498" s="68"/>
      <c r="E1498" s="68"/>
      <c r="F1498" s="68"/>
      <c r="G1498" s="68"/>
      <c r="H1498" s="64" t="str">
        <f aca="false">IF(OR(A1498="",B1498=""),"",CONCATENATE("https://matarstund.is/serfaedi?id=",LOWER(SUBSTITUTE(B1498," ","-"))))</f>
        <v/>
      </c>
    </row>
    <row r="1499" customFormat="false" ht="15" hidden="false" customHeight="true" outlineLevel="0" collapsed="false">
      <c r="A1499" s="9"/>
      <c r="B1499" s="9"/>
      <c r="C1499" s="9"/>
      <c r="D1499" s="9"/>
      <c r="E1499" s="9"/>
      <c r="F1499" s="9"/>
      <c r="G1499" s="9"/>
      <c r="H1499" s="64" t="str">
        <f aca="false">IF(OR(A1499="",B1499=""),"",CONCATENATE("https://matarstund.is/serfaedi?id=",LOWER(SUBSTITUTE(B1499," ","-"))))</f>
        <v/>
      </c>
    </row>
    <row r="1500" customFormat="false" ht="15" hidden="false" customHeight="true" outlineLevel="0" collapsed="false">
      <c r="A1500" s="68"/>
      <c r="B1500" s="68"/>
      <c r="C1500" s="68"/>
      <c r="D1500" s="68"/>
      <c r="E1500" s="68"/>
      <c r="F1500" s="68"/>
      <c r="G1500" s="68"/>
      <c r="H1500" s="64" t="str">
        <f aca="false">IF(OR(A1500="",B1500=""),"",CONCATENATE("https://matarstund.is/serfaedi?id=",LOWER(SUBSTITUTE(B1500," ","-"))))</f>
        <v/>
      </c>
    </row>
    <row r="1501" customFormat="false" ht="15" hidden="false" customHeight="true" outlineLevel="0" collapsed="false">
      <c r="A1501" s="9"/>
      <c r="B1501" s="9"/>
      <c r="C1501" s="9"/>
      <c r="D1501" s="9"/>
      <c r="E1501" s="9"/>
      <c r="F1501" s="9"/>
      <c r="G1501" s="9"/>
      <c r="H1501" s="64" t="str">
        <f aca="false">IF(OR(A1501="",B1501=""),"",CONCATENATE("https://matarstund.is/serfaedi?id=",LOWER(SUBSTITUTE(B1501," ","-"))))</f>
        <v/>
      </c>
    </row>
    <row r="1502" customFormat="false" ht="15" hidden="false" customHeight="true" outlineLevel="0" collapsed="false">
      <c r="A1502" s="68"/>
      <c r="B1502" s="68"/>
      <c r="C1502" s="68"/>
      <c r="D1502" s="68"/>
      <c r="E1502" s="68"/>
      <c r="F1502" s="68"/>
      <c r="G1502" s="68"/>
      <c r="H1502" s="64" t="str">
        <f aca="false">IF(OR(A1502="",B1502=""),"",CONCATENATE("https://matarstund.is/serfaedi?id=",LOWER(SUBSTITUTE(B1502," ","-"))))</f>
        <v/>
      </c>
    </row>
    <row r="1503" customFormat="false" ht="15" hidden="false" customHeight="true" outlineLevel="0" collapsed="false">
      <c r="A1503" s="9"/>
      <c r="B1503" s="9"/>
      <c r="C1503" s="9"/>
      <c r="D1503" s="9"/>
      <c r="E1503" s="9"/>
      <c r="F1503" s="9"/>
      <c r="G1503" s="9"/>
      <c r="H1503" s="64" t="str">
        <f aca="false">IF(OR(A1503="",B1503=""),"",CONCATENATE("https://matarstund.is/serfaedi?id=",LOWER(SUBSTITUTE(B1503," ","-"))))</f>
        <v/>
      </c>
    </row>
    <row r="1504" customFormat="false" ht="15" hidden="false" customHeight="true" outlineLevel="0" collapsed="false">
      <c r="A1504" s="68"/>
      <c r="B1504" s="68"/>
      <c r="C1504" s="68"/>
      <c r="D1504" s="68"/>
      <c r="E1504" s="68"/>
      <c r="F1504" s="68"/>
      <c r="G1504" s="68"/>
      <c r="H1504" s="64" t="str">
        <f aca="false">IF(OR(A1504="",B1504=""),"",CONCATENATE("https://matarstund.is/serfaedi?id=",LOWER(SUBSTITUTE(B1504," ","-"))))</f>
        <v/>
      </c>
    </row>
    <row r="1505" customFormat="false" ht="15" hidden="false" customHeight="true" outlineLevel="0" collapsed="false">
      <c r="A1505" s="9"/>
      <c r="B1505" s="9"/>
      <c r="C1505" s="9"/>
      <c r="D1505" s="9"/>
      <c r="E1505" s="9"/>
      <c r="F1505" s="9"/>
      <c r="G1505" s="9"/>
      <c r="H1505" s="64" t="str">
        <f aca="false">IF(OR(A1505="",B1505=""),"",CONCATENATE("https://matarstund.is/serfaedi?id=",LOWER(SUBSTITUTE(B1505," ","-"))))</f>
        <v/>
      </c>
    </row>
    <row r="1506" customFormat="false" ht="15" hidden="false" customHeight="true" outlineLevel="0" collapsed="false">
      <c r="A1506" s="68"/>
      <c r="B1506" s="68"/>
      <c r="C1506" s="68"/>
      <c r="D1506" s="68"/>
      <c r="E1506" s="68"/>
      <c r="F1506" s="68"/>
      <c r="G1506" s="68"/>
      <c r="H1506" s="64" t="str">
        <f aca="false">IF(OR(A1506="",B1506=""),"",CONCATENATE("https://matarstund.is/serfaedi?id=",LOWER(SUBSTITUTE(B1506," ","-"))))</f>
        <v/>
      </c>
    </row>
    <row r="1507" customFormat="false" ht="15" hidden="false" customHeight="true" outlineLevel="0" collapsed="false">
      <c r="A1507" s="9"/>
      <c r="B1507" s="9"/>
      <c r="C1507" s="9"/>
      <c r="D1507" s="9"/>
      <c r="E1507" s="9"/>
      <c r="F1507" s="9"/>
      <c r="G1507" s="9"/>
      <c r="H1507" s="64" t="str">
        <f aca="false">IF(OR(A1507="",B1507=""),"",CONCATENATE("https://matarstund.is/serfaedi?id=",LOWER(SUBSTITUTE(B1507," ","-"))))</f>
        <v/>
      </c>
    </row>
    <row r="1508" customFormat="false" ht="15" hidden="false" customHeight="true" outlineLevel="0" collapsed="false">
      <c r="A1508" s="68"/>
      <c r="B1508" s="68"/>
      <c r="C1508" s="68"/>
      <c r="D1508" s="68"/>
      <c r="E1508" s="68"/>
      <c r="F1508" s="68"/>
      <c r="G1508" s="68"/>
      <c r="H1508" s="64" t="str">
        <f aca="false">IF(OR(A1508="",B1508=""),"",CONCATENATE("https://matarstund.is/serfaedi?id=",LOWER(SUBSTITUTE(B1508," ","-"))))</f>
        <v/>
      </c>
    </row>
    <row r="1509" customFormat="false" ht="15" hidden="false" customHeight="true" outlineLevel="0" collapsed="false">
      <c r="A1509" s="9"/>
      <c r="B1509" s="9"/>
      <c r="C1509" s="9"/>
      <c r="D1509" s="9"/>
      <c r="E1509" s="9"/>
      <c r="F1509" s="9"/>
      <c r="G1509" s="9"/>
      <c r="H1509" s="64" t="str">
        <f aca="false">IF(OR(A1509="",B1509=""),"",CONCATENATE("https://matarstund.is/serfaedi?id=",LOWER(SUBSTITUTE(B1509," ","-"))))</f>
        <v/>
      </c>
    </row>
    <row r="1510" customFormat="false" ht="15" hidden="false" customHeight="true" outlineLevel="0" collapsed="false">
      <c r="A1510" s="68"/>
      <c r="B1510" s="68"/>
      <c r="C1510" s="68"/>
      <c r="D1510" s="68"/>
      <c r="E1510" s="68"/>
      <c r="F1510" s="68"/>
      <c r="G1510" s="68"/>
      <c r="H1510" s="64" t="str">
        <f aca="false">IF(OR(A1510="",B1510=""),"",CONCATENATE("https://matarstund.is/serfaedi?id=",LOWER(SUBSTITUTE(B1510," ","-"))))</f>
        <v/>
      </c>
    </row>
    <row r="1511" customFormat="false" ht="15" hidden="false" customHeight="true" outlineLevel="0" collapsed="false">
      <c r="A1511" s="9"/>
      <c r="B1511" s="9"/>
      <c r="C1511" s="9"/>
      <c r="D1511" s="9"/>
      <c r="E1511" s="9"/>
      <c r="F1511" s="9"/>
      <c r="G1511" s="9"/>
      <c r="H1511" s="64" t="str">
        <f aca="false">IF(OR(A1511="",B1511=""),"",CONCATENATE("https://matarstund.is/serfaedi?id=",LOWER(SUBSTITUTE(B1511," ","-"))))</f>
        <v/>
      </c>
    </row>
    <row r="1512" customFormat="false" ht="15" hidden="false" customHeight="true" outlineLevel="0" collapsed="false">
      <c r="A1512" s="68"/>
      <c r="B1512" s="68"/>
      <c r="C1512" s="68"/>
      <c r="D1512" s="68"/>
      <c r="E1512" s="68"/>
      <c r="F1512" s="68"/>
      <c r="G1512" s="68"/>
      <c r="H1512" s="64" t="str">
        <f aca="false">IF(OR(A1512="",B1512=""),"",CONCATENATE("https://matarstund.is/serfaedi?id=",LOWER(SUBSTITUTE(B1512," ","-"))))</f>
        <v/>
      </c>
    </row>
    <row r="1513" customFormat="false" ht="15" hidden="false" customHeight="true" outlineLevel="0" collapsed="false">
      <c r="A1513" s="9"/>
      <c r="B1513" s="9"/>
      <c r="C1513" s="9"/>
      <c r="D1513" s="9"/>
      <c r="E1513" s="9"/>
      <c r="F1513" s="9"/>
      <c r="G1513" s="9"/>
      <c r="H1513" s="64" t="str">
        <f aca="false">IF(OR(A1513="",B1513=""),"",CONCATENATE("https://matarstund.is/serfaedi?id=",LOWER(SUBSTITUTE(B1513," ","-"))))</f>
        <v/>
      </c>
    </row>
    <row r="1514" customFormat="false" ht="15" hidden="false" customHeight="true" outlineLevel="0" collapsed="false">
      <c r="A1514" s="68"/>
      <c r="B1514" s="68"/>
      <c r="C1514" s="68"/>
      <c r="D1514" s="68"/>
      <c r="E1514" s="68"/>
      <c r="F1514" s="68"/>
      <c r="G1514" s="68"/>
      <c r="H1514" s="64" t="str">
        <f aca="false">IF(OR(A1514="",B1514=""),"",CONCATENATE("https://matarstund.is/serfaedi?id=",LOWER(SUBSTITUTE(B1514," ","-"))))</f>
        <v/>
      </c>
    </row>
    <row r="1515" customFormat="false" ht="15" hidden="false" customHeight="true" outlineLevel="0" collapsed="false">
      <c r="A1515" s="9"/>
      <c r="B1515" s="9"/>
      <c r="C1515" s="9"/>
      <c r="D1515" s="9"/>
      <c r="E1515" s="9"/>
      <c r="F1515" s="9"/>
      <c r="G1515" s="9"/>
      <c r="H1515" s="64" t="str">
        <f aca="false">IF(OR(A1515="",B1515=""),"",CONCATENATE("https://matarstund.is/serfaedi?id=",LOWER(SUBSTITUTE(B1515," ","-"))))</f>
        <v/>
      </c>
    </row>
    <row r="1516" customFormat="false" ht="15" hidden="false" customHeight="true" outlineLevel="0" collapsed="false">
      <c r="A1516" s="68"/>
      <c r="B1516" s="68"/>
      <c r="C1516" s="68"/>
      <c r="D1516" s="68"/>
      <c r="E1516" s="68"/>
      <c r="F1516" s="68"/>
      <c r="G1516" s="68"/>
      <c r="H1516" s="64" t="str">
        <f aca="false">IF(OR(A1516="",B1516=""),"",CONCATENATE("https://matarstund.is/serfaedi?id=",LOWER(SUBSTITUTE(B1516," ","-"))))</f>
        <v/>
      </c>
    </row>
    <row r="1517" customFormat="false" ht="15" hidden="false" customHeight="true" outlineLevel="0" collapsed="false">
      <c r="A1517" s="9"/>
      <c r="B1517" s="9"/>
      <c r="C1517" s="9"/>
      <c r="D1517" s="9"/>
      <c r="E1517" s="9"/>
      <c r="F1517" s="9"/>
      <c r="G1517" s="9"/>
      <c r="H1517" s="64" t="str">
        <f aca="false">IF(OR(A1517="",B1517=""),"",CONCATENATE("https://matarstund.is/serfaedi?id=",LOWER(SUBSTITUTE(B1517," ","-"))))</f>
        <v/>
      </c>
    </row>
    <row r="1518" customFormat="false" ht="15" hidden="false" customHeight="true" outlineLevel="0" collapsed="false">
      <c r="A1518" s="68"/>
      <c r="B1518" s="68"/>
      <c r="C1518" s="68"/>
      <c r="D1518" s="68"/>
      <c r="E1518" s="68"/>
      <c r="F1518" s="68"/>
      <c r="G1518" s="68"/>
      <c r="H1518" s="64" t="str">
        <f aca="false">IF(OR(A1518="",B1518=""),"",CONCATENATE("https://matarstund.is/serfaedi?id=",LOWER(SUBSTITUTE(B1518," ","-"))))</f>
        <v/>
      </c>
    </row>
    <row r="1519" customFormat="false" ht="15" hidden="false" customHeight="true" outlineLevel="0" collapsed="false">
      <c r="A1519" s="9"/>
      <c r="B1519" s="9"/>
      <c r="C1519" s="9"/>
      <c r="D1519" s="9"/>
      <c r="E1519" s="9"/>
      <c r="F1519" s="9"/>
      <c r="G1519" s="9"/>
      <c r="H1519" s="64" t="str">
        <f aca="false">IF(OR(A1519="",B1519=""),"",CONCATENATE("https://matarstund.is/serfaedi?id=",LOWER(SUBSTITUTE(B1519," ","-"))))</f>
        <v/>
      </c>
    </row>
    <row r="1520" customFormat="false" ht="15" hidden="false" customHeight="true" outlineLevel="0" collapsed="false">
      <c r="A1520" s="68"/>
      <c r="B1520" s="68"/>
      <c r="C1520" s="68"/>
      <c r="D1520" s="68"/>
      <c r="E1520" s="68"/>
      <c r="F1520" s="68"/>
      <c r="G1520" s="68"/>
      <c r="H1520" s="64" t="str">
        <f aca="false">IF(OR(A1520="",B1520=""),"",CONCATENATE("https://matarstund.is/serfaedi?id=",LOWER(SUBSTITUTE(B1520," ","-"))))</f>
        <v/>
      </c>
    </row>
    <row r="1521" customFormat="false" ht="15" hidden="false" customHeight="true" outlineLevel="0" collapsed="false">
      <c r="A1521" s="9"/>
      <c r="B1521" s="9"/>
      <c r="C1521" s="9"/>
      <c r="D1521" s="9"/>
      <c r="E1521" s="9"/>
      <c r="F1521" s="9"/>
      <c r="G1521" s="9"/>
      <c r="H1521" s="64" t="str">
        <f aca="false">IF(OR(A1521="",B1521=""),"",CONCATENATE("https://matarstund.is/serfaedi?id=",LOWER(SUBSTITUTE(B1521," ","-"))))</f>
        <v/>
      </c>
    </row>
    <row r="1522" customFormat="false" ht="15" hidden="false" customHeight="true" outlineLevel="0" collapsed="false">
      <c r="A1522" s="68"/>
      <c r="B1522" s="68"/>
      <c r="C1522" s="68"/>
      <c r="D1522" s="68"/>
      <c r="E1522" s="68"/>
      <c r="F1522" s="68"/>
      <c r="G1522" s="68"/>
      <c r="H1522" s="64" t="str">
        <f aca="false">IF(OR(A1522="",B1522=""),"",CONCATENATE("https://matarstund.is/serfaedi?id=",LOWER(SUBSTITUTE(B1522," ","-"))))</f>
        <v/>
      </c>
    </row>
    <row r="1523" customFormat="false" ht="15" hidden="false" customHeight="true" outlineLevel="0" collapsed="false">
      <c r="A1523" s="9"/>
      <c r="B1523" s="9"/>
      <c r="C1523" s="9"/>
      <c r="D1523" s="9"/>
      <c r="E1523" s="9"/>
      <c r="F1523" s="9"/>
      <c r="G1523" s="9"/>
      <c r="H1523" s="64" t="str">
        <f aca="false">IF(OR(A1523="",B1523=""),"",CONCATENATE("https://matarstund.is/serfaedi?id=",LOWER(SUBSTITUTE(B1523," ","-"))))</f>
        <v/>
      </c>
    </row>
    <row r="1524" customFormat="false" ht="15" hidden="false" customHeight="true" outlineLevel="0" collapsed="false">
      <c r="A1524" s="68"/>
      <c r="B1524" s="68"/>
      <c r="C1524" s="68"/>
      <c r="D1524" s="68"/>
      <c r="E1524" s="68"/>
      <c r="F1524" s="68"/>
      <c r="G1524" s="68"/>
      <c r="H1524" s="64" t="str">
        <f aca="false">IF(OR(A1524="",B1524=""),"",CONCATENATE("https://matarstund.is/serfaedi?id=",LOWER(SUBSTITUTE(B1524," ","-"))))</f>
        <v/>
      </c>
    </row>
    <row r="1525" customFormat="false" ht="15" hidden="false" customHeight="true" outlineLevel="0" collapsed="false">
      <c r="A1525" s="9"/>
      <c r="B1525" s="9"/>
      <c r="C1525" s="9"/>
      <c r="D1525" s="9"/>
      <c r="E1525" s="9"/>
      <c r="F1525" s="9"/>
      <c r="G1525" s="9"/>
      <c r="H1525" s="64" t="str">
        <f aca="false">IF(OR(A1525="",B1525=""),"",CONCATENATE("https://matarstund.is/serfaedi?id=",LOWER(SUBSTITUTE(B1525," ","-"))))</f>
        <v/>
      </c>
    </row>
    <row r="1526" customFormat="false" ht="15" hidden="false" customHeight="true" outlineLevel="0" collapsed="false">
      <c r="A1526" s="68"/>
      <c r="B1526" s="68"/>
      <c r="C1526" s="68"/>
      <c r="D1526" s="68"/>
      <c r="E1526" s="68"/>
      <c r="F1526" s="68"/>
      <c r="G1526" s="68"/>
      <c r="H1526" s="64" t="str">
        <f aca="false">IF(OR(A1526="",B1526=""),"",CONCATENATE("https://matarstund.is/serfaedi?id=",LOWER(SUBSTITUTE(B1526," ","-"))))</f>
        <v/>
      </c>
    </row>
    <row r="1527" customFormat="false" ht="15" hidden="false" customHeight="true" outlineLevel="0" collapsed="false">
      <c r="A1527" s="9"/>
      <c r="B1527" s="9"/>
      <c r="C1527" s="9"/>
      <c r="D1527" s="9"/>
      <c r="E1527" s="9"/>
      <c r="F1527" s="9"/>
      <c r="G1527" s="9"/>
      <c r="H1527" s="64" t="str">
        <f aca="false">IF(OR(A1527="",B1527=""),"",CONCATENATE("https://matarstund.is/serfaedi?id=",LOWER(SUBSTITUTE(B1527," ","-"))))</f>
        <v/>
      </c>
    </row>
    <row r="1528" customFormat="false" ht="15" hidden="false" customHeight="true" outlineLevel="0" collapsed="false">
      <c r="A1528" s="68"/>
      <c r="B1528" s="68"/>
      <c r="C1528" s="68"/>
      <c r="D1528" s="68"/>
      <c r="E1528" s="68"/>
      <c r="F1528" s="68"/>
      <c r="G1528" s="68"/>
      <c r="H1528" s="64" t="str">
        <f aca="false">IF(OR(A1528="",B1528=""),"",CONCATENATE("https://matarstund.is/serfaedi?id=",LOWER(SUBSTITUTE(B1528," ","-"))))</f>
        <v/>
      </c>
    </row>
    <row r="1529" customFormat="false" ht="15" hidden="false" customHeight="true" outlineLevel="0" collapsed="false">
      <c r="A1529" s="9"/>
      <c r="B1529" s="9"/>
      <c r="C1529" s="9"/>
      <c r="D1529" s="9"/>
      <c r="E1529" s="9"/>
      <c r="F1529" s="9"/>
      <c r="G1529" s="9"/>
      <c r="H1529" s="64" t="str">
        <f aca="false">IF(OR(A1529="",B1529=""),"",CONCATENATE("https://matarstund.is/serfaedi?id=",LOWER(SUBSTITUTE(B1529," ","-"))))</f>
        <v/>
      </c>
    </row>
    <row r="1530" customFormat="false" ht="15" hidden="false" customHeight="true" outlineLevel="0" collapsed="false">
      <c r="A1530" s="68"/>
      <c r="B1530" s="68"/>
      <c r="C1530" s="68"/>
      <c r="D1530" s="68"/>
      <c r="E1530" s="68"/>
      <c r="F1530" s="68"/>
      <c r="G1530" s="68"/>
      <c r="H1530" s="64" t="str">
        <f aca="false">IF(OR(A1530="",B1530=""),"",CONCATENATE("https://matarstund.is/serfaedi?id=",LOWER(SUBSTITUTE(B1530," ","-"))))</f>
        <v/>
      </c>
    </row>
    <row r="1531" customFormat="false" ht="15" hidden="false" customHeight="true" outlineLevel="0" collapsed="false">
      <c r="A1531" s="9"/>
      <c r="B1531" s="9"/>
      <c r="C1531" s="9"/>
      <c r="D1531" s="9"/>
      <c r="E1531" s="9"/>
      <c r="F1531" s="9"/>
      <c r="G1531" s="9"/>
      <c r="H1531" s="64" t="str">
        <f aca="false">IF(OR(A1531="",B1531=""),"",CONCATENATE("https://matarstund.is/serfaedi?id=",LOWER(SUBSTITUTE(B1531," ","-"))))</f>
        <v/>
      </c>
    </row>
    <row r="1532" customFormat="false" ht="15" hidden="false" customHeight="true" outlineLevel="0" collapsed="false">
      <c r="A1532" s="68"/>
      <c r="B1532" s="68"/>
      <c r="C1532" s="68"/>
      <c r="D1532" s="68"/>
      <c r="E1532" s="68"/>
      <c r="F1532" s="68"/>
      <c r="G1532" s="68"/>
      <c r="H1532" s="64" t="str">
        <f aca="false">IF(OR(A1532="",B1532=""),"",CONCATENATE("https://matarstund.is/serfaedi?id=",LOWER(SUBSTITUTE(B1532," ","-"))))</f>
        <v/>
      </c>
    </row>
    <row r="1533" customFormat="false" ht="15" hidden="false" customHeight="true" outlineLevel="0" collapsed="false">
      <c r="A1533" s="9"/>
      <c r="B1533" s="9"/>
      <c r="C1533" s="9"/>
      <c r="D1533" s="9"/>
      <c r="E1533" s="9"/>
      <c r="F1533" s="9"/>
      <c r="G1533" s="9"/>
      <c r="H1533" s="64" t="str">
        <f aca="false">IF(OR(A1533="",B1533=""),"",CONCATENATE("https://matarstund.is/serfaedi?id=",LOWER(SUBSTITUTE(B1533," ","-"))))</f>
        <v/>
      </c>
    </row>
    <row r="1534" customFormat="false" ht="15" hidden="false" customHeight="true" outlineLevel="0" collapsed="false">
      <c r="A1534" s="68"/>
      <c r="B1534" s="68"/>
      <c r="C1534" s="68"/>
      <c r="D1534" s="68"/>
      <c r="E1534" s="68"/>
      <c r="F1534" s="68"/>
      <c r="G1534" s="68"/>
      <c r="H1534" s="64" t="str">
        <f aca="false">IF(OR(A1534="",B1534=""),"",CONCATENATE("https://matarstund.is/serfaedi?id=",LOWER(SUBSTITUTE(B1534," ","-"))))</f>
        <v/>
      </c>
    </row>
    <row r="1535" customFormat="false" ht="15" hidden="false" customHeight="true" outlineLevel="0" collapsed="false">
      <c r="A1535" s="9"/>
      <c r="B1535" s="9"/>
      <c r="C1535" s="9"/>
      <c r="D1535" s="9"/>
      <c r="E1535" s="9"/>
      <c r="F1535" s="9"/>
      <c r="G1535" s="9"/>
      <c r="H1535" s="64" t="str">
        <f aca="false">IF(OR(A1535="",B1535=""),"",CONCATENATE("https://matarstund.is/serfaedi?id=",LOWER(SUBSTITUTE(B1535," ","-"))))</f>
        <v/>
      </c>
    </row>
    <row r="1536" customFormat="false" ht="15" hidden="false" customHeight="true" outlineLevel="0" collapsed="false">
      <c r="A1536" s="68"/>
      <c r="B1536" s="68"/>
      <c r="C1536" s="68"/>
      <c r="D1536" s="68"/>
      <c r="E1536" s="68"/>
      <c r="F1536" s="68"/>
      <c r="G1536" s="68"/>
      <c r="H1536" s="64" t="str">
        <f aca="false">IF(OR(A1536="",B1536=""),"",CONCATENATE("https://matarstund.is/serfaedi?id=",LOWER(SUBSTITUTE(B1536," ","-"))))</f>
        <v/>
      </c>
    </row>
    <row r="1537" customFormat="false" ht="15" hidden="false" customHeight="true" outlineLevel="0" collapsed="false">
      <c r="A1537" s="9"/>
      <c r="B1537" s="9"/>
      <c r="C1537" s="9"/>
      <c r="D1537" s="9"/>
      <c r="E1537" s="9"/>
      <c r="F1537" s="9"/>
      <c r="G1537" s="9"/>
      <c r="H1537" s="64" t="str">
        <f aca="false">IF(OR(A1537="",B1537=""),"",CONCATENATE("https://matarstund.is/serfaedi?id=",LOWER(SUBSTITUTE(B1537," ","-"))))</f>
        <v/>
      </c>
    </row>
    <row r="1538" customFormat="false" ht="15" hidden="false" customHeight="true" outlineLevel="0" collapsed="false">
      <c r="A1538" s="68"/>
      <c r="B1538" s="68"/>
      <c r="C1538" s="68"/>
      <c r="D1538" s="68"/>
      <c r="E1538" s="68"/>
      <c r="F1538" s="68"/>
      <c r="G1538" s="68"/>
      <c r="H1538" s="64" t="str">
        <f aca="false">IF(OR(A1538="",B1538=""),"",CONCATENATE("https://matarstund.is/serfaedi?id=",LOWER(SUBSTITUTE(B1538," ","-"))))</f>
        <v/>
      </c>
    </row>
    <row r="1539" customFormat="false" ht="15" hidden="false" customHeight="true" outlineLevel="0" collapsed="false">
      <c r="A1539" s="9"/>
      <c r="B1539" s="9"/>
      <c r="C1539" s="9"/>
      <c r="D1539" s="9"/>
      <c r="E1539" s="9"/>
      <c r="F1539" s="9"/>
      <c r="G1539" s="9"/>
      <c r="H1539" s="64" t="str">
        <f aca="false">IF(OR(A1539="",B1539=""),"",CONCATENATE("https://matarstund.is/serfaedi?id=",LOWER(SUBSTITUTE(B1539," ","-"))))</f>
        <v/>
      </c>
    </row>
    <row r="1540" customFormat="false" ht="15" hidden="false" customHeight="true" outlineLevel="0" collapsed="false">
      <c r="A1540" s="68"/>
      <c r="B1540" s="68"/>
      <c r="C1540" s="68"/>
      <c r="D1540" s="68"/>
      <c r="E1540" s="68"/>
      <c r="F1540" s="68"/>
      <c r="G1540" s="68"/>
      <c r="H1540" s="64" t="str">
        <f aca="false">IF(OR(A1540="",B1540=""),"",CONCATENATE("https://matarstund.is/serfaedi?id=",LOWER(SUBSTITUTE(B1540," ","-"))))</f>
        <v/>
      </c>
    </row>
    <row r="1541" customFormat="false" ht="15" hidden="false" customHeight="true" outlineLevel="0" collapsed="false">
      <c r="A1541" s="9"/>
      <c r="B1541" s="9"/>
      <c r="C1541" s="9"/>
      <c r="D1541" s="9"/>
      <c r="E1541" s="9"/>
      <c r="F1541" s="9"/>
      <c r="G1541" s="9"/>
      <c r="H1541" s="64" t="str">
        <f aca="false">IF(OR(A1541="",B1541=""),"",CONCATENATE("https://matarstund.is/serfaedi?id=",LOWER(SUBSTITUTE(B1541," ","-"))))</f>
        <v/>
      </c>
    </row>
    <row r="1542" customFormat="false" ht="15" hidden="false" customHeight="true" outlineLevel="0" collapsed="false">
      <c r="A1542" s="68"/>
      <c r="B1542" s="68"/>
      <c r="C1542" s="68"/>
      <c r="D1542" s="68"/>
      <c r="E1542" s="68"/>
      <c r="F1542" s="68"/>
      <c r="G1542" s="68"/>
      <c r="H1542" s="64" t="str">
        <f aca="false">IF(OR(A1542="",B1542=""),"",CONCATENATE("https://matarstund.is/serfaedi?id=",LOWER(SUBSTITUTE(B1542," ","-"))))</f>
        <v/>
      </c>
    </row>
    <row r="1543" customFormat="false" ht="15" hidden="false" customHeight="true" outlineLevel="0" collapsed="false">
      <c r="A1543" s="9"/>
      <c r="B1543" s="9"/>
      <c r="C1543" s="9"/>
      <c r="D1543" s="9"/>
      <c r="E1543" s="9"/>
      <c r="F1543" s="9"/>
      <c r="G1543" s="9"/>
      <c r="H1543" s="64" t="str">
        <f aca="false">IF(OR(A1543="",B1543=""),"",CONCATENATE("https://matarstund.is/serfaedi?id=",LOWER(SUBSTITUTE(B1543," ","-"))))</f>
        <v/>
      </c>
    </row>
    <row r="1544" customFormat="false" ht="15" hidden="false" customHeight="true" outlineLevel="0" collapsed="false">
      <c r="A1544" s="68"/>
      <c r="B1544" s="68"/>
      <c r="C1544" s="68"/>
      <c r="D1544" s="68"/>
      <c r="E1544" s="68"/>
      <c r="F1544" s="68"/>
      <c r="G1544" s="68"/>
      <c r="H1544" s="64" t="str">
        <f aca="false">IF(OR(A1544="",B1544=""),"",CONCATENATE("https://matarstund.is/serfaedi?id=",LOWER(SUBSTITUTE(B1544," ","-"))))</f>
        <v/>
      </c>
    </row>
    <row r="1545" customFormat="false" ht="15" hidden="false" customHeight="true" outlineLevel="0" collapsed="false">
      <c r="A1545" s="9"/>
      <c r="B1545" s="9"/>
      <c r="C1545" s="9"/>
      <c r="D1545" s="9"/>
      <c r="E1545" s="9"/>
      <c r="F1545" s="9"/>
      <c r="G1545" s="9"/>
      <c r="H1545" s="64" t="str">
        <f aca="false">IF(OR(A1545="",B1545=""),"",CONCATENATE("https://matarstund.is/serfaedi?id=",LOWER(SUBSTITUTE(B1545," ","-"))))</f>
        <v/>
      </c>
    </row>
    <row r="1546" customFormat="false" ht="15" hidden="false" customHeight="true" outlineLevel="0" collapsed="false">
      <c r="A1546" s="68"/>
      <c r="B1546" s="68"/>
      <c r="C1546" s="68"/>
      <c r="D1546" s="68"/>
      <c r="E1546" s="68"/>
      <c r="F1546" s="68"/>
      <c r="G1546" s="68"/>
      <c r="H1546" s="64" t="str">
        <f aca="false">IF(OR(A1546="",B1546=""),"",CONCATENATE("https://matarstund.is/serfaedi?id=",LOWER(SUBSTITUTE(B1546," ","-"))))</f>
        <v/>
      </c>
    </row>
    <row r="1547" customFormat="false" ht="15" hidden="false" customHeight="true" outlineLevel="0" collapsed="false">
      <c r="A1547" s="9"/>
      <c r="B1547" s="9"/>
      <c r="C1547" s="9"/>
      <c r="D1547" s="9"/>
      <c r="E1547" s="9"/>
      <c r="F1547" s="9"/>
      <c r="G1547" s="9"/>
      <c r="H1547" s="64" t="str">
        <f aca="false">IF(OR(A1547="",B1547=""),"",CONCATENATE("https://matarstund.is/serfaedi?id=",LOWER(SUBSTITUTE(B1547," ","-"))))</f>
        <v/>
      </c>
    </row>
    <row r="1548" customFormat="false" ht="15" hidden="false" customHeight="true" outlineLevel="0" collapsed="false">
      <c r="A1548" s="68"/>
      <c r="B1548" s="68"/>
      <c r="C1548" s="68"/>
      <c r="D1548" s="68"/>
      <c r="E1548" s="68"/>
      <c r="F1548" s="68"/>
      <c r="G1548" s="68"/>
      <c r="H1548" s="64" t="str">
        <f aca="false">IF(OR(A1548="",B1548=""),"",CONCATENATE("https://matarstund.is/serfaedi?id=",LOWER(SUBSTITUTE(B1548," ","-"))))</f>
        <v/>
      </c>
    </row>
    <row r="1549" customFormat="false" ht="15" hidden="false" customHeight="true" outlineLevel="0" collapsed="false">
      <c r="A1549" s="9"/>
      <c r="B1549" s="9"/>
      <c r="C1549" s="9"/>
      <c r="D1549" s="9"/>
      <c r="E1549" s="9"/>
      <c r="F1549" s="9"/>
      <c r="G1549" s="9"/>
      <c r="H1549" s="64" t="str">
        <f aca="false">IF(OR(A1549="",B1549=""),"",CONCATENATE("https://matarstund.is/serfaedi?id=",LOWER(SUBSTITUTE(B1549," ","-"))))</f>
        <v/>
      </c>
    </row>
    <row r="1550" customFormat="false" ht="15" hidden="false" customHeight="true" outlineLevel="0" collapsed="false">
      <c r="A1550" s="68"/>
      <c r="B1550" s="68"/>
      <c r="C1550" s="68"/>
      <c r="D1550" s="68"/>
      <c r="E1550" s="68"/>
      <c r="F1550" s="68"/>
      <c r="G1550" s="68"/>
      <c r="H1550" s="64" t="str">
        <f aca="false">IF(OR(A1550="",B1550=""),"",CONCATENATE("https://matarstund.is/serfaedi?id=",LOWER(SUBSTITUTE(B1550," ","-"))))</f>
        <v/>
      </c>
    </row>
    <row r="1551" customFormat="false" ht="15" hidden="false" customHeight="true" outlineLevel="0" collapsed="false">
      <c r="A1551" s="9"/>
      <c r="B1551" s="9"/>
      <c r="C1551" s="9"/>
      <c r="D1551" s="9"/>
      <c r="E1551" s="9"/>
      <c r="F1551" s="9"/>
      <c r="G1551" s="9"/>
      <c r="H1551" s="64" t="str">
        <f aca="false">IF(OR(A1551="",B1551=""),"",CONCATENATE("https://matarstund.is/serfaedi?id=",LOWER(SUBSTITUTE(B1551," ","-"))))</f>
        <v/>
      </c>
    </row>
    <row r="1552" customFormat="false" ht="15" hidden="false" customHeight="true" outlineLevel="0" collapsed="false">
      <c r="A1552" s="68"/>
      <c r="B1552" s="68"/>
      <c r="C1552" s="68"/>
      <c r="D1552" s="68"/>
      <c r="E1552" s="68"/>
      <c r="F1552" s="68"/>
      <c r="G1552" s="68"/>
      <c r="H1552" s="64" t="str">
        <f aca="false">IF(OR(A1552="",B1552=""),"",CONCATENATE("https://matarstund.is/serfaedi?id=",LOWER(SUBSTITUTE(B1552," ","-"))))</f>
        <v/>
      </c>
    </row>
    <row r="1553" customFormat="false" ht="15" hidden="false" customHeight="true" outlineLevel="0" collapsed="false">
      <c r="A1553" s="9"/>
      <c r="B1553" s="9"/>
      <c r="C1553" s="9"/>
      <c r="D1553" s="9"/>
      <c r="E1553" s="9"/>
      <c r="F1553" s="9"/>
      <c r="G1553" s="9"/>
      <c r="H1553" s="64" t="str">
        <f aca="false">IF(OR(A1553="",B1553=""),"",CONCATENATE("https://matarstund.is/serfaedi?id=",LOWER(SUBSTITUTE(B1553," ","-"))))</f>
        <v/>
      </c>
    </row>
    <row r="1554" customFormat="false" ht="15" hidden="false" customHeight="true" outlineLevel="0" collapsed="false">
      <c r="A1554" s="68"/>
      <c r="B1554" s="68"/>
      <c r="C1554" s="68"/>
      <c r="D1554" s="68"/>
      <c r="E1554" s="68"/>
      <c r="F1554" s="68"/>
      <c r="G1554" s="68"/>
      <c r="H1554" s="64" t="str">
        <f aca="false">IF(OR(A1554="",B1554=""),"",CONCATENATE("https://matarstund.is/serfaedi?id=",LOWER(SUBSTITUTE(B1554," ","-"))))</f>
        <v/>
      </c>
    </row>
    <row r="1555" customFormat="false" ht="15" hidden="false" customHeight="true" outlineLevel="0" collapsed="false">
      <c r="A1555" s="9"/>
      <c r="B1555" s="9"/>
      <c r="C1555" s="9"/>
      <c r="D1555" s="9"/>
      <c r="E1555" s="9"/>
      <c r="F1555" s="9"/>
      <c r="G1555" s="9"/>
      <c r="H1555" s="64" t="str">
        <f aca="false">IF(OR(A1555="",B1555=""),"",CONCATENATE("https://matarstund.is/serfaedi?id=",LOWER(SUBSTITUTE(B1555," ","-"))))</f>
        <v/>
      </c>
    </row>
    <row r="1556" customFormat="false" ht="15" hidden="false" customHeight="true" outlineLevel="0" collapsed="false">
      <c r="A1556" s="68"/>
      <c r="B1556" s="68"/>
      <c r="C1556" s="68"/>
      <c r="D1556" s="68"/>
      <c r="E1556" s="68"/>
      <c r="F1556" s="68"/>
      <c r="G1556" s="68"/>
      <c r="H1556" s="64" t="str">
        <f aca="false">IF(OR(A1556="",B1556=""),"",CONCATENATE("https://matarstund.is/serfaedi?id=",LOWER(SUBSTITUTE(B1556," ","-"))))</f>
        <v/>
      </c>
    </row>
    <row r="1557" customFormat="false" ht="15" hidden="false" customHeight="true" outlineLevel="0" collapsed="false">
      <c r="A1557" s="9"/>
      <c r="B1557" s="9"/>
      <c r="C1557" s="9"/>
      <c r="D1557" s="9"/>
      <c r="E1557" s="9"/>
      <c r="F1557" s="9"/>
      <c r="G1557" s="9"/>
      <c r="H1557" s="64" t="str">
        <f aca="false">IF(OR(A1557="",B1557=""),"",CONCATENATE("https://matarstund.is/serfaedi?id=",LOWER(SUBSTITUTE(B1557," ","-"))))</f>
        <v/>
      </c>
    </row>
    <row r="1558" customFormat="false" ht="15" hidden="false" customHeight="true" outlineLevel="0" collapsed="false">
      <c r="A1558" s="68"/>
      <c r="B1558" s="68"/>
      <c r="C1558" s="68"/>
      <c r="D1558" s="68"/>
      <c r="E1558" s="68"/>
      <c r="F1558" s="68"/>
      <c r="G1558" s="68"/>
      <c r="H1558" s="64" t="str">
        <f aca="false">IF(OR(A1558="",B1558=""),"",CONCATENATE("https://matarstund.is/serfaedi?id=",LOWER(SUBSTITUTE(B1558," ","-"))))</f>
        <v/>
      </c>
    </row>
    <row r="1559" customFormat="false" ht="15" hidden="false" customHeight="true" outlineLevel="0" collapsed="false">
      <c r="A1559" s="9"/>
      <c r="B1559" s="9"/>
      <c r="C1559" s="9"/>
      <c r="D1559" s="9"/>
      <c r="E1559" s="9"/>
      <c r="F1559" s="9"/>
      <c r="G1559" s="9"/>
      <c r="H1559" s="64" t="str">
        <f aca="false">IF(OR(A1559="",B1559=""),"",CONCATENATE("https://matarstund.is/serfaedi?id=",LOWER(SUBSTITUTE(B1559," ","-"))))</f>
        <v/>
      </c>
    </row>
    <row r="1560" customFormat="false" ht="15" hidden="false" customHeight="true" outlineLevel="0" collapsed="false">
      <c r="A1560" s="68"/>
      <c r="B1560" s="68"/>
      <c r="C1560" s="68"/>
      <c r="D1560" s="68"/>
      <c r="E1560" s="68"/>
      <c r="F1560" s="68"/>
      <c r="G1560" s="68"/>
      <c r="H1560" s="64" t="str">
        <f aca="false">IF(OR(A1560="",B1560=""),"",CONCATENATE("https://matarstund.is/serfaedi?id=",LOWER(SUBSTITUTE(B1560," ","-"))))</f>
        <v/>
      </c>
    </row>
    <row r="1561" customFormat="false" ht="15" hidden="false" customHeight="true" outlineLevel="0" collapsed="false">
      <c r="A1561" s="9"/>
      <c r="B1561" s="9"/>
      <c r="C1561" s="9"/>
      <c r="D1561" s="9"/>
      <c r="E1561" s="9"/>
      <c r="F1561" s="9"/>
      <c r="G1561" s="9"/>
      <c r="H1561" s="64" t="str">
        <f aca="false">IF(OR(A1561="",B1561=""),"",CONCATENATE("https://matarstund.is/serfaedi?id=",LOWER(SUBSTITUTE(B1561," ","-"))))</f>
        <v/>
      </c>
    </row>
    <row r="1562" customFormat="false" ht="15" hidden="false" customHeight="true" outlineLevel="0" collapsed="false">
      <c r="A1562" s="68"/>
      <c r="B1562" s="68"/>
      <c r="C1562" s="68"/>
      <c r="D1562" s="68"/>
      <c r="E1562" s="68"/>
      <c r="F1562" s="68"/>
      <c r="G1562" s="68"/>
      <c r="H1562" s="64" t="str">
        <f aca="false">IF(OR(A1562="",B1562=""),"",CONCATENATE("https://matarstund.is/serfaedi?id=",LOWER(SUBSTITUTE(B1562," ","-"))))</f>
        <v/>
      </c>
    </row>
    <row r="1563" customFormat="false" ht="15" hidden="false" customHeight="true" outlineLevel="0" collapsed="false">
      <c r="A1563" s="9"/>
      <c r="B1563" s="9"/>
      <c r="C1563" s="9"/>
      <c r="D1563" s="9"/>
      <c r="E1563" s="9"/>
      <c r="F1563" s="9"/>
      <c r="G1563" s="9"/>
      <c r="H1563" s="64" t="str">
        <f aca="false">IF(OR(A1563="",B1563=""),"",CONCATENATE("https://matarstund.is/serfaedi?id=",LOWER(SUBSTITUTE(B1563," ","-"))))</f>
        <v/>
      </c>
    </row>
    <row r="1564" customFormat="false" ht="15" hidden="false" customHeight="true" outlineLevel="0" collapsed="false">
      <c r="A1564" s="68"/>
      <c r="B1564" s="68"/>
      <c r="C1564" s="68"/>
      <c r="D1564" s="68"/>
      <c r="E1564" s="68"/>
      <c r="F1564" s="68"/>
      <c r="G1564" s="68"/>
      <c r="H1564" s="64" t="str">
        <f aca="false">IF(OR(A1564="",B1564=""),"",CONCATENATE("https://matarstund.is/serfaedi?id=",LOWER(SUBSTITUTE(B1564," ","-"))))</f>
        <v/>
      </c>
    </row>
    <row r="1565" customFormat="false" ht="15" hidden="false" customHeight="true" outlineLevel="0" collapsed="false">
      <c r="A1565" s="9"/>
      <c r="B1565" s="9"/>
      <c r="C1565" s="9"/>
      <c r="D1565" s="9"/>
      <c r="E1565" s="9"/>
      <c r="F1565" s="9"/>
      <c r="G1565" s="9"/>
      <c r="H1565" s="64" t="str">
        <f aca="false">IF(OR(A1565="",B1565=""),"",CONCATENATE("https://matarstund.is/serfaedi?id=",LOWER(SUBSTITUTE(B1565," ","-"))))</f>
        <v/>
      </c>
    </row>
    <row r="1566" customFormat="false" ht="15" hidden="false" customHeight="true" outlineLevel="0" collapsed="false">
      <c r="A1566" s="68"/>
      <c r="B1566" s="68"/>
      <c r="C1566" s="68"/>
      <c r="D1566" s="68"/>
      <c r="E1566" s="68"/>
      <c r="F1566" s="68"/>
      <c r="G1566" s="68"/>
      <c r="H1566" s="64" t="str">
        <f aca="false">IF(OR(A1566="",B1566=""),"",CONCATENATE("https://matarstund.is/serfaedi?id=",LOWER(SUBSTITUTE(B1566," ","-"))))</f>
        <v/>
      </c>
    </row>
    <row r="1567" customFormat="false" ht="15" hidden="false" customHeight="true" outlineLevel="0" collapsed="false">
      <c r="A1567" s="9"/>
      <c r="B1567" s="9"/>
      <c r="C1567" s="9"/>
      <c r="D1567" s="9"/>
      <c r="E1567" s="9"/>
      <c r="F1567" s="9"/>
      <c r="G1567" s="9"/>
      <c r="H1567" s="64" t="str">
        <f aca="false">IF(OR(A1567="",B1567=""),"",CONCATENATE("https://matarstund.is/serfaedi?id=",LOWER(SUBSTITUTE(B1567," ","-"))))</f>
        <v/>
      </c>
    </row>
    <row r="1568" customFormat="false" ht="15" hidden="false" customHeight="true" outlineLevel="0" collapsed="false">
      <c r="A1568" s="68"/>
      <c r="B1568" s="68"/>
      <c r="C1568" s="68"/>
      <c r="D1568" s="68"/>
      <c r="E1568" s="68"/>
      <c r="F1568" s="68"/>
      <c r="G1568" s="68"/>
      <c r="H1568" s="64" t="str">
        <f aca="false">IF(OR(A1568="",B1568=""),"",CONCATENATE("https://matarstund.is/serfaedi?id=",LOWER(SUBSTITUTE(B1568," ","-"))))</f>
        <v/>
      </c>
    </row>
    <row r="1569" customFormat="false" ht="15" hidden="false" customHeight="true" outlineLevel="0" collapsed="false">
      <c r="A1569" s="9"/>
      <c r="B1569" s="9"/>
      <c r="C1569" s="9"/>
      <c r="D1569" s="9"/>
      <c r="E1569" s="9"/>
      <c r="F1569" s="9"/>
      <c r="G1569" s="9"/>
      <c r="H1569" s="64" t="str">
        <f aca="false">IF(OR(A1569="",B1569=""),"",CONCATENATE("https://matarstund.is/serfaedi?id=",LOWER(SUBSTITUTE(B1569," ","-"))))</f>
        <v/>
      </c>
    </row>
    <row r="1570" customFormat="false" ht="15" hidden="false" customHeight="true" outlineLevel="0" collapsed="false">
      <c r="A1570" s="68"/>
      <c r="B1570" s="68"/>
      <c r="C1570" s="68"/>
      <c r="D1570" s="68"/>
      <c r="E1570" s="68"/>
      <c r="F1570" s="68"/>
      <c r="G1570" s="68"/>
      <c r="H1570" s="64" t="str">
        <f aca="false">IF(OR(A1570="",B1570=""),"",CONCATENATE("https://matarstund.is/serfaedi?id=",LOWER(SUBSTITUTE(B1570," ","-"))))</f>
        <v/>
      </c>
    </row>
    <row r="1571" customFormat="false" ht="15" hidden="false" customHeight="true" outlineLevel="0" collapsed="false">
      <c r="A1571" s="9"/>
      <c r="B1571" s="9"/>
      <c r="C1571" s="9"/>
      <c r="D1571" s="9"/>
      <c r="E1571" s="9"/>
      <c r="F1571" s="9"/>
      <c r="G1571" s="9"/>
      <c r="H1571" s="64" t="str">
        <f aca="false">IF(OR(A1571="",B1571=""),"",CONCATENATE("https://matarstund.is/serfaedi?id=",LOWER(SUBSTITUTE(B1571," ","-"))))</f>
        <v/>
      </c>
    </row>
    <row r="1572" customFormat="false" ht="15" hidden="false" customHeight="true" outlineLevel="0" collapsed="false">
      <c r="A1572" s="68"/>
      <c r="B1572" s="68"/>
      <c r="C1572" s="68"/>
      <c r="D1572" s="68"/>
      <c r="E1572" s="68"/>
      <c r="F1572" s="68"/>
      <c r="G1572" s="68"/>
      <c r="H1572" s="64" t="str">
        <f aca="false">IF(OR(A1572="",B1572=""),"",CONCATENATE("https://matarstund.is/serfaedi?id=",LOWER(SUBSTITUTE(B1572," ","-"))))</f>
        <v/>
      </c>
    </row>
    <row r="1573" customFormat="false" ht="15" hidden="false" customHeight="true" outlineLevel="0" collapsed="false">
      <c r="A1573" s="9"/>
      <c r="B1573" s="9"/>
      <c r="C1573" s="9"/>
      <c r="D1573" s="9"/>
      <c r="E1573" s="9"/>
      <c r="F1573" s="9"/>
      <c r="G1573" s="9"/>
      <c r="H1573" s="64" t="str">
        <f aca="false">IF(OR(A1573="",B1573=""),"",CONCATENATE("https://matarstund.is/serfaedi?id=",LOWER(SUBSTITUTE(B1573," ","-"))))</f>
        <v/>
      </c>
    </row>
    <row r="1574" customFormat="false" ht="15" hidden="false" customHeight="true" outlineLevel="0" collapsed="false">
      <c r="A1574" s="68"/>
      <c r="B1574" s="68"/>
      <c r="C1574" s="68"/>
      <c r="D1574" s="68"/>
      <c r="E1574" s="68"/>
      <c r="F1574" s="68"/>
      <c r="G1574" s="68"/>
      <c r="H1574" s="64" t="str">
        <f aca="false">IF(OR(A1574="",B1574=""),"",CONCATENATE("https://matarstund.is/serfaedi?id=",LOWER(SUBSTITUTE(B1574," ","-"))))</f>
        <v/>
      </c>
    </row>
    <row r="1575" customFormat="false" ht="15" hidden="false" customHeight="true" outlineLevel="0" collapsed="false">
      <c r="A1575" s="9"/>
      <c r="B1575" s="9"/>
      <c r="C1575" s="9"/>
      <c r="D1575" s="9"/>
      <c r="E1575" s="9"/>
      <c r="F1575" s="9"/>
      <c r="G1575" s="9"/>
      <c r="H1575" s="64" t="str">
        <f aca="false">IF(OR(A1575="",B1575=""),"",CONCATENATE("https://matarstund.is/serfaedi?id=",LOWER(SUBSTITUTE(B1575," ","-"))))</f>
        <v/>
      </c>
    </row>
    <row r="1576" customFormat="false" ht="15" hidden="false" customHeight="true" outlineLevel="0" collapsed="false">
      <c r="A1576" s="68"/>
      <c r="B1576" s="68"/>
      <c r="C1576" s="68"/>
      <c r="D1576" s="68"/>
      <c r="E1576" s="68"/>
      <c r="F1576" s="68"/>
      <c r="G1576" s="68"/>
      <c r="H1576" s="64" t="str">
        <f aca="false">IF(OR(A1576="",B1576=""),"",CONCATENATE("https://matarstund.is/serfaedi?id=",LOWER(SUBSTITUTE(B1576," ","-"))))</f>
        <v/>
      </c>
    </row>
    <row r="1577" customFormat="false" ht="15" hidden="false" customHeight="true" outlineLevel="0" collapsed="false">
      <c r="A1577" s="9"/>
      <c r="B1577" s="9"/>
      <c r="C1577" s="9"/>
      <c r="D1577" s="9"/>
      <c r="E1577" s="9"/>
      <c r="F1577" s="9"/>
      <c r="G1577" s="9"/>
      <c r="H1577" s="64" t="str">
        <f aca="false">IF(OR(A1577="",B1577=""),"",CONCATENATE("https://matarstund.is/serfaedi?id=",LOWER(SUBSTITUTE(B1577," ","-"))))</f>
        <v/>
      </c>
    </row>
    <row r="1578" customFormat="false" ht="15" hidden="false" customHeight="true" outlineLevel="0" collapsed="false">
      <c r="A1578" s="68"/>
      <c r="B1578" s="68"/>
      <c r="C1578" s="68"/>
      <c r="D1578" s="68"/>
      <c r="E1578" s="68"/>
      <c r="F1578" s="68"/>
      <c r="G1578" s="68"/>
      <c r="H1578" s="64" t="str">
        <f aca="false">IF(OR(A1578="",B1578=""),"",CONCATENATE("https://matarstund.is/serfaedi?id=",LOWER(SUBSTITUTE(B1578," ","-"))))</f>
        <v/>
      </c>
    </row>
    <row r="1579" customFormat="false" ht="15" hidden="false" customHeight="true" outlineLevel="0" collapsed="false">
      <c r="A1579" s="9"/>
      <c r="B1579" s="9"/>
      <c r="C1579" s="9"/>
      <c r="D1579" s="9"/>
      <c r="E1579" s="9"/>
      <c r="F1579" s="9"/>
      <c r="G1579" s="9"/>
      <c r="H1579" s="64" t="str">
        <f aca="false">IF(OR(A1579="",B1579=""),"",CONCATENATE("https://matarstund.is/serfaedi?id=",LOWER(SUBSTITUTE(B1579," ","-"))))</f>
        <v/>
      </c>
    </row>
    <row r="1580" customFormat="false" ht="15" hidden="false" customHeight="true" outlineLevel="0" collapsed="false">
      <c r="A1580" s="68"/>
      <c r="B1580" s="68"/>
      <c r="C1580" s="68"/>
      <c r="D1580" s="68"/>
      <c r="E1580" s="68"/>
      <c r="F1580" s="68"/>
      <c r="G1580" s="68"/>
      <c r="H1580" s="64" t="str">
        <f aca="false">IF(OR(A1580="",B1580=""),"",CONCATENATE("https://matarstund.is/serfaedi?id=",LOWER(SUBSTITUTE(B1580," ","-"))))</f>
        <v/>
      </c>
    </row>
    <row r="1581" customFormat="false" ht="15" hidden="false" customHeight="true" outlineLevel="0" collapsed="false">
      <c r="A1581" s="9"/>
      <c r="B1581" s="9"/>
      <c r="C1581" s="9"/>
      <c r="D1581" s="9"/>
      <c r="E1581" s="9"/>
      <c r="F1581" s="9"/>
      <c r="G1581" s="9"/>
      <c r="H1581" s="64" t="str">
        <f aca="false">IF(OR(A1581="",B1581=""),"",CONCATENATE("https://matarstund.is/serfaedi?id=",LOWER(SUBSTITUTE(B1581," ","-"))))</f>
        <v/>
      </c>
    </row>
    <row r="1582" customFormat="false" ht="15" hidden="false" customHeight="true" outlineLevel="0" collapsed="false">
      <c r="A1582" s="68"/>
      <c r="B1582" s="68"/>
      <c r="C1582" s="68"/>
      <c r="D1582" s="68"/>
      <c r="E1582" s="68"/>
      <c r="F1582" s="68"/>
      <c r="G1582" s="68"/>
      <c r="H1582" s="64" t="str">
        <f aca="false">IF(OR(A1582="",B1582=""),"",CONCATENATE("https://matarstund.is/serfaedi?id=",LOWER(SUBSTITUTE(B1582," ","-"))))</f>
        <v/>
      </c>
    </row>
    <row r="1583" customFormat="false" ht="15" hidden="false" customHeight="true" outlineLevel="0" collapsed="false">
      <c r="A1583" s="9"/>
      <c r="B1583" s="9"/>
      <c r="C1583" s="9"/>
      <c r="D1583" s="9"/>
      <c r="E1583" s="9"/>
      <c r="F1583" s="9"/>
      <c r="G1583" s="9"/>
      <c r="H1583" s="64" t="str">
        <f aca="false">IF(OR(A1583="",B1583=""),"",CONCATENATE("https://matarstund.is/serfaedi?id=",LOWER(SUBSTITUTE(B1583," ","-"))))</f>
        <v/>
      </c>
    </row>
    <row r="1584" customFormat="false" ht="15" hidden="false" customHeight="true" outlineLevel="0" collapsed="false">
      <c r="A1584" s="68"/>
      <c r="B1584" s="68"/>
      <c r="C1584" s="68"/>
      <c r="D1584" s="68"/>
      <c r="E1584" s="68"/>
      <c r="F1584" s="68"/>
      <c r="G1584" s="68"/>
      <c r="H1584" s="64" t="str">
        <f aca="false">IF(OR(A1584="",B1584=""),"",CONCATENATE("https://matarstund.is/serfaedi?id=",LOWER(SUBSTITUTE(B1584," ","-"))))</f>
        <v/>
      </c>
    </row>
    <row r="1585" customFormat="false" ht="15" hidden="false" customHeight="true" outlineLevel="0" collapsed="false">
      <c r="A1585" s="9"/>
      <c r="B1585" s="9"/>
      <c r="C1585" s="9"/>
      <c r="D1585" s="9"/>
      <c r="E1585" s="9"/>
      <c r="F1585" s="9"/>
      <c r="G1585" s="9"/>
      <c r="H1585" s="64" t="str">
        <f aca="false">IF(OR(A1585="",B1585=""),"",CONCATENATE("https://matarstund.is/serfaedi?id=",LOWER(SUBSTITUTE(B1585," ","-"))))</f>
        <v/>
      </c>
    </row>
    <row r="1586" customFormat="false" ht="15" hidden="false" customHeight="true" outlineLevel="0" collapsed="false">
      <c r="A1586" s="68"/>
      <c r="B1586" s="68"/>
      <c r="C1586" s="68"/>
      <c r="D1586" s="68"/>
      <c r="E1586" s="68"/>
      <c r="F1586" s="68"/>
      <c r="G1586" s="68"/>
      <c r="H1586" s="64" t="str">
        <f aca="false">IF(OR(A1586="",B1586=""),"",CONCATENATE("https://matarstund.is/serfaedi?id=",LOWER(SUBSTITUTE(B1586," ","-"))))</f>
        <v/>
      </c>
    </row>
    <row r="1587" customFormat="false" ht="15" hidden="false" customHeight="true" outlineLevel="0" collapsed="false">
      <c r="A1587" s="9"/>
      <c r="B1587" s="9"/>
      <c r="C1587" s="9"/>
      <c r="D1587" s="9"/>
      <c r="E1587" s="9"/>
      <c r="F1587" s="9"/>
      <c r="G1587" s="9"/>
      <c r="H1587" s="64" t="str">
        <f aca="false">IF(OR(A1587="",B1587=""),"",CONCATENATE("https://matarstund.is/serfaedi?id=",LOWER(SUBSTITUTE(B1587," ","-"))))</f>
        <v/>
      </c>
    </row>
    <row r="1588" customFormat="false" ht="15" hidden="false" customHeight="true" outlineLevel="0" collapsed="false">
      <c r="A1588" s="68"/>
      <c r="B1588" s="68"/>
      <c r="C1588" s="68"/>
      <c r="D1588" s="68"/>
      <c r="E1588" s="68"/>
      <c r="F1588" s="68"/>
      <c r="G1588" s="68"/>
      <c r="H1588" s="64" t="str">
        <f aca="false">IF(OR(A1588="",B1588=""),"",CONCATENATE("https://matarstund.is/serfaedi?id=",LOWER(SUBSTITUTE(B1588," ","-"))))</f>
        <v/>
      </c>
    </row>
    <row r="1589" customFormat="false" ht="15" hidden="false" customHeight="true" outlineLevel="0" collapsed="false">
      <c r="A1589" s="9"/>
      <c r="B1589" s="9"/>
      <c r="C1589" s="9"/>
      <c r="D1589" s="9"/>
      <c r="E1589" s="9"/>
      <c r="F1589" s="9"/>
      <c r="G1589" s="9"/>
      <c r="H1589" s="64" t="str">
        <f aca="false">IF(OR(A1589="",B1589=""),"",CONCATENATE("https://matarstund.is/serfaedi?id=",LOWER(SUBSTITUTE(B1589," ","-"))))</f>
        <v/>
      </c>
    </row>
    <row r="1590" customFormat="false" ht="15" hidden="false" customHeight="true" outlineLevel="0" collapsed="false">
      <c r="A1590" s="68"/>
      <c r="B1590" s="68"/>
      <c r="C1590" s="68"/>
      <c r="D1590" s="68"/>
      <c r="E1590" s="68"/>
      <c r="F1590" s="68"/>
      <c r="G1590" s="68"/>
      <c r="H1590" s="64" t="str">
        <f aca="false">IF(OR(A1590="",B1590=""),"",CONCATENATE("https://matarstund.is/serfaedi?id=",LOWER(SUBSTITUTE(B1590," ","-"))))</f>
        <v/>
      </c>
    </row>
    <row r="1591" customFormat="false" ht="15" hidden="false" customHeight="true" outlineLevel="0" collapsed="false">
      <c r="A1591" s="9"/>
      <c r="B1591" s="9"/>
      <c r="C1591" s="9"/>
      <c r="D1591" s="9"/>
      <c r="E1591" s="9"/>
      <c r="F1591" s="9"/>
      <c r="G1591" s="9"/>
      <c r="H1591" s="64" t="str">
        <f aca="false">IF(OR(A1591="",B1591=""),"",CONCATENATE("https://matarstund.is/serfaedi?id=",LOWER(SUBSTITUTE(B1591," ","-"))))</f>
        <v/>
      </c>
    </row>
    <row r="1592" customFormat="false" ht="15" hidden="false" customHeight="true" outlineLevel="0" collapsed="false">
      <c r="A1592" s="68"/>
      <c r="B1592" s="68"/>
      <c r="C1592" s="68"/>
      <c r="D1592" s="68"/>
      <c r="E1592" s="68"/>
      <c r="F1592" s="68"/>
      <c r="G1592" s="68"/>
      <c r="H1592" s="64" t="str">
        <f aca="false">IF(OR(A1592="",B1592=""),"",CONCATENATE("https://matarstund.is/serfaedi?id=",LOWER(SUBSTITUTE(B1592," ","-"))))</f>
        <v/>
      </c>
    </row>
    <row r="1593" customFormat="false" ht="15" hidden="false" customHeight="true" outlineLevel="0" collapsed="false">
      <c r="A1593" s="9"/>
      <c r="B1593" s="9"/>
      <c r="C1593" s="9"/>
      <c r="D1593" s="9"/>
      <c r="E1593" s="9"/>
      <c r="F1593" s="9"/>
      <c r="G1593" s="9"/>
      <c r="H1593" s="64" t="str">
        <f aca="false">IF(OR(A1593="",B1593=""),"",CONCATENATE("https://matarstund.is/serfaedi?id=",LOWER(SUBSTITUTE(B1593," ","-"))))</f>
        <v/>
      </c>
    </row>
    <row r="1594" customFormat="false" ht="15" hidden="false" customHeight="true" outlineLevel="0" collapsed="false">
      <c r="A1594" s="68"/>
      <c r="B1594" s="68"/>
      <c r="C1594" s="68"/>
      <c r="D1594" s="68"/>
      <c r="E1594" s="68"/>
      <c r="F1594" s="68"/>
      <c r="G1594" s="68"/>
      <c r="H1594" s="64" t="str">
        <f aca="false">IF(OR(A1594="",B1594=""),"",CONCATENATE("https://matarstund.is/serfaedi?id=",LOWER(SUBSTITUTE(B1594," ","-"))))</f>
        <v/>
      </c>
    </row>
    <row r="1595" customFormat="false" ht="15" hidden="false" customHeight="true" outlineLevel="0" collapsed="false">
      <c r="A1595" s="9"/>
      <c r="B1595" s="9"/>
      <c r="C1595" s="9"/>
      <c r="D1595" s="9"/>
      <c r="E1595" s="9"/>
      <c r="F1595" s="9"/>
      <c r="G1595" s="9"/>
      <c r="H1595" s="64" t="str">
        <f aca="false">IF(OR(A1595="",B1595=""),"",CONCATENATE("https://matarstund.is/serfaedi?id=",LOWER(SUBSTITUTE(B1595," ","-"))))</f>
        <v/>
      </c>
    </row>
    <row r="1596" customFormat="false" ht="15" hidden="false" customHeight="true" outlineLevel="0" collapsed="false">
      <c r="A1596" s="68"/>
      <c r="B1596" s="68"/>
      <c r="C1596" s="68"/>
      <c r="D1596" s="68"/>
      <c r="E1596" s="68"/>
      <c r="F1596" s="68"/>
      <c r="G1596" s="68"/>
      <c r="H1596" s="64" t="str">
        <f aca="false">IF(OR(A1596="",B1596=""),"",CONCATENATE("https://matarstund.is/serfaedi?id=",LOWER(SUBSTITUTE(B1596," ","-"))))</f>
        <v/>
      </c>
    </row>
    <row r="1597" customFormat="false" ht="15" hidden="false" customHeight="true" outlineLevel="0" collapsed="false">
      <c r="A1597" s="9"/>
      <c r="B1597" s="9"/>
      <c r="C1597" s="9"/>
      <c r="D1597" s="9"/>
      <c r="E1597" s="9"/>
      <c r="F1597" s="9"/>
      <c r="G1597" s="9"/>
      <c r="H1597" s="64" t="str">
        <f aca="false">IF(OR(A1597="",B1597=""),"",CONCATENATE("https://matarstund.is/serfaedi?id=",LOWER(SUBSTITUTE(B1597," ","-"))))</f>
        <v/>
      </c>
    </row>
    <row r="1598" customFormat="false" ht="15" hidden="false" customHeight="true" outlineLevel="0" collapsed="false">
      <c r="A1598" s="68"/>
      <c r="B1598" s="68"/>
      <c r="C1598" s="68"/>
      <c r="D1598" s="68"/>
      <c r="E1598" s="68"/>
      <c r="F1598" s="68"/>
      <c r="G1598" s="68"/>
      <c r="H1598" s="64" t="str">
        <f aca="false">IF(OR(A1598="",B1598=""),"",CONCATENATE("https://matarstund.is/serfaedi?id=",LOWER(SUBSTITUTE(B1598," ","-"))))</f>
        <v/>
      </c>
    </row>
    <row r="1599" customFormat="false" ht="15" hidden="false" customHeight="true" outlineLevel="0" collapsed="false">
      <c r="A1599" s="9"/>
      <c r="B1599" s="9"/>
      <c r="C1599" s="9"/>
      <c r="D1599" s="9"/>
      <c r="E1599" s="9"/>
      <c r="F1599" s="9"/>
      <c r="G1599" s="9"/>
      <c r="H1599" s="64" t="str">
        <f aca="false">IF(OR(A1599="",B1599=""),"",CONCATENATE("https://matarstund.is/serfaedi?id=",LOWER(SUBSTITUTE(B1599," ","-"))))</f>
        <v/>
      </c>
    </row>
    <row r="1600" customFormat="false" ht="15" hidden="false" customHeight="true" outlineLevel="0" collapsed="false">
      <c r="A1600" s="68"/>
      <c r="B1600" s="68"/>
      <c r="C1600" s="68"/>
      <c r="D1600" s="68"/>
      <c r="E1600" s="68"/>
      <c r="F1600" s="68"/>
      <c r="G1600" s="68"/>
      <c r="H1600" s="64" t="str">
        <f aca="false">IF(OR(A1600="",B1600=""),"",CONCATENATE("https://matarstund.is/serfaedi?id=",LOWER(SUBSTITUTE(B1600," ","-"))))</f>
        <v/>
      </c>
    </row>
    <row r="1601" customFormat="false" ht="15" hidden="false" customHeight="true" outlineLevel="0" collapsed="false">
      <c r="A1601" s="9"/>
      <c r="B1601" s="9"/>
      <c r="C1601" s="9"/>
      <c r="D1601" s="9"/>
      <c r="E1601" s="9"/>
      <c r="F1601" s="9"/>
      <c r="G1601" s="9"/>
      <c r="H1601" s="64" t="str">
        <f aca="false">IF(OR(A1601="",B1601=""),"",CONCATENATE("https://matarstund.is/serfaedi?id=",LOWER(SUBSTITUTE(B1601," ","-"))))</f>
        <v/>
      </c>
    </row>
    <row r="1602" customFormat="false" ht="15" hidden="false" customHeight="true" outlineLevel="0" collapsed="false">
      <c r="A1602" s="68"/>
      <c r="B1602" s="68"/>
      <c r="C1602" s="68"/>
      <c r="D1602" s="68"/>
      <c r="E1602" s="68"/>
      <c r="F1602" s="68"/>
      <c r="G1602" s="68"/>
      <c r="H1602" s="64" t="str">
        <f aca="false">IF(OR(A1602="",B1602=""),"",CONCATENATE("https://matarstund.is/serfaedi?id=",LOWER(SUBSTITUTE(B1602," ","-"))))</f>
        <v/>
      </c>
    </row>
    <row r="1603" customFormat="false" ht="15" hidden="false" customHeight="true" outlineLevel="0" collapsed="false">
      <c r="A1603" s="9"/>
      <c r="B1603" s="9"/>
      <c r="C1603" s="9"/>
      <c r="D1603" s="9"/>
      <c r="E1603" s="9"/>
      <c r="F1603" s="9"/>
      <c r="G1603" s="9"/>
      <c r="H1603" s="64" t="str">
        <f aca="false">IF(OR(A1603="",B1603=""),"",CONCATENATE("https://matarstund.is/serfaedi?id=",LOWER(SUBSTITUTE(B1603," ","-"))))</f>
        <v/>
      </c>
    </row>
    <row r="1604" customFormat="false" ht="15" hidden="false" customHeight="true" outlineLevel="0" collapsed="false">
      <c r="A1604" s="68"/>
      <c r="B1604" s="68"/>
      <c r="C1604" s="68"/>
      <c r="D1604" s="68"/>
      <c r="E1604" s="68"/>
      <c r="F1604" s="68"/>
      <c r="G1604" s="68"/>
      <c r="H1604" s="64" t="str">
        <f aca="false">IF(OR(A1604="",B1604=""),"",CONCATENATE("https://matarstund.is/serfaedi?id=",LOWER(SUBSTITUTE(B1604," ","-"))))</f>
        <v/>
      </c>
    </row>
    <row r="1605" customFormat="false" ht="15" hidden="false" customHeight="true" outlineLevel="0" collapsed="false">
      <c r="A1605" s="9"/>
      <c r="B1605" s="9"/>
      <c r="C1605" s="9"/>
      <c r="D1605" s="9"/>
      <c r="E1605" s="9"/>
      <c r="F1605" s="9"/>
      <c r="G1605" s="9"/>
      <c r="H1605" s="64" t="str">
        <f aca="false">IF(OR(A1605="",B1605=""),"",CONCATENATE("https://matarstund.is/serfaedi?id=",LOWER(SUBSTITUTE(B1605," ","-"))))</f>
        <v/>
      </c>
    </row>
    <row r="1606" customFormat="false" ht="15" hidden="false" customHeight="true" outlineLevel="0" collapsed="false">
      <c r="A1606" s="68"/>
      <c r="B1606" s="68"/>
      <c r="C1606" s="68"/>
      <c r="D1606" s="68"/>
      <c r="E1606" s="68"/>
      <c r="F1606" s="68"/>
      <c r="G1606" s="68"/>
      <c r="H1606" s="64" t="str">
        <f aca="false">IF(OR(A1606="",B1606=""),"",CONCATENATE("https://matarstund.is/serfaedi?id=",LOWER(SUBSTITUTE(B1606," ","-"))))</f>
        <v/>
      </c>
    </row>
    <row r="1607" customFormat="false" ht="15" hidden="false" customHeight="true" outlineLevel="0" collapsed="false">
      <c r="A1607" s="9"/>
      <c r="B1607" s="9"/>
      <c r="C1607" s="9"/>
      <c r="D1607" s="9"/>
      <c r="E1607" s="9"/>
      <c r="F1607" s="9"/>
      <c r="G1607" s="9"/>
      <c r="H1607" s="64" t="str">
        <f aca="false">IF(OR(A1607="",B1607=""),"",CONCATENATE("https://matarstund.is/serfaedi?id=",LOWER(SUBSTITUTE(B1607," ","-"))))</f>
        <v/>
      </c>
    </row>
    <row r="1608" customFormat="false" ht="15" hidden="false" customHeight="true" outlineLevel="0" collapsed="false">
      <c r="A1608" s="68"/>
      <c r="B1608" s="68"/>
      <c r="C1608" s="68"/>
      <c r="D1608" s="68"/>
      <c r="E1608" s="68"/>
      <c r="F1608" s="68"/>
      <c r="G1608" s="68"/>
      <c r="H1608" s="64" t="str">
        <f aca="false">IF(OR(A1608="",B1608=""),"",CONCATENATE("https://matarstund.is/serfaedi?id=",LOWER(SUBSTITUTE(B1608," ","-"))))</f>
        <v/>
      </c>
    </row>
    <row r="1609" customFormat="false" ht="15" hidden="false" customHeight="true" outlineLevel="0" collapsed="false">
      <c r="A1609" s="9"/>
      <c r="B1609" s="9"/>
      <c r="C1609" s="9"/>
      <c r="D1609" s="9"/>
      <c r="E1609" s="9"/>
      <c r="F1609" s="9"/>
      <c r="G1609" s="9"/>
      <c r="H1609" s="64" t="str">
        <f aca="false">IF(OR(A1609="",B1609=""),"",CONCATENATE("https://matarstund.is/serfaedi?id=",LOWER(SUBSTITUTE(B1609," ","-"))))</f>
        <v/>
      </c>
    </row>
    <row r="1610" customFormat="false" ht="15" hidden="false" customHeight="true" outlineLevel="0" collapsed="false">
      <c r="A1610" s="68"/>
      <c r="B1610" s="68"/>
      <c r="C1610" s="68"/>
      <c r="D1610" s="68"/>
      <c r="E1610" s="68"/>
      <c r="F1610" s="68"/>
      <c r="G1610" s="68"/>
      <c r="H1610" s="64" t="str">
        <f aca="false">IF(OR(A1610="",B1610=""),"",CONCATENATE("https://matarstund.is/serfaedi?id=",LOWER(SUBSTITUTE(B1610," ","-"))))</f>
        <v/>
      </c>
    </row>
    <row r="1611" customFormat="false" ht="15" hidden="false" customHeight="true" outlineLevel="0" collapsed="false">
      <c r="A1611" s="9"/>
      <c r="B1611" s="9"/>
      <c r="C1611" s="9"/>
      <c r="D1611" s="9"/>
      <c r="E1611" s="9"/>
      <c r="F1611" s="9"/>
      <c r="G1611" s="9"/>
      <c r="H1611" s="64" t="str">
        <f aca="false">IF(OR(A1611="",B1611=""),"",CONCATENATE("https://matarstund.is/serfaedi?id=",LOWER(SUBSTITUTE(B1611," ","-"))))</f>
        <v/>
      </c>
    </row>
    <row r="1612" customFormat="false" ht="15" hidden="false" customHeight="true" outlineLevel="0" collapsed="false">
      <c r="A1612" s="68"/>
      <c r="B1612" s="68"/>
      <c r="C1612" s="68"/>
      <c r="D1612" s="68"/>
      <c r="E1612" s="68"/>
      <c r="F1612" s="68"/>
      <c r="G1612" s="68"/>
      <c r="H1612" s="64" t="str">
        <f aca="false">IF(OR(A1612="",B1612=""),"",CONCATENATE("https://matarstund.is/serfaedi?id=",LOWER(SUBSTITUTE(B1612," ","-"))))</f>
        <v/>
      </c>
    </row>
    <row r="1613" customFormat="false" ht="15" hidden="false" customHeight="true" outlineLevel="0" collapsed="false">
      <c r="A1613" s="9"/>
      <c r="B1613" s="9"/>
      <c r="C1613" s="9"/>
      <c r="D1613" s="9"/>
      <c r="E1613" s="9"/>
      <c r="F1613" s="9"/>
      <c r="G1613" s="9"/>
      <c r="H1613" s="64" t="str">
        <f aca="false">IF(OR(A1613="",B1613=""),"",CONCATENATE("https://matarstund.is/serfaedi?id=",LOWER(SUBSTITUTE(B1613," ","-"))))</f>
        <v/>
      </c>
    </row>
    <row r="1614" customFormat="false" ht="15" hidden="false" customHeight="true" outlineLevel="0" collapsed="false">
      <c r="A1614" s="68"/>
      <c r="B1614" s="68"/>
      <c r="C1614" s="68"/>
      <c r="D1614" s="68"/>
      <c r="E1614" s="68"/>
      <c r="F1614" s="68"/>
      <c r="G1614" s="68"/>
      <c r="H1614" s="64" t="str">
        <f aca="false">IF(OR(A1614="",B1614=""),"",CONCATENATE("https://matarstund.is/serfaedi?id=",LOWER(SUBSTITUTE(B1614," ","-"))))</f>
        <v/>
      </c>
    </row>
    <row r="1615" customFormat="false" ht="15" hidden="false" customHeight="true" outlineLevel="0" collapsed="false">
      <c r="A1615" s="9"/>
      <c r="B1615" s="9"/>
      <c r="C1615" s="9"/>
      <c r="D1615" s="9"/>
      <c r="E1615" s="9"/>
      <c r="F1615" s="9"/>
      <c r="G1615" s="9"/>
      <c r="H1615" s="64" t="str">
        <f aca="false">IF(OR(A1615="",B1615=""),"",CONCATENATE("https://matarstund.is/serfaedi?id=",LOWER(SUBSTITUTE(B1615," ","-"))))</f>
        <v/>
      </c>
    </row>
    <row r="1616" customFormat="false" ht="15" hidden="false" customHeight="true" outlineLevel="0" collapsed="false">
      <c r="A1616" s="68"/>
      <c r="B1616" s="68"/>
      <c r="C1616" s="68"/>
      <c r="D1616" s="68"/>
      <c r="E1616" s="68"/>
      <c r="F1616" s="68"/>
      <c r="G1616" s="68"/>
      <c r="H1616" s="64" t="str">
        <f aca="false">IF(OR(A1616="",B1616=""),"",CONCATENATE("https://matarstund.is/serfaedi?id=",LOWER(SUBSTITUTE(B1616," ","-"))))</f>
        <v/>
      </c>
    </row>
    <row r="1617" customFormat="false" ht="15" hidden="false" customHeight="true" outlineLevel="0" collapsed="false">
      <c r="A1617" s="9"/>
      <c r="B1617" s="9"/>
      <c r="C1617" s="9"/>
      <c r="D1617" s="9"/>
      <c r="E1617" s="9"/>
      <c r="F1617" s="9"/>
      <c r="G1617" s="9"/>
      <c r="H1617" s="64" t="str">
        <f aca="false">IF(OR(A1617="",B1617=""),"",CONCATENATE("https://matarstund.is/serfaedi?id=",LOWER(SUBSTITUTE(B1617," ","-"))))</f>
        <v/>
      </c>
    </row>
    <row r="1618" customFormat="false" ht="15" hidden="false" customHeight="true" outlineLevel="0" collapsed="false">
      <c r="A1618" s="68"/>
      <c r="B1618" s="68"/>
      <c r="C1618" s="68"/>
      <c r="D1618" s="68"/>
      <c r="E1618" s="68"/>
      <c r="F1618" s="68"/>
      <c r="G1618" s="68"/>
      <c r="H1618" s="64" t="str">
        <f aca="false">IF(OR(A1618="",B1618=""),"",CONCATENATE("https://matarstund.is/serfaedi?id=",LOWER(SUBSTITUTE(B1618," ","-"))))</f>
        <v/>
      </c>
    </row>
    <row r="1619" customFormat="false" ht="15" hidden="false" customHeight="true" outlineLevel="0" collapsed="false">
      <c r="A1619" s="9"/>
      <c r="B1619" s="9"/>
      <c r="C1619" s="9"/>
      <c r="D1619" s="9"/>
      <c r="E1619" s="9"/>
      <c r="F1619" s="9"/>
      <c r="G1619" s="9"/>
      <c r="H1619" s="64" t="str">
        <f aca="false">IF(OR(A1619="",B1619=""),"",CONCATENATE("https://matarstund.is/serfaedi?id=",LOWER(SUBSTITUTE(B1619," ","-"))))</f>
        <v/>
      </c>
    </row>
    <row r="1620" customFormat="false" ht="15" hidden="false" customHeight="true" outlineLevel="0" collapsed="false">
      <c r="A1620" s="68"/>
      <c r="B1620" s="68"/>
      <c r="C1620" s="68"/>
      <c r="D1620" s="68"/>
      <c r="E1620" s="68"/>
      <c r="F1620" s="68"/>
      <c r="G1620" s="68"/>
      <c r="H1620" s="64" t="str">
        <f aca="false">IF(OR(A1620="",B1620=""),"",CONCATENATE("https://matarstund.is/serfaedi?id=",LOWER(SUBSTITUTE(B1620," ","-"))))</f>
        <v/>
      </c>
    </row>
    <row r="1621" customFormat="false" ht="15" hidden="false" customHeight="true" outlineLevel="0" collapsed="false">
      <c r="A1621" s="9"/>
      <c r="B1621" s="9"/>
      <c r="C1621" s="9"/>
      <c r="D1621" s="9"/>
      <c r="E1621" s="9"/>
      <c r="F1621" s="9"/>
      <c r="G1621" s="9"/>
      <c r="H1621" s="64" t="str">
        <f aca="false">IF(OR(A1621="",B1621=""),"",CONCATENATE("https://matarstund.is/serfaedi?id=",LOWER(SUBSTITUTE(B1621," ","-"))))</f>
        <v/>
      </c>
    </row>
    <row r="1622" customFormat="false" ht="15" hidden="false" customHeight="true" outlineLevel="0" collapsed="false">
      <c r="A1622" s="68"/>
      <c r="B1622" s="68"/>
      <c r="C1622" s="68"/>
      <c r="D1622" s="68"/>
      <c r="E1622" s="68"/>
      <c r="F1622" s="68"/>
      <c r="G1622" s="68"/>
      <c r="H1622" s="64" t="str">
        <f aca="false">IF(OR(A1622="",B1622=""),"",CONCATENATE("https://matarstund.is/serfaedi?id=",LOWER(SUBSTITUTE(B1622," ","-"))))</f>
        <v/>
      </c>
    </row>
    <row r="1623" customFormat="false" ht="15" hidden="false" customHeight="true" outlineLevel="0" collapsed="false">
      <c r="A1623" s="9"/>
      <c r="B1623" s="9"/>
      <c r="C1623" s="9"/>
      <c r="D1623" s="9"/>
      <c r="E1623" s="9"/>
      <c r="F1623" s="9"/>
      <c r="G1623" s="9"/>
      <c r="H1623" s="64" t="str">
        <f aca="false">IF(OR(A1623="",B1623=""),"",CONCATENATE("https://matarstund.is/serfaedi?id=",LOWER(SUBSTITUTE(B1623," ","-"))))</f>
        <v/>
      </c>
    </row>
    <row r="1624" customFormat="false" ht="15" hidden="false" customHeight="true" outlineLevel="0" collapsed="false">
      <c r="A1624" s="68"/>
      <c r="B1624" s="68"/>
      <c r="C1624" s="68"/>
      <c r="D1624" s="68"/>
      <c r="E1624" s="68"/>
      <c r="F1624" s="68"/>
      <c r="G1624" s="68"/>
      <c r="H1624" s="64" t="str">
        <f aca="false">IF(OR(A1624="",B1624=""),"",CONCATENATE("https://matarstund.is/serfaedi?id=",LOWER(SUBSTITUTE(B1624," ","-"))))</f>
        <v/>
      </c>
    </row>
    <row r="1625" customFormat="false" ht="15" hidden="false" customHeight="true" outlineLevel="0" collapsed="false">
      <c r="A1625" s="9"/>
      <c r="B1625" s="9"/>
      <c r="C1625" s="9"/>
      <c r="D1625" s="9"/>
      <c r="E1625" s="9"/>
      <c r="F1625" s="9"/>
      <c r="G1625" s="9"/>
      <c r="H1625" s="64" t="str">
        <f aca="false">IF(OR(A1625="",B1625=""),"",CONCATENATE("https://matarstund.is/serfaedi?id=",LOWER(SUBSTITUTE(B1625," ","-"))))</f>
        <v/>
      </c>
    </row>
    <row r="1626" customFormat="false" ht="15" hidden="false" customHeight="true" outlineLevel="0" collapsed="false">
      <c r="A1626" s="68"/>
      <c r="B1626" s="68"/>
      <c r="C1626" s="68"/>
      <c r="D1626" s="68"/>
      <c r="E1626" s="68"/>
      <c r="F1626" s="68"/>
      <c r="G1626" s="68"/>
      <c r="H1626" s="64" t="str">
        <f aca="false">IF(OR(A1626="",B1626=""),"",CONCATENATE("https://matarstund.is/serfaedi?id=",LOWER(SUBSTITUTE(B1626," ","-"))))</f>
        <v/>
      </c>
    </row>
    <row r="1627" customFormat="false" ht="15" hidden="false" customHeight="true" outlineLevel="0" collapsed="false">
      <c r="A1627" s="9"/>
      <c r="B1627" s="9"/>
      <c r="C1627" s="9"/>
      <c r="D1627" s="9"/>
      <c r="E1627" s="9"/>
      <c r="F1627" s="9"/>
      <c r="G1627" s="9"/>
      <c r="H1627" s="64" t="str">
        <f aca="false">IF(OR(A1627="",B1627=""),"",CONCATENATE("https://matarstund.is/serfaedi?id=",LOWER(SUBSTITUTE(B1627," ","-"))))</f>
        <v/>
      </c>
    </row>
    <row r="1628" customFormat="false" ht="15" hidden="false" customHeight="true" outlineLevel="0" collapsed="false">
      <c r="A1628" s="68"/>
      <c r="B1628" s="68"/>
      <c r="C1628" s="68"/>
      <c r="D1628" s="68"/>
      <c r="E1628" s="68"/>
      <c r="F1628" s="68"/>
      <c r="G1628" s="68"/>
      <c r="H1628" s="64" t="str">
        <f aca="false">IF(OR(A1628="",B1628=""),"",CONCATENATE("https://matarstund.is/serfaedi?id=",LOWER(SUBSTITUTE(B1628," ","-"))))</f>
        <v/>
      </c>
    </row>
    <row r="1629" customFormat="false" ht="15" hidden="false" customHeight="true" outlineLevel="0" collapsed="false">
      <c r="A1629" s="9"/>
      <c r="B1629" s="9"/>
      <c r="C1629" s="9"/>
      <c r="D1629" s="9"/>
      <c r="E1629" s="9"/>
      <c r="F1629" s="9"/>
      <c r="G1629" s="9"/>
      <c r="H1629" s="64" t="str">
        <f aca="false">IF(OR(A1629="",B1629=""),"",CONCATENATE("https://matarstund.is/serfaedi?id=",LOWER(SUBSTITUTE(B1629," ","-"))))</f>
        <v/>
      </c>
    </row>
    <row r="1630" customFormat="false" ht="15" hidden="false" customHeight="true" outlineLevel="0" collapsed="false">
      <c r="A1630" s="68"/>
      <c r="B1630" s="68"/>
      <c r="C1630" s="68"/>
      <c r="D1630" s="68"/>
      <c r="E1630" s="68"/>
      <c r="F1630" s="68"/>
      <c r="G1630" s="68"/>
      <c r="H1630" s="64" t="str">
        <f aca="false">IF(OR(A1630="",B1630=""),"",CONCATENATE("https://matarstund.is/serfaedi?id=",LOWER(SUBSTITUTE(B1630," ","-"))))</f>
        <v/>
      </c>
    </row>
    <row r="1631" customFormat="false" ht="15" hidden="false" customHeight="true" outlineLevel="0" collapsed="false">
      <c r="A1631" s="9"/>
      <c r="B1631" s="9"/>
      <c r="C1631" s="9"/>
      <c r="D1631" s="9"/>
      <c r="E1631" s="9"/>
      <c r="F1631" s="9"/>
      <c r="G1631" s="9"/>
      <c r="H1631" s="64" t="str">
        <f aca="false">IF(OR(A1631="",B1631=""),"",CONCATENATE("https://matarstund.is/serfaedi?id=",LOWER(SUBSTITUTE(B1631," ","-"))))</f>
        <v/>
      </c>
    </row>
    <row r="1632" customFormat="false" ht="15" hidden="false" customHeight="true" outlineLevel="0" collapsed="false">
      <c r="A1632" s="68"/>
      <c r="B1632" s="68"/>
      <c r="C1632" s="68"/>
      <c r="D1632" s="68"/>
      <c r="E1632" s="68"/>
      <c r="F1632" s="68"/>
      <c r="G1632" s="68"/>
      <c r="H1632" s="64" t="str">
        <f aca="false">IF(OR(A1632="",B1632=""),"",CONCATENATE("https://matarstund.is/serfaedi?id=",LOWER(SUBSTITUTE(B1632," ","-"))))</f>
        <v/>
      </c>
    </row>
    <row r="1633" customFormat="false" ht="15" hidden="false" customHeight="true" outlineLevel="0" collapsed="false">
      <c r="A1633" s="9"/>
      <c r="B1633" s="9"/>
      <c r="C1633" s="9"/>
      <c r="D1633" s="9"/>
      <c r="E1633" s="9"/>
      <c r="F1633" s="9"/>
      <c r="G1633" s="9"/>
      <c r="H1633" s="64" t="str">
        <f aca="false">IF(OR(A1633="",B1633=""),"",CONCATENATE("https://matarstund.is/serfaedi?id=",LOWER(SUBSTITUTE(B1633," ","-"))))</f>
        <v/>
      </c>
    </row>
    <row r="1634" customFormat="false" ht="15" hidden="false" customHeight="true" outlineLevel="0" collapsed="false">
      <c r="A1634" s="68"/>
      <c r="B1634" s="68"/>
      <c r="C1634" s="68"/>
      <c r="D1634" s="68"/>
      <c r="E1634" s="68"/>
      <c r="F1634" s="68"/>
      <c r="G1634" s="68"/>
      <c r="H1634" s="64" t="str">
        <f aca="false">IF(OR(A1634="",B1634=""),"",CONCATENATE("https://matarstund.is/serfaedi?id=",LOWER(SUBSTITUTE(B1634," ","-"))))</f>
        <v/>
      </c>
    </row>
    <row r="1635" customFormat="false" ht="15" hidden="false" customHeight="true" outlineLevel="0" collapsed="false">
      <c r="A1635" s="9"/>
      <c r="B1635" s="9"/>
      <c r="C1635" s="9"/>
      <c r="D1635" s="9"/>
      <c r="E1635" s="9"/>
      <c r="F1635" s="9"/>
      <c r="G1635" s="9"/>
      <c r="H1635" s="64" t="str">
        <f aca="false">IF(OR(A1635="",B1635=""),"",CONCATENATE("https://matarstund.is/serfaedi?id=",LOWER(SUBSTITUTE(B1635," ","-"))))</f>
        <v/>
      </c>
    </row>
    <row r="1636" customFormat="false" ht="15" hidden="false" customHeight="true" outlineLevel="0" collapsed="false">
      <c r="A1636" s="68"/>
      <c r="B1636" s="68"/>
      <c r="C1636" s="68"/>
      <c r="D1636" s="68"/>
      <c r="E1636" s="68"/>
      <c r="F1636" s="68"/>
      <c r="G1636" s="68"/>
      <c r="H1636" s="64" t="str">
        <f aca="false">IF(OR(A1636="",B1636=""),"",CONCATENATE("https://matarstund.is/serfaedi?id=",LOWER(SUBSTITUTE(B1636," ","-"))))</f>
        <v/>
      </c>
    </row>
    <row r="1637" customFormat="false" ht="15" hidden="false" customHeight="true" outlineLevel="0" collapsed="false">
      <c r="A1637" s="9"/>
      <c r="B1637" s="9"/>
      <c r="C1637" s="9"/>
      <c r="D1637" s="9"/>
      <c r="E1637" s="9"/>
      <c r="F1637" s="9"/>
      <c r="G1637" s="9"/>
      <c r="H1637" s="64" t="str">
        <f aca="false">IF(OR(A1637="",B1637=""),"",CONCATENATE("https://matarstund.is/serfaedi?id=",LOWER(SUBSTITUTE(B1637," ","-"))))</f>
        <v/>
      </c>
    </row>
    <row r="1638" customFormat="false" ht="15" hidden="false" customHeight="true" outlineLevel="0" collapsed="false">
      <c r="A1638" s="68"/>
      <c r="B1638" s="68"/>
      <c r="C1638" s="68"/>
      <c r="D1638" s="68"/>
      <c r="E1638" s="68"/>
      <c r="F1638" s="68"/>
      <c r="G1638" s="68"/>
      <c r="H1638" s="64" t="str">
        <f aca="false">IF(OR(A1638="",B1638=""),"",CONCATENATE("https://matarstund.is/serfaedi?id=",LOWER(SUBSTITUTE(B1638," ","-"))))</f>
        <v/>
      </c>
    </row>
    <row r="1639" customFormat="false" ht="15" hidden="false" customHeight="true" outlineLevel="0" collapsed="false">
      <c r="A1639" s="9"/>
      <c r="B1639" s="9"/>
      <c r="C1639" s="9"/>
      <c r="D1639" s="9"/>
      <c r="E1639" s="9"/>
      <c r="F1639" s="9"/>
      <c r="G1639" s="9"/>
      <c r="H1639" s="64" t="str">
        <f aca="false">IF(OR(A1639="",B1639=""),"",CONCATENATE("https://matarstund.is/serfaedi?id=",LOWER(SUBSTITUTE(B1639," ","-"))))</f>
        <v/>
      </c>
    </row>
    <row r="1640" customFormat="false" ht="15" hidden="false" customHeight="true" outlineLevel="0" collapsed="false">
      <c r="A1640" s="68"/>
      <c r="B1640" s="68"/>
      <c r="C1640" s="68"/>
      <c r="D1640" s="68"/>
      <c r="E1640" s="68"/>
      <c r="F1640" s="68"/>
      <c r="G1640" s="68"/>
      <c r="H1640" s="64" t="str">
        <f aca="false">IF(OR(A1640="",B1640=""),"",CONCATENATE("https://matarstund.is/serfaedi?id=",LOWER(SUBSTITUTE(B1640," ","-"))))</f>
        <v/>
      </c>
    </row>
    <row r="1641" customFormat="false" ht="15" hidden="false" customHeight="true" outlineLevel="0" collapsed="false">
      <c r="A1641" s="9"/>
      <c r="B1641" s="9"/>
      <c r="C1641" s="9"/>
      <c r="D1641" s="9"/>
      <c r="E1641" s="9"/>
      <c r="F1641" s="9"/>
      <c r="G1641" s="9"/>
      <c r="H1641" s="64" t="str">
        <f aca="false">IF(OR(A1641="",B1641=""),"",CONCATENATE("https://matarstund.is/serfaedi?id=",LOWER(SUBSTITUTE(B1641," ","-"))))</f>
        <v/>
      </c>
    </row>
    <row r="1642" customFormat="false" ht="15" hidden="false" customHeight="true" outlineLevel="0" collapsed="false">
      <c r="A1642" s="68"/>
      <c r="B1642" s="68"/>
      <c r="C1642" s="68"/>
      <c r="D1642" s="68"/>
      <c r="E1642" s="68"/>
      <c r="F1642" s="68"/>
      <c r="G1642" s="68"/>
      <c r="H1642" s="64" t="str">
        <f aca="false">IF(OR(A1642="",B1642=""),"",CONCATENATE("https://matarstund.is/serfaedi?id=",LOWER(SUBSTITUTE(B1642," ","-"))))</f>
        <v/>
      </c>
    </row>
    <row r="1643" customFormat="false" ht="15" hidden="false" customHeight="true" outlineLevel="0" collapsed="false">
      <c r="A1643" s="9"/>
      <c r="B1643" s="9"/>
      <c r="C1643" s="9"/>
      <c r="D1643" s="9"/>
      <c r="E1643" s="9"/>
      <c r="F1643" s="9"/>
      <c r="G1643" s="9"/>
      <c r="H1643" s="64" t="str">
        <f aca="false">IF(OR(A1643="",B1643=""),"",CONCATENATE("https://matarstund.is/serfaedi?id=",LOWER(SUBSTITUTE(B1643," ","-"))))</f>
        <v/>
      </c>
    </row>
    <row r="1644" customFormat="false" ht="15" hidden="false" customHeight="true" outlineLevel="0" collapsed="false">
      <c r="A1644" s="68"/>
      <c r="B1644" s="68"/>
      <c r="C1644" s="68"/>
      <c r="D1644" s="68"/>
      <c r="E1644" s="68"/>
      <c r="F1644" s="68"/>
      <c r="G1644" s="68"/>
      <c r="H1644" s="64" t="str">
        <f aca="false">IF(OR(A1644="",B1644=""),"",CONCATENATE("https://matarstund.is/serfaedi?id=",LOWER(SUBSTITUTE(B1644," ","-"))))</f>
        <v/>
      </c>
    </row>
    <row r="1645" customFormat="false" ht="15" hidden="false" customHeight="true" outlineLevel="0" collapsed="false">
      <c r="A1645" s="9"/>
      <c r="B1645" s="9"/>
      <c r="C1645" s="9"/>
      <c r="D1645" s="9"/>
      <c r="E1645" s="9"/>
      <c r="F1645" s="9"/>
      <c r="G1645" s="9"/>
      <c r="H1645" s="64" t="str">
        <f aca="false">IF(OR(A1645="",B1645=""),"",CONCATENATE("https://matarstund.is/serfaedi?id=",LOWER(SUBSTITUTE(B1645," ","-"))))</f>
        <v/>
      </c>
    </row>
    <row r="1646" customFormat="false" ht="15" hidden="false" customHeight="true" outlineLevel="0" collapsed="false">
      <c r="A1646" s="68"/>
      <c r="B1646" s="68"/>
      <c r="C1646" s="68"/>
      <c r="D1646" s="68"/>
      <c r="E1646" s="68"/>
      <c r="F1646" s="68"/>
      <c r="G1646" s="68"/>
      <c r="H1646" s="64" t="str">
        <f aca="false">IF(OR(A1646="",B1646=""),"",CONCATENATE("https://matarstund.is/serfaedi?id=",LOWER(SUBSTITUTE(B1646," ","-"))))</f>
        <v/>
      </c>
    </row>
    <row r="1647" customFormat="false" ht="15" hidden="false" customHeight="true" outlineLevel="0" collapsed="false">
      <c r="A1647" s="9"/>
      <c r="B1647" s="9"/>
      <c r="C1647" s="9"/>
      <c r="D1647" s="9"/>
      <c r="E1647" s="9"/>
      <c r="F1647" s="9"/>
      <c r="G1647" s="9"/>
      <c r="H1647" s="64" t="str">
        <f aca="false">IF(OR(A1647="",B1647=""),"",CONCATENATE("https://matarstund.is/serfaedi?id=",LOWER(SUBSTITUTE(B1647," ","-"))))</f>
        <v/>
      </c>
    </row>
    <row r="1648" customFormat="false" ht="15" hidden="false" customHeight="true" outlineLevel="0" collapsed="false">
      <c r="A1648" s="68"/>
      <c r="B1648" s="68"/>
      <c r="C1648" s="68"/>
      <c r="D1648" s="68"/>
      <c r="E1648" s="68"/>
      <c r="F1648" s="68"/>
      <c r="G1648" s="68"/>
      <c r="H1648" s="64" t="str">
        <f aca="false">IF(OR(A1648="",B1648=""),"",CONCATENATE("https://matarstund.is/serfaedi?id=",LOWER(SUBSTITUTE(B1648," ","-"))))</f>
        <v/>
      </c>
    </row>
    <row r="1649" customFormat="false" ht="15" hidden="false" customHeight="true" outlineLevel="0" collapsed="false">
      <c r="A1649" s="9"/>
      <c r="B1649" s="9"/>
      <c r="C1649" s="9"/>
      <c r="D1649" s="9"/>
      <c r="E1649" s="9"/>
      <c r="F1649" s="9"/>
      <c r="G1649" s="9"/>
      <c r="H1649" s="64" t="str">
        <f aca="false">IF(OR(A1649="",B1649=""),"",CONCATENATE("https://matarstund.is/serfaedi?id=",LOWER(SUBSTITUTE(B1649," ","-"))))</f>
        <v/>
      </c>
    </row>
    <row r="1650" customFormat="false" ht="15" hidden="false" customHeight="true" outlineLevel="0" collapsed="false">
      <c r="A1650" s="68"/>
      <c r="B1650" s="68"/>
      <c r="C1650" s="68"/>
      <c r="D1650" s="68"/>
      <c r="E1650" s="68"/>
      <c r="F1650" s="68"/>
      <c r="G1650" s="68"/>
      <c r="H1650" s="64" t="str">
        <f aca="false">IF(OR(A1650="",B1650=""),"",CONCATENATE("https://matarstund.is/serfaedi?id=",LOWER(SUBSTITUTE(B1650," ","-"))))</f>
        <v/>
      </c>
    </row>
    <row r="1651" customFormat="false" ht="15" hidden="false" customHeight="true" outlineLevel="0" collapsed="false">
      <c r="A1651" s="9"/>
      <c r="B1651" s="9"/>
      <c r="C1651" s="9"/>
      <c r="D1651" s="9"/>
      <c r="E1651" s="9"/>
      <c r="F1651" s="9"/>
      <c r="G1651" s="9"/>
      <c r="H1651" s="64" t="str">
        <f aca="false">IF(OR(A1651="",B1651=""),"",CONCATENATE("https://matarstund.is/serfaedi?id=",LOWER(SUBSTITUTE(B1651," ","-"))))</f>
        <v/>
      </c>
    </row>
    <row r="1652" customFormat="false" ht="15" hidden="false" customHeight="true" outlineLevel="0" collapsed="false">
      <c r="A1652" s="68"/>
      <c r="B1652" s="68"/>
      <c r="C1652" s="68"/>
      <c r="D1652" s="68"/>
      <c r="E1652" s="68"/>
      <c r="F1652" s="68"/>
      <c r="G1652" s="68"/>
      <c r="H1652" s="64" t="str">
        <f aca="false">IF(OR(A1652="",B1652=""),"",CONCATENATE("https://matarstund.is/serfaedi?id=",LOWER(SUBSTITUTE(B1652," ","-"))))</f>
        <v/>
      </c>
    </row>
    <row r="1653" customFormat="false" ht="15" hidden="false" customHeight="true" outlineLevel="0" collapsed="false">
      <c r="A1653" s="9"/>
      <c r="B1653" s="9"/>
      <c r="C1653" s="9"/>
      <c r="D1653" s="9"/>
      <c r="E1653" s="9"/>
      <c r="F1653" s="9"/>
      <c r="G1653" s="9"/>
      <c r="H1653" s="64" t="str">
        <f aca="false">IF(OR(A1653="",B1653=""),"",CONCATENATE("https://matarstund.is/serfaedi?id=",LOWER(SUBSTITUTE(B1653," ","-"))))</f>
        <v/>
      </c>
    </row>
    <row r="1654" customFormat="false" ht="15" hidden="false" customHeight="true" outlineLevel="0" collapsed="false">
      <c r="A1654" s="68"/>
      <c r="B1654" s="68"/>
      <c r="C1654" s="68"/>
      <c r="D1654" s="68"/>
      <c r="E1654" s="68"/>
      <c r="F1654" s="68"/>
      <c r="G1654" s="68"/>
      <c r="H1654" s="64" t="str">
        <f aca="false">IF(OR(A1654="",B1654=""),"",CONCATENATE("https://matarstund.is/serfaedi?id=",LOWER(SUBSTITUTE(B1654," ","-"))))</f>
        <v/>
      </c>
    </row>
    <row r="1655" customFormat="false" ht="15" hidden="false" customHeight="true" outlineLevel="0" collapsed="false">
      <c r="A1655" s="9"/>
      <c r="B1655" s="9"/>
      <c r="C1655" s="9"/>
      <c r="D1655" s="9"/>
      <c r="E1655" s="9"/>
      <c r="F1655" s="9"/>
      <c r="G1655" s="9"/>
      <c r="H1655" s="64" t="str">
        <f aca="false">IF(OR(A1655="",B1655=""),"",CONCATENATE("https://matarstund.is/serfaedi?id=",LOWER(SUBSTITUTE(B1655," ","-"))))</f>
        <v/>
      </c>
    </row>
    <row r="1656" customFormat="false" ht="15" hidden="false" customHeight="true" outlineLevel="0" collapsed="false">
      <c r="A1656" s="68"/>
      <c r="B1656" s="68"/>
      <c r="C1656" s="68"/>
      <c r="D1656" s="68"/>
      <c r="E1656" s="68"/>
      <c r="F1656" s="68"/>
      <c r="G1656" s="68"/>
      <c r="H1656" s="64" t="str">
        <f aca="false">IF(OR(A1656="",B1656=""),"",CONCATENATE("https://matarstund.is/serfaedi?id=",LOWER(SUBSTITUTE(B1656," ","-"))))</f>
        <v/>
      </c>
    </row>
    <row r="1657" customFormat="false" ht="15" hidden="false" customHeight="true" outlineLevel="0" collapsed="false">
      <c r="A1657" s="9"/>
      <c r="B1657" s="9"/>
      <c r="C1657" s="9"/>
      <c r="D1657" s="9"/>
      <c r="E1657" s="9"/>
      <c r="F1657" s="9"/>
      <c r="G1657" s="9"/>
      <c r="H1657" s="64" t="str">
        <f aca="false">IF(OR(A1657="",B1657=""),"",CONCATENATE("https://matarstund.is/serfaedi?id=",LOWER(SUBSTITUTE(B1657," ","-"))))</f>
        <v/>
      </c>
    </row>
    <row r="1658" customFormat="false" ht="15" hidden="false" customHeight="true" outlineLevel="0" collapsed="false">
      <c r="A1658" s="68"/>
      <c r="B1658" s="68"/>
      <c r="C1658" s="68"/>
      <c r="D1658" s="68"/>
      <c r="E1658" s="68"/>
      <c r="F1658" s="68"/>
      <c r="G1658" s="68"/>
      <c r="H1658" s="64" t="str">
        <f aca="false">IF(OR(A1658="",B1658=""),"",CONCATENATE("https://matarstund.is/serfaedi?id=",LOWER(SUBSTITUTE(B1658," ","-"))))</f>
        <v/>
      </c>
    </row>
    <row r="1659" customFormat="false" ht="15" hidden="false" customHeight="true" outlineLevel="0" collapsed="false">
      <c r="A1659" s="9"/>
      <c r="B1659" s="9"/>
      <c r="C1659" s="9"/>
      <c r="D1659" s="9"/>
      <c r="E1659" s="9"/>
      <c r="F1659" s="9"/>
      <c r="G1659" s="9"/>
      <c r="H1659" s="64" t="str">
        <f aca="false">IF(OR(A1659="",B1659=""),"",CONCATENATE("https://matarstund.is/serfaedi?id=",LOWER(SUBSTITUTE(B1659," ","-"))))</f>
        <v/>
      </c>
    </row>
    <row r="1660" customFormat="false" ht="15" hidden="false" customHeight="true" outlineLevel="0" collapsed="false">
      <c r="A1660" s="68"/>
      <c r="B1660" s="68"/>
      <c r="C1660" s="68"/>
      <c r="D1660" s="68"/>
      <c r="E1660" s="68"/>
      <c r="F1660" s="68"/>
      <c r="G1660" s="68"/>
      <c r="H1660" s="64" t="str">
        <f aca="false">IF(OR(A1660="",B1660=""),"",CONCATENATE("https://matarstund.is/serfaedi?id=",LOWER(SUBSTITUTE(B1660," ","-"))))</f>
        <v/>
      </c>
    </row>
    <row r="1661" customFormat="false" ht="15" hidden="false" customHeight="true" outlineLevel="0" collapsed="false">
      <c r="A1661" s="9"/>
      <c r="B1661" s="9"/>
      <c r="C1661" s="9"/>
      <c r="D1661" s="9"/>
      <c r="E1661" s="9"/>
      <c r="F1661" s="9"/>
      <c r="G1661" s="9"/>
      <c r="H1661" s="64" t="str">
        <f aca="false">IF(OR(A1661="",B1661=""),"",CONCATENATE("https://matarstund.is/serfaedi?id=",LOWER(SUBSTITUTE(B1661," ","-"))))</f>
        <v/>
      </c>
    </row>
    <row r="1662" customFormat="false" ht="15" hidden="false" customHeight="true" outlineLevel="0" collapsed="false">
      <c r="A1662" s="68"/>
      <c r="B1662" s="68"/>
      <c r="C1662" s="68"/>
      <c r="D1662" s="68"/>
      <c r="E1662" s="68"/>
      <c r="F1662" s="68"/>
      <c r="G1662" s="68"/>
      <c r="H1662" s="64" t="str">
        <f aca="false">IF(OR(A1662="",B1662=""),"",CONCATENATE("https://matarstund.is/serfaedi?id=",LOWER(SUBSTITUTE(B1662," ","-"))))</f>
        <v/>
      </c>
    </row>
    <row r="1663" customFormat="false" ht="15" hidden="false" customHeight="true" outlineLevel="0" collapsed="false">
      <c r="A1663" s="9"/>
      <c r="B1663" s="9"/>
      <c r="C1663" s="9"/>
      <c r="D1663" s="9"/>
      <c r="E1663" s="9"/>
      <c r="F1663" s="9"/>
      <c r="G1663" s="9"/>
      <c r="H1663" s="64" t="str">
        <f aca="false">IF(OR(A1663="",B1663=""),"",CONCATENATE("https://matarstund.is/serfaedi?id=",LOWER(SUBSTITUTE(B1663," ","-"))))</f>
        <v/>
      </c>
    </row>
    <row r="1664" customFormat="false" ht="15" hidden="false" customHeight="true" outlineLevel="0" collapsed="false">
      <c r="A1664" s="68"/>
      <c r="B1664" s="68"/>
      <c r="C1664" s="68"/>
      <c r="D1664" s="68"/>
      <c r="E1664" s="68"/>
      <c r="F1664" s="68"/>
      <c r="G1664" s="68"/>
      <c r="H1664" s="64" t="str">
        <f aca="false">IF(OR(A1664="",B1664=""),"",CONCATENATE("https://matarstund.is/serfaedi?id=",LOWER(SUBSTITUTE(B1664," ","-"))))</f>
        <v/>
      </c>
    </row>
    <row r="1665" customFormat="false" ht="15" hidden="false" customHeight="true" outlineLevel="0" collapsed="false">
      <c r="A1665" s="9"/>
      <c r="B1665" s="9"/>
      <c r="C1665" s="9"/>
      <c r="D1665" s="9"/>
      <c r="E1665" s="9"/>
      <c r="F1665" s="9"/>
      <c r="G1665" s="9"/>
      <c r="H1665" s="64" t="str">
        <f aca="false">IF(OR(A1665="",B1665=""),"",CONCATENATE("https://matarstund.is/serfaedi?id=",LOWER(SUBSTITUTE(B1665," ","-"))))</f>
        <v/>
      </c>
    </row>
    <row r="1666" customFormat="false" ht="15" hidden="false" customHeight="true" outlineLevel="0" collapsed="false">
      <c r="A1666" s="68"/>
      <c r="B1666" s="68"/>
      <c r="C1666" s="68"/>
      <c r="D1666" s="68"/>
      <c r="E1666" s="68"/>
      <c r="F1666" s="68"/>
      <c r="G1666" s="68"/>
      <c r="H1666" s="64" t="str">
        <f aca="false">IF(OR(A1666="",B1666=""),"",CONCATENATE("https://matarstund.is/serfaedi?id=",LOWER(SUBSTITUTE(B1666," ","-"))))</f>
        <v/>
      </c>
    </row>
    <row r="1667" customFormat="false" ht="15" hidden="false" customHeight="true" outlineLevel="0" collapsed="false">
      <c r="A1667" s="9"/>
      <c r="B1667" s="9"/>
      <c r="C1667" s="9"/>
      <c r="D1667" s="9"/>
      <c r="E1667" s="9"/>
      <c r="F1667" s="9"/>
      <c r="G1667" s="9"/>
      <c r="H1667" s="64" t="str">
        <f aca="false">IF(OR(A1667="",B1667=""),"",CONCATENATE("https://matarstund.is/serfaedi?id=",LOWER(SUBSTITUTE(B1667," ","-"))))</f>
        <v/>
      </c>
    </row>
    <row r="1668" customFormat="false" ht="15" hidden="false" customHeight="true" outlineLevel="0" collapsed="false">
      <c r="A1668" s="68"/>
      <c r="B1668" s="68"/>
      <c r="C1668" s="68"/>
      <c r="D1668" s="68"/>
      <c r="E1668" s="68"/>
      <c r="F1668" s="68"/>
      <c r="G1668" s="68"/>
      <c r="H1668" s="64" t="str">
        <f aca="false">IF(OR(A1668="",B1668=""),"",CONCATENATE("https://matarstund.is/serfaedi?id=",LOWER(SUBSTITUTE(B1668," ","-"))))</f>
        <v/>
      </c>
    </row>
    <row r="1669" customFormat="false" ht="15" hidden="false" customHeight="true" outlineLevel="0" collapsed="false">
      <c r="A1669" s="9"/>
      <c r="B1669" s="9"/>
      <c r="C1669" s="9"/>
      <c r="D1669" s="9"/>
      <c r="E1669" s="9"/>
      <c r="F1669" s="9"/>
      <c r="G1669" s="9"/>
      <c r="H1669" s="64" t="str">
        <f aca="false">IF(OR(A1669="",B1669=""),"",CONCATENATE("https://matarstund.is/serfaedi?id=",LOWER(SUBSTITUTE(B1669," ","-"))))</f>
        <v/>
      </c>
    </row>
    <row r="1670" customFormat="false" ht="15" hidden="false" customHeight="true" outlineLevel="0" collapsed="false">
      <c r="A1670" s="68"/>
      <c r="B1670" s="68"/>
      <c r="C1670" s="68"/>
      <c r="D1670" s="68"/>
      <c r="E1670" s="68"/>
      <c r="F1670" s="68"/>
      <c r="G1670" s="68"/>
      <c r="H1670" s="64" t="str">
        <f aca="false">IF(OR(A1670="",B1670=""),"",CONCATENATE("https://matarstund.is/serfaedi?id=",LOWER(SUBSTITUTE(B1670," ","-"))))</f>
        <v/>
      </c>
    </row>
    <row r="1671" customFormat="false" ht="15" hidden="false" customHeight="true" outlineLevel="0" collapsed="false">
      <c r="A1671" s="9"/>
      <c r="B1671" s="9"/>
      <c r="C1671" s="9"/>
      <c r="D1671" s="9"/>
      <c r="E1671" s="9"/>
      <c r="F1671" s="9"/>
      <c r="G1671" s="9"/>
      <c r="H1671" s="64" t="str">
        <f aca="false">IF(OR(A1671="",B1671=""),"",CONCATENATE("https://matarstund.is/serfaedi?id=",LOWER(SUBSTITUTE(B1671," ","-"))))</f>
        <v/>
      </c>
    </row>
    <row r="1672" customFormat="false" ht="15" hidden="false" customHeight="true" outlineLevel="0" collapsed="false">
      <c r="A1672" s="68"/>
      <c r="B1672" s="68"/>
      <c r="C1672" s="68"/>
      <c r="D1672" s="68"/>
      <c r="E1672" s="68"/>
      <c r="F1672" s="68"/>
      <c r="G1672" s="68"/>
      <c r="H1672" s="64" t="str">
        <f aca="false">IF(OR(A1672="",B1672=""),"",CONCATENATE("https://matarstund.is/serfaedi?id=",LOWER(SUBSTITUTE(B1672," ","-"))))</f>
        <v/>
      </c>
    </row>
    <row r="1673" customFormat="false" ht="15" hidden="false" customHeight="true" outlineLevel="0" collapsed="false">
      <c r="A1673" s="9"/>
      <c r="B1673" s="9"/>
      <c r="C1673" s="9"/>
      <c r="D1673" s="9"/>
      <c r="E1673" s="9"/>
      <c r="F1673" s="9"/>
      <c r="G1673" s="9"/>
      <c r="H1673" s="64" t="str">
        <f aca="false">IF(OR(A1673="",B1673=""),"",CONCATENATE("https://matarstund.is/serfaedi?id=",LOWER(SUBSTITUTE(B1673," ","-"))))</f>
        <v/>
      </c>
    </row>
    <row r="1674" customFormat="false" ht="15" hidden="false" customHeight="true" outlineLevel="0" collapsed="false">
      <c r="A1674" s="68"/>
      <c r="B1674" s="68"/>
      <c r="C1674" s="68"/>
      <c r="D1674" s="68"/>
      <c r="E1674" s="68"/>
      <c r="F1674" s="68"/>
      <c r="G1674" s="68"/>
      <c r="H1674" s="64" t="str">
        <f aca="false">IF(OR(A1674="",B1674=""),"",CONCATENATE("https://matarstund.is/serfaedi?id=",LOWER(SUBSTITUTE(B1674," ","-"))))</f>
        <v/>
      </c>
    </row>
    <row r="1675" customFormat="false" ht="15" hidden="false" customHeight="true" outlineLevel="0" collapsed="false">
      <c r="A1675" s="9"/>
      <c r="B1675" s="9"/>
      <c r="C1675" s="9"/>
      <c r="D1675" s="9"/>
      <c r="E1675" s="9"/>
      <c r="F1675" s="9"/>
      <c r="G1675" s="9"/>
      <c r="H1675" s="64" t="str">
        <f aca="false">IF(OR(A1675="",B1675=""),"",CONCATENATE("https://matarstund.is/serfaedi?id=",LOWER(SUBSTITUTE(B1675," ","-"))))</f>
        <v/>
      </c>
    </row>
    <row r="1676" customFormat="false" ht="15" hidden="false" customHeight="true" outlineLevel="0" collapsed="false">
      <c r="A1676" s="68"/>
      <c r="B1676" s="68"/>
      <c r="C1676" s="68"/>
      <c r="D1676" s="68"/>
      <c r="E1676" s="68"/>
      <c r="F1676" s="68"/>
      <c r="G1676" s="68"/>
      <c r="H1676" s="64" t="str">
        <f aca="false">IF(OR(A1676="",B1676=""),"",CONCATENATE("https://matarstund.is/serfaedi?id=",LOWER(SUBSTITUTE(B1676," ","-"))))</f>
        <v/>
      </c>
    </row>
    <row r="1677" customFormat="false" ht="15" hidden="false" customHeight="true" outlineLevel="0" collapsed="false">
      <c r="A1677" s="9"/>
      <c r="B1677" s="9"/>
      <c r="C1677" s="9"/>
      <c r="D1677" s="9"/>
      <c r="E1677" s="9"/>
      <c r="F1677" s="9"/>
      <c r="G1677" s="9"/>
      <c r="H1677" s="64" t="str">
        <f aca="false">IF(OR(A1677="",B1677=""),"",CONCATENATE("https://matarstund.is/serfaedi?id=",LOWER(SUBSTITUTE(B1677," ","-"))))</f>
        <v/>
      </c>
    </row>
    <row r="1678" customFormat="false" ht="15" hidden="false" customHeight="true" outlineLevel="0" collapsed="false">
      <c r="A1678" s="68"/>
      <c r="B1678" s="68"/>
      <c r="C1678" s="68"/>
      <c r="D1678" s="68"/>
      <c r="E1678" s="68"/>
      <c r="F1678" s="68"/>
      <c r="G1678" s="68"/>
      <c r="H1678" s="64" t="str">
        <f aca="false">IF(OR(A1678="",B1678=""),"",CONCATENATE("https://matarstund.is/serfaedi?id=",LOWER(SUBSTITUTE(B1678," ","-"))))</f>
        <v/>
      </c>
    </row>
    <row r="1679" customFormat="false" ht="15" hidden="false" customHeight="true" outlineLevel="0" collapsed="false">
      <c r="A1679" s="9"/>
      <c r="B1679" s="9"/>
      <c r="C1679" s="9"/>
      <c r="D1679" s="9"/>
      <c r="E1679" s="9"/>
      <c r="F1679" s="9"/>
      <c r="G1679" s="9"/>
      <c r="H1679" s="64" t="str">
        <f aca="false">IF(OR(A1679="",B1679=""),"",CONCATENATE("https://matarstund.is/serfaedi?id=",LOWER(SUBSTITUTE(B1679," ","-"))))</f>
        <v/>
      </c>
    </row>
    <row r="1680" customFormat="false" ht="15" hidden="false" customHeight="true" outlineLevel="0" collapsed="false">
      <c r="A1680" s="68"/>
      <c r="B1680" s="68"/>
      <c r="C1680" s="68"/>
      <c r="D1680" s="68"/>
      <c r="E1680" s="68"/>
      <c r="F1680" s="68"/>
      <c r="G1680" s="68"/>
      <c r="H1680" s="64" t="str">
        <f aca="false">IF(OR(A1680="",B1680=""),"",CONCATENATE("https://matarstund.is/serfaedi?id=",LOWER(SUBSTITUTE(B1680," ","-"))))</f>
        <v/>
      </c>
    </row>
    <row r="1681" customFormat="false" ht="15" hidden="false" customHeight="true" outlineLevel="0" collapsed="false">
      <c r="A1681" s="9"/>
      <c r="B1681" s="9"/>
      <c r="C1681" s="9"/>
      <c r="D1681" s="9"/>
      <c r="E1681" s="9"/>
      <c r="F1681" s="9"/>
      <c r="G1681" s="9"/>
      <c r="H1681" s="64" t="str">
        <f aca="false">IF(OR(A1681="",B1681=""),"",CONCATENATE("https://matarstund.is/serfaedi?id=",LOWER(SUBSTITUTE(B1681," ","-"))))</f>
        <v/>
      </c>
    </row>
    <row r="1682" customFormat="false" ht="15" hidden="false" customHeight="true" outlineLevel="0" collapsed="false">
      <c r="A1682" s="68"/>
      <c r="B1682" s="68"/>
      <c r="C1682" s="68"/>
      <c r="D1682" s="68"/>
      <c r="E1682" s="68"/>
      <c r="F1682" s="68"/>
      <c r="G1682" s="68"/>
      <c r="H1682" s="64" t="str">
        <f aca="false">IF(OR(A1682="",B1682=""),"",CONCATENATE("https://matarstund.is/serfaedi?id=",LOWER(SUBSTITUTE(B1682," ","-"))))</f>
        <v/>
      </c>
    </row>
    <row r="1683" customFormat="false" ht="15" hidden="false" customHeight="true" outlineLevel="0" collapsed="false">
      <c r="A1683" s="9"/>
      <c r="B1683" s="9"/>
      <c r="C1683" s="9"/>
      <c r="D1683" s="9"/>
      <c r="E1683" s="9"/>
      <c r="F1683" s="9"/>
      <c r="G1683" s="9"/>
      <c r="H1683" s="64" t="str">
        <f aca="false">IF(OR(A1683="",B1683=""),"",CONCATENATE("https://matarstund.is/serfaedi?id=",LOWER(SUBSTITUTE(B1683," ","-"))))</f>
        <v/>
      </c>
    </row>
    <row r="1684" customFormat="false" ht="15" hidden="false" customHeight="true" outlineLevel="0" collapsed="false">
      <c r="A1684" s="68"/>
      <c r="B1684" s="68"/>
      <c r="C1684" s="68"/>
      <c r="D1684" s="68"/>
      <c r="E1684" s="68"/>
      <c r="F1684" s="68"/>
      <c r="G1684" s="68"/>
      <c r="H1684" s="64" t="str">
        <f aca="false">IF(OR(A1684="",B1684=""),"",CONCATENATE("https://matarstund.is/serfaedi?id=",LOWER(SUBSTITUTE(B1684," ","-"))))</f>
        <v/>
      </c>
    </row>
    <row r="1685" customFormat="false" ht="15" hidden="false" customHeight="true" outlineLevel="0" collapsed="false">
      <c r="A1685" s="9"/>
      <c r="B1685" s="9"/>
      <c r="C1685" s="9"/>
      <c r="D1685" s="9"/>
      <c r="E1685" s="9"/>
      <c r="F1685" s="9"/>
      <c r="G1685" s="9"/>
      <c r="H1685" s="64" t="str">
        <f aca="false">IF(OR(A1685="",B1685=""),"",CONCATENATE("https://matarstund.is/serfaedi?id=",LOWER(SUBSTITUTE(B1685," ","-"))))</f>
        <v/>
      </c>
    </row>
    <row r="1686" customFormat="false" ht="15" hidden="false" customHeight="true" outlineLevel="0" collapsed="false">
      <c r="A1686" s="68"/>
      <c r="B1686" s="68"/>
      <c r="C1686" s="68"/>
      <c r="D1686" s="68"/>
      <c r="E1686" s="68"/>
      <c r="F1686" s="68"/>
      <c r="G1686" s="68"/>
      <c r="H1686" s="64" t="str">
        <f aca="false">IF(OR(A1686="",B1686=""),"",CONCATENATE("https://matarstund.is/serfaedi?id=",LOWER(SUBSTITUTE(B1686," ","-"))))</f>
        <v/>
      </c>
    </row>
    <row r="1687" customFormat="false" ht="15" hidden="false" customHeight="true" outlineLevel="0" collapsed="false">
      <c r="A1687" s="9"/>
      <c r="B1687" s="9"/>
      <c r="C1687" s="9"/>
      <c r="D1687" s="9"/>
      <c r="E1687" s="9"/>
      <c r="F1687" s="9"/>
      <c r="G1687" s="9"/>
      <c r="H1687" s="64" t="str">
        <f aca="false">IF(OR(A1687="",B1687=""),"",CONCATENATE("https://matarstund.is/serfaedi?id=",LOWER(SUBSTITUTE(B1687," ","-"))))</f>
        <v/>
      </c>
    </row>
    <row r="1688" customFormat="false" ht="15" hidden="false" customHeight="true" outlineLevel="0" collapsed="false">
      <c r="A1688" s="68"/>
      <c r="B1688" s="68"/>
      <c r="C1688" s="68"/>
      <c r="D1688" s="68"/>
      <c r="E1688" s="68"/>
      <c r="F1688" s="68"/>
      <c r="G1688" s="68"/>
      <c r="H1688" s="64" t="str">
        <f aca="false">IF(OR(A1688="",B1688=""),"",CONCATENATE("https://matarstund.is/serfaedi?id=",LOWER(SUBSTITUTE(B1688," ","-"))))</f>
        <v/>
      </c>
    </row>
    <row r="1689" customFormat="false" ht="15" hidden="false" customHeight="true" outlineLevel="0" collapsed="false">
      <c r="A1689" s="9"/>
      <c r="B1689" s="9"/>
      <c r="C1689" s="9"/>
      <c r="D1689" s="9"/>
      <c r="E1689" s="9"/>
      <c r="F1689" s="9"/>
      <c r="G1689" s="9"/>
      <c r="H1689" s="64" t="str">
        <f aca="false">IF(OR(A1689="",B1689=""),"",CONCATENATE("https://matarstund.is/serfaedi?id=",LOWER(SUBSTITUTE(B1689," ","-"))))</f>
        <v/>
      </c>
    </row>
    <row r="1690" customFormat="false" ht="15" hidden="false" customHeight="true" outlineLevel="0" collapsed="false">
      <c r="A1690" s="68"/>
      <c r="B1690" s="68"/>
      <c r="C1690" s="68"/>
      <c r="D1690" s="68"/>
      <c r="E1690" s="68"/>
      <c r="F1690" s="68"/>
      <c r="G1690" s="68"/>
      <c r="H1690" s="64" t="str">
        <f aca="false">IF(OR(A1690="",B1690=""),"",CONCATENATE("https://matarstund.is/serfaedi?id=",LOWER(SUBSTITUTE(B1690," ","-"))))</f>
        <v/>
      </c>
    </row>
    <row r="1691" customFormat="false" ht="15" hidden="false" customHeight="true" outlineLevel="0" collapsed="false">
      <c r="A1691" s="9"/>
      <c r="B1691" s="9"/>
      <c r="C1691" s="9"/>
      <c r="D1691" s="9"/>
      <c r="E1691" s="9"/>
      <c r="F1691" s="9"/>
      <c r="G1691" s="9"/>
      <c r="H1691" s="64" t="str">
        <f aca="false">IF(OR(A1691="",B1691=""),"",CONCATENATE("https://matarstund.is/serfaedi?id=",LOWER(SUBSTITUTE(B1691," ","-"))))</f>
        <v/>
      </c>
    </row>
    <row r="1692" customFormat="false" ht="15" hidden="false" customHeight="true" outlineLevel="0" collapsed="false">
      <c r="A1692" s="68"/>
      <c r="B1692" s="68"/>
      <c r="C1692" s="68"/>
      <c r="D1692" s="68"/>
      <c r="E1692" s="68"/>
      <c r="F1692" s="68"/>
      <c r="G1692" s="68"/>
      <c r="H1692" s="64" t="str">
        <f aca="false">IF(OR(A1692="",B1692=""),"",CONCATENATE("https://matarstund.is/serfaedi?id=",LOWER(SUBSTITUTE(B1692," ","-"))))</f>
        <v/>
      </c>
    </row>
    <row r="1693" customFormat="false" ht="15" hidden="false" customHeight="true" outlineLevel="0" collapsed="false">
      <c r="A1693" s="9"/>
      <c r="B1693" s="9"/>
      <c r="C1693" s="9"/>
      <c r="D1693" s="9"/>
      <c r="E1693" s="9"/>
      <c r="F1693" s="9"/>
      <c r="G1693" s="9"/>
      <c r="H1693" s="64" t="str">
        <f aca="false">IF(OR(A1693="",B1693=""),"",CONCATENATE("https://matarstund.is/serfaedi?id=",LOWER(SUBSTITUTE(B1693," ","-"))))</f>
        <v/>
      </c>
    </row>
    <row r="1694" customFormat="false" ht="15" hidden="false" customHeight="true" outlineLevel="0" collapsed="false">
      <c r="A1694" s="68"/>
      <c r="B1694" s="68"/>
      <c r="C1694" s="68"/>
      <c r="D1694" s="68"/>
      <c r="E1694" s="68"/>
      <c r="F1694" s="68"/>
      <c r="G1694" s="68"/>
      <c r="H1694" s="64" t="str">
        <f aca="false">IF(OR(A1694="",B1694=""),"",CONCATENATE("https://matarstund.is/serfaedi?id=",LOWER(SUBSTITUTE(B1694," ","-"))))</f>
        <v/>
      </c>
    </row>
    <row r="1695" customFormat="false" ht="15" hidden="false" customHeight="true" outlineLevel="0" collapsed="false">
      <c r="A1695" s="9"/>
      <c r="B1695" s="9"/>
      <c r="C1695" s="9"/>
      <c r="D1695" s="9"/>
      <c r="E1695" s="9"/>
      <c r="F1695" s="9"/>
      <c r="G1695" s="9"/>
      <c r="H1695" s="64" t="str">
        <f aca="false">IF(OR(A1695="",B1695=""),"",CONCATENATE("https://matarstund.is/serfaedi?id=",LOWER(SUBSTITUTE(B1695," ","-"))))</f>
        <v/>
      </c>
    </row>
    <row r="1696" customFormat="false" ht="15" hidden="false" customHeight="true" outlineLevel="0" collapsed="false">
      <c r="A1696" s="68"/>
      <c r="B1696" s="68"/>
      <c r="C1696" s="68"/>
      <c r="D1696" s="68"/>
      <c r="E1696" s="68"/>
      <c r="F1696" s="68"/>
      <c r="G1696" s="68"/>
      <c r="H1696" s="64" t="str">
        <f aca="false">IF(OR(A1696="",B1696=""),"",CONCATENATE("https://matarstund.is/serfaedi?id=",LOWER(SUBSTITUTE(B1696," ","-"))))</f>
        <v/>
      </c>
    </row>
    <row r="1697" customFormat="false" ht="15" hidden="false" customHeight="true" outlineLevel="0" collapsed="false">
      <c r="A1697" s="9"/>
      <c r="B1697" s="9"/>
      <c r="C1697" s="9"/>
      <c r="D1697" s="9"/>
      <c r="E1697" s="9"/>
      <c r="F1697" s="9"/>
      <c r="G1697" s="9"/>
      <c r="H1697" s="64" t="str">
        <f aca="false">IF(OR(A1697="",B1697=""),"",CONCATENATE("https://matarstund.is/serfaedi?id=",LOWER(SUBSTITUTE(B1697," ","-"))))</f>
        <v/>
      </c>
    </row>
    <row r="1698" customFormat="false" ht="15" hidden="false" customHeight="true" outlineLevel="0" collapsed="false">
      <c r="A1698" s="68"/>
      <c r="B1698" s="68"/>
      <c r="C1698" s="68"/>
      <c r="D1698" s="68"/>
      <c r="E1698" s="68"/>
      <c r="F1698" s="68"/>
      <c r="G1698" s="68"/>
      <c r="H1698" s="64" t="str">
        <f aca="false">IF(OR(A1698="",B1698=""),"",CONCATENATE("https://matarstund.is/serfaedi?id=",LOWER(SUBSTITUTE(B1698," ","-"))))</f>
        <v/>
      </c>
    </row>
    <row r="1699" customFormat="false" ht="15" hidden="false" customHeight="true" outlineLevel="0" collapsed="false">
      <c r="A1699" s="9"/>
      <c r="B1699" s="9"/>
      <c r="C1699" s="9"/>
      <c r="D1699" s="9"/>
      <c r="E1699" s="9"/>
      <c r="F1699" s="9"/>
      <c r="G1699" s="9"/>
      <c r="H1699" s="64" t="str">
        <f aca="false">IF(OR(A1699="",B1699=""),"",CONCATENATE("https://matarstund.is/serfaedi?id=",LOWER(SUBSTITUTE(B1699," ","-"))))</f>
        <v/>
      </c>
    </row>
    <row r="1700" customFormat="false" ht="15" hidden="false" customHeight="true" outlineLevel="0" collapsed="false">
      <c r="A1700" s="68"/>
      <c r="B1700" s="68"/>
      <c r="C1700" s="68"/>
      <c r="D1700" s="68"/>
      <c r="E1700" s="68"/>
      <c r="F1700" s="68"/>
      <c r="G1700" s="68"/>
      <c r="H1700" s="64" t="str">
        <f aca="false">IF(OR(A1700="",B1700=""),"",CONCATENATE("https://matarstund.is/serfaedi?id=",LOWER(SUBSTITUTE(B1700," ","-"))))</f>
        <v/>
      </c>
    </row>
    <row r="1701" customFormat="false" ht="15" hidden="false" customHeight="true" outlineLevel="0" collapsed="false">
      <c r="A1701" s="9"/>
      <c r="B1701" s="9"/>
      <c r="C1701" s="9"/>
      <c r="D1701" s="9"/>
      <c r="E1701" s="9"/>
      <c r="F1701" s="9"/>
      <c r="G1701" s="9"/>
      <c r="H1701" s="64" t="str">
        <f aca="false">IF(OR(A1701="",B1701=""),"",CONCATENATE("https://matarstund.is/serfaedi?id=",LOWER(SUBSTITUTE(B1701," ","-"))))</f>
        <v/>
      </c>
    </row>
    <row r="1702" customFormat="false" ht="15" hidden="false" customHeight="true" outlineLevel="0" collapsed="false">
      <c r="A1702" s="68"/>
      <c r="B1702" s="68"/>
      <c r="C1702" s="68"/>
      <c r="D1702" s="68"/>
      <c r="E1702" s="68"/>
      <c r="F1702" s="68"/>
      <c r="G1702" s="68"/>
      <c r="H1702" s="64" t="str">
        <f aca="false">IF(OR(A1702="",B1702=""),"",CONCATENATE("https://matarstund.is/serfaedi?id=",LOWER(SUBSTITUTE(B1702," ","-"))))</f>
        <v/>
      </c>
    </row>
    <row r="1703" customFormat="false" ht="15" hidden="false" customHeight="true" outlineLevel="0" collapsed="false">
      <c r="A1703" s="9"/>
      <c r="B1703" s="9"/>
      <c r="C1703" s="9"/>
      <c r="D1703" s="9"/>
      <c r="E1703" s="9"/>
      <c r="F1703" s="9"/>
      <c r="G1703" s="9"/>
      <c r="H1703" s="64" t="str">
        <f aca="false">IF(OR(A1703="",B1703=""),"",CONCATENATE("https://matarstund.is/serfaedi?id=",LOWER(SUBSTITUTE(B1703," ","-"))))</f>
        <v/>
      </c>
    </row>
    <row r="1704" customFormat="false" ht="15" hidden="false" customHeight="true" outlineLevel="0" collapsed="false">
      <c r="A1704" s="68"/>
      <c r="B1704" s="68"/>
      <c r="C1704" s="68"/>
      <c r="D1704" s="68"/>
      <c r="E1704" s="68"/>
      <c r="F1704" s="68"/>
      <c r="G1704" s="68"/>
      <c r="H1704" s="64" t="str">
        <f aca="false">IF(OR(A1704="",B1704=""),"",CONCATENATE("https://matarstund.is/serfaedi?id=",LOWER(SUBSTITUTE(B1704," ","-"))))</f>
        <v/>
      </c>
    </row>
    <row r="1705" customFormat="false" ht="15" hidden="false" customHeight="true" outlineLevel="0" collapsed="false">
      <c r="A1705" s="9"/>
      <c r="B1705" s="9"/>
      <c r="C1705" s="9"/>
      <c r="D1705" s="9"/>
      <c r="E1705" s="9"/>
      <c r="F1705" s="9"/>
      <c r="G1705" s="9"/>
      <c r="H1705" s="64" t="str">
        <f aca="false">IF(OR(A1705="",B1705=""),"",CONCATENATE("https://matarstund.is/serfaedi?id=",LOWER(SUBSTITUTE(B1705," ","-"))))</f>
        <v/>
      </c>
    </row>
    <row r="1706" customFormat="false" ht="15" hidden="false" customHeight="true" outlineLevel="0" collapsed="false">
      <c r="A1706" s="68"/>
      <c r="B1706" s="68"/>
      <c r="C1706" s="68"/>
      <c r="D1706" s="68"/>
      <c r="E1706" s="68"/>
      <c r="F1706" s="68"/>
      <c r="G1706" s="68"/>
      <c r="H1706" s="64" t="str">
        <f aca="false">IF(OR(A1706="",B1706=""),"",CONCATENATE("https://matarstund.is/serfaedi?id=",LOWER(SUBSTITUTE(B1706," ","-"))))</f>
        <v/>
      </c>
    </row>
    <row r="1707" customFormat="false" ht="15" hidden="false" customHeight="true" outlineLevel="0" collapsed="false">
      <c r="A1707" s="9"/>
      <c r="B1707" s="9"/>
      <c r="C1707" s="9"/>
      <c r="D1707" s="9"/>
      <c r="E1707" s="9"/>
      <c r="F1707" s="9"/>
      <c r="G1707" s="9"/>
      <c r="H1707" s="64" t="str">
        <f aca="false">IF(OR(A1707="",B1707=""),"",CONCATENATE("https://matarstund.is/serfaedi?id=",LOWER(SUBSTITUTE(B1707," ","-"))))</f>
        <v/>
      </c>
    </row>
    <row r="1708" customFormat="false" ht="15" hidden="false" customHeight="true" outlineLevel="0" collapsed="false">
      <c r="A1708" s="68"/>
      <c r="B1708" s="68"/>
      <c r="C1708" s="68"/>
      <c r="D1708" s="68"/>
      <c r="E1708" s="68"/>
      <c r="F1708" s="68"/>
      <c r="G1708" s="68"/>
      <c r="H1708" s="64" t="str">
        <f aca="false">IF(OR(A1708="",B1708=""),"",CONCATENATE("https://matarstund.is/serfaedi?id=",LOWER(SUBSTITUTE(B1708," ","-"))))</f>
        <v/>
      </c>
    </row>
    <row r="1709" customFormat="false" ht="15" hidden="false" customHeight="true" outlineLevel="0" collapsed="false">
      <c r="A1709" s="9"/>
      <c r="B1709" s="9"/>
      <c r="C1709" s="9"/>
      <c r="D1709" s="9"/>
      <c r="E1709" s="9"/>
      <c r="F1709" s="9"/>
      <c r="G1709" s="9"/>
      <c r="H1709" s="64" t="str">
        <f aca="false">IF(OR(A1709="",B1709=""),"",CONCATENATE("https://matarstund.is/serfaedi?id=",LOWER(SUBSTITUTE(B1709," ","-"))))</f>
        <v/>
      </c>
    </row>
    <row r="1710" customFormat="false" ht="15" hidden="false" customHeight="true" outlineLevel="0" collapsed="false">
      <c r="A1710" s="68"/>
      <c r="B1710" s="68"/>
      <c r="C1710" s="68"/>
      <c r="D1710" s="68"/>
      <c r="E1710" s="68"/>
      <c r="F1710" s="68"/>
      <c r="G1710" s="68"/>
      <c r="H1710" s="64" t="str">
        <f aca="false">IF(OR(A1710="",B1710=""),"",CONCATENATE("https://matarstund.is/serfaedi?id=",LOWER(SUBSTITUTE(B1710," ","-"))))</f>
        <v/>
      </c>
    </row>
    <row r="1711" customFormat="false" ht="15" hidden="false" customHeight="true" outlineLevel="0" collapsed="false">
      <c r="A1711" s="9"/>
      <c r="B1711" s="9"/>
      <c r="C1711" s="9"/>
      <c r="D1711" s="9"/>
      <c r="E1711" s="9"/>
      <c r="F1711" s="9"/>
      <c r="G1711" s="9"/>
      <c r="H1711" s="64" t="str">
        <f aca="false">IF(OR(A1711="",B1711=""),"",CONCATENATE("https://matarstund.is/serfaedi?id=",LOWER(SUBSTITUTE(B1711," ","-"))))</f>
        <v/>
      </c>
    </row>
    <row r="1712" customFormat="false" ht="15" hidden="false" customHeight="true" outlineLevel="0" collapsed="false">
      <c r="A1712" s="68"/>
      <c r="B1712" s="68"/>
      <c r="C1712" s="68"/>
      <c r="D1712" s="68"/>
      <c r="E1712" s="68"/>
      <c r="F1712" s="68"/>
      <c r="G1712" s="68"/>
      <c r="H1712" s="64" t="str">
        <f aca="false">IF(OR(A1712="",B1712=""),"",CONCATENATE("https://matarstund.is/serfaedi?id=",LOWER(SUBSTITUTE(B1712," ","-"))))</f>
        <v/>
      </c>
    </row>
    <row r="1713" customFormat="false" ht="15" hidden="false" customHeight="true" outlineLevel="0" collapsed="false">
      <c r="A1713" s="9"/>
      <c r="B1713" s="9"/>
      <c r="C1713" s="9"/>
      <c r="D1713" s="9"/>
      <c r="E1713" s="9"/>
      <c r="F1713" s="9"/>
      <c r="G1713" s="9"/>
      <c r="H1713" s="64" t="str">
        <f aca="false">IF(OR(A1713="",B1713=""),"",CONCATENATE("https://matarstund.is/serfaedi?id=",LOWER(SUBSTITUTE(B1713," ","-"))))</f>
        <v/>
      </c>
    </row>
    <row r="1714" customFormat="false" ht="15" hidden="false" customHeight="true" outlineLevel="0" collapsed="false">
      <c r="A1714" s="68"/>
      <c r="B1714" s="68"/>
      <c r="C1714" s="68"/>
      <c r="D1714" s="68"/>
      <c r="E1714" s="68"/>
      <c r="F1714" s="68"/>
      <c r="G1714" s="68"/>
      <c r="H1714" s="64" t="str">
        <f aca="false">IF(OR(A1714="",B1714=""),"",CONCATENATE("https://matarstund.is/serfaedi?id=",LOWER(SUBSTITUTE(B1714," ","-"))))</f>
        <v/>
      </c>
    </row>
    <row r="1715" customFormat="false" ht="15" hidden="false" customHeight="true" outlineLevel="0" collapsed="false">
      <c r="A1715" s="9"/>
      <c r="B1715" s="9"/>
      <c r="C1715" s="9"/>
      <c r="D1715" s="9"/>
      <c r="E1715" s="9"/>
      <c r="F1715" s="9"/>
      <c r="G1715" s="9"/>
      <c r="H1715" s="64" t="str">
        <f aca="false">IF(OR(A1715="",B1715=""),"",CONCATENATE("https://matarstund.is/serfaedi?id=",LOWER(SUBSTITUTE(B1715," ","-"))))</f>
        <v/>
      </c>
    </row>
    <row r="1716" customFormat="false" ht="15" hidden="false" customHeight="true" outlineLevel="0" collapsed="false">
      <c r="A1716" s="68"/>
      <c r="B1716" s="68"/>
      <c r="C1716" s="68"/>
      <c r="D1716" s="68"/>
      <c r="E1716" s="68"/>
      <c r="F1716" s="68"/>
      <c r="G1716" s="68"/>
      <c r="H1716" s="64" t="str">
        <f aca="false">IF(OR(A1716="",B1716=""),"",CONCATENATE("https://matarstund.is/serfaedi?id=",LOWER(SUBSTITUTE(B1716," ","-"))))</f>
        <v/>
      </c>
    </row>
    <row r="1717" customFormat="false" ht="15" hidden="false" customHeight="true" outlineLevel="0" collapsed="false">
      <c r="A1717" s="9"/>
      <c r="B1717" s="9"/>
      <c r="C1717" s="9"/>
      <c r="D1717" s="9"/>
      <c r="E1717" s="9"/>
      <c r="F1717" s="9"/>
      <c r="G1717" s="9"/>
      <c r="H1717" s="64" t="str">
        <f aca="false">IF(OR(A1717="",B1717=""),"",CONCATENATE("https://matarstund.is/serfaedi?id=",LOWER(SUBSTITUTE(B1717," ","-"))))</f>
        <v/>
      </c>
    </row>
    <row r="1718" customFormat="false" ht="15" hidden="false" customHeight="true" outlineLevel="0" collapsed="false">
      <c r="A1718" s="68"/>
      <c r="B1718" s="68"/>
      <c r="C1718" s="68"/>
      <c r="D1718" s="68"/>
      <c r="E1718" s="68"/>
      <c r="F1718" s="68"/>
      <c r="G1718" s="68"/>
      <c r="H1718" s="64" t="str">
        <f aca="false">IF(OR(A1718="",B1718=""),"",CONCATENATE("https://matarstund.is/serfaedi?id=",LOWER(SUBSTITUTE(B1718," ","-"))))</f>
        <v/>
      </c>
    </row>
    <row r="1719" customFormat="false" ht="15" hidden="false" customHeight="true" outlineLevel="0" collapsed="false">
      <c r="A1719" s="9"/>
      <c r="B1719" s="9"/>
      <c r="C1719" s="9"/>
      <c r="D1719" s="9"/>
      <c r="E1719" s="9"/>
      <c r="F1719" s="9"/>
      <c r="G1719" s="9"/>
      <c r="H1719" s="64" t="str">
        <f aca="false">IF(OR(A1719="",B1719=""),"",CONCATENATE("https://matarstund.is/serfaedi?id=",LOWER(SUBSTITUTE(B1719," ","-"))))</f>
        <v/>
      </c>
    </row>
    <row r="1720" customFormat="false" ht="15" hidden="false" customHeight="true" outlineLevel="0" collapsed="false">
      <c r="A1720" s="68"/>
      <c r="B1720" s="68"/>
      <c r="C1720" s="68"/>
      <c r="D1720" s="68"/>
      <c r="E1720" s="68"/>
      <c r="F1720" s="68"/>
      <c r="G1720" s="68"/>
      <c r="H1720" s="64" t="str">
        <f aca="false">IF(OR(A1720="",B1720=""),"",CONCATENATE("https://matarstund.is/serfaedi?id=",LOWER(SUBSTITUTE(B1720," ","-"))))</f>
        <v/>
      </c>
    </row>
    <row r="1721" customFormat="false" ht="15" hidden="false" customHeight="true" outlineLevel="0" collapsed="false">
      <c r="A1721" s="9"/>
      <c r="B1721" s="9"/>
      <c r="C1721" s="9"/>
      <c r="D1721" s="9"/>
      <c r="E1721" s="9"/>
      <c r="F1721" s="9"/>
      <c r="G1721" s="9"/>
      <c r="H1721" s="64" t="str">
        <f aca="false">IF(OR(A1721="",B1721=""),"",CONCATENATE("https://matarstund.is/serfaedi?id=",LOWER(SUBSTITUTE(B1721," ","-"))))</f>
        <v/>
      </c>
    </row>
    <row r="1722" customFormat="false" ht="15" hidden="false" customHeight="true" outlineLevel="0" collapsed="false">
      <c r="A1722" s="68"/>
      <c r="B1722" s="68"/>
      <c r="C1722" s="68"/>
      <c r="D1722" s="68"/>
      <c r="E1722" s="68"/>
      <c r="F1722" s="68"/>
      <c r="G1722" s="68"/>
      <c r="H1722" s="64" t="str">
        <f aca="false">IF(OR(A1722="",B1722=""),"",CONCATENATE("https://matarstund.is/serfaedi?id=",LOWER(SUBSTITUTE(B1722," ","-"))))</f>
        <v/>
      </c>
    </row>
    <row r="1723" customFormat="false" ht="15" hidden="false" customHeight="true" outlineLevel="0" collapsed="false">
      <c r="A1723" s="9"/>
      <c r="B1723" s="9"/>
      <c r="C1723" s="9"/>
      <c r="D1723" s="9"/>
      <c r="E1723" s="9"/>
      <c r="F1723" s="9"/>
      <c r="G1723" s="9"/>
      <c r="H1723" s="64" t="str">
        <f aca="false">IF(OR(A1723="",B1723=""),"",CONCATENATE("https://matarstund.is/serfaedi?id=",LOWER(SUBSTITUTE(B1723," ","-"))))</f>
        <v/>
      </c>
    </row>
    <row r="1724" customFormat="false" ht="15" hidden="false" customHeight="true" outlineLevel="0" collapsed="false">
      <c r="A1724" s="68"/>
      <c r="B1724" s="68"/>
      <c r="C1724" s="68"/>
      <c r="D1724" s="68"/>
      <c r="E1724" s="68"/>
      <c r="F1724" s="68"/>
      <c r="G1724" s="68"/>
      <c r="H1724" s="64" t="str">
        <f aca="false">IF(OR(A1724="",B1724=""),"",CONCATENATE("https://matarstund.is/serfaedi?id=",LOWER(SUBSTITUTE(B1724," ","-"))))</f>
        <v/>
      </c>
    </row>
    <row r="1725" customFormat="false" ht="15" hidden="false" customHeight="true" outlineLevel="0" collapsed="false">
      <c r="A1725" s="9"/>
      <c r="B1725" s="9"/>
      <c r="C1725" s="9"/>
      <c r="D1725" s="9"/>
      <c r="E1725" s="9"/>
      <c r="F1725" s="9"/>
      <c r="G1725" s="9"/>
      <c r="H1725" s="64" t="str">
        <f aca="false">IF(OR(A1725="",B1725=""),"",CONCATENATE("https://matarstund.is/serfaedi?id=",LOWER(SUBSTITUTE(B1725," ","-"))))</f>
        <v/>
      </c>
    </row>
    <row r="1726" customFormat="false" ht="15" hidden="false" customHeight="true" outlineLevel="0" collapsed="false">
      <c r="A1726" s="68"/>
      <c r="B1726" s="68"/>
      <c r="C1726" s="68"/>
      <c r="D1726" s="68"/>
      <c r="E1726" s="68"/>
      <c r="F1726" s="68"/>
      <c r="G1726" s="68"/>
      <c r="H1726" s="64" t="str">
        <f aca="false">IF(OR(A1726="",B1726=""),"",CONCATENATE("https://matarstund.is/serfaedi?id=",LOWER(SUBSTITUTE(B1726," ","-"))))</f>
        <v/>
      </c>
    </row>
    <row r="1727" customFormat="false" ht="15" hidden="false" customHeight="true" outlineLevel="0" collapsed="false">
      <c r="A1727" s="9"/>
      <c r="B1727" s="9"/>
      <c r="C1727" s="9"/>
      <c r="D1727" s="9"/>
      <c r="E1727" s="9"/>
      <c r="F1727" s="9"/>
      <c r="G1727" s="9"/>
      <c r="H1727" s="64" t="str">
        <f aca="false">IF(OR(A1727="",B1727=""),"",CONCATENATE("https://matarstund.is/serfaedi?id=",LOWER(SUBSTITUTE(B1727," ","-"))))</f>
        <v/>
      </c>
    </row>
    <row r="1728" customFormat="false" ht="15" hidden="false" customHeight="true" outlineLevel="0" collapsed="false">
      <c r="A1728" s="68"/>
      <c r="B1728" s="68"/>
      <c r="C1728" s="68"/>
      <c r="D1728" s="68"/>
      <c r="E1728" s="68"/>
      <c r="F1728" s="68"/>
      <c r="G1728" s="68"/>
      <c r="H1728" s="64" t="str">
        <f aca="false">IF(OR(A1728="",B1728=""),"",CONCATENATE("https://matarstund.is/serfaedi?id=",LOWER(SUBSTITUTE(B1728," ","-"))))</f>
        <v/>
      </c>
    </row>
    <row r="1729" customFormat="false" ht="15" hidden="false" customHeight="true" outlineLevel="0" collapsed="false">
      <c r="A1729" s="9"/>
      <c r="B1729" s="9"/>
      <c r="C1729" s="9"/>
      <c r="D1729" s="9"/>
      <c r="E1729" s="9"/>
      <c r="F1729" s="9"/>
      <c r="G1729" s="9"/>
      <c r="H1729" s="64" t="str">
        <f aca="false">IF(OR(A1729="",B1729=""),"",CONCATENATE("https://matarstund.is/serfaedi?id=",LOWER(SUBSTITUTE(B1729," ","-"))))</f>
        <v/>
      </c>
    </row>
    <row r="1730" customFormat="false" ht="15" hidden="false" customHeight="true" outlineLevel="0" collapsed="false">
      <c r="A1730" s="68"/>
      <c r="B1730" s="68"/>
      <c r="C1730" s="68"/>
      <c r="D1730" s="68"/>
      <c r="E1730" s="68"/>
      <c r="F1730" s="68"/>
      <c r="G1730" s="68"/>
      <c r="H1730" s="64" t="str">
        <f aca="false">IF(OR(A1730="",B1730=""),"",CONCATENATE("https://matarstund.is/serfaedi?id=",LOWER(SUBSTITUTE(B1730," ","-"))))</f>
        <v/>
      </c>
    </row>
    <row r="1731" customFormat="false" ht="15" hidden="false" customHeight="true" outlineLevel="0" collapsed="false">
      <c r="A1731" s="9"/>
      <c r="B1731" s="9"/>
      <c r="C1731" s="9"/>
      <c r="D1731" s="9"/>
      <c r="E1731" s="9"/>
      <c r="F1731" s="9"/>
      <c r="G1731" s="9"/>
      <c r="H1731" s="64" t="str">
        <f aca="false">IF(OR(A1731="",B1731=""),"",CONCATENATE("https://matarstund.is/serfaedi?id=",LOWER(SUBSTITUTE(B1731," ","-"))))</f>
        <v/>
      </c>
    </row>
    <row r="1732" customFormat="false" ht="15" hidden="false" customHeight="true" outlineLevel="0" collapsed="false">
      <c r="A1732" s="68"/>
      <c r="B1732" s="68"/>
      <c r="C1732" s="68"/>
      <c r="D1732" s="68"/>
      <c r="E1732" s="68"/>
      <c r="F1732" s="68"/>
      <c r="G1732" s="68"/>
      <c r="H1732" s="64" t="str">
        <f aca="false">IF(OR(A1732="",B1732=""),"",CONCATENATE("https://matarstund.is/serfaedi?id=",LOWER(SUBSTITUTE(B1732," ","-"))))</f>
        <v/>
      </c>
    </row>
    <row r="1733" customFormat="false" ht="15" hidden="false" customHeight="true" outlineLevel="0" collapsed="false">
      <c r="A1733" s="9"/>
      <c r="B1733" s="9"/>
      <c r="C1733" s="9"/>
      <c r="D1733" s="9"/>
      <c r="E1733" s="9"/>
      <c r="F1733" s="9"/>
      <c r="G1733" s="9"/>
      <c r="H1733" s="64" t="str">
        <f aca="false">IF(OR(A1733="",B1733=""),"",CONCATENATE("https://matarstund.is/serfaedi?id=",LOWER(SUBSTITUTE(B1733," ","-"))))</f>
        <v/>
      </c>
    </row>
    <row r="1734" customFormat="false" ht="15" hidden="false" customHeight="true" outlineLevel="0" collapsed="false">
      <c r="A1734" s="68"/>
      <c r="B1734" s="68"/>
      <c r="C1734" s="68"/>
      <c r="D1734" s="68"/>
      <c r="E1734" s="68"/>
      <c r="F1734" s="68"/>
      <c r="G1734" s="68"/>
      <c r="H1734" s="64" t="str">
        <f aca="false">IF(OR(A1734="",B1734=""),"",CONCATENATE("https://matarstund.is/serfaedi?id=",LOWER(SUBSTITUTE(B1734," ","-"))))</f>
        <v/>
      </c>
    </row>
    <row r="1735" customFormat="false" ht="15" hidden="false" customHeight="true" outlineLevel="0" collapsed="false">
      <c r="A1735" s="9"/>
      <c r="B1735" s="9"/>
      <c r="C1735" s="9"/>
      <c r="D1735" s="9"/>
      <c r="E1735" s="9"/>
      <c r="F1735" s="9"/>
      <c r="G1735" s="9"/>
      <c r="H1735" s="64" t="str">
        <f aca="false">IF(OR(A1735="",B1735=""),"",CONCATENATE("https://matarstund.is/serfaedi?id=",LOWER(SUBSTITUTE(B1735," ","-"))))</f>
        <v/>
      </c>
    </row>
    <row r="1736" customFormat="false" ht="15" hidden="false" customHeight="true" outlineLevel="0" collapsed="false">
      <c r="A1736" s="68"/>
      <c r="B1736" s="68"/>
      <c r="C1736" s="68"/>
      <c r="D1736" s="68"/>
      <c r="E1736" s="68"/>
      <c r="F1736" s="68"/>
      <c r="G1736" s="68"/>
      <c r="H1736" s="64" t="str">
        <f aca="false">IF(OR(A1736="",B1736=""),"",CONCATENATE("https://matarstund.is/serfaedi?id=",LOWER(SUBSTITUTE(B1736," ","-"))))</f>
        <v/>
      </c>
    </row>
    <row r="1737" customFormat="false" ht="15" hidden="false" customHeight="true" outlineLevel="0" collapsed="false">
      <c r="A1737" s="9"/>
      <c r="B1737" s="9"/>
      <c r="C1737" s="9"/>
      <c r="D1737" s="9"/>
      <c r="E1737" s="9"/>
      <c r="F1737" s="9"/>
      <c r="G1737" s="9"/>
      <c r="H1737" s="64" t="str">
        <f aca="false">IF(OR(A1737="",B1737=""),"",CONCATENATE("https://matarstund.is/serfaedi?id=",LOWER(SUBSTITUTE(B1737," ","-"))))</f>
        <v/>
      </c>
    </row>
    <row r="1738" customFormat="false" ht="15" hidden="false" customHeight="true" outlineLevel="0" collapsed="false">
      <c r="A1738" s="68"/>
      <c r="B1738" s="68"/>
      <c r="C1738" s="68"/>
      <c r="D1738" s="68"/>
      <c r="E1738" s="68"/>
      <c r="F1738" s="68"/>
      <c r="G1738" s="68"/>
      <c r="H1738" s="64" t="str">
        <f aca="false">IF(OR(A1738="",B1738=""),"",CONCATENATE("https://matarstund.is/serfaedi?id=",LOWER(SUBSTITUTE(B1738," ","-"))))</f>
        <v/>
      </c>
    </row>
    <row r="1739" customFormat="false" ht="15" hidden="false" customHeight="true" outlineLevel="0" collapsed="false">
      <c r="A1739" s="9"/>
      <c r="B1739" s="9"/>
      <c r="C1739" s="9"/>
      <c r="D1739" s="9"/>
      <c r="E1739" s="9"/>
      <c r="F1739" s="9"/>
      <c r="G1739" s="9"/>
      <c r="H1739" s="64" t="str">
        <f aca="false">IF(OR(A1739="",B1739=""),"",CONCATENATE("https://matarstund.is/serfaedi?id=",LOWER(SUBSTITUTE(B1739," ","-"))))</f>
        <v/>
      </c>
    </row>
    <row r="1740" customFormat="false" ht="15" hidden="false" customHeight="true" outlineLevel="0" collapsed="false">
      <c r="A1740" s="68"/>
      <c r="B1740" s="68"/>
      <c r="C1740" s="68"/>
      <c r="D1740" s="68"/>
      <c r="E1740" s="68"/>
      <c r="F1740" s="68"/>
      <c r="G1740" s="68"/>
      <c r="H1740" s="64" t="str">
        <f aca="false">IF(OR(A1740="",B1740=""),"",CONCATENATE("https://matarstund.is/serfaedi?id=",LOWER(SUBSTITUTE(B1740," ","-"))))</f>
        <v/>
      </c>
    </row>
    <row r="1741" customFormat="false" ht="15" hidden="false" customHeight="true" outlineLevel="0" collapsed="false">
      <c r="A1741" s="9"/>
      <c r="B1741" s="9"/>
      <c r="C1741" s="9"/>
      <c r="D1741" s="9"/>
      <c r="E1741" s="9"/>
      <c r="F1741" s="9"/>
      <c r="G1741" s="9"/>
      <c r="H1741" s="64" t="str">
        <f aca="false">IF(OR(A1741="",B1741=""),"",CONCATENATE("https://matarstund.is/serfaedi?id=",LOWER(SUBSTITUTE(B1741," ","-"))))</f>
        <v/>
      </c>
    </row>
    <row r="1742" customFormat="false" ht="15" hidden="false" customHeight="true" outlineLevel="0" collapsed="false">
      <c r="A1742" s="68"/>
      <c r="B1742" s="68"/>
      <c r="C1742" s="68"/>
      <c r="D1742" s="68"/>
      <c r="E1742" s="68"/>
      <c r="F1742" s="68"/>
      <c r="G1742" s="68"/>
      <c r="H1742" s="64" t="str">
        <f aca="false">IF(OR(A1742="",B1742=""),"",CONCATENATE("https://matarstund.is/serfaedi?id=",LOWER(SUBSTITUTE(B1742," ","-"))))</f>
        <v/>
      </c>
    </row>
    <row r="1743" customFormat="false" ht="15" hidden="false" customHeight="true" outlineLevel="0" collapsed="false">
      <c r="A1743" s="9"/>
      <c r="B1743" s="9"/>
      <c r="C1743" s="9"/>
      <c r="D1743" s="9"/>
      <c r="E1743" s="9"/>
      <c r="F1743" s="9"/>
      <c r="G1743" s="9"/>
      <c r="H1743" s="64" t="str">
        <f aca="false">IF(OR(A1743="",B1743=""),"",CONCATENATE("https://matarstund.is/serfaedi?id=",LOWER(SUBSTITUTE(B1743," ","-"))))</f>
        <v/>
      </c>
    </row>
    <row r="1744" customFormat="false" ht="15" hidden="false" customHeight="true" outlineLevel="0" collapsed="false">
      <c r="A1744" s="68"/>
      <c r="B1744" s="68"/>
      <c r="C1744" s="68"/>
      <c r="D1744" s="68"/>
      <c r="E1744" s="68"/>
      <c r="F1744" s="68"/>
      <c r="G1744" s="68"/>
      <c r="H1744" s="64" t="str">
        <f aca="false">IF(OR(A1744="",B1744=""),"",CONCATENATE("https://matarstund.is/serfaedi?id=",LOWER(SUBSTITUTE(B1744," ","-"))))</f>
        <v/>
      </c>
    </row>
    <row r="1745" customFormat="false" ht="15" hidden="false" customHeight="true" outlineLevel="0" collapsed="false">
      <c r="A1745" s="9"/>
      <c r="B1745" s="9"/>
      <c r="C1745" s="9"/>
      <c r="D1745" s="9"/>
      <c r="E1745" s="9"/>
      <c r="F1745" s="9"/>
      <c r="G1745" s="9"/>
      <c r="H1745" s="64" t="str">
        <f aca="false">IF(OR(A1745="",B1745=""),"",CONCATENATE("https://matarstund.is/serfaedi?id=",LOWER(SUBSTITUTE(B1745," ","-"))))</f>
        <v/>
      </c>
    </row>
    <row r="1746" customFormat="false" ht="15" hidden="false" customHeight="true" outlineLevel="0" collapsed="false">
      <c r="A1746" s="68"/>
      <c r="B1746" s="68"/>
      <c r="C1746" s="68"/>
      <c r="D1746" s="68"/>
      <c r="E1746" s="68"/>
      <c r="F1746" s="68"/>
      <c r="G1746" s="68"/>
      <c r="H1746" s="64" t="str">
        <f aca="false">IF(OR(A1746="",B1746=""),"",CONCATENATE("https://matarstund.is/serfaedi?id=",LOWER(SUBSTITUTE(B1746," ","-"))))</f>
        <v/>
      </c>
    </row>
    <row r="1747" customFormat="false" ht="15" hidden="false" customHeight="true" outlineLevel="0" collapsed="false">
      <c r="A1747" s="9"/>
      <c r="B1747" s="9"/>
      <c r="C1747" s="9"/>
      <c r="D1747" s="9"/>
      <c r="E1747" s="9"/>
      <c r="F1747" s="9"/>
      <c r="G1747" s="9"/>
      <c r="H1747" s="64" t="str">
        <f aca="false">IF(OR(A1747="",B1747=""),"",CONCATENATE("https://matarstund.is/serfaedi?id=",LOWER(SUBSTITUTE(B1747," ","-"))))</f>
        <v/>
      </c>
    </row>
    <row r="1748" customFormat="false" ht="15" hidden="false" customHeight="true" outlineLevel="0" collapsed="false">
      <c r="A1748" s="68"/>
      <c r="B1748" s="68"/>
      <c r="C1748" s="68"/>
      <c r="D1748" s="68"/>
      <c r="E1748" s="68"/>
      <c r="F1748" s="68"/>
      <c r="G1748" s="68"/>
      <c r="H1748" s="64" t="str">
        <f aca="false">IF(OR(A1748="",B1748=""),"",CONCATENATE("https://matarstund.is/serfaedi?id=",LOWER(SUBSTITUTE(B1748," ","-"))))</f>
        <v/>
      </c>
    </row>
    <row r="1749" customFormat="false" ht="15" hidden="false" customHeight="true" outlineLevel="0" collapsed="false">
      <c r="A1749" s="9"/>
      <c r="B1749" s="9"/>
      <c r="C1749" s="9"/>
      <c r="D1749" s="9"/>
      <c r="E1749" s="9"/>
      <c r="F1749" s="9"/>
      <c r="G1749" s="9"/>
      <c r="H1749" s="64" t="str">
        <f aca="false">IF(OR(A1749="",B1749=""),"",CONCATENATE("https://matarstund.is/serfaedi?id=",LOWER(SUBSTITUTE(B1749," ","-"))))</f>
        <v/>
      </c>
    </row>
    <row r="1750" customFormat="false" ht="15" hidden="false" customHeight="true" outlineLevel="0" collapsed="false">
      <c r="A1750" s="68"/>
      <c r="B1750" s="68"/>
      <c r="C1750" s="68"/>
      <c r="D1750" s="68"/>
      <c r="E1750" s="68"/>
      <c r="F1750" s="68"/>
      <c r="G1750" s="68"/>
      <c r="H1750" s="64" t="str">
        <f aca="false">IF(OR(A1750="",B1750=""),"",CONCATENATE("https://matarstund.is/serfaedi?id=",LOWER(SUBSTITUTE(B1750," ","-"))))</f>
        <v/>
      </c>
    </row>
    <row r="1751" customFormat="false" ht="15" hidden="false" customHeight="true" outlineLevel="0" collapsed="false">
      <c r="A1751" s="9"/>
      <c r="B1751" s="9"/>
      <c r="C1751" s="9"/>
      <c r="D1751" s="9"/>
      <c r="E1751" s="9"/>
      <c r="F1751" s="9"/>
      <c r="G1751" s="9"/>
      <c r="H1751" s="64" t="str">
        <f aca="false">IF(OR(A1751="",B1751=""),"",CONCATENATE("https://matarstund.is/serfaedi?id=",LOWER(SUBSTITUTE(B1751," ","-"))))</f>
        <v/>
      </c>
    </row>
    <row r="1752" customFormat="false" ht="15" hidden="false" customHeight="true" outlineLevel="0" collapsed="false">
      <c r="A1752" s="68"/>
      <c r="B1752" s="68"/>
      <c r="C1752" s="68"/>
      <c r="D1752" s="68"/>
      <c r="E1752" s="68"/>
      <c r="F1752" s="68"/>
      <c r="G1752" s="68"/>
      <c r="H1752" s="64" t="str">
        <f aca="false">IF(OR(A1752="",B1752=""),"",CONCATENATE("https://matarstund.is/serfaedi?id=",LOWER(SUBSTITUTE(B1752," ","-"))))</f>
        <v/>
      </c>
    </row>
    <row r="1753" customFormat="false" ht="15" hidden="false" customHeight="true" outlineLevel="0" collapsed="false">
      <c r="A1753" s="9"/>
      <c r="B1753" s="9"/>
      <c r="C1753" s="9"/>
      <c r="D1753" s="9"/>
      <c r="E1753" s="9"/>
      <c r="F1753" s="9"/>
      <c r="G1753" s="9"/>
      <c r="H1753" s="64" t="str">
        <f aca="false">IF(OR(A1753="",B1753=""),"",CONCATENATE("https://matarstund.is/serfaedi?id=",LOWER(SUBSTITUTE(B1753," ","-"))))</f>
        <v/>
      </c>
    </row>
    <row r="1754" customFormat="false" ht="15" hidden="false" customHeight="true" outlineLevel="0" collapsed="false">
      <c r="A1754" s="68"/>
      <c r="B1754" s="68"/>
      <c r="C1754" s="68"/>
      <c r="D1754" s="68"/>
      <c r="E1754" s="68"/>
      <c r="F1754" s="68"/>
      <c r="G1754" s="68"/>
      <c r="H1754" s="64" t="str">
        <f aca="false">IF(OR(A1754="",B1754=""),"",CONCATENATE("https://matarstund.is/serfaedi?id=",LOWER(SUBSTITUTE(B1754," ","-"))))</f>
        <v/>
      </c>
    </row>
    <row r="1755" customFormat="false" ht="15" hidden="false" customHeight="true" outlineLevel="0" collapsed="false">
      <c r="A1755" s="9"/>
      <c r="B1755" s="9"/>
      <c r="C1755" s="9"/>
      <c r="D1755" s="9"/>
      <c r="E1755" s="9"/>
      <c r="F1755" s="9"/>
      <c r="G1755" s="9"/>
      <c r="H1755" s="64" t="str">
        <f aca="false">IF(OR(A1755="",B1755=""),"",CONCATENATE("https://matarstund.is/serfaedi?id=",LOWER(SUBSTITUTE(B1755," ","-"))))</f>
        <v/>
      </c>
    </row>
    <row r="1756" customFormat="false" ht="15" hidden="false" customHeight="true" outlineLevel="0" collapsed="false">
      <c r="A1756" s="68"/>
      <c r="B1756" s="68"/>
      <c r="C1756" s="68"/>
      <c r="D1756" s="68"/>
      <c r="E1756" s="68"/>
      <c r="F1756" s="68"/>
      <c r="G1756" s="68"/>
      <c r="H1756" s="64" t="str">
        <f aca="false">IF(OR(A1756="",B1756=""),"",CONCATENATE("https://matarstund.is/serfaedi?id=",LOWER(SUBSTITUTE(B1756," ","-"))))</f>
        <v/>
      </c>
    </row>
    <row r="1757" customFormat="false" ht="15" hidden="false" customHeight="true" outlineLevel="0" collapsed="false">
      <c r="A1757" s="9"/>
      <c r="B1757" s="9"/>
      <c r="C1757" s="9"/>
      <c r="D1757" s="9"/>
      <c r="E1757" s="9"/>
      <c r="F1757" s="9"/>
      <c r="G1757" s="9"/>
      <c r="H1757" s="64" t="str">
        <f aca="false">IF(OR(A1757="",B1757=""),"",CONCATENATE("https://matarstund.is/serfaedi?id=",LOWER(SUBSTITUTE(B1757," ","-"))))</f>
        <v/>
      </c>
    </row>
    <row r="1758" customFormat="false" ht="15" hidden="false" customHeight="true" outlineLevel="0" collapsed="false">
      <c r="A1758" s="68"/>
      <c r="B1758" s="68"/>
      <c r="C1758" s="68"/>
      <c r="D1758" s="68"/>
      <c r="E1758" s="68"/>
      <c r="F1758" s="68"/>
      <c r="G1758" s="68"/>
      <c r="H1758" s="64" t="str">
        <f aca="false">IF(OR(A1758="",B1758=""),"",CONCATENATE("https://matarstund.is/serfaedi?id=",LOWER(SUBSTITUTE(B1758," ","-"))))</f>
        <v/>
      </c>
    </row>
    <row r="1759" customFormat="false" ht="15" hidden="false" customHeight="true" outlineLevel="0" collapsed="false">
      <c r="A1759" s="9"/>
      <c r="B1759" s="9"/>
      <c r="C1759" s="9"/>
      <c r="D1759" s="9"/>
      <c r="E1759" s="9"/>
      <c r="F1759" s="9"/>
      <c r="G1759" s="9"/>
      <c r="H1759" s="64" t="str">
        <f aca="false">IF(OR(A1759="",B1759=""),"",CONCATENATE("https://matarstund.is/serfaedi?id=",LOWER(SUBSTITUTE(B1759," ","-"))))</f>
        <v/>
      </c>
    </row>
    <row r="1760" customFormat="false" ht="15" hidden="false" customHeight="true" outlineLevel="0" collapsed="false">
      <c r="A1760" s="68"/>
      <c r="B1760" s="68"/>
      <c r="C1760" s="68"/>
      <c r="D1760" s="68"/>
      <c r="E1760" s="68"/>
      <c r="F1760" s="68"/>
      <c r="G1760" s="68"/>
      <c r="H1760" s="64" t="str">
        <f aca="false">IF(OR(A1760="",B1760=""),"",CONCATENATE("https://matarstund.is/serfaedi?id=",LOWER(SUBSTITUTE(B1760," ","-"))))</f>
        <v/>
      </c>
    </row>
    <row r="1761" customFormat="false" ht="15" hidden="false" customHeight="true" outlineLevel="0" collapsed="false">
      <c r="A1761" s="9"/>
      <c r="B1761" s="9"/>
      <c r="C1761" s="9"/>
      <c r="D1761" s="9"/>
      <c r="E1761" s="9"/>
      <c r="F1761" s="9"/>
      <c r="G1761" s="9"/>
      <c r="H1761" s="64" t="str">
        <f aca="false">IF(OR(A1761="",B1761=""),"",CONCATENATE("https://matarstund.is/serfaedi?id=",LOWER(SUBSTITUTE(B1761," ","-"))))</f>
        <v/>
      </c>
    </row>
    <row r="1762" customFormat="false" ht="15" hidden="false" customHeight="true" outlineLevel="0" collapsed="false">
      <c r="A1762" s="68"/>
      <c r="B1762" s="68"/>
      <c r="C1762" s="68"/>
      <c r="D1762" s="68"/>
      <c r="E1762" s="68"/>
      <c r="F1762" s="68"/>
      <c r="G1762" s="68"/>
      <c r="H1762" s="64" t="str">
        <f aca="false">IF(OR(A1762="",B1762=""),"",CONCATENATE("https://matarstund.is/serfaedi?id=",LOWER(SUBSTITUTE(B1762," ","-"))))</f>
        <v/>
      </c>
    </row>
    <row r="1763" customFormat="false" ht="15" hidden="false" customHeight="true" outlineLevel="0" collapsed="false">
      <c r="A1763" s="9"/>
      <c r="B1763" s="9"/>
      <c r="C1763" s="9"/>
      <c r="D1763" s="9"/>
      <c r="E1763" s="9"/>
      <c r="F1763" s="9"/>
      <c r="G1763" s="9"/>
      <c r="H1763" s="64" t="str">
        <f aca="false">IF(OR(A1763="",B1763=""),"",CONCATENATE("https://matarstund.is/serfaedi?id=",LOWER(SUBSTITUTE(B1763," ","-"))))</f>
        <v/>
      </c>
    </row>
    <row r="1764" customFormat="false" ht="15" hidden="false" customHeight="true" outlineLevel="0" collapsed="false">
      <c r="A1764" s="68"/>
      <c r="B1764" s="68"/>
      <c r="C1764" s="68"/>
      <c r="D1764" s="68"/>
      <c r="E1764" s="68"/>
      <c r="F1764" s="68"/>
      <c r="G1764" s="68"/>
      <c r="H1764" s="64" t="str">
        <f aca="false">IF(OR(A1764="",B1764=""),"",CONCATENATE("https://matarstund.is/serfaedi?id=",LOWER(SUBSTITUTE(B1764," ","-"))))</f>
        <v/>
      </c>
    </row>
    <row r="1765" customFormat="false" ht="15" hidden="false" customHeight="true" outlineLevel="0" collapsed="false">
      <c r="A1765" s="9"/>
      <c r="B1765" s="9"/>
      <c r="C1765" s="9"/>
      <c r="D1765" s="9"/>
      <c r="E1765" s="9"/>
      <c r="F1765" s="9"/>
      <c r="G1765" s="9"/>
      <c r="H1765" s="64" t="str">
        <f aca="false">IF(OR(A1765="",B1765=""),"",CONCATENATE("https://matarstund.is/serfaedi?id=",LOWER(SUBSTITUTE(B1765," ","-"))))</f>
        <v/>
      </c>
    </row>
    <row r="1766" customFormat="false" ht="15" hidden="false" customHeight="true" outlineLevel="0" collapsed="false">
      <c r="A1766" s="68"/>
      <c r="B1766" s="68"/>
      <c r="C1766" s="68"/>
      <c r="D1766" s="68"/>
      <c r="E1766" s="68"/>
      <c r="F1766" s="68"/>
      <c r="G1766" s="68"/>
      <c r="H1766" s="64" t="str">
        <f aca="false">IF(OR(A1766="",B1766=""),"",CONCATENATE("https://matarstund.is/serfaedi?id=",LOWER(SUBSTITUTE(B1766," ","-"))))</f>
        <v/>
      </c>
    </row>
    <row r="1767" customFormat="false" ht="15" hidden="false" customHeight="true" outlineLevel="0" collapsed="false">
      <c r="A1767" s="9"/>
      <c r="B1767" s="9"/>
      <c r="C1767" s="9"/>
      <c r="D1767" s="9"/>
      <c r="E1767" s="9"/>
      <c r="F1767" s="9"/>
      <c r="G1767" s="9"/>
      <c r="H1767" s="64" t="str">
        <f aca="false">IF(OR(A1767="",B1767=""),"",CONCATENATE("https://matarstund.is/serfaedi?id=",LOWER(SUBSTITUTE(B1767," ","-"))))</f>
        <v/>
      </c>
    </row>
    <row r="1768" customFormat="false" ht="15" hidden="false" customHeight="true" outlineLevel="0" collapsed="false">
      <c r="A1768" s="68"/>
      <c r="B1768" s="68"/>
      <c r="C1768" s="68"/>
      <c r="D1768" s="68"/>
      <c r="E1768" s="68"/>
      <c r="F1768" s="68"/>
      <c r="G1768" s="68"/>
      <c r="H1768" s="64" t="str">
        <f aca="false">IF(OR(A1768="",B1768=""),"",CONCATENATE("https://matarstund.is/serfaedi?id=",LOWER(SUBSTITUTE(B1768," ","-"))))</f>
        <v/>
      </c>
    </row>
    <row r="1769" customFormat="false" ht="15" hidden="false" customHeight="true" outlineLevel="0" collapsed="false">
      <c r="A1769" s="9"/>
      <c r="B1769" s="9"/>
      <c r="C1769" s="9"/>
      <c r="D1769" s="9"/>
      <c r="E1769" s="9"/>
      <c r="F1769" s="9"/>
      <c r="G1769" s="9"/>
      <c r="H1769" s="64" t="str">
        <f aca="false">IF(OR(A1769="",B1769=""),"",CONCATENATE("https://matarstund.is/serfaedi?id=",LOWER(SUBSTITUTE(B1769," ","-"))))</f>
        <v/>
      </c>
    </row>
    <row r="1770" customFormat="false" ht="15" hidden="false" customHeight="true" outlineLevel="0" collapsed="false">
      <c r="A1770" s="68"/>
      <c r="B1770" s="68"/>
      <c r="C1770" s="68"/>
      <c r="D1770" s="68"/>
      <c r="E1770" s="68"/>
      <c r="F1770" s="68"/>
      <c r="G1770" s="68"/>
      <c r="H1770" s="64" t="str">
        <f aca="false">IF(OR(A1770="",B1770=""),"",CONCATENATE("https://matarstund.is/serfaedi?id=",LOWER(SUBSTITUTE(B1770," ","-"))))</f>
        <v/>
      </c>
    </row>
    <row r="1771" customFormat="false" ht="15" hidden="false" customHeight="true" outlineLevel="0" collapsed="false">
      <c r="A1771" s="9"/>
      <c r="B1771" s="9"/>
      <c r="C1771" s="9"/>
      <c r="D1771" s="9"/>
      <c r="E1771" s="9"/>
      <c r="F1771" s="9"/>
      <c r="G1771" s="9"/>
      <c r="H1771" s="64" t="str">
        <f aca="false">IF(OR(A1771="",B1771=""),"",CONCATENATE("https://matarstund.is/serfaedi?id=",LOWER(SUBSTITUTE(B1771," ","-"))))</f>
        <v/>
      </c>
    </row>
    <row r="1772" customFormat="false" ht="15" hidden="false" customHeight="true" outlineLevel="0" collapsed="false">
      <c r="A1772" s="68"/>
      <c r="B1772" s="68"/>
      <c r="C1772" s="68"/>
      <c r="D1772" s="68"/>
      <c r="E1772" s="68"/>
      <c r="F1772" s="68"/>
      <c r="G1772" s="68"/>
      <c r="H1772" s="64" t="str">
        <f aca="false">IF(OR(A1772="",B1772=""),"",CONCATENATE("https://matarstund.is/serfaedi?id=",LOWER(SUBSTITUTE(B1772," ","-"))))</f>
        <v/>
      </c>
    </row>
    <row r="1773" customFormat="false" ht="15" hidden="false" customHeight="true" outlineLevel="0" collapsed="false">
      <c r="A1773" s="9"/>
      <c r="B1773" s="9"/>
      <c r="C1773" s="9"/>
      <c r="D1773" s="9"/>
      <c r="E1773" s="9"/>
      <c r="F1773" s="9"/>
      <c r="G1773" s="9"/>
      <c r="H1773" s="64" t="str">
        <f aca="false">IF(OR(A1773="",B1773=""),"",CONCATENATE("https://matarstund.is/serfaedi?id=",LOWER(SUBSTITUTE(B1773," ","-"))))</f>
        <v/>
      </c>
    </row>
    <row r="1774" customFormat="false" ht="15" hidden="false" customHeight="true" outlineLevel="0" collapsed="false">
      <c r="A1774" s="68"/>
      <c r="B1774" s="68"/>
      <c r="C1774" s="68"/>
      <c r="D1774" s="68"/>
      <c r="E1774" s="68"/>
      <c r="F1774" s="68"/>
      <c r="G1774" s="68"/>
      <c r="H1774" s="64" t="str">
        <f aca="false">IF(OR(A1774="",B1774=""),"",CONCATENATE("https://matarstund.is/serfaedi?id=",LOWER(SUBSTITUTE(B1774," ","-"))))</f>
        <v/>
      </c>
    </row>
    <row r="1775" customFormat="false" ht="15" hidden="false" customHeight="true" outlineLevel="0" collapsed="false">
      <c r="A1775" s="9"/>
      <c r="B1775" s="9"/>
      <c r="C1775" s="9"/>
      <c r="D1775" s="9"/>
      <c r="E1775" s="9"/>
      <c r="F1775" s="9"/>
      <c r="G1775" s="9"/>
      <c r="H1775" s="64" t="str">
        <f aca="false">IF(OR(A1775="",B1775=""),"",CONCATENATE("https://matarstund.is/serfaedi?id=",LOWER(SUBSTITUTE(B1775," ","-"))))</f>
        <v/>
      </c>
    </row>
    <row r="1776" customFormat="false" ht="15" hidden="false" customHeight="true" outlineLevel="0" collapsed="false">
      <c r="A1776" s="68"/>
      <c r="B1776" s="68"/>
      <c r="C1776" s="68"/>
      <c r="D1776" s="68"/>
      <c r="E1776" s="68"/>
      <c r="F1776" s="68"/>
      <c r="G1776" s="68"/>
      <c r="H1776" s="64" t="str">
        <f aca="false">IF(OR(A1776="",B1776=""),"",CONCATENATE("https://matarstund.is/serfaedi?id=",LOWER(SUBSTITUTE(B1776," ","-"))))</f>
        <v/>
      </c>
    </row>
    <row r="1777" customFormat="false" ht="15" hidden="false" customHeight="true" outlineLevel="0" collapsed="false">
      <c r="A1777" s="9"/>
      <c r="B1777" s="9"/>
      <c r="C1777" s="9"/>
      <c r="D1777" s="9"/>
      <c r="E1777" s="9"/>
      <c r="F1777" s="9"/>
      <c r="G1777" s="9"/>
      <c r="H1777" s="64" t="str">
        <f aca="false">IF(OR(A1777="",B1777=""),"",CONCATENATE("https://matarstund.is/serfaedi?id=",LOWER(SUBSTITUTE(B1777," ","-"))))</f>
        <v/>
      </c>
    </row>
    <row r="1778" customFormat="false" ht="15" hidden="false" customHeight="true" outlineLevel="0" collapsed="false">
      <c r="A1778" s="68"/>
      <c r="B1778" s="68"/>
      <c r="C1778" s="68"/>
      <c r="D1778" s="68"/>
      <c r="E1778" s="68"/>
      <c r="F1778" s="68"/>
      <c r="G1778" s="68"/>
      <c r="H1778" s="64" t="str">
        <f aca="false">IF(OR(A1778="",B1778=""),"",CONCATENATE("https://matarstund.is/serfaedi?id=",LOWER(SUBSTITUTE(B1778," ","-"))))</f>
        <v/>
      </c>
    </row>
    <row r="1779" customFormat="false" ht="15" hidden="false" customHeight="true" outlineLevel="0" collapsed="false">
      <c r="A1779" s="9"/>
      <c r="B1779" s="9"/>
      <c r="C1779" s="9"/>
      <c r="D1779" s="9"/>
      <c r="E1779" s="9"/>
      <c r="F1779" s="9"/>
      <c r="G1779" s="9"/>
      <c r="H1779" s="64" t="str">
        <f aca="false">IF(OR(A1779="",B1779=""),"",CONCATENATE("https://matarstund.is/serfaedi?id=",LOWER(SUBSTITUTE(B1779," ","-"))))</f>
        <v/>
      </c>
    </row>
    <row r="1780" customFormat="false" ht="15" hidden="false" customHeight="true" outlineLevel="0" collapsed="false">
      <c r="A1780" s="68"/>
      <c r="B1780" s="68"/>
      <c r="C1780" s="68"/>
      <c r="D1780" s="68"/>
      <c r="E1780" s="68"/>
      <c r="F1780" s="68"/>
      <c r="G1780" s="68"/>
      <c r="H1780" s="64" t="str">
        <f aca="false">IF(OR(A1780="",B1780=""),"",CONCATENATE("https://matarstund.is/serfaedi?id=",LOWER(SUBSTITUTE(B1780," ","-"))))</f>
        <v/>
      </c>
    </row>
    <row r="1781" customFormat="false" ht="15" hidden="false" customHeight="true" outlineLevel="0" collapsed="false">
      <c r="A1781" s="9"/>
      <c r="B1781" s="9"/>
      <c r="C1781" s="9"/>
      <c r="D1781" s="9"/>
      <c r="E1781" s="9"/>
      <c r="F1781" s="9"/>
      <c r="G1781" s="9"/>
      <c r="H1781" s="64" t="str">
        <f aca="false">IF(OR(A1781="",B1781=""),"",CONCATENATE("https://matarstund.is/serfaedi?id=",LOWER(SUBSTITUTE(B1781," ","-"))))</f>
        <v/>
      </c>
    </row>
    <row r="1782" customFormat="false" ht="15" hidden="false" customHeight="true" outlineLevel="0" collapsed="false">
      <c r="A1782" s="68"/>
      <c r="B1782" s="68"/>
      <c r="C1782" s="68"/>
      <c r="D1782" s="68"/>
      <c r="E1782" s="68"/>
      <c r="F1782" s="68"/>
      <c r="G1782" s="68"/>
      <c r="H1782" s="64" t="str">
        <f aca="false">IF(OR(A1782="",B1782=""),"",CONCATENATE("https://matarstund.is/serfaedi?id=",LOWER(SUBSTITUTE(B1782," ","-"))))</f>
        <v/>
      </c>
    </row>
    <row r="1783" customFormat="false" ht="15" hidden="false" customHeight="true" outlineLevel="0" collapsed="false">
      <c r="A1783" s="9"/>
      <c r="B1783" s="9"/>
      <c r="C1783" s="9"/>
      <c r="D1783" s="9"/>
      <c r="E1783" s="9"/>
      <c r="F1783" s="9"/>
      <c r="G1783" s="9"/>
      <c r="H1783" s="64" t="str">
        <f aca="false">IF(OR(A1783="",B1783=""),"",CONCATENATE("https://matarstund.is/serfaedi?id=",LOWER(SUBSTITUTE(B1783," ","-"))))</f>
        <v/>
      </c>
    </row>
    <row r="1784" customFormat="false" ht="15" hidden="false" customHeight="true" outlineLevel="0" collapsed="false">
      <c r="A1784" s="68"/>
      <c r="B1784" s="68"/>
      <c r="C1784" s="68"/>
      <c r="D1784" s="68"/>
      <c r="E1784" s="68"/>
      <c r="F1784" s="68"/>
      <c r="G1784" s="68"/>
      <c r="H1784" s="64" t="str">
        <f aca="false">IF(OR(A1784="",B1784=""),"",CONCATENATE("https://matarstund.is/serfaedi?id=",LOWER(SUBSTITUTE(B1784," ","-"))))</f>
        <v/>
      </c>
    </row>
    <row r="1785" customFormat="false" ht="15" hidden="false" customHeight="true" outlineLevel="0" collapsed="false">
      <c r="A1785" s="9"/>
      <c r="B1785" s="9"/>
      <c r="C1785" s="9"/>
      <c r="D1785" s="9"/>
      <c r="E1785" s="9"/>
      <c r="F1785" s="9"/>
      <c r="G1785" s="9"/>
      <c r="H1785" s="64" t="str">
        <f aca="false">IF(OR(A1785="",B1785=""),"",CONCATENATE("https://matarstund.is/serfaedi?id=",LOWER(SUBSTITUTE(B1785," ","-"))))</f>
        <v/>
      </c>
    </row>
    <row r="1786" customFormat="false" ht="15" hidden="false" customHeight="true" outlineLevel="0" collapsed="false">
      <c r="A1786" s="68"/>
      <c r="B1786" s="68"/>
      <c r="C1786" s="68"/>
      <c r="D1786" s="68"/>
      <c r="E1786" s="68"/>
      <c r="F1786" s="68"/>
      <c r="G1786" s="68"/>
      <c r="H1786" s="64" t="str">
        <f aca="false">IF(OR(A1786="",B1786=""),"",CONCATENATE("https://matarstund.is/serfaedi?id=",LOWER(SUBSTITUTE(B1786," ","-"))))</f>
        <v/>
      </c>
    </row>
    <row r="1787" customFormat="false" ht="15" hidden="false" customHeight="true" outlineLevel="0" collapsed="false">
      <c r="A1787" s="9"/>
      <c r="B1787" s="9"/>
      <c r="C1787" s="9"/>
      <c r="D1787" s="9"/>
      <c r="E1787" s="9"/>
      <c r="F1787" s="9"/>
      <c r="G1787" s="9"/>
      <c r="H1787" s="64" t="str">
        <f aca="false">IF(OR(A1787="",B1787=""),"",CONCATENATE("https://matarstund.is/serfaedi?id=",LOWER(SUBSTITUTE(B1787," ","-"))))</f>
        <v/>
      </c>
    </row>
    <row r="1788" customFormat="false" ht="15" hidden="false" customHeight="true" outlineLevel="0" collapsed="false">
      <c r="A1788" s="68"/>
      <c r="B1788" s="68"/>
      <c r="C1788" s="68"/>
      <c r="D1788" s="68"/>
      <c r="E1788" s="68"/>
      <c r="F1788" s="68"/>
      <c r="G1788" s="68"/>
      <c r="H1788" s="64" t="str">
        <f aca="false">IF(OR(A1788="",B1788=""),"",CONCATENATE("https://matarstund.is/serfaedi?id=",LOWER(SUBSTITUTE(B1788," ","-"))))</f>
        <v/>
      </c>
    </row>
    <row r="1789" customFormat="false" ht="15" hidden="false" customHeight="true" outlineLevel="0" collapsed="false">
      <c r="A1789" s="9"/>
      <c r="B1789" s="9"/>
      <c r="C1789" s="9"/>
      <c r="D1789" s="9"/>
      <c r="E1789" s="9"/>
      <c r="F1789" s="9"/>
      <c r="G1789" s="9"/>
      <c r="H1789" s="64" t="str">
        <f aca="false">IF(OR(A1789="",B1789=""),"",CONCATENATE("https://matarstund.is/serfaedi?id=",LOWER(SUBSTITUTE(B1789," ","-"))))</f>
        <v/>
      </c>
    </row>
    <row r="1790" customFormat="false" ht="15" hidden="false" customHeight="true" outlineLevel="0" collapsed="false">
      <c r="A1790" s="68"/>
      <c r="B1790" s="68"/>
      <c r="C1790" s="68"/>
      <c r="D1790" s="68"/>
      <c r="E1790" s="68"/>
      <c r="F1790" s="68"/>
      <c r="G1790" s="68"/>
      <c r="H1790" s="64" t="str">
        <f aca="false">IF(OR(A1790="",B1790=""),"",CONCATENATE("https://matarstund.is/serfaedi?id=",LOWER(SUBSTITUTE(B1790," ","-"))))</f>
        <v/>
      </c>
    </row>
    <row r="1791" customFormat="false" ht="15" hidden="false" customHeight="true" outlineLevel="0" collapsed="false">
      <c r="A1791" s="9"/>
      <c r="B1791" s="9"/>
      <c r="C1791" s="9"/>
      <c r="D1791" s="9"/>
      <c r="E1791" s="9"/>
      <c r="F1791" s="9"/>
      <c r="G1791" s="9"/>
      <c r="H1791" s="64" t="str">
        <f aca="false">IF(OR(A1791="",B1791=""),"",CONCATENATE("https://matarstund.is/serfaedi?id=",LOWER(SUBSTITUTE(B1791," ","-"))))</f>
        <v/>
      </c>
    </row>
    <row r="1792" customFormat="false" ht="15" hidden="false" customHeight="true" outlineLevel="0" collapsed="false">
      <c r="A1792" s="68"/>
      <c r="B1792" s="68"/>
      <c r="C1792" s="68"/>
      <c r="D1792" s="68"/>
      <c r="E1792" s="68"/>
      <c r="F1792" s="68"/>
      <c r="G1792" s="68"/>
      <c r="H1792" s="64" t="str">
        <f aca="false">IF(OR(A1792="",B1792=""),"",CONCATENATE("https://matarstund.is/serfaedi?id=",LOWER(SUBSTITUTE(B1792," ","-"))))</f>
        <v/>
      </c>
    </row>
    <row r="1793" customFormat="false" ht="15" hidden="false" customHeight="true" outlineLevel="0" collapsed="false">
      <c r="A1793" s="9"/>
      <c r="B1793" s="9"/>
      <c r="C1793" s="9"/>
      <c r="D1793" s="9"/>
      <c r="E1793" s="9"/>
      <c r="F1793" s="9"/>
      <c r="G1793" s="9"/>
      <c r="H1793" s="64" t="str">
        <f aca="false">IF(OR(A1793="",B1793=""),"",CONCATENATE("https://matarstund.is/serfaedi?id=",LOWER(SUBSTITUTE(B1793," ","-"))))</f>
        <v/>
      </c>
    </row>
    <row r="1794" customFormat="false" ht="15" hidden="false" customHeight="true" outlineLevel="0" collapsed="false">
      <c r="A1794" s="68"/>
      <c r="B1794" s="68"/>
      <c r="C1794" s="68"/>
      <c r="D1794" s="68"/>
      <c r="E1794" s="68"/>
      <c r="F1794" s="68"/>
      <c r="G1794" s="68"/>
      <c r="H1794" s="64" t="str">
        <f aca="false">IF(OR(A1794="",B1794=""),"",CONCATENATE("https://matarstund.is/serfaedi?id=",LOWER(SUBSTITUTE(B1794," ","-"))))</f>
        <v/>
      </c>
    </row>
    <row r="1795" customFormat="false" ht="15" hidden="false" customHeight="true" outlineLevel="0" collapsed="false">
      <c r="A1795" s="9"/>
      <c r="B1795" s="9"/>
      <c r="C1795" s="9"/>
      <c r="D1795" s="9"/>
      <c r="E1795" s="9"/>
      <c r="F1795" s="9"/>
      <c r="G1795" s="9"/>
      <c r="H1795" s="64" t="str">
        <f aca="false">IF(OR(A1795="",B1795=""),"",CONCATENATE("https://matarstund.is/serfaedi?id=",LOWER(SUBSTITUTE(B1795," ","-"))))</f>
        <v/>
      </c>
    </row>
    <row r="1796" customFormat="false" ht="15" hidden="false" customHeight="true" outlineLevel="0" collapsed="false">
      <c r="A1796" s="68"/>
      <c r="B1796" s="68"/>
      <c r="C1796" s="68"/>
      <c r="D1796" s="68"/>
      <c r="E1796" s="68"/>
      <c r="F1796" s="68"/>
      <c r="G1796" s="68"/>
      <c r="H1796" s="64" t="str">
        <f aca="false">IF(OR(A1796="",B1796=""),"",CONCATENATE("https://matarstund.is/serfaedi?id=",LOWER(SUBSTITUTE(B1796," ","-"))))</f>
        <v/>
      </c>
    </row>
    <row r="1797" customFormat="false" ht="15" hidden="false" customHeight="true" outlineLevel="0" collapsed="false">
      <c r="A1797" s="9"/>
      <c r="B1797" s="9"/>
      <c r="C1797" s="9"/>
      <c r="D1797" s="9"/>
      <c r="E1797" s="9"/>
      <c r="F1797" s="9"/>
      <c r="G1797" s="9"/>
      <c r="H1797" s="64" t="str">
        <f aca="false">IF(OR(A1797="",B1797=""),"",CONCATENATE("https://matarstund.is/serfaedi?id=",LOWER(SUBSTITUTE(B1797," ","-"))))</f>
        <v/>
      </c>
    </row>
    <row r="1798" customFormat="false" ht="15" hidden="false" customHeight="true" outlineLevel="0" collapsed="false">
      <c r="A1798" s="68"/>
      <c r="B1798" s="68"/>
      <c r="C1798" s="68"/>
      <c r="D1798" s="68"/>
      <c r="E1798" s="68"/>
      <c r="F1798" s="68"/>
      <c r="G1798" s="68"/>
      <c r="H1798" s="64" t="str">
        <f aca="false">IF(OR(A1798="",B1798=""),"",CONCATENATE("https://matarstund.is/serfaedi?id=",LOWER(SUBSTITUTE(B1798," ","-"))))</f>
        <v/>
      </c>
    </row>
    <row r="1799" customFormat="false" ht="15" hidden="false" customHeight="true" outlineLevel="0" collapsed="false">
      <c r="A1799" s="9"/>
      <c r="B1799" s="9"/>
      <c r="C1799" s="9"/>
      <c r="D1799" s="9"/>
      <c r="E1799" s="9"/>
      <c r="F1799" s="9"/>
      <c r="G1799" s="9"/>
      <c r="H1799" s="64" t="str">
        <f aca="false">IF(OR(A1799="",B1799=""),"",CONCATENATE("https://matarstund.is/serfaedi?id=",LOWER(SUBSTITUTE(B1799," ","-"))))</f>
        <v/>
      </c>
    </row>
    <row r="1800" customFormat="false" ht="15" hidden="false" customHeight="true" outlineLevel="0" collapsed="false">
      <c r="A1800" s="68"/>
      <c r="B1800" s="68"/>
      <c r="C1800" s="68"/>
      <c r="D1800" s="68"/>
      <c r="E1800" s="68"/>
      <c r="F1800" s="68"/>
      <c r="G1800" s="68"/>
      <c r="H1800" s="64" t="str">
        <f aca="false">IF(OR(A1800="",B1800=""),"",CONCATENATE("https://matarstund.is/serfaedi?id=",LOWER(SUBSTITUTE(B1800," ","-"))))</f>
        <v/>
      </c>
    </row>
    <row r="1801" customFormat="false" ht="15" hidden="false" customHeight="true" outlineLevel="0" collapsed="false">
      <c r="A1801" s="9"/>
      <c r="B1801" s="9"/>
      <c r="C1801" s="9"/>
      <c r="D1801" s="9"/>
      <c r="E1801" s="9"/>
      <c r="F1801" s="9"/>
      <c r="G1801" s="9"/>
      <c r="H1801" s="64" t="str">
        <f aca="false">IF(OR(A1801="",B1801=""),"",CONCATENATE("https://matarstund.is/serfaedi?id=",LOWER(SUBSTITUTE(B1801," ","-"))))</f>
        <v/>
      </c>
    </row>
    <row r="1802" customFormat="false" ht="15" hidden="false" customHeight="true" outlineLevel="0" collapsed="false">
      <c r="A1802" s="68"/>
      <c r="B1802" s="68"/>
      <c r="C1802" s="68"/>
      <c r="D1802" s="68"/>
      <c r="E1802" s="68"/>
      <c r="F1802" s="68"/>
      <c r="G1802" s="68"/>
      <c r="H1802" s="64" t="str">
        <f aca="false">IF(OR(A1802="",B1802=""),"",CONCATENATE("https://matarstund.is/serfaedi?id=",LOWER(SUBSTITUTE(B1802," ","-"))))</f>
        <v/>
      </c>
    </row>
    <row r="1803" customFormat="false" ht="15" hidden="false" customHeight="true" outlineLevel="0" collapsed="false">
      <c r="A1803" s="9"/>
      <c r="B1803" s="9"/>
      <c r="C1803" s="9"/>
      <c r="D1803" s="9"/>
      <c r="E1803" s="9"/>
      <c r="F1803" s="9"/>
      <c r="G1803" s="9"/>
      <c r="H1803" s="64" t="str">
        <f aca="false">IF(OR(A1803="",B1803=""),"",CONCATENATE("https://matarstund.is/serfaedi?id=",LOWER(SUBSTITUTE(B1803," ","-"))))</f>
        <v/>
      </c>
    </row>
    <row r="1804" customFormat="false" ht="15" hidden="false" customHeight="true" outlineLevel="0" collapsed="false">
      <c r="A1804" s="68"/>
      <c r="B1804" s="68"/>
      <c r="C1804" s="68"/>
      <c r="D1804" s="68"/>
      <c r="E1804" s="68"/>
      <c r="F1804" s="68"/>
      <c r="G1804" s="68"/>
      <c r="H1804" s="64" t="str">
        <f aca="false">IF(OR(A1804="",B1804=""),"",CONCATENATE("https://matarstund.is/serfaedi?id=",LOWER(SUBSTITUTE(B1804," ","-"))))</f>
        <v/>
      </c>
    </row>
    <row r="1805" customFormat="false" ht="15" hidden="false" customHeight="true" outlineLevel="0" collapsed="false">
      <c r="A1805" s="9"/>
      <c r="B1805" s="9"/>
      <c r="C1805" s="9"/>
      <c r="D1805" s="9"/>
      <c r="E1805" s="9"/>
      <c r="F1805" s="9"/>
      <c r="G1805" s="9"/>
      <c r="H1805" s="64" t="str">
        <f aca="false">IF(OR(A1805="",B1805=""),"",CONCATENATE("https://matarstund.is/serfaedi?id=",LOWER(SUBSTITUTE(B1805," ","-"))))</f>
        <v/>
      </c>
    </row>
    <row r="1806" customFormat="false" ht="15" hidden="false" customHeight="true" outlineLevel="0" collapsed="false">
      <c r="A1806" s="68"/>
      <c r="B1806" s="68"/>
      <c r="C1806" s="68"/>
      <c r="D1806" s="68"/>
      <c r="E1806" s="68"/>
      <c r="F1806" s="68"/>
      <c r="G1806" s="68"/>
      <c r="H1806" s="64" t="str">
        <f aca="false">IF(OR(A1806="",B1806=""),"",CONCATENATE("https://matarstund.is/serfaedi?id=",LOWER(SUBSTITUTE(B1806," ","-"))))</f>
        <v/>
      </c>
    </row>
    <row r="1807" customFormat="false" ht="15" hidden="false" customHeight="true" outlineLevel="0" collapsed="false">
      <c r="A1807" s="9"/>
      <c r="B1807" s="9"/>
      <c r="C1807" s="9"/>
      <c r="D1807" s="9"/>
      <c r="E1807" s="9"/>
      <c r="F1807" s="9"/>
      <c r="G1807" s="9"/>
      <c r="H1807" s="64" t="str">
        <f aca="false">IF(OR(A1807="",B1807=""),"",CONCATENATE("https://matarstund.is/serfaedi?id=",LOWER(SUBSTITUTE(B1807," ","-"))))</f>
        <v/>
      </c>
    </row>
    <row r="1808" customFormat="false" ht="15" hidden="false" customHeight="true" outlineLevel="0" collapsed="false">
      <c r="A1808" s="68"/>
      <c r="B1808" s="68"/>
      <c r="C1808" s="68"/>
      <c r="D1808" s="68"/>
      <c r="E1808" s="68"/>
      <c r="F1808" s="68"/>
      <c r="G1808" s="68"/>
      <c r="H1808" s="64" t="str">
        <f aca="false">IF(OR(A1808="",B1808=""),"",CONCATENATE("https://matarstund.is/serfaedi?id=",LOWER(SUBSTITUTE(B1808," ","-"))))</f>
        <v/>
      </c>
    </row>
    <row r="1809" customFormat="false" ht="15" hidden="false" customHeight="true" outlineLevel="0" collapsed="false">
      <c r="A1809" s="9"/>
      <c r="B1809" s="9"/>
      <c r="C1809" s="9"/>
      <c r="D1809" s="9"/>
      <c r="E1809" s="9"/>
      <c r="F1809" s="9"/>
      <c r="G1809" s="9"/>
      <c r="H1809" s="64" t="str">
        <f aca="false">IF(OR(A1809="",B1809=""),"",CONCATENATE("https://matarstund.is/serfaedi?id=",LOWER(SUBSTITUTE(B1809," ","-"))))</f>
        <v/>
      </c>
    </row>
    <row r="1810" customFormat="false" ht="15" hidden="false" customHeight="true" outlineLevel="0" collapsed="false">
      <c r="A1810" s="68"/>
      <c r="B1810" s="68"/>
      <c r="C1810" s="68"/>
      <c r="D1810" s="68"/>
      <c r="E1810" s="68"/>
      <c r="F1810" s="68"/>
      <c r="G1810" s="68"/>
      <c r="H1810" s="64" t="str">
        <f aca="false">IF(OR(A1810="",B1810=""),"",CONCATENATE("https://matarstund.is/serfaedi?id=",LOWER(SUBSTITUTE(B1810," ","-"))))</f>
        <v/>
      </c>
    </row>
    <row r="1811" customFormat="false" ht="15" hidden="false" customHeight="true" outlineLevel="0" collapsed="false">
      <c r="A1811" s="9"/>
      <c r="B1811" s="9"/>
      <c r="C1811" s="9"/>
      <c r="D1811" s="9"/>
      <c r="E1811" s="9"/>
      <c r="F1811" s="9"/>
      <c r="G1811" s="9"/>
      <c r="H1811" s="64" t="str">
        <f aca="false">IF(OR(A1811="",B1811=""),"",CONCATENATE("https://matarstund.is/serfaedi?id=",LOWER(SUBSTITUTE(B1811," ","-"))))</f>
        <v/>
      </c>
    </row>
    <row r="1812" customFormat="false" ht="15" hidden="false" customHeight="true" outlineLevel="0" collapsed="false">
      <c r="A1812" s="68"/>
      <c r="B1812" s="68"/>
      <c r="C1812" s="68"/>
      <c r="D1812" s="68"/>
      <c r="E1812" s="68"/>
      <c r="F1812" s="68"/>
      <c r="G1812" s="68"/>
      <c r="H1812" s="64" t="str">
        <f aca="false">IF(OR(A1812="",B1812=""),"",CONCATENATE("https://matarstund.is/serfaedi?id=",LOWER(SUBSTITUTE(B1812," ","-"))))</f>
        <v/>
      </c>
    </row>
    <row r="1813" customFormat="false" ht="15" hidden="false" customHeight="true" outlineLevel="0" collapsed="false">
      <c r="A1813" s="9"/>
      <c r="B1813" s="9"/>
      <c r="C1813" s="9"/>
      <c r="D1813" s="9"/>
      <c r="E1813" s="9"/>
      <c r="F1813" s="9"/>
      <c r="G1813" s="9"/>
      <c r="H1813" s="64" t="str">
        <f aca="false">IF(OR(A1813="",B1813=""),"",CONCATENATE("https://matarstund.is/serfaedi?id=",LOWER(SUBSTITUTE(B1813," ","-"))))</f>
        <v/>
      </c>
    </row>
    <row r="1814" customFormat="false" ht="15" hidden="false" customHeight="true" outlineLevel="0" collapsed="false">
      <c r="A1814" s="68"/>
      <c r="B1814" s="68"/>
      <c r="C1814" s="68"/>
      <c r="D1814" s="68"/>
      <c r="E1814" s="68"/>
      <c r="F1814" s="68"/>
      <c r="G1814" s="68"/>
      <c r="H1814" s="64" t="str">
        <f aca="false">IF(OR(A1814="",B1814=""),"",CONCATENATE("https://matarstund.is/serfaedi?id=",LOWER(SUBSTITUTE(B1814," ","-"))))</f>
        <v/>
      </c>
    </row>
    <row r="1815" customFormat="false" ht="15" hidden="false" customHeight="true" outlineLevel="0" collapsed="false">
      <c r="A1815" s="9"/>
      <c r="B1815" s="9"/>
      <c r="C1815" s="9"/>
      <c r="D1815" s="9"/>
      <c r="E1815" s="9"/>
      <c r="F1815" s="9"/>
      <c r="G1815" s="9"/>
      <c r="H1815" s="64" t="str">
        <f aca="false">IF(OR(A1815="",B1815=""),"",CONCATENATE("https://matarstund.is/serfaedi?id=",LOWER(SUBSTITUTE(B1815," ","-"))))</f>
        <v/>
      </c>
    </row>
    <row r="1816" customFormat="false" ht="15" hidden="false" customHeight="true" outlineLevel="0" collapsed="false">
      <c r="A1816" s="68"/>
      <c r="B1816" s="68"/>
      <c r="C1816" s="68"/>
      <c r="D1816" s="68"/>
      <c r="E1816" s="68"/>
      <c r="F1816" s="68"/>
      <c r="G1816" s="68"/>
      <c r="H1816" s="64" t="str">
        <f aca="false">IF(OR(A1816="",B1816=""),"",CONCATENATE("https://matarstund.is/serfaedi?id=",LOWER(SUBSTITUTE(B1816," ","-"))))</f>
        <v/>
      </c>
    </row>
    <row r="1817" customFormat="false" ht="15" hidden="false" customHeight="true" outlineLevel="0" collapsed="false">
      <c r="A1817" s="9"/>
      <c r="B1817" s="9"/>
      <c r="C1817" s="9"/>
      <c r="D1817" s="9"/>
      <c r="E1817" s="9"/>
      <c r="F1817" s="9"/>
      <c r="G1817" s="9"/>
      <c r="H1817" s="64" t="str">
        <f aca="false">IF(OR(A1817="",B1817=""),"",CONCATENATE("https://matarstund.is/serfaedi?id=",LOWER(SUBSTITUTE(B1817," ","-"))))</f>
        <v/>
      </c>
    </row>
    <row r="1818" customFormat="false" ht="15" hidden="false" customHeight="true" outlineLevel="0" collapsed="false">
      <c r="A1818" s="68"/>
      <c r="B1818" s="68"/>
      <c r="C1818" s="68"/>
      <c r="D1818" s="68"/>
      <c r="E1818" s="68"/>
      <c r="F1818" s="68"/>
      <c r="G1818" s="68"/>
      <c r="H1818" s="64" t="str">
        <f aca="false">IF(OR(A1818="",B1818=""),"",CONCATENATE("https://matarstund.is/serfaedi?id=",LOWER(SUBSTITUTE(B1818," ","-"))))</f>
        <v/>
      </c>
    </row>
    <row r="1819" customFormat="false" ht="15" hidden="false" customHeight="true" outlineLevel="0" collapsed="false">
      <c r="A1819" s="9"/>
      <c r="B1819" s="9"/>
      <c r="C1819" s="9"/>
      <c r="D1819" s="9"/>
      <c r="E1819" s="9"/>
      <c r="F1819" s="9"/>
      <c r="G1819" s="9"/>
      <c r="H1819" s="64" t="str">
        <f aca="false">IF(OR(A1819="",B1819=""),"",CONCATENATE("https://matarstund.is/serfaedi?id=",LOWER(SUBSTITUTE(B1819," ","-"))))</f>
        <v/>
      </c>
    </row>
    <row r="1820" customFormat="false" ht="15" hidden="false" customHeight="true" outlineLevel="0" collapsed="false">
      <c r="A1820" s="68"/>
      <c r="B1820" s="68"/>
      <c r="C1820" s="68"/>
      <c r="D1820" s="68"/>
      <c r="E1820" s="68"/>
      <c r="F1820" s="68"/>
      <c r="G1820" s="68"/>
      <c r="H1820" s="64" t="str">
        <f aca="false">IF(OR(A1820="",B1820=""),"",CONCATENATE("https://matarstund.is/serfaedi?id=",LOWER(SUBSTITUTE(B1820," ","-"))))</f>
        <v/>
      </c>
    </row>
    <row r="1821" customFormat="false" ht="15" hidden="false" customHeight="true" outlineLevel="0" collapsed="false">
      <c r="A1821" s="9"/>
      <c r="B1821" s="9"/>
      <c r="C1821" s="9"/>
      <c r="D1821" s="9"/>
      <c r="E1821" s="9"/>
      <c r="F1821" s="9"/>
      <c r="G1821" s="9"/>
      <c r="H1821" s="64" t="str">
        <f aca="false">IF(OR(A1821="",B1821=""),"",CONCATENATE("https://matarstund.is/serfaedi?id=",LOWER(SUBSTITUTE(B1821," ","-"))))</f>
        <v/>
      </c>
    </row>
    <row r="1822" customFormat="false" ht="15" hidden="false" customHeight="true" outlineLevel="0" collapsed="false">
      <c r="A1822" s="68"/>
      <c r="B1822" s="68"/>
      <c r="C1822" s="68"/>
      <c r="D1822" s="68"/>
      <c r="E1822" s="68"/>
      <c r="F1822" s="68"/>
      <c r="G1822" s="68"/>
      <c r="H1822" s="64" t="str">
        <f aca="false">IF(OR(A1822="",B1822=""),"",CONCATENATE("https://matarstund.is/serfaedi?id=",LOWER(SUBSTITUTE(B1822," ","-"))))</f>
        <v/>
      </c>
    </row>
    <row r="1823" customFormat="false" ht="15" hidden="false" customHeight="true" outlineLevel="0" collapsed="false">
      <c r="A1823" s="9"/>
      <c r="B1823" s="9"/>
      <c r="C1823" s="9"/>
      <c r="D1823" s="9"/>
      <c r="E1823" s="9"/>
      <c r="F1823" s="9"/>
      <c r="G1823" s="9"/>
      <c r="H1823" s="64" t="str">
        <f aca="false">IF(OR(A1823="",B1823=""),"",CONCATENATE("https://matarstund.is/serfaedi?id=",LOWER(SUBSTITUTE(B1823," ","-"))))</f>
        <v/>
      </c>
    </row>
    <row r="1824" customFormat="false" ht="15" hidden="false" customHeight="true" outlineLevel="0" collapsed="false">
      <c r="A1824" s="68"/>
      <c r="B1824" s="68"/>
      <c r="C1824" s="68"/>
      <c r="D1824" s="68"/>
      <c r="E1824" s="68"/>
      <c r="F1824" s="68"/>
      <c r="G1824" s="68"/>
      <c r="H1824" s="64" t="str">
        <f aca="false">IF(OR(A1824="",B1824=""),"",CONCATENATE("https://matarstund.is/serfaedi?id=",LOWER(SUBSTITUTE(B1824," ","-"))))</f>
        <v/>
      </c>
    </row>
    <row r="1825" customFormat="false" ht="15" hidden="false" customHeight="true" outlineLevel="0" collapsed="false">
      <c r="A1825" s="9"/>
      <c r="B1825" s="9"/>
      <c r="C1825" s="9"/>
      <c r="D1825" s="9"/>
      <c r="E1825" s="9"/>
      <c r="F1825" s="9"/>
      <c r="G1825" s="9"/>
      <c r="H1825" s="64" t="str">
        <f aca="false">IF(OR(A1825="",B1825=""),"",CONCATENATE("https://matarstund.is/serfaedi?id=",LOWER(SUBSTITUTE(B1825," ","-"))))</f>
        <v/>
      </c>
    </row>
    <row r="1826" customFormat="false" ht="15" hidden="false" customHeight="true" outlineLevel="0" collapsed="false">
      <c r="A1826" s="68"/>
      <c r="B1826" s="68"/>
      <c r="C1826" s="68"/>
      <c r="D1826" s="68"/>
      <c r="E1826" s="68"/>
      <c r="F1826" s="68"/>
      <c r="G1826" s="68"/>
      <c r="H1826" s="64" t="str">
        <f aca="false">IF(OR(A1826="",B1826=""),"",CONCATENATE("https://matarstund.is/serfaedi?id=",LOWER(SUBSTITUTE(B1826," ","-"))))</f>
        <v/>
      </c>
    </row>
    <row r="1827" customFormat="false" ht="15" hidden="false" customHeight="true" outlineLevel="0" collapsed="false">
      <c r="A1827" s="9"/>
      <c r="B1827" s="9"/>
      <c r="C1827" s="9"/>
      <c r="D1827" s="9"/>
      <c r="E1827" s="9"/>
      <c r="F1827" s="9"/>
      <c r="G1827" s="9"/>
      <c r="H1827" s="64" t="str">
        <f aca="false">IF(OR(A1827="",B1827=""),"",CONCATENATE("https://matarstund.is/serfaedi?id=",LOWER(SUBSTITUTE(B1827," ","-"))))</f>
        <v/>
      </c>
    </row>
    <row r="1828" customFormat="false" ht="15" hidden="false" customHeight="true" outlineLevel="0" collapsed="false">
      <c r="A1828" s="68"/>
      <c r="B1828" s="68"/>
      <c r="C1828" s="68"/>
      <c r="D1828" s="68"/>
      <c r="E1828" s="68"/>
      <c r="F1828" s="68"/>
      <c r="G1828" s="68"/>
      <c r="H1828" s="64" t="str">
        <f aca="false">IF(OR(A1828="",B1828=""),"",CONCATENATE("https://matarstund.is/serfaedi?id=",LOWER(SUBSTITUTE(B1828," ","-"))))</f>
        <v/>
      </c>
    </row>
    <row r="1829" customFormat="false" ht="15" hidden="false" customHeight="true" outlineLevel="0" collapsed="false">
      <c r="A1829" s="9"/>
      <c r="B1829" s="9"/>
      <c r="C1829" s="9"/>
      <c r="D1829" s="9"/>
      <c r="E1829" s="9"/>
      <c r="F1829" s="9"/>
      <c r="G1829" s="9"/>
      <c r="H1829" s="64" t="str">
        <f aca="false">IF(OR(A1829="",B1829=""),"",CONCATENATE("https://matarstund.is/serfaedi?id=",LOWER(SUBSTITUTE(B1829," ","-"))))</f>
        <v/>
      </c>
    </row>
    <row r="1830" customFormat="false" ht="15" hidden="false" customHeight="true" outlineLevel="0" collapsed="false">
      <c r="A1830" s="68"/>
      <c r="B1830" s="68"/>
      <c r="C1830" s="68"/>
      <c r="D1830" s="68"/>
      <c r="E1830" s="68"/>
      <c r="F1830" s="68"/>
      <c r="G1830" s="68"/>
      <c r="H1830" s="64" t="str">
        <f aca="false">IF(OR(A1830="",B1830=""),"",CONCATENATE("https://matarstund.is/serfaedi?id=",LOWER(SUBSTITUTE(B1830," ","-"))))</f>
        <v/>
      </c>
    </row>
    <row r="1831" customFormat="false" ht="15" hidden="false" customHeight="true" outlineLevel="0" collapsed="false">
      <c r="A1831" s="9"/>
      <c r="B1831" s="9"/>
      <c r="C1831" s="9"/>
      <c r="D1831" s="9"/>
      <c r="E1831" s="9"/>
      <c r="F1831" s="9"/>
      <c r="G1831" s="9"/>
      <c r="H1831" s="64" t="str">
        <f aca="false">IF(OR(A1831="",B1831=""),"",CONCATENATE("https://matarstund.is/serfaedi?id=",LOWER(SUBSTITUTE(B1831," ","-"))))</f>
        <v/>
      </c>
    </row>
    <row r="1832" customFormat="false" ht="15" hidden="false" customHeight="true" outlineLevel="0" collapsed="false">
      <c r="A1832" s="68"/>
      <c r="B1832" s="68"/>
      <c r="C1832" s="68"/>
      <c r="D1832" s="68"/>
      <c r="E1832" s="68"/>
      <c r="F1832" s="68"/>
      <c r="G1832" s="68"/>
      <c r="H1832" s="64" t="str">
        <f aca="false">IF(OR(A1832="",B1832=""),"",CONCATENATE("https://matarstund.is/serfaedi?id=",LOWER(SUBSTITUTE(B1832," ","-"))))</f>
        <v/>
      </c>
    </row>
    <row r="1833" customFormat="false" ht="15" hidden="false" customHeight="true" outlineLevel="0" collapsed="false">
      <c r="A1833" s="9"/>
      <c r="B1833" s="9"/>
      <c r="C1833" s="9"/>
      <c r="D1833" s="9"/>
      <c r="E1833" s="9"/>
      <c r="F1833" s="9"/>
      <c r="G1833" s="9"/>
      <c r="H1833" s="64" t="str">
        <f aca="false">IF(OR(A1833="",B1833=""),"",CONCATENATE("https://matarstund.is/serfaedi?id=",LOWER(SUBSTITUTE(B1833," ","-"))))</f>
        <v/>
      </c>
    </row>
    <row r="1834" customFormat="false" ht="15" hidden="false" customHeight="true" outlineLevel="0" collapsed="false">
      <c r="A1834" s="68"/>
      <c r="B1834" s="68"/>
      <c r="C1834" s="68"/>
      <c r="D1834" s="68"/>
      <c r="E1834" s="68"/>
      <c r="F1834" s="68"/>
      <c r="G1834" s="68"/>
      <c r="H1834" s="64" t="str">
        <f aca="false">IF(OR(A1834="",B1834=""),"",CONCATENATE("https://matarstund.is/serfaedi?id=",LOWER(SUBSTITUTE(B1834," ","-"))))</f>
        <v/>
      </c>
    </row>
    <row r="1835" customFormat="false" ht="15" hidden="false" customHeight="true" outlineLevel="0" collapsed="false">
      <c r="A1835" s="9"/>
      <c r="B1835" s="9"/>
      <c r="C1835" s="9"/>
      <c r="D1835" s="9"/>
      <c r="E1835" s="9"/>
      <c r="F1835" s="9"/>
      <c r="G1835" s="9"/>
      <c r="H1835" s="64" t="str">
        <f aca="false">IF(OR(A1835="",B1835=""),"",CONCATENATE("https://matarstund.is/serfaedi?id=",LOWER(SUBSTITUTE(B1835," ","-"))))</f>
        <v/>
      </c>
    </row>
    <row r="1836" customFormat="false" ht="15" hidden="false" customHeight="true" outlineLevel="0" collapsed="false">
      <c r="A1836" s="68"/>
      <c r="B1836" s="68"/>
      <c r="C1836" s="68"/>
      <c r="D1836" s="68"/>
      <c r="E1836" s="68"/>
      <c r="F1836" s="68"/>
      <c r="G1836" s="68"/>
      <c r="H1836" s="64" t="str">
        <f aca="false">IF(OR(A1836="",B1836=""),"",CONCATENATE("https://matarstund.is/serfaedi?id=",LOWER(SUBSTITUTE(B1836," ","-"))))</f>
        <v/>
      </c>
    </row>
    <row r="1837" customFormat="false" ht="15" hidden="false" customHeight="true" outlineLevel="0" collapsed="false">
      <c r="A1837" s="9"/>
      <c r="B1837" s="9"/>
      <c r="C1837" s="9"/>
      <c r="D1837" s="9"/>
      <c r="E1837" s="9"/>
      <c r="F1837" s="9"/>
      <c r="G1837" s="9"/>
      <c r="H1837" s="64" t="str">
        <f aca="false">IF(OR(A1837="",B1837=""),"",CONCATENATE("https://matarstund.is/serfaedi?id=",LOWER(SUBSTITUTE(B1837," ","-"))))</f>
        <v/>
      </c>
    </row>
    <row r="1838" customFormat="false" ht="15" hidden="false" customHeight="true" outlineLevel="0" collapsed="false">
      <c r="A1838" s="68"/>
      <c r="B1838" s="68"/>
      <c r="C1838" s="68"/>
      <c r="D1838" s="68"/>
      <c r="E1838" s="68"/>
      <c r="F1838" s="68"/>
      <c r="G1838" s="68"/>
      <c r="H1838" s="64" t="str">
        <f aca="false">IF(OR(A1838="",B1838=""),"",CONCATENATE("https://matarstund.is/serfaedi?id=",LOWER(SUBSTITUTE(B1838," ","-"))))</f>
        <v/>
      </c>
    </row>
    <row r="1839" customFormat="false" ht="15" hidden="false" customHeight="true" outlineLevel="0" collapsed="false">
      <c r="A1839" s="9"/>
      <c r="B1839" s="9"/>
      <c r="C1839" s="9"/>
      <c r="D1839" s="9"/>
      <c r="E1839" s="9"/>
      <c r="F1839" s="9"/>
      <c r="G1839" s="9"/>
      <c r="H1839" s="64" t="str">
        <f aca="false">IF(OR(A1839="",B1839=""),"",CONCATENATE("https://matarstund.is/serfaedi?id=",LOWER(SUBSTITUTE(B1839," ","-"))))</f>
        <v/>
      </c>
    </row>
    <row r="1840" customFormat="false" ht="15" hidden="false" customHeight="true" outlineLevel="0" collapsed="false">
      <c r="A1840" s="68"/>
      <c r="B1840" s="68"/>
      <c r="C1840" s="68"/>
      <c r="D1840" s="68"/>
      <c r="E1840" s="68"/>
      <c r="F1840" s="68"/>
      <c r="G1840" s="68"/>
      <c r="H1840" s="64" t="str">
        <f aca="false">IF(OR(A1840="",B1840=""),"",CONCATENATE("https://matarstund.is/serfaedi?id=",LOWER(SUBSTITUTE(B1840," ","-"))))</f>
        <v/>
      </c>
    </row>
    <row r="1841" customFormat="false" ht="15" hidden="false" customHeight="true" outlineLevel="0" collapsed="false">
      <c r="A1841" s="9"/>
      <c r="B1841" s="9"/>
      <c r="C1841" s="9"/>
      <c r="D1841" s="9"/>
      <c r="E1841" s="9"/>
      <c r="F1841" s="9"/>
      <c r="G1841" s="9"/>
      <c r="H1841" s="64" t="str">
        <f aca="false">IF(OR(A1841="",B1841=""),"",CONCATENATE("https://matarstund.is/serfaedi?id=",LOWER(SUBSTITUTE(B1841," ","-"))))</f>
        <v/>
      </c>
    </row>
    <row r="1842" customFormat="false" ht="15" hidden="false" customHeight="true" outlineLevel="0" collapsed="false">
      <c r="A1842" s="68"/>
      <c r="B1842" s="68"/>
      <c r="C1842" s="68"/>
      <c r="D1842" s="68"/>
      <c r="E1842" s="68"/>
      <c r="F1842" s="68"/>
      <c r="G1842" s="68"/>
      <c r="H1842" s="64" t="str">
        <f aca="false">IF(OR(A1842="",B1842=""),"",CONCATENATE("https://matarstund.is/serfaedi?id=",LOWER(SUBSTITUTE(B1842," ","-"))))</f>
        <v/>
      </c>
    </row>
    <row r="1843" customFormat="false" ht="15" hidden="false" customHeight="true" outlineLevel="0" collapsed="false">
      <c r="A1843" s="9"/>
      <c r="B1843" s="9"/>
      <c r="C1843" s="9"/>
      <c r="D1843" s="9"/>
      <c r="E1843" s="9"/>
      <c r="F1843" s="9"/>
      <c r="G1843" s="9"/>
      <c r="H1843" s="64" t="str">
        <f aca="false">IF(OR(A1843="",B1843=""),"",CONCATENATE("https://matarstund.is/serfaedi?id=",LOWER(SUBSTITUTE(B1843," ","-"))))</f>
        <v/>
      </c>
    </row>
    <row r="1844" customFormat="false" ht="15" hidden="false" customHeight="true" outlineLevel="0" collapsed="false">
      <c r="A1844" s="68"/>
      <c r="B1844" s="68"/>
      <c r="C1844" s="68"/>
      <c r="D1844" s="68"/>
      <c r="E1844" s="68"/>
      <c r="F1844" s="68"/>
      <c r="G1844" s="68"/>
      <c r="H1844" s="64" t="str">
        <f aca="false">IF(OR(A1844="",B1844=""),"",CONCATENATE("https://matarstund.is/serfaedi?id=",LOWER(SUBSTITUTE(B1844," ","-"))))</f>
        <v/>
      </c>
    </row>
    <row r="1845" customFormat="false" ht="15" hidden="false" customHeight="true" outlineLevel="0" collapsed="false">
      <c r="A1845" s="9"/>
      <c r="B1845" s="9"/>
      <c r="C1845" s="9"/>
      <c r="D1845" s="9"/>
      <c r="E1845" s="9"/>
      <c r="F1845" s="9"/>
      <c r="G1845" s="9"/>
      <c r="H1845" s="64" t="str">
        <f aca="false">IF(OR(A1845="",B1845=""),"",CONCATENATE("https://matarstund.is/serfaedi?id=",LOWER(SUBSTITUTE(B1845," ","-"))))</f>
        <v/>
      </c>
    </row>
    <row r="1846" customFormat="false" ht="15" hidden="false" customHeight="true" outlineLevel="0" collapsed="false">
      <c r="A1846" s="68"/>
      <c r="B1846" s="68"/>
      <c r="C1846" s="68"/>
      <c r="D1846" s="68"/>
      <c r="E1846" s="68"/>
      <c r="F1846" s="68"/>
      <c r="G1846" s="68"/>
      <c r="H1846" s="64" t="str">
        <f aca="false">IF(OR(A1846="",B1846=""),"",CONCATENATE("https://matarstund.is/serfaedi?id=",LOWER(SUBSTITUTE(B1846," ","-"))))</f>
        <v/>
      </c>
    </row>
    <row r="1847" customFormat="false" ht="15" hidden="false" customHeight="true" outlineLevel="0" collapsed="false">
      <c r="A1847" s="9"/>
      <c r="B1847" s="9"/>
      <c r="C1847" s="9"/>
      <c r="D1847" s="9"/>
      <c r="E1847" s="9"/>
      <c r="F1847" s="9"/>
      <c r="G1847" s="9"/>
      <c r="H1847" s="64" t="str">
        <f aca="false">IF(OR(A1847="",B1847=""),"",CONCATENATE("https://matarstund.is/serfaedi?id=",LOWER(SUBSTITUTE(B1847," ","-"))))</f>
        <v/>
      </c>
    </row>
    <row r="1848" customFormat="false" ht="15" hidden="false" customHeight="true" outlineLevel="0" collapsed="false">
      <c r="A1848" s="68"/>
      <c r="B1848" s="68"/>
      <c r="C1848" s="68"/>
      <c r="D1848" s="68"/>
      <c r="E1848" s="68"/>
      <c r="F1848" s="68"/>
      <c r="G1848" s="68"/>
      <c r="H1848" s="64" t="str">
        <f aca="false">IF(OR(A1848="",B1848=""),"",CONCATENATE("https://matarstund.is/serfaedi?id=",LOWER(SUBSTITUTE(B1848," ","-"))))</f>
        <v/>
      </c>
    </row>
    <row r="1849" customFormat="false" ht="15" hidden="false" customHeight="true" outlineLevel="0" collapsed="false">
      <c r="A1849" s="9"/>
      <c r="B1849" s="9"/>
      <c r="C1849" s="9"/>
      <c r="D1849" s="9"/>
      <c r="E1849" s="9"/>
      <c r="F1849" s="9"/>
      <c r="G1849" s="9"/>
      <c r="H1849" s="64" t="str">
        <f aca="false">IF(OR(A1849="",B1849=""),"",CONCATENATE("https://matarstund.is/serfaedi?id=",LOWER(SUBSTITUTE(B1849," ","-"))))</f>
        <v/>
      </c>
    </row>
    <row r="1850" customFormat="false" ht="15" hidden="false" customHeight="true" outlineLevel="0" collapsed="false">
      <c r="A1850" s="68"/>
      <c r="B1850" s="68"/>
      <c r="C1850" s="68"/>
      <c r="D1850" s="68"/>
      <c r="E1850" s="68"/>
      <c r="F1850" s="68"/>
      <c r="G1850" s="68"/>
      <c r="H1850" s="64" t="str">
        <f aca="false">IF(OR(A1850="",B1850=""),"",CONCATENATE("https://matarstund.is/serfaedi?id=",LOWER(SUBSTITUTE(B1850," ","-"))))</f>
        <v/>
      </c>
    </row>
    <row r="1851" customFormat="false" ht="15" hidden="false" customHeight="true" outlineLevel="0" collapsed="false">
      <c r="A1851" s="9"/>
      <c r="B1851" s="9"/>
      <c r="C1851" s="9"/>
      <c r="D1851" s="9"/>
      <c r="E1851" s="9"/>
      <c r="F1851" s="9"/>
      <c r="G1851" s="9"/>
      <c r="H1851" s="64" t="str">
        <f aca="false">IF(OR(A1851="",B1851=""),"",CONCATENATE("https://matarstund.is/serfaedi?id=",LOWER(SUBSTITUTE(B1851," ","-"))))</f>
        <v/>
      </c>
    </row>
    <row r="1852" customFormat="false" ht="15" hidden="false" customHeight="true" outlineLevel="0" collapsed="false">
      <c r="A1852" s="68"/>
      <c r="B1852" s="68"/>
      <c r="C1852" s="68"/>
      <c r="D1852" s="68"/>
      <c r="E1852" s="68"/>
      <c r="F1852" s="68"/>
      <c r="G1852" s="68"/>
      <c r="H1852" s="64" t="str">
        <f aca="false">IF(OR(A1852="",B1852=""),"",CONCATENATE("https://matarstund.is/serfaedi?id=",LOWER(SUBSTITUTE(B1852," ","-"))))</f>
        <v/>
      </c>
    </row>
    <row r="1853" customFormat="false" ht="15" hidden="false" customHeight="true" outlineLevel="0" collapsed="false">
      <c r="A1853" s="9"/>
      <c r="B1853" s="9"/>
      <c r="C1853" s="9"/>
      <c r="D1853" s="9"/>
      <c r="E1853" s="9"/>
      <c r="F1853" s="9"/>
      <c r="G1853" s="9"/>
      <c r="H1853" s="64" t="str">
        <f aca="false">IF(OR(A1853="",B1853=""),"",CONCATENATE("https://matarstund.is/serfaedi?id=",LOWER(SUBSTITUTE(B1853," ","-"))))</f>
        <v/>
      </c>
    </row>
    <row r="1854" customFormat="false" ht="15" hidden="false" customHeight="true" outlineLevel="0" collapsed="false">
      <c r="A1854" s="68"/>
      <c r="B1854" s="68"/>
      <c r="C1854" s="68"/>
      <c r="D1854" s="68"/>
      <c r="E1854" s="68"/>
      <c r="F1854" s="68"/>
      <c r="G1854" s="68"/>
      <c r="H1854" s="64" t="str">
        <f aca="false">IF(OR(A1854="",B1854=""),"",CONCATENATE("https://matarstund.is/serfaedi?id=",LOWER(SUBSTITUTE(B1854," ","-"))))</f>
        <v/>
      </c>
    </row>
    <row r="1855" customFormat="false" ht="15" hidden="false" customHeight="true" outlineLevel="0" collapsed="false">
      <c r="A1855" s="9"/>
      <c r="B1855" s="9"/>
      <c r="C1855" s="9"/>
      <c r="D1855" s="9"/>
      <c r="E1855" s="9"/>
      <c r="F1855" s="9"/>
      <c r="G1855" s="9"/>
      <c r="H1855" s="64" t="str">
        <f aca="false">IF(OR(A1855="",B1855=""),"",CONCATENATE("https://matarstund.is/serfaedi?id=",LOWER(SUBSTITUTE(B1855," ","-"))))</f>
        <v/>
      </c>
    </row>
    <row r="1856" customFormat="false" ht="15" hidden="false" customHeight="true" outlineLevel="0" collapsed="false">
      <c r="A1856" s="68"/>
      <c r="B1856" s="68"/>
      <c r="C1856" s="68"/>
      <c r="D1856" s="68"/>
      <c r="E1856" s="68"/>
      <c r="F1856" s="68"/>
      <c r="G1856" s="68"/>
      <c r="H1856" s="64" t="str">
        <f aca="false">IF(OR(A1856="",B1856=""),"",CONCATENATE("https://matarstund.is/serfaedi?id=",LOWER(SUBSTITUTE(B1856," ","-"))))</f>
        <v/>
      </c>
    </row>
    <row r="1857" customFormat="false" ht="15" hidden="false" customHeight="true" outlineLevel="0" collapsed="false">
      <c r="A1857" s="9"/>
      <c r="B1857" s="9"/>
      <c r="C1857" s="9"/>
      <c r="D1857" s="9"/>
      <c r="E1857" s="9"/>
      <c r="F1857" s="9"/>
      <c r="G1857" s="9"/>
      <c r="H1857" s="64" t="str">
        <f aca="false">IF(OR(A1857="",B1857=""),"",CONCATENATE("https://matarstund.is/serfaedi?id=",LOWER(SUBSTITUTE(B1857," ","-"))))</f>
        <v/>
      </c>
    </row>
    <row r="1858" customFormat="false" ht="15" hidden="false" customHeight="true" outlineLevel="0" collapsed="false">
      <c r="A1858" s="68"/>
      <c r="B1858" s="68"/>
      <c r="C1858" s="68"/>
      <c r="D1858" s="68"/>
      <c r="E1858" s="68"/>
      <c r="F1858" s="68"/>
      <c r="G1858" s="68"/>
      <c r="H1858" s="64" t="str">
        <f aca="false">IF(OR(A1858="",B1858=""),"",CONCATENATE("https://matarstund.is/serfaedi?id=",LOWER(SUBSTITUTE(B1858," ","-"))))</f>
        <v/>
      </c>
    </row>
    <row r="1859" customFormat="false" ht="15" hidden="false" customHeight="true" outlineLevel="0" collapsed="false">
      <c r="A1859" s="9"/>
      <c r="B1859" s="9"/>
      <c r="C1859" s="9"/>
      <c r="D1859" s="9"/>
      <c r="E1859" s="9"/>
      <c r="F1859" s="9"/>
      <c r="G1859" s="9"/>
      <c r="H1859" s="64" t="str">
        <f aca="false">IF(OR(A1859="",B1859=""),"",CONCATENATE("https://matarstund.is/serfaedi?id=",LOWER(SUBSTITUTE(B1859," ","-"))))</f>
        <v/>
      </c>
    </row>
    <row r="1860" customFormat="false" ht="15" hidden="false" customHeight="true" outlineLevel="0" collapsed="false">
      <c r="A1860" s="68"/>
      <c r="B1860" s="68"/>
      <c r="C1860" s="68"/>
      <c r="D1860" s="68"/>
      <c r="E1860" s="68"/>
      <c r="F1860" s="68"/>
      <c r="G1860" s="68"/>
      <c r="H1860" s="64" t="str">
        <f aca="false">IF(OR(A1860="",B1860=""),"",CONCATENATE("https://matarstund.is/serfaedi?id=",LOWER(SUBSTITUTE(B1860," ","-"))))</f>
        <v/>
      </c>
    </row>
    <row r="1861" customFormat="false" ht="15" hidden="false" customHeight="true" outlineLevel="0" collapsed="false">
      <c r="A1861" s="9"/>
      <c r="B1861" s="9"/>
      <c r="C1861" s="9"/>
      <c r="D1861" s="9"/>
      <c r="E1861" s="9"/>
      <c r="F1861" s="9"/>
      <c r="G1861" s="9"/>
      <c r="H1861" s="64" t="str">
        <f aca="false">IF(OR(A1861="",B1861=""),"",CONCATENATE("https://matarstund.is/serfaedi?id=",LOWER(SUBSTITUTE(B1861," ","-"))))</f>
        <v/>
      </c>
    </row>
    <row r="1862" customFormat="false" ht="15" hidden="false" customHeight="true" outlineLevel="0" collapsed="false">
      <c r="A1862" s="68"/>
      <c r="B1862" s="68"/>
      <c r="C1862" s="68"/>
      <c r="D1862" s="68"/>
      <c r="E1862" s="68"/>
      <c r="F1862" s="68"/>
      <c r="G1862" s="68"/>
      <c r="H1862" s="64" t="str">
        <f aca="false">IF(OR(A1862="",B1862=""),"",CONCATENATE("https://matarstund.is/serfaedi?id=",LOWER(SUBSTITUTE(B1862," ","-"))))</f>
        <v/>
      </c>
    </row>
    <row r="1863" customFormat="false" ht="15" hidden="false" customHeight="true" outlineLevel="0" collapsed="false">
      <c r="A1863" s="9"/>
      <c r="B1863" s="9"/>
      <c r="C1863" s="9"/>
      <c r="D1863" s="9"/>
      <c r="E1863" s="9"/>
      <c r="F1863" s="9"/>
      <c r="G1863" s="9"/>
      <c r="H1863" s="64" t="str">
        <f aca="false">IF(OR(A1863="",B1863=""),"",CONCATENATE("https://matarstund.is/serfaedi?id=",LOWER(SUBSTITUTE(B1863," ","-"))))</f>
        <v/>
      </c>
    </row>
    <row r="1864" customFormat="false" ht="15" hidden="false" customHeight="true" outlineLevel="0" collapsed="false">
      <c r="A1864" s="68"/>
      <c r="B1864" s="68"/>
      <c r="C1864" s="68"/>
      <c r="D1864" s="68"/>
      <c r="E1864" s="68"/>
      <c r="F1864" s="68"/>
      <c r="G1864" s="68"/>
      <c r="H1864" s="64" t="str">
        <f aca="false">IF(OR(A1864="",B1864=""),"",CONCATENATE("https://matarstund.is/serfaedi?id=",LOWER(SUBSTITUTE(B1864," ","-"))))</f>
        <v/>
      </c>
    </row>
    <row r="1865" customFormat="false" ht="15" hidden="false" customHeight="true" outlineLevel="0" collapsed="false">
      <c r="A1865" s="9"/>
      <c r="B1865" s="9"/>
      <c r="C1865" s="9"/>
      <c r="D1865" s="9"/>
      <c r="E1865" s="9"/>
      <c r="F1865" s="9"/>
      <c r="G1865" s="9"/>
      <c r="H1865" s="64" t="str">
        <f aca="false">IF(OR(A1865="",B1865=""),"",CONCATENATE("https://matarstund.is/serfaedi?id=",LOWER(SUBSTITUTE(B1865," ","-"))))</f>
        <v/>
      </c>
    </row>
    <row r="1866" customFormat="false" ht="15" hidden="false" customHeight="true" outlineLevel="0" collapsed="false">
      <c r="A1866" s="68"/>
      <c r="B1866" s="68"/>
      <c r="C1866" s="68"/>
      <c r="D1866" s="68"/>
      <c r="E1866" s="68"/>
      <c r="F1866" s="68"/>
      <c r="G1866" s="68"/>
      <c r="H1866" s="64" t="str">
        <f aca="false">IF(OR(A1866="",B1866=""),"",CONCATENATE("https://matarstund.is/serfaedi?id=",LOWER(SUBSTITUTE(B1866," ","-"))))</f>
        <v/>
      </c>
    </row>
    <row r="1867" customFormat="false" ht="15" hidden="false" customHeight="true" outlineLevel="0" collapsed="false">
      <c r="A1867" s="9"/>
      <c r="B1867" s="9"/>
      <c r="C1867" s="9"/>
      <c r="D1867" s="9"/>
      <c r="E1867" s="9"/>
      <c r="F1867" s="9"/>
      <c r="G1867" s="9"/>
      <c r="H1867" s="64" t="str">
        <f aca="false">IF(OR(A1867="",B1867=""),"",CONCATENATE("https://matarstund.is/serfaedi?id=",LOWER(SUBSTITUTE(B1867," ","-"))))</f>
        <v/>
      </c>
    </row>
    <row r="1868" customFormat="false" ht="15" hidden="false" customHeight="true" outlineLevel="0" collapsed="false">
      <c r="A1868" s="68"/>
      <c r="B1868" s="68"/>
      <c r="C1868" s="68"/>
      <c r="D1868" s="68"/>
      <c r="E1868" s="68"/>
      <c r="F1868" s="68"/>
      <c r="G1868" s="68"/>
      <c r="H1868" s="64" t="str">
        <f aca="false">IF(OR(A1868="",B1868=""),"",CONCATENATE("https://matarstund.is/serfaedi?id=",LOWER(SUBSTITUTE(B1868," ","-"))))</f>
        <v/>
      </c>
    </row>
    <row r="1869" customFormat="false" ht="15" hidden="false" customHeight="true" outlineLevel="0" collapsed="false">
      <c r="A1869" s="9"/>
      <c r="B1869" s="9"/>
      <c r="C1869" s="9"/>
      <c r="D1869" s="9"/>
      <c r="E1869" s="9"/>
      <c r="F1869" s="9"/>
      <c r="G1869" s="9"/>
      <c r="H1869" s="64" t="str">
        <f aca="false">IF(OR(A1869="",B1869=""),"",CONCATENATE("https://matarstund.is/serfaedi?id=",LOWER(SUBSTITUTE(B1869," ","-"))))</f>
        <v/>
      </c>
    </row>
    <row r="1870" customFormat="false" ht="15" hidden="false" customHeight="true" outlineLevel="0" collapsed="false">
      <c r="A1870" s="68"/>
      <c r="B1870" s="68"/>
      <c r="C1870" s="68"/>
      <c r="D1870" s="68"/>
      <c r="E1870" s="68"/>
      <c r="F1870" s="68"/>
      <c r="G1870" s="68"/>
      <c r="H1870" s="64" t="str">
        <f aca="false">IF(OR(A1870="",B1870=""),"",CONCATENATE("https://matarstund.is/serfaedi?id=",LOWER(SUBSTITUTE(B1870," ","-"))))</f>
        <v/>
      </c>
    </row>
    <row r="1871" customFormat="false" ht="15" hidden="false" customHeight="true" outlineLevel="0" collapsed="false">
      <c r="A1871" s="9"/>
      <c r="B1871" s="9"/>
      <c r="C1871" s="9"/>
      <c r="D1871" s="9"/>
      <c r="E1871" s="9"/>
      <c r="F1871" s="9"/>
      <c r="G1871" s="9"/>
      <c r="H1871" s="64" t="str">
        <f aca="false">IF(OR(A1871="",B1871=""),"",CONCATENATE("https://matarstund.is/serfaedi?id=",LOWER(SUBSTITUTE(B1871," ","-"))))</f>
        <v/>
      </c>
    </row>
    <row r="1872" customFormat="false" ht="15" hidden="false" customHeight="true" outlineLevel="0" collapsed="false">
      <c r="A1872" s="68"/>
      <c r="B1872" s="68"/>
      <c r="C1872" s="68"/>
      <c r="D1872" s="68"/>
      <c r="E1872" s="68"/>
      <c r="F1872" s="68"/>
      <c r="G1872" s="68"/>
      <c r="H1872" s="64" t="str">
        <f aca="false">IF(OR(A1872="",B1872=""),"",CONCATENATE("https://matarstund.is/serfaedi?id=",LOWER(SUBSTITUTE(B1872," ","-"))))</f>
        <v/>
      </c>
    </row>
    <row r="1873" customFormat="false" ht="15" hidden="false" customHeight="true" outlineLevel="0" collapsed="false">
      <c r="A1873" s="9"/>
      <c r="B1873" s="9"/>
      <c r="C1873" s="9"/>
      <c r="D1873" s="9"/>
      <c r="E1873" s="9"/>
      <c r="F1873" s="9"/>
      <c r="G1873" s="9"/>
      <c r="H1873" s="64" t="str">
        <f aca="false">IF(OR(A1873="",B1873=""),"",CONCATENATE("https://matarstund.is/serfaedi?id=",LOWER(SUBSTITUTE(B1873," ","-"))))</f>
        <v/>
      </c>
    </row>
    <row r="1874" customFormat="false" ht="15" hidden="false" customHeight="true" outlineLevel="0" collapsed="false">
      <c r="A1874" s="68"/>
      <c r="B1874" s="68"/>
      <c r="C1874" s="68"/>
      <c r="D1874" s="68"/>
      <c r="E1874" s="68"/>
      <c r="F1874" s="68"/>
      <c r="G1874" s="68"/>
      <c r="H1874" s="64" t="str">
        <f aca="false">IF(OR(A1874="",B1874=""),"",CONCATENATE("https://matarstund.is/serfaedi?id=",LOWER(SUBSTITUTE(B1874," ","-"))))</f>
        <v/>
      </c>
    </row>
    <row r="1875" customFormat="false" ht="15" hidden="false" customHeight="true" outlineLevel="0" collapsed="false">
      <c r="A1875" s="9"/>
      <c r="B1875" s="9"/>
      <c r="C1875" s="9"/>
      <c r="D1875" s="9"/>
      <c r="E1875" s="9"/>
      <c r="F1875" s="9"/>
      <c r="G1875" s="9"/>
      <c r="H1875" s="64" t="str">
        <f aca="false">IF(OR(A1875="",B1875=""),"",CONCATENATE("https://matarstund.is/serfaedi?id=",LOWER(SUBSTITUTE(B1875," ","-"))))</f>
        <v/>
      </c>
    </row>
    <row r="1876" customFormat="false" ht="15" hidden="false" customHeight="true" outlineLevel="0" collapsed="false">
      <c r="A1876" s="68"/>
      <c r="B1876" s="68"/>
      <c r="C1876" s="68"/>
      <c r="D1876" s="68"/>
      <c r="E1876" s="68"/>
      <c r="F1876" s="68"/>
      <c r="G1876" s="68"/>
      <c r="H1876" s="64" t="str">
        <f aca="false">IF(OR(A1876="",B1876=""),"",CONCATENATE("https://matarstund.is/serfaedi?id=",LOWER(SUBSTITUTE(B1876," ","-"))))</f>
        <v/>
      </c>
    </row>
    <row r="1877" customFormat="false" ht="15" hidden="false" customHeight="true" outlineLevel="0" collapsed="false">
      <c r="A1877" s="9"/>
      <c r="B1877" s="9"/>
      <c r="C1877" s="9"/>
      <c r="D1877" s="9"/>
      <c r="E1877" s="9"/>
      <c r="F1877" s="9"/>
      <c r="G1877" s="9"/>
      <c r="H1877" s="64" t="str">
        <f aca="false">IF(OR(A1877="",B1877=""),"",CONCATENATE("https://matarstund.is/serfaedi?id=",LOWER(SUBSTITUTE(B1877," ","-"))))</f>
        <v/>
      </c>
    </row>
    <row r="1878" customFormat="false" ht="15" hidden="false" customHeight="true" outlineLevel="0" collapsed="false">
      <c r="A1878" s="68"/>
      <c r="B1878" s="68"/>
      <c r="C1878" s="68"/>
      <c r="D1878" s="68"/>
      <c r="E1878" s="68"/>
      <c r="F1878" s="68"/>
      <c r="G1878" s="68"/>
      <c r="H1878" s="64" t="str">
        <f aca="false">IF(OR(A1878="",B1878=""),"",CONCATENATE("https://matarstund.is/serfaedi?id=",LOWER(SUBSTITUTE(B1878," ","-"))))</f>
        <v/>
      </c>
    </row>
    <row r="1879" customFormat="false" ht="15" hidden="false" customHeight="true" outlineLevel="0" collapsed="false">
      <c r="A1879" s="9"/>
      <c r="B1879" s="9"/>
      <c r="C1879" s="9"/>
      <c r="D1879" s="9"/>
      <c r="E1879" s="9"/>
      <c r="F1879" s="9"/>
      <c r="G1879" s="9"/>
      <c r="H1879" s="64" t="str">
        <f aca="false">IF(OR(A1879="",B1879=""),"",CONCATENATE("https://matarstund.is/serfaedi?id=",LOWER(SUBSTITUTE(B1879," ","-"))))</f>
        <v/>
      </c>
    </row>
    <row r="1880" customFormat="false" ht="15" hidden="false" customHeight="true" outlineLevel="0" collapsed="false">
      <c r="A1880" s="68"/>
      <c r="B1880" s="68"/>
      <c r="C1880" s="68"/>
      <c r="D1880" s="68"/>
      <c r="E1880" s="68"/>
      <c r="F1880" s="68"/>
      <c r="G1880" s="68"/>
      <c r="H1880" s="64" t="str">
        <f aca="false">IF(OR(A1880="",B1880=""),"",CONCATENATE("https://matarstund.is/serfaedi?id=",LOWER(SUBSTITUTE(B1880," ","-"))))</f>
        <v/>
      </c>
    </row>
    <row r="1881" customFormat="false" ht="15" hidden="false" customHeight="true" outlineLevel="0" collapsed="false">
      <c r="A1881" s="9"/>
      <c r="B1881" s="9"/>
      <c r="C1881" s="9"/>
      <c r="D1881" s="9"/>
      <c r="E1881" s="9"/>
      <c r="F1881" s="9"/>
      <c r="G1881" s="9"/>
      <c r="H1881" s="64" t="str">
        <f aca="false">IF(OR(A1881="",B1881=""),"",CONCATENATE("https://matarstund.is/serfaedi?id=",LOWER(SUBSTITUTE(B1881," ","-"))))</f>
        <v/>
      </c>
    </row>
    <row r="1882" customFormat="false" ht="15" hidden="false" customHeight="true" outlineLevel="0" collapsed="false">
      <c r="A1882" s="68"/>
      <c r="B1882" s="68"/>
      <c r="C1882" s="68"/>
      <c r="D1882" s="68"/>
      <c r="E1882" s="68"/>
      <c r="F1882" s="68"/>
      <c r="G1882" s="68"/>
      <c r="H1882" s="64" t="str">
        <f aca="false">IF(OR(A1882="",B1882=""),"",CONCATENATE("https://matarstund.is/serfaedi?id=",LOWER(SUBSTITUTE(B1882," ","-"))))</f>
        <v/>
      </c>
    </row>
    <row r="1883" customFormat="false" ht="15" hidden="false" customHeight="true" outlineLevel="0" collapsed="false">
      <c r="A1883" s="9"/>
      <c r="B1883" s="9"/>
      <c r="C1883" s="9"/>
      <c r="D1883" s="9"/>
      <c r="E1883" s="9"/>
      <c r="F1883" s="9"/>
      <c r="G1883" s="9"/>
      <c r="H1883" s="64" t="str">
        <f aca="false">IF(OR(A1883="",B1883=""),"",CONCATENATE("https://matarstund.is/serfaedi?id=",LOWER(SUBSTITUTE(B1883," ","-"))))</f>
        <v/>
      </c>
    </row>
    <row r="1884" customFormat="false" ht="15" hidden="false" customHeight="true" outlineLevel="0" collapsed="false">
      <c r="A1884" s="68"/>
      <c r="B1884" s="68"/>
      <c r="C1884" s="68"/>
      <c r="D1884" s="68"/>
      <c r="E1884" s="68"/>
      <c r="F1884" s="68"/>
      <c r="G1884" s="68"/>
      <c r="H1884" s="64" t="str">
        <f aca="false">IF(OR(A1884="",B1884=""),"",CONCATENATE("https://matarstund.is/serfaedi?id=",LOWER(SUBSTITUTE(B1884," ","-"))))</f>
        <v/>
      </c>
    </row>
    <row r="1885" customFormat="false" ht="15" hidden="false" customHeight="true" outlineLevel="0" collapsed="false">
      <c r="A1885" s="9"/>
      <c r="B1885" s="9"/>
      <c r="C1885" s="9"/>
      <c r="D1885" s="9"/>
      <c r="E1885" s="9"/>
      <c r="F1885" s="9"/>
      <c r="G1885" s="9"/>
      <c r="H1885" s="64" t="str">
        <f aca="false">IF(OR(A1885="",B1885=""),"",CONCATENATE("https://matarstund.is/serfaedi?id=",LOWER(SUBSTITUTE(B1885," ","-"))))</f>
        <v/>
      </c>
    </row>
    <row r="1886" customFormat="false" ht="15" hidden="false" customHeight="true" outlineLevel="0" collapsed="false">
      <c r="A1886" s="68"/>
      <c r="B1886" s="68"/>
      <c r="C1886" s="68"/>
      <c r="D1886" s="68"/>
      <c r="E1886" s="68"/>
      <c r="F1886" s="68"/>
      <c r="G1886" s="68"/>
      <c r="H1886" s="64" t="str">
        <f aca="false">IF(OR(A1886="",B1886=""),"",CONCATENATE("https://matarstund.is/serfaedi?id=",LOWER(SUBSTITUTE(B1886," ","-"))))</f>
        <v/>
      </c>
    </row>
    <row r="1887" customFormat="false" ht="15" hidden="false" customHeight="true" outlineLevel="0" collapsed="false">
      <c r="A1887" s="9"/>
      <c r="B1887" s="9"/>
      <c r="C1887" s="9"/>
      <c r="D1887" s="9"/>
      <c r="E1887" s="9"/>
      <c r="F1887" s="9"/>
      <c r="G1887" s="9"/>
      <c r="H1887" s="64" t="str">
        <f aca="false">IF(OR(A1887="",B1887=""),"",CONCATENATE("https://matarstund.is/serfaedi?id=",LOWER(SUBSTITUTE(B1887," ","-"))))</f>
        <v/>
      </c>
    </row>
    <row r="1888" customFormat="false" ht="15" hidden="false" customHeight="true" outlineLevel="0" collapsed="false">
      <c r="A1888" s="68"/>
      <c r="B1888" s="68"/>
      <c r="C1888" s="68"/>
      <c r="D1888" s="68"/>
      <c r="E1888" s="68"/>
      <c r="F1888" s="68"/>
      <c r="G1888" s="68"/>
      <c r="H1888" s="64" t="str">
        <f aca="false">IF(OR(A1888="",B1888=""),"",CONCATENATE("https://matarstund.is/serfaedi?id=",LOWER(SUBSTITUTE(B1888," ","-"))))</f>
        <v/>
      </c>
    </row>
    <row r="1889" customFormat="false" ht="15" hidden="false" customHeight="true" outlineLevel="0" collapsed="false">
      <c r="A1889" s="9"/>
      <c r="B1889" s="9"/>
      <c r="C1889" s="9"/>
      <c r="D1889" s="9"/>
      <c r="E1889" s="9"/>
      <c r="F1889" s="9"/>
      <c r="G1889" s="9"/>
      <c r="H1889" s="64" t="str">
        <f aca="false">IF(OR(A1889="",B1889=""),"",CONCATENATE("https://matarstund.is/serfaedi?id=",LOWER(SUBSTITUTE(B1889," ","-"))))</f>
        <v/>
      </c>
    </row>
    <row r="1890" customFormat="false" ht="15" hidden="false" customHeight="true" outlineLevel="0" collapsed="false">
      <c r="A1890" s="68"/>
      <c r="B1890" s="68"/>
      <c r="C1890" s="68"/>
      <c r="D1890" s="68"/>
      <c r="E1890" s="68"/>
      <c r="F1890" s="68"/>
      <c r="G1890" s="68"/>
      <c r="H1890" s="64" t="str">
        <f aca="false">IF(OR(A1890="",B1890=""),"",CONCATENATE("https://matarstund.is/serfaedi?id=",LOWER(SUBSTITUTE(B1890," ","-"))))</f>
        <v/>
      </c>
    </row>
    <row r="1891" customFormat="false" ht="15" hidden="false" customHeight="true" outlineLevel="0" collapsed="false">
      <c r="A1891" s="9"/>
      <c r="B1891" s="9"/>
      <c r="C1891" s="9"/>
      <c r="D1891" s="9"/>
      <c r="E1891" s="9"/>
      <c r="F1891" s="9"/>
      <c r="G1891" s="9"/>
      <c r="H1891" s="64" t="str">
        <f aca="false">IF(OR(A1891="",B1891=""),"",CONCATENATE("https://matarstund.is/serfaedi?id=",LOWER(SUBSTITUTE(B1891," ","-"))))</f>
        <v/>
      </c>
    </row>
    <row r="1892" customFormat="false" ht="15" hidden="false" customHeight="true" outlineLevel="0" collapsed="false">
      <c r="A1892" s="68"/>
      <c r="B1892" s="68"/>
      <c r="C1892" s="68"/>
      <c r="D1892" s="68"/>
      <c r="E1892" s="68"/>
      <c r="F1892" s="68"/>
      <c r="G1892" s="68"/>
      <c r="H1892" s="64" t="str">
        <f aca="false">IF(OR(A1892="",B1892=""),"",CONCATENATE("https://matarstund.is/serfaedi?id=",LOWER(SUBSTITUTE(B1892," ","-"))))</f>
        <v/>
      </c>
    </row>
    <row r="1893" customFormat="false" ht="15" hidden="false" customHeight="true" outlineLevel="0" collapsed="false">
      <c r="A1893" s="9"/>
      <c r="B1893" s="9"/>
      <c r="C1893" s="9"/>
      <c r="D1893" s="9"/>
      <c r="E1893" s="9"/>
      <c r="F1893" s="9"/>
      <c r="G1893" s="9"/>
      <c r="H1893" s="64" t="str">
        <f aca="false">IF(OR(A1893="",B1893=""),"",CONCATENATE("https://matarstund.is/serfaedi?id=",LOWER(SUBSTITUTE(B1893," ","-"))))</f>
        <v/>
      </c>
    </row>
    <row r="1894" customFormat="false" ht="15" hidden="false" customHeight="true" outlineLevel="0" collapsed="false">
      <c r="A1894" s="68"/>
      <c r="B1894" s="68"/>
      <c r="C1894" s="68"/>
      <c r="D1894" s="68"/>
      <c r="E1894" s="68"/>
      <c r="F1894" s="68"/>
      <c r="G1894" s="68"/>
      <c r="H1894" s="64" t="str">
        <f aca="false">IF(OR(A1894="",B1894=""),"",CONCATENATE("https://matarstund.is/serfaedi?id=",LOWER(SUBSTITUTE(B1894," ","-"))))</f>
        <v/>
      </c>
    </row>
    <row r="1895" customFormat="false" ht="15" hidden="false" customHeight="true" outlineLevel="0" collapsed="false">
      <c r="A1895" s="9"/>
      <c r="B1895" s="9"/>
      <c r="C1895" s="9"/>
      <c r="D1895" s="9"/>
      <c r="E1895" s="9"/>
      <c r="F1895" s="9"/>
      <c r="G1895" s="9"/>
      <c r="H1895" s="64" t="str">
        <f aca="false">IF(OR(A1895="",B1895=""),"",CONCATENATE("https://matarstund.is/serfaedi?id=",LOWER(SUBSTITUTE(B1895," ","-"))))</f>
        <v/>
      </c>
    </row>
    <row r="1896" customFormat="false" ht="15" hidden="false" customHeight="true" outlineLevel="0" collapsed="false">
      <c r="A1896" s="68"/>
      <c r="B1896" s="68"/>
      <c r="C1896" s="68"/>
      <c r="D1896" s="68"/>
      <c r="E1896" s="68"/>
      <c r="F1896" s="68"/>
      <c r="G1896" s="68"/>
      <c r="H1896" s="64" t="str">
        <f aca="false">IF(OR(A1896="",B1896=""),"",CONCATENATE("https://matarstund.is/serfaedi?id=",LOWER(SUBSTITUTE(B1896," ","-"))))</f>
        <v/>
      </c>
    </row>
    <row r="1897" customFormat="false" ht="15" hidden="false" customHeight="true" outlineLevel="0" collapsed="false">
      <c r="A1897" s="9"/>
      <c r="B1897" s="9"/>
      <c r="C1897" s="9"/>
      <c r="D1897" s="9"/>
      <c r="E1897" s="9"/>
      <c r="F1897" s="9"/>
      <c r="G1897" s="9"/>
      <c r="H1897" s="64" t="str">
        <f aca="false">IF(OR(A1897="",B1897=""),"",CONCATENATE("https://matarstund.is/serfaedi?id=",LOWER(SUBSTITUTE(B1897," ","-"))))</f>
        <v/>
      </c>
    </row>
    <row r="1898" customFormat="false" ht="15" hidden="false" customHeight="true" outlineLevel="0" collapsed="false">
      <c r="A1898" s="68"/>
      <c r="B1898" s="68"/>
      <c r="C1898" s="68"/>
      <c r="D1898" s="68"/>
      <c r="E1898" s="68"/>
      <c r="F1898" s="68"/>
      <c r="G1898" s="68"/>
      <c r="H1898" s="64" t="str">
        <f aca="false">IF(OR(A1898="",B1898=""),"",CONCATENATE("https://matarstund.is/serfaedi?id=",LOWER(SUBSTITUTE(B1898," ","-"))))</f>
        <v/>
      </c>
    </row>
    <row r="1899" customFormat="false" ht="15" hidden="false" customHeight="true" outlineLevel="0" collapsed="false">
      <c r="A1899" s="9"/>
      <c r="B1899" s="9"/>
      <c r="C1899" s="9"/>
      <c r="D1899" s="9"/>
      <c r="E1899" s="9"/>
      <c r="F1899" s="9"/>
      <c r="G1899" s="9"/>
      <c r="H1899" s="64" t="str">
        <f aca="false">IF(OR(A1899="",B1899=""),"",CONCATENATE("https://matarstund.is/serfaedi?id=",LOWER(SUBSTITUTE(B1899," ","-"))))</f>
        <v/>
      </c>
    </row>
    <row r="1900" customFormat="false" ht="15" hidden="false" customHeight="true" outlineLevel="0" collapsed="false">
      <c r="A1900" s="68"/>
      <c r="B1900" s="68"/>
      <c r="C1900" s="68"/>
      <c r="D1900" s="68"/>
      <c r="E1900" s="68"/>
      <c r="F1900" s="68"/>
      <c r="G1900" s="68"/>
      <c r="H1900" s="64" t="str">
        <f aca="false">IF(OR(A1900="",B1900=""),"",CONCATENATE("https://matarstund.is/serfaedi?id=",LOWER(SUBSTITUTE(B1900," ","-"))))</f>
        <v/>
      </c>
    </row>
    <row r="1901" customFormat="false" ht="15" hidden="false" customHeight="true" outlineLevel="0" collapsed="false">
      <c r="A1901" s="9"/>
      <c r="B1901" s="9"/>
      <c r="C1901" s="9"/>
      <c r="D1901" s="9"/>
      <c r="E1901" s="9"/>
      <c r="F1901" s="9"/>
      <c r="G1901" s="9"/>
      <c r="H1901" s="64" t="str">
        <f aca="false">IF(OR(A1901="",B1901=""),"",CONCATENATE("https://matarstund.is/serfaedi?id=",LOWER(SUBSTITUTE(B1901," ","-"))))</f>
        <v/>
      </c>
    </row>
    <row r="1902" customFormat="false" ht="15" hidden="false" customHeight="true" outlineLevel="0" collapsed="false">
      <c r="A1902" s="68"/>
      <c r="B1902" s="68"/>
      <c r="C1902" s="68"/>
      <c r="D1902" s="68"/>
      <c r="E1902" s="68"/>
      <c r="F1902" s="68"/>
      <c r="G1902" s="68"/>
      <c r="H1902" s="64" t="str">
        <f aca="false">IF(OR(A1902="",B1902=""),"",CONCATENATE("https://matarstund.is/serfaedi?id=",LOWER(SUBSTITUTE(B1902," ","-"))))</f>
        <v/>
      </c>
    </row>
    <row r="1903" customFormat="false" ht="15" hidden="false" customHeight="true" outlineLevel="0" collapsed="false">
      <c r="A1903" s="9"/>
      <c r="B1903" s="9"/>
      <c r="C1903" s="9"/>
      <c r="D1903" s="9"/>
      <c r="E1903" s="9"/>
      <c r="F1903" s="9"/>
      <c r="G1903" s="9"/>
      <c r="H1903" s="64" t="str">
        <f aca="false">IF(OR(A1903="",B1903=""),"",CONCATENATE("https://matarstund.is/serfaedi?id=",LOWER(SUBSTITUTE(B1903," ","-"))))</f>
        <v/>
      </c>
    </row>
    <row r="1904" customFormat="false" ht="15" hidden="false" customHeight="true" outlineLevel="0" collapsed="false">
      <c r="A1904" s="68"/>
      <c r="B1904" s="68"/>
      <c r="C1904" s="68"/>
      <c r="D1904" s="68"/>
      <c r="E1904" s="68"/>
      <c r="F1904" s="68"/>
      <c r="G1904" s="68"/>
      <c r="H1904" s="64" t="str">
        <f aca="false">IF(OR(A1904="",B1904=""),"",CONCATENATE("https://matarstund.is/serfaedi?id=",LOWER(SUBSTITUTE(B1904," ","-"))))</f>
        <v/>
      </c>
    </row>
    <row r="1905" customFormat="false" ht="15" hidden="false" customHeight="true" outlineLevel="0" collapsed="false">
      <c r="A1905" s="9"/>
      <c r="B1905" s="9"/>
      <c r="C1905" s="9"/>
      <c r="D1905" s="9"/>
      <c r="E1905" s="9"/>
      <c r="F1905" s="9"/>
      <c r="G1905" s="9"/>
      <c r="H1905" s="64" t="str">
        <f aca="false">IF(OR(A1905="",B1905=""),"",CONCATENATE("https://matarstund.is/serfaedi?id=",LOWER(SUBSTITUTE(B1905," ","-"))))</f>
        <v/>
      </c>
    </row>
    <row r="1906" customFormat="false" ht="15" hidden="false" customHeight="true" outlineLevel="0" collapsed="false">
      <c r="A1906" s="68"/>
      <c r="B1906" s="68"/>
      <c r="C1906" s="68"/>
      <c r="D1906" s="68"/>
      <c r="E1906" s="68"/>
      <c r="F1906" s="68"/>
      <c r="G1906" s="68"/>
      <c r="H1906" s="64" t="str">
        <f aca="false">IF(OR(A1906="",B1906=""),"",CONCATENATE("https://matarstund.is/serfaedi?id=",LOWER(SUBSTITUTE(B1906," ","-"))))</f>
        <v/>
      </c>
    </row>
    <row r="1907" customFormat="false" ht="15" hidden="false" customHeight="true" outlineLevel="0" collapsed="false">
      <c r="A1907" s="9"/>
      <c r="B1907" s="9"/>
      <c r="C1907" s="9"/>
      <c r="D1907" s="9"/>
      <c r="E1907" s="9"/>
      <c r="F1907" s="9"/>
      <c r="G1907" s="9"/>
      <c r="H1907" s="64" t="str">
        <f aca="false">IF(OR(A1907="",B1907=""),"",CONCATENATE("https://matarstund.is/serfaedi?id=",LOWER(SUBSTITUTE(B1907," ","-"))))</f>
        <v/>
      </c>
    </row>
    <row r="1908" customFormat="false" ht="15" hidden="false" customHeight="true" outlineLevel="0" collapsed="false">
      <c r="A1908" s="68"/>
      <c r="B1908" s="68"/>
      <c r="C1908" s="68"/>
      <c r="D1908" s="68"/>
      <c r="E1908" s="68"/>
      <c r="F1908" s="68"/>
      <c r="G1908" s="68"/>
      <c r="H1908" s="64" t="str">
        <f aca="false">IF(OR(A1908="",B1908=""),"",CONCATENATE("https://matarstund.is/serfaedi?id=",LOWER(SUBSTITUTE(B1908," ","-"))))</f>
        <v/>
      </c>
    </row>
    <row r="1909" customFormat="false" ht="15" hidden="false" customHeight="true" outlineLevel="0" collapsed="false">
      <c r="A1909" s="9"/>
      <c r="B1909" s="9"/>
      <c r="C1909" s="9"/>
      <c r="D1909" s="9"/>
      <c r="E1909" s="9"/>
      <c r="F1909" s="9"/>
      <c r="G1909" s="9"/>
      <c r="H1909" s="64" t="str">
        <f aca="false">IF(OR(A1909="",B1909=""),"",CONCATENATE("https://matarstund.is/serfaedi?id=",LOWER(SUBSTITUTE(B1909," ","-"))))</f>
        <v/>
      </c>
    </row>
    <row r="1910" customFormat="false" ht="15" hidden="false" customHeight="true" outlineLevel="0" collapsed="false">
      <c r="A1910" s="68"/>
      <c r="B1910" s="68"/>
      <c r="C1910" s="68"/>
      <c r="D1910" s="68"/>
      <c r="E1910" s="68"/>
      <c r="F1910" s="68"/>
      <c r="G1910" s="68"/>
      <c r="H1910" s="64" t="str">
        <f aca="false">IF(OR(A1910="",B1910=""),"",CONCATENATE("https://matarstund.is/serfaedi?id=",LOWER(SUBSTITUTE(B1910," ","-"))))</f>
        <v/>
      </c>
    </row>
    <row r="1911" customFormat="false" ht="15" hidden="false" customHeight="true" outlineLevel="0" collapsed="false">
      <c r="A1911" s="9"/>
      <c r="B1911" s="9"/>
      <c r="C1911" s="9"/>
      <c r="D1911" s="9"/>
      <c r="E1911" s="9"/>
      <c r="F1911" s="9"/>
      <c r="G1911" s="9"/>
      <c r="H1911" s="64" t="str">
        <f aca="false">IF(OR(A1911="",B1911=""),"",CONCATENATE("https://matarstund.is/serfaedi?id=",LOWER(SUBSTITUTE(B1911," ","-"))))</f>
        <v/>
      </c>
    </row>
    <row r="1912" customFormat="false" ht="15" hidden="false" customHeight="true" outlineLevel="0" collapsed="false">
      <c r="A1912" s="68"/>
      <c r="B1912" s="68"/>
      <c r="C1912" s="68"/>
      <c r="D1912" s="68"/>
      <c r="E1912" s="68"/>
      <c r="F1912" s="68"/>
      <c r="G1912" s="68"/>
      <c r="H1912" s="64" t="str">
        <f aca="false">IF(OR(A1912="",B1912=""),"",CONCATENATE("https://matarstund.is/serfaedi?id=",LOWER(SUBSTITUTE(B1912," ","-"))))</f>
        <v/>
      </c>
    </row>
    <row r="1913" customFormat="false" ht="15" hidden="false" customHeight="true" outlineLevel="0" collapsed="false">
      <c r="A1913" s="9"/>
      <c r="B1913" s="9"/>
      <c r="C1913" s="9"/>
      <c r="D1913" s="9"/>
      <c r="E1913" s="9"/>
      <c r="F1913" s="9"/>
      <c r="G1913" s="9"/>
      <c r="H1913" s="64" t="str">
        <f aca="false">IF(OR(A1913="",B1913=""),"",CONCATENATE("https://matarstund.is/serfaedi?id=",LOWER(SUBSTITUTE(B1913," ","-"))))</f>
        <v/>
      </c>
    </row>
    <row r="1914" customFormat="false" ht="15" hidden="false" customHeight="true" outlineLevel="0" collapsed="false">
      <c r="A1914" s="68"/>
      <c r="B1914" s="68"/>
      <c r="C1914" s="68"/>
      <c r="D1914" s="68"/>
      <c r="E1914" s="68"/>
      <c r="F1914" s="68"/>
      <c r="G1914" s="68"/>
      <c r="H1914" s="64" t="str">
        <f aca="false">IF(OR(A1914="",B1914=""),"",CONCATENATE("https://matarstund.is/serfaedi?id=",LOWER(SUBSTITUTE(B1914," ","-"))))</f>
        <v/>
      </c>
    </row>
    <row r="1915" customFormat="false" ht="15" hidden="false" customHeight="true" outlineLevel="0" collapsed="false">
      <c r="A1915" s="9"/>
      <c r="B1915" s="9"/>
      <c r="C1915" s="9"/>
      <c r="D1915" s="9"/>
      <c r="E1915" s="9"/>
      <c r="F1915" s="9"/>
      <c r="G1915" s="9"/>
      <c r="H1915" s="64" t="str">
        <f aca="false">IF(OR(A1915="",B1915=""),"",CONCATENATE("https://matarstund.is/serfaedi?id=",LOWER(SUBSTITUTE(B1915," ","-"))))</f>
        <v/>
      </c>
    </row>
    <row r="1916" customFormat="false" ht="15" hidden="false" customHeight="true" outlineLevel="0" collapsed="false">
      <c r="A1916" s="68"/>
      <c r="B1916" s="68"/>
      <c r="C1916" s="68"/>
      <c r="D1916" s="68"/>
      <c r="E1916" s="68"/>
      <c r="F1916" s="68"/>
      <c r="G1916" s="68"/>
      <c r="H1916" s="64" t="str">
        <f aca="false">IF(OR(A1916="",B1916=""),"",CONCATENATE("https://matarstund.is/serfaedi?id=",LOWER(SUBSTITUTE(B1916," ","-"))))</f>
        <v/>
      </c>
    </row>
    <row r="1917" customFormat="false" ht="15" hidden="false" customHeight="true" outlineLevel="0" collapsed="false">
      <c r="A1917" s="9"/>
      <c r="B1917" s="9"/>
      <c r="C1917" s="9"/>
      <c r="D1917" s="9"/>
      <c r="E1917" s="9"/>
      <c r="F1917" s="9"/>
      <c r="G1917" s="9"/>
      <c r="H1917" s="64" t="str">
        <f aca="false">IF(OR(A1917="",B1917=""),"",CONCATENATE("https://matarstund.is/serfaedi?id=",LOWER(SUBSTITUTE(B1917," ","-"))))</f>
        <v/>
      </c>
    </row>
    <row r="1918" customFormat="false" ht="15" hidden="false" customHeight="true" outlineLevel="0" collapsed="false">
      <c r="A1918" s="68"/>
      <c r="B1918" s="68"/>
      <c r="C1918" s="68"/>
      <c r="D1918" s="68"/>
      <c r="E1918" s="68"/>
      <c r="F1918" s="68"/>
      <c r="G1918" s="68"/>
      <c r="H1918" s="64" t="str">
        <f aca="false">IF(OR(A1918="",B1918=""),"",CONCATENATE("https://matarstund.is/serfaedi?id=",LOWER(SUBSTITUTE(B1918," ","-"))))</f>
        <v/>
      </c>
    </row>
    <row r="1919" customFormat="false" ht="15" hidden="false" customHeight="true" outlineLevel="0" collapsed="false">
      <c r="A1919" s="9"/>
      <c r="B1919" s="9"/>
      <c r="C1919" s="9"/>
      <c r="D1919" s="9"/>
      <c r="E1919" s="9"/>
      <c r="F1919" s="9"/>
      <c r="G1919" s="9"/>
      <c r="H1919" s="64" t="str">
        <f aca="false">IF(OR(A1919="",B1919=""),"",CONCATENATE("https://matarstund.is/serfaedi?id=",LOWER(SUBSTITUTE(B1919," ","-"))))</f>
        <v/>
      </c>
    </row>
    <row r="1920" customFormat="false" ht="15" hidden="false" customHeight="true" outlineLevel="0" collapsed="false">
      <c r="A1920" s="68"/>
      <c r="B1920" s="68"/>
      <c r="C1920" s="68"/>
      <c r="D1920" s="68"/>
      <c r="E1920" s="68"/>
      <c r="F1920" s="68"/>
      <c r="G1920" s="68"/>
      <c r="H1920" s="64" t="str">
        <f aca="false">IF(OR(A1920="",B1920=""),"",CONCATENATE("https://matarstund.is/serfaedi?id=",LOWER(SUBSTITUTE(B1920," ","-"))))</f>
        <v/>
      </c>
    </row>
    <row r="1921" customFormat="false" ht="15" hidden="false" customHeight="true" outlineLevel="0" collapsed="false">
      <c r="A1921" s="9"/>
      <c r="B1921" s="9"/>
      <c r="C1921" s="9"/>
      <c r="D1921" s="9"/>
      <c r="E1921" s="9"/>
      <c r="F1921" s="9"/>
      <c r="G1921" s="9"/>
      <c r="H1921" s="64" t="str">
        <f aca="false">IF(OR(A1921="",B1921=""),"",CONCATENATE("https://matarstund.is/serfaedi?id=",LOWER(SUBSTITUTE(B1921," ","-"))))</f>
        <v/>
      </c>
    </row>
    <row r="1922" customFormat="false" ht="15" hidden="false" customHeight="true" outlineLevel="0" collapsed="false">
      <c r="A1922" s="68"/>
      <c r="B1922" s="68"/>
      <c r="C1922" s="68"/>
      <c r="D1922" s="68"/>
      <c r="E1922" s="68"/>
      <c r="F1922" s="68"/>
      <c r="G1922" s="68"/>
      <c r="H1922" s="64" t="str">
        <f aca="false">IF(OR(A1922="",B1922=""),"",CONCATENATE("https://matarstund.is/serfaedi?id=",LOWER(SUBSTITUTE(B1922," ","-"))))</f>
        <v/>
      </c>
    </row>
    <row r="1923" customFormat="false" ht="15" hidden="false" customHeight="true" outlineLevel="0" collapsed="false">
      <c r="A1923" s="9"/>
      <c r="B1923" s="9"/>
      <c r="C1923" s="9"/>
      <c r="D1923" s="9"/>
      <c r="E1923" s="9"/>
      <c r="F1923" s="9"/>
      <c r="G1923" s="9"/>
      <c r="H1923" s="64" t="str">
        <f aca="false">IF(OR(A1923="",B1923=""),"",CONCATENATE("https://matarstund.is/serfaedi?id=",LOWER(SUBSTITUTE(B1923," ","-"))))</f>
        <v/>
      </c>
    </row>
    <row r="1924" customFormat="false" ht="15" hidden="false" customHeight="true" outlineLevel="0" collapsed="false">
      <c r="A1924" s="68"/>
      <c r="B1924" s="68"/>
      <c r="C1924" s="68"/>
      <c r="D1924" s="68"/>
      <c r="E1924" s="68"/>
      <c r="F1924" s="68"/>
      <c r="G1924" s="68"/>
      <c r="H1924" s="64" t="str">
        <f aca="false">IF(OR(A1924="",B1924=""),"",CONCATENATE("https://matarstund.is/serfaedi?id=",LOWER(SUBSTITUTE(B1924," ","-"))))</f>
        <v/>
      </c>
    </row>
    <row r="1925" customFormat="false" ht="15" hidden="false" customHeight="true" outlineLevel="0" collapsed="false">
      <c r="A1925" s="9"/>
      <c r="B1925" s="9"/>
      <c r="C1925" s="9"/>
      <c r="D1925" s="9"/>
      <c r="E1925" s="9"/>
      <c r="F1925" s="9"/>
      <c r="G1925" s="9"/>
      <c r="H1925" s="64" t="str">
        <f aca="false">IF(OR(A1925="",B1925=""),"",CONCATENATE("https://matarstund.is/serfaedi?id=",LOWER(SUBSTITUTE(B1925," ","-"))))</f>
        <v/>
      </c>
    </row>
    <row r="1926" customFormat="false" ht="15" hidden="false" customHeight="true" outlineLevel="0" collapsed="false">
      <c r="A1926" s="68"/>
      <c r="B1926" s="68"/>
      <c r="C1926" s="68"/>
      <c r="D1926" s="68"/>
      <c r="E1926" s="68"/>
      <c r="F1926" s="68"/>
      <c r="G1926" s="68"/>
      <c r="H1926" s="64" t="str">
        <f aca="false">IF(OR(A1926="",B1926=""),"",CONCATENATE("https://matarstund.is/serfaedi?id=",LOWER(SUBSTITUTE(B1926," ","-"))))</f>
        <v/>
      </c>
    </row>
    <row r="1927" customFormat="false" ht="15" hidden="false" customHeight="true" outlineLevel="0" collapsed="false">
      <c r="A1927" s="9"/>
      <c r="B1927" s="9"/>
      <c r="C1927" s="9"/>
      <c r="D1927" s="9"/>
      <c r="E1927" s="9"/>
      <c r="F1927" s="9"/>
      <c r="G1927" s="9"/>
      <c r="H1927" s="64" t="str">
        <f aca="false">IF(OR(A1927="",B1927=""),"",CONCATENATE("https://matarstund.is/serfaedi?id=",LOWER(SUBSTITUTE(B1927," ","-"))))</f>
        <v/>
      </c>
    </row>
    <row r="1928" customFormat="false" ht="15" hidden="false" customHeight="true" outlineLevel="0" collapsed="false">
      <c r="A1928" s="68"/>
      <c r="B1928" s="68"/>
      <c r="C1928" s="68"/>
      <c r="D1928" s="68"/>
      <c r="E1928" s="68"/>
      <c r="F1928" s="68"/>
      <c r="G1928" s="68"/>
      <c r="H1928" s="64" t="str">
        <f aca="false">IF(OR(A1928="",B1928=""),"",CONCATENATE("https://matarstund.is/serfaedi?id=",LOWER(SUBSTITUTE(B1928," ","-"))))</f>
        <v/>
      </c>
    </row>
    <row r="1929" customFormat="false" ht="15" hidden="false" customHeight="true" outlineLevel="0" collapsed="false">
      <c r="A1929" s="9"/>
      <c r="B1929" s="9"/>
      <c r="C1929" s="9"/>
      <c r="D1929" s="9"/>
      <c r="E1929" s="9"/>
      <c r="F1929" s="9"/>
      <c r="G1929" s="9"/>
      <c r="H1929" s="64" t="str">
        <f aca="false">IF(OR(A1929="",B1929=""),"",CONCATENATE("https://matarstund.is/serfaedi?id=",LOWER(SUBSTITUTE(B1929," ","-"))))</f>
        <v/>
      </c>
    </row>
    <row r="1930" customFormat="false" ht="15" hidden="false" customHeight="true" outlineLevel="0" collapsed="false">
      <c r="A1930" s="68"/>
      <c r="B1930" s="68"/>
      <c r="C1930" s="68"/>
      <c r="D1930" s="68"/>
      <c r="E1930" s="68"/>
      <c r="F1930" s="68"/>
      <c r="G1930" s="68"/>
      <c r="H1930" s="64" t="str">
        <f aca="false">IF(OR(A1930="",B1930=""),"",CONCATENATE("https://matarstund.is/serfaedi?id=",LOWER(SUBSTITUTE(B1930," ","-"))))</f>
        <v/>
      </c>
    </row>
    <row r="1931" customFormat="false" ht="15" hidden="false" customHeight="true" outlineLevel="0" collapsed="false">
      <c r="A1931" s="9"/>
      <c r="B1931" s="9"/>
      <c r="C1931" s="9"/>
      <c r="D1931" s="9"/>
      <c r="E1931" s="9"/>
      <c r="F1931" s="9"/>
      <c r="G1931" s="9"/>
      <c r="H1931" s="64" t="str">
        <f aca="false">IF(OR(A1931="",B1931=""),"",CONCATENATE("https://matarstund.is/serfaedi?id=",LOWER(SUBSTITUTE(B1931," ","-"))))</f>
        <v/>
      </c>
    </row>
    <row r="1932" customFormat="false" ht="15" hidden="false" customHeight="true" outlineLevel="0" collapsed="false">
      <c r="A1932" s="68"/>
      <c r="B1932" s="68"/>
      <c r="C1932" s="68"/>
      <c r="D1932" s="68"/>
      <c r="E1932" s="68"/>
      <c r="F1932" s="68"/>
      <c r="G1932" s="68"/>
      <c r="H1932" s="64" t="str">
        <f aca="false">IF(OR(A1932="",B1932=""),"",CONCATENATE("https://matarstund.is/serfaedi?id=",LOWER(SUBSTITUTE(B1932," ","-"))))</f>
        <v/>
      </c>
    </row>
    <row r="1933" customFormat="false" ht="15" hidden="false" customHeight="true" outlineLevel="0" collapsed="false">
      <c r="A1933" s="9"/>
      <c r="B1933" s="9"/>
      <c r="C1933" s="9"/>
      <c r="D1933" s="9"/>
      <c r="E1933" s="9"/>
      <c r="F1933" s="9"/>
      <c r="G1933" s="9"/>
      <c r="H1933" s="64" t="str">
        <f aca="false">IF(OR(A1933="",B1933=""),"",CONCATENATE("https://matarstund.is/serfaedi?id=",LOWER(SUBSTITUTE(B1933," ","-"))))</f>
        <v/>
      </c>
    </row>
    <row r="1934" customFormat="false" ht="15" hidden="false" customHeight="true" outlineLevel="0" collapsed="false">
      <c r="A1934" s="68"/>
      <c r="B1934" s="68"/>
      <c r="C1934" s="68"/>
      <c r="D1934" s="68"/>
      <c r="E1934" s="68"/>
      <c r="F1934" s="68"/>
      <c r="G1934" s="68"/>
      <c r="H1934" s="64" t="str">
        <f aca="false">IF(OR(A1934="",B1934=""),"",CONCATENATE("https://matarstund.is/serfaedi?id=",LOWER(SUBSTITUTE(B1934," ","-"))))</f>
        <v/>
      </c>
    </row>
    <row r="1935" customFormat="false" ht="15" hidden="false" customHeight="true" outlineLevel="0" collapsed="false">
      <c r="A1935" s="9"/>
      <c r="B1935" s="9"/>
      <c r="C1935" s="9"/>
      <c r="D1935" s="9"/>
      <c r="E1935" s="9"/>
      <c r="F1935" s="9"/>
      <c r="G1935" s="9"/>
      <c r="H1935" s="64" t="str">
        <f aca="false">IF(OR(A1935="",B1935=""),"",CONCATENATE("https://matarstund.is/serfaedi?id=",LOWER(SUBSTITUTE(B1935," ","-"))))</f>
        <v/>
      </c>
    </row>
    <row r="1936" customFormat="false" ht="15" hidden="false" customHeight="true" outlineLevel="0" collapsed="false">
      <c r="A1936" s="68"/>
      <c r="B1936" s="68"/>
      <c r="C1936" s="68"/>
      <c r="D1936" s="68"/>
      <c r="E1936" s="68"/>
      <c r="F1936" s="68"/>
      <c r="G1936" s="68"/>
      <c r="H1936" s="64" t="str">
        <f aca="false">IF(OR(A1936="",B1936=""),"",CONCATENATE("https://matarstund.is/serfaedi?id=",LOWER(SUBSTITUTE(B1936," ","-"))))</f>
        <v/>
      </c>
    </row>
    <row r="1937" customFormat="false" ht="15" hidden="false" customHeight="true" outlineLevel="0" collapsed="false">
      <c r="A1937" s="9"/>
      <c r="B1937" s="9"/>
      <c r="C1937" s="9"/>
      <c r="D1937" s="9"/>
      <c r="E1937" s="9"/>
      <c r="F1937" s="9"/>
      <c r="G1937" s="9"/>
      <c r="H1937" s="64" t="str">
        <f aca="false">IF(OR(A1937="",B1937=""),"",CONCATENATE("https://matarstund.is/serfaedi?id=",LOWER(SUBSTITUTE(B1937," ","-"))))</f>
        <v/>
      </c>
    </row>
    <row r="1938" customFormat="false" ht="15" hidden="false" customHeight="true" outlineLevel="0" collapsed="false">
      <c r="A1938" s="68"/>
      <c r="B1938" s="68"/>
      <c r="C1938" s="68"/>
      <c r="D1938" s="68"/>
      <c r="E1938" s="68"/>
      <c r="F1938" s="68"/>
      <c r="G1938" s="68"/>
      <c r="H1938" s="64" t="str">
        <f aca="false">IF(OR(A1938="",B1938=""),"",CONCATENATE("https://matarstund.is/serfaedi?id=",LOWER(SUBSTITUTE(B1938," ","-"))))</f>
        <v/>
      </c>
    </row>
    <row r="1939" customFormat="false" ht="15" hidden="false" customHeight="true" outlineLevel="0" collapsed="false">
      <c r="A1939" s="9"/>
      <c r="B1939" s="9"/>
      <c r="C1939" s="9"/>
      <c r="D1939" s="9"/>
      <c r="E1939" s="9"/>
      <c r="F1939" s="9"/>
      <c r="G1939" s="9"/>
      <c r="H1939" s="64" t="str">
        <f aca="false">IF(OR(A1939="",B1939=""),"",CONCATENATE("https://matarstund.is/serfaedi?id=",LOWER(SUBSTITUTE(B1939," ","-"))))</f>
        <v/>
      </c>
    </row>
    <row r="1940" customFormat="false" ht="15" hidden="false" customHeight="true" outlineLevel="0" collapsed="false">
      <c r="A1940" s="68"/>
      <c r="B1940" s="68"/>
      <c r="C1940" s="68"/>
      <c r="D1940" s="68"/>
      <c r="E1940" s="68"/>
      <c r="F1940" s="68"/>
      <c r="G1940" s="68"/>
      <c r="H1940" s="64" t="str">
        <f aca="false">IF(OR(A1940="",B1940=""),"",CONCATENATE("https://matarstund.is/serfaedi?id=",LOWER(SUBSTITUTE(B1940," ","-"))))</f>
        <v/>
      </c>
    </row>
    <row r="1941" customFormat="false" ht="15" hidden="false" customHeight="true" outlineLevel="0" collapsed="false">
      <c r="A1941" s="9"/>
      <c r="B1941" s="9"/>
      <c r="C1941" s="9"/>
      <c r="D1941" s="9"/>
      <c r="E1941" s="9"/>
      <c r="F1941" s="9"/>
      <c r="G1941" s="9"/>
      <c r="H1941" s="64" t="str">
        <f aca="false">IF(OR(A1941="",B1941=""),"",CONCATENATE("https://matarstund.is/serfaedi?id=",LOWER(SUBSTITUTE(B1941," ","-"))))</f>
        <v/>
      </c>
    </row>
    <row r="1942" customFormat="false" ht="15" hidden="false" customHeight="true" outlineLevel="0" collapsed="false">
      <c r="A1942" s="68"/>
      <c r="B1942" s="68"/>
      <c r="C1942" s="68"/>
      <c r="D1942" s="68"/>
      <c r="E1942" s="68"/>
      <c r="F1942" s="68"/>
      <c r="G1942" s="68"/>
      <c r="H1942" s="64" t="str">
        <f aca="false">IF(OR(A1942="",B1942=""),"",CONCATENATE("https://matarstund.is/serfaedi?id=",LOWER(SUBSTITUTE(B1942," ","-"))))</f>
        <v/>
      </c>
    </row>
    <row r="1943" customFormat="false" ht="15" hidden="false" customHeight="true" outlineLevel="0" collapsed="false">
      <c r="A1943" s="9"/>
      <c r="B1943" s="9"/>
      <c r="C1943" s="9"/>
      <c r="D1943" s="9"/>
      <c r="E1943" s="9"/>
      <c r="F1943" s="9"/>
      <c r="G1943" s="9"/>
      <c r="H1943" s="64" t="str">
        <f aca="false">IF(OR(A1943="",B1943=""),"",CONCATENATE("https://matarstund.is/serfaedi?id=",LOWER(SUBSTITUTE(B1943," ","-"))))</f>
        <v/>
      </c>
    </row>
    <row r="1944" customFormat="false" ht="15" hidden="false" customHeight="true" outlineLevel="0" collapsed="false">
      <c r="A1944" s="68"/>
      <c r="B1944" s="68"/>
      <c r="C1944" s="68"/>
      <c r="D1944" s="68"/>
      <c r="E1944" s="68"/>
      <c r="F1944" s="68"/>
      <c r="G1944" s="68"/>
      <c r="H1944" s="64" t="str">
        <f aca="false">IF(OR(A1944="",B1944=""),"",CONCATENATE("https://matarstund.is/serfaedi?id=",LOWER(SUBSTITUTE(B1944," ","-"))))</f>
        <v/>
      </c>
    </row>
    <row r="1945" customFormat="false" ht="15" hidden="false" customHeight="true" outlineLevel="0" collapsed="false">
      <c r="A1945" s="9"/>
      <c r="B1945" s="9"/>
      <c r="C1945" s="9"/>
      <c r="D1945" s="9"/>
      <c r="E1945" s="9"/>
      <c r="F1945" s="9"/>
      <c r="G1945" s="9"/>
      <c r="H1945" s="64" t="str">
        <f aca="false">IF(OR(A1945="",B1945=""),"",CONCATENATE("https://matarstund.is/serfaedi?id=",LOWER(SUBSTITUTE(B1945," ","-"))))</f>
        <v/>
      </c>
    </row>
    <row r="1946" customFormat="false" ht="15" hidden="false" customHeight="true" outlineLevel="0" collapsed="false">
      <c r="A1946" s="68"/>
      <c r="B1946" s="68"/>
      <c r="C1946" s="68"/>
      <c r="D1946" s="68"/>
      <c r="E1946" s="68"/>
      <c r="F1946" s="68"/>
      <c r="G1946" s="68"/>
      <c r="H1946" s="64" t="str">
        <f aca="false">IF(OR(A1946="",B1946=""),"",CONCATENATE("https://matarstund.is/serfaedi?id=",LOWER(SUBSTITUTE(B1946," ","-"))))</f>
        <v/>
      </c>
    </row>
    <row r="1947" customFormat="false" ht="15" hidden="false" customHeight="true" outlineLevel="0" collapsed="false">
      <c r="A1947" s="9"/>
      <c r="B1947" s="9"/>
      <c r="C1947" s="9"/>
      <c r="D1947" s="9"/>
      <c r="E1947" s="9"/>
      <c r="F1947" s="9"/>
      <c r="G1947" s="9"/>
      <c r="H1947" s="64" t="str">
        <f aca="false">IF(OR(A1947="",B1947=""),"",CONCATENATE("https://matarstund.is/serfaedi?id=",LOWER(SUBSTITUTE(B1947," ","-"))))</f>
        <v/>
      </c>
    </row>
    <row r="1948" customFormat="false" ht="15" hidden="false" customHeight="true" outlineLevel="0" collapsed="false">
      <c r="A1948" s="68"/>
      <c r="B1948" s="68"/>
      <c r="C1948" s="68"/>
      <c r="D1948" s="68"/>
      <c r="E1948" s="68"/>
      <c r="F1948" s="68"/>
      <c r="G1948" s="68"/>
      <c r="H1948" s="64" t="str">
        <f aca="false">IF(OR(A1948="",B1948=""),"",CONCATENATE("https://matarstund.is/serfaedi?id=",LOWER(SUBSTITUTE(B1948," ","-"))))</f>
        <v/>
      </c>
    </row>
    <row r="1949" customFormat="false" ht="15" hidden="false" customHeight="true" outlineLevel="0" collapsed="false">
      <c r="A1949" s="9"/>
      <c r="B1949" s="9"/>
      <c r="C1949" s="9"/>
      <c r="D1949" s="9"/>
      <c r="E1949" s="9"/>
      <c r="F1949" s="9"/>
      <c r="G1949" s="9"/>
      <c r="H1949" s="64" t="str">
        <f aca="false">IF(OR(A1949="",B1949=""),"",CONCATENATE("https://matarstund.is/serfaedi?id=",LOWER(SUBSTITUTE(B1949," ","-"))))</f>
        <v/>
      </c>
    </row>
    <row r="1950" customFormat="false" ht="15" hidden="false" customHeight="true" outlineLevel="0" collapsed="false">
      <c r="A1950" s="68"/>
      <c r="B1950" s="68"/>
      <c r="C1950" s="68"/>
      <c r="D1950" s="68"/>
      <c r="E1950" s="68"/>
      <c r="F1950" s="68"/>
      <c r="G1950" s="68"/>
      <c r="H1950" s="64" t="str">
        <f aca="false">IF(OR(A1950="",B1950=""),"",CONCATENATE("https://matarstund.is/serfaedi?id=",LOWER(SUBSTITUTE(B1950," ","-"))))</f>
        <v/>
      </c>
    </row>
    <row r="1951" customFormat="false" ht="15" hidden="false" customHeight="true" outlineLevel="0" collapsed="false">
      <c r="A1951" s="9"/>
      <c r="B1951" s="9"/>
      <c r="C1951" s="9"/>
      <c r="D1951" s="9"/>
      <c r="E1951" s="9"/>
      <c r="F1951" s="9"/>
      <c r="G1951" s="9"/>
      <c r="H1951" s="64" t="str">
        <f aca="false">IF(OR(A1951="",B1951=""),"",CONCATENATE("https://matarstund.is/serfaedi?id=",LOWER(SUBSTITUTE(B1951," ","-"))))</f>
        <v/>
      </c>
    </row>
    <row r="1952" customFormat="false" ht="15" hidden="false" customHeight="true" outlineLevel="0" collapsed="false">
      <c r="A1952" s="68"/>
      <c r="B1952" s="68"/>
      <c r="C1952" s="68"/>
      <c r="D1952" s="68"/>
      <c r="E1952" s="68"/>
      <c r="F1952" s="68"/>
      <c r="G1952" s="68"/>
      <c r="H1952" s="64" t="str">
        <f aca="false">IF(OR(A1952="",B1952=""),"",CONCATENATE("https://matarstund.is/serfaedi?id=",LOWER(SUBSTITUTE(B1952," ","-"))))</f>
        <v/>
      </c>
    </row>
    <row r="1953" customFormat="false" ht="15" hidden="false" customHeight="true" outlineLevel="0" collapsed="false">
      <c r="A1953" s="9"/>
      <c r="B1953" s="9"/>
      <c r="C1953" s="9"/>
      <c r="D1953" s="9"/>
      <c r="E1953" s="9"/>
      <c r="F1953" s="9"/>
      <c r="G1953" s="9"/>
      <c r="H1953" s="64" t="str">
        <f aca="false">IF(OR(A1953="",B1953=""),"",CONCATENATE("https://matarstund.is/serfaedi?id=",LOWER(SUBSTITUTE(B1953," ","-"))))</f>
        <v/>
      </c>
    </row>
    <row r="1954" customFormat="false" ht="15" hidden="false" customHeight="true" outlineLevel="0" collapsed="false">
      <c r="A1954" s="68"/>
      <c r="B1954" s="68"/>
      <c r="C1954" s="68"/>
      <c r="D1954" s="68"/>
      <c r="E1954" s="68"/>
      <c r="F1954" s="68"/>
      <c r="G1954" s="68"/>
      <c r="H1954" s="64" t="str">
        <f aca="false">IF(OR(A1954="",B1954=""),"",CONCATENATE("https://matarstund.is/serfaedi?id=",LOWER(SUBSTITUTE(B1954," ","-"))))</f>
        <v/>
      </c>
    </row>
    <row r="1955" customFormat="false" ht="15" hidden="false" customHeight="true" outlineLevel="0" collapsed="false">
      <c r="A1955" s="9"/>
      <c r="B1955" s="9"/>
      <c r="C1955" s="9"/>
      <c r="D1955" s="9"/>
      <c r="E1955" s="9"/>
      <c r="F1955" s="9"/>
      <c r="G1955" s="9"/>
      <c r="H1955" s="64" t="str">
        <f aca="false">IF(OR(A1955="",B1955=""),"",CONCATENATE("https://matarstund.is/serfaedi?id=",LOWER(SUBSTITUTE(B1955," ","-"))))</f>
        <v/>
      </c>
    </row>
    <row r="1956" customFormat="false" ht="15" hidden="false" customHeight="true" outlineLevel="0" collapsed="false">
      <c r="A1956" s="68"/>
      <c r="B1956" s="68"/>
      <c r="C1956" s="68"/>
      <c r="D1956" s="68"/>
      <c r="E1956" s="68"/>
      <c r="F1956" s="68"/>
      <c r="G1956" s="68"/>
      <c r="H1956" s="64" t="str">
        <f aca="false">IF(OR(A1956="",B1956=""),"",CONCATENATE("https://matarstund.is/serfaedi?id=",LOWER(SUBSTITUTE(B1956," ","-"))))</f>
        <v/>
      </c>
    </row>
    <row r="1957" customFormat="false" ht="15" hidden="false" customHeight="true" outlineLevel="0" collapsed="false">
      <c r="A1957" s="9"/>
      <c r="B1957" s="9"/>
      <c r="C1957" s="9"/>
      <c r="D1957" s="9"/>
      <c r="E1957" s="9"/>
      <c r="F1957" s="9"/>
      <c r="G1957" s="9"/>
      <c r="H1957" s="64" t="str">
        <f aca="false">IF(OR(A1957="",B1957=""),"",CONCATENATE("https://matarstund.is/serfaedi?id=",LOWER(SUBSTITUTE(B1957," ","-"))))</f>
        <v/>
      </c>
    </row>
    <row r="1958" customFormat="false" ht="15" hidden="false" customHeight="true" outlineLevel="0" collapsed="false">
      <c r="A1958" s="68"/>
      <c r="B1958" s="68"/>
      <c r="C1958" s="68"/>
      <c r="D1958" s="68"/>
      <c r="E1958" s="68"/>
      <c r="F1958" s="68"/>
      <c r="G1958" s="68"/>
      <c r="H1958" s="64" t="str">
        <f aca="false">IF(OR(A1958="",B1958=""),"",CONCATENATE("https://matarstund.is/serfaedi?id=",LOWER(SUBSTITUTE(B1958," ","-"))))</f>
        <v/>
      </c>
    </row>
    <row r="1959" customFormat="false" ht="15" hidden="false" customHeight="true" outlineLevel="0" collapsed="false">
      <c r="A1959" s="9"/>
      <c r="B1959" s="9"/>
      <c r="C1959" s="9"/>
      <c r="D1959" s="9"/>
      <c r="E1959" s="9"/>
      <c r="F1959" s="9"/>
      <c r="G1959" s="9"/>
      <c r="H1959" s="64" t="str">
        <f aca="false">IF(OR(A1959="",B1959=""),"",CONCATENATE("https://matarstund.is/serfaedi?id=",LOWER(SUBSTITUTE(B1959," ","-"))))</f>
        <v/>
      </c>
    </row>
    <row r="1960" customFormat="false" ht="15" hidden="false" customHeight="true" outlineLevel="0" collapsed="false">
      <c r="A1960" s="68"/>
      <c r="B1960" s="68"/>
      <c r="C1960" s="68"/>
      <c r="D1960" s="68"/>
      <c r="E1960" s="68"/>
      <c r="F1960" s="68"/>
      <c r="G1960" s="68"/>
      <c r="H1960" s="64" t="str">
        <f aca="false">IF(OR(A1960="",B1960=""),"",CONCATENATE("https://matarstund.is/serfaedi?id=",LOWER(SUBSTITUTE(B1960," ","-"))))</f>
        <v/>
      </c>
    </row>
    <row r="1961" customFormat="false" ht="15" hidden="false" customHeight="true" outlineLevel="0" collapsed="false">
      <c r="A1961" s="9"/>
      <c r="B1961" s="9"/>
      <c r="C1961" s="9"/>
      <c r="D1961" s="9"/>
      <c r="E1961" s="9"/>
      <c r="F1961" s="9"/>
      <c r="G1961" s="9"/>
      <c r="H1961" s="64" t="str">
        <f aca="false">IF(OR(A1961="",B1961=""),"",CONCATENATE("https://matarstund.is/serfaedi?id=",LOWER(SUBSTITUTE(B1961," ","-"))))</f>
        <v/>
      </c>
    </row>
    <row r="1962" customFormat="false" ht="15" hidden="false" customHeight="true" outlineLevel="0" collapsed="false">
      <c r="A1962" s="68"/>
      <c r="B1962" s="68"/>
      <c r="C1962" s="68"/>
      <c r="D1962" s="68"/>
      <c r="E1962" s="68"/>
      <c r="F1962" s="68"/>
      <c r="G1962" s="68"/>
      <c r="H1962" s="64" t="str">
        <f aca="false">IF(OR(A1962="",B1962=""),"",CONCATENATE("https://matarstund.is/serfaedi?id=",LOWER(SUBSTITUTE(B1962," ","-"))))</f>
        <v/>
      </c>
    </row>
    <row r="1963" customFormat="false" ht="15" hidden="false" customHeight="true" outlineLevel="0" collapsed="false">
      <c r="A1963" s="9"/>
      <c r="B1963" s="9"/>
      <c r="C1963" s="9"/>
      <c r="D1963" s="9"/>
      <c r="E1963" s="9"/>
      <c r="F1963" s="9"/>
      <c r="G1963" s="9"/>
      <c r="H1963" s="64" t="str">
        <f aca="false">IF(OR(A1963="",B1963=""),"",CONCATENATE("https://matarstund.is/serfaedi?id=",LOWER(SUBSTITUTE(B1963," ","-"))))</f>
        <v/>
      </c>
    </row>
    <row r="1964" customFormat="false" ht="15" hidden="false" customHeight="true" outlineLevel="0" collapsed="false">
      <c r="A1964" s="68"/>
      <c r="B1964" s="68"/>
      <c r="C1964" s="68"/>
      <c r="D1964" s="68"/>
      <c r="E1964" s="68"/>
      <c r="F1964" s="68"/>
      <c r="G1964" s="68"/>
      <c r="H1964" s="64" t="str">
        <f aca="false">IF(OR(A1964="",B1964=""),"",CONCATENATE("https://matarstund.is/serfaedi?id=",LOWER(SUBSTITUTE(B1964," ","-"))))</f>
        <v/>
      </c>
    </row>
    <row r="1965" customFormat="false" ht="15" hidden="false" customHeight="true" outlineLevel="0" collapsed="false">
      <c r="A1965" s="9"/>
      <c r="B1965" s="9"/>
      <c r="C1965" s="9"/>
      <c r="D1965" s="9"/>
      <c r="E1965" s="9"/>
      <c r="F1965" s="9"/>
      <c r="G1965" s="9"/>
      <c r="H1965" s="64" t="str">
        <f aca="false">IF(OR(A1965="",B1965=""),"",CONCATENATE("https://matarstund.is/serfaedi?id=",LOWER(SUBSTITUTE(B1965," ","-"))))</f>
        <v/>
      </c>
    </row>
    <row r="1966" customFormat="false" ht="15" hidden="false" customHeight="true" outlineLevel="0" collapsed="false">
      <c r="A1966" s="68"/>
      <c r="B1966" s="68"/>
      <c r="C1966" s="68"/>
      <c r="D1966" s="68"/>
      <c r="E1966" s="68"/>
      <c r="F1966" s="68"/>
      <c r="G1966" s="68"/>
      <c r="H1966" s="64" t="str">
        <f aca="false">IF(OR(A1966="",B1966=""),"",CONCATENATE("https://matarstund.is/serfaedi?id=",LOWER(SUBSTITUTE(B1966," ","-"))))</f>
        <v/>
      </c>
    </row>
    <row r="1967" customFormat="false" ht="15" hidden="false" customHeight="true" outlineLevel="0" collapsed="false">
      <c r="A1967" s="9"/>
      <c r="B1967" s="9"/>
      <c r="C1967" s="9"/>
      <c r="D1967" s="9"/>
      <c r="E1967" s="9"/>
      <c r="F1967" s="9"/>
      <c r="G1967" s="9"/>
      <c r="H1967" s="64" t="str">
        <f aca="false">IF(OR(A1967="",B1967=""),"",CONCATENATE("https://matarstund.is/serfaedi?id=",LOWER(SUBSTITUTE(B1967," ","-"))))</f>
        <v/>
      </c>
    </row>
    <row r="1968" customFormat="false" ht="15" hidden="false" customHeight="true" outlineLevel="0" collapsed="false">
      <c r="A1968" s="68"/>
      <c r="B1968" s="68"/>
      <c r="C1968" s="68"/>
      <c r="D1968" s="68"/>
      <c r="E1968" s="68"/>
      <c r="F1968" s="68"/>
      <c r="G1968" s="68"/>
      <c r="H1968" s="64" t="str">
        <f aca="false">IF(OR(A1968="",B1968=""),"",CONCATENATE("https://matarstund.is/serfaedi?id=",LOWER(SUBSTITUTE(B1968," ","-"))))</f>
        <v/>
      </c>
    </row>
    <row r="1969" customFormat="false" ht="15" hidden="false" customHeight="true" outlineLevel="0" collapsed="false">
      <c r="A1969" s="9"/>
      <c r="B1969" s="9"/>
      <c r="C1969" s="9"/>
      <c r="D1969" s="9"/>
      <c r="E1969" s="9"/>
      <c r="F1969" s="9"/>
      <c r="G1969" s="9"/>
      <c r="H1969" s="64" t="str">
        <f aca="false">IF(OR(A1969="",B1969=""),"",CONCATENATE("https://matarstund.is/serfaedi?id=",LOWER(SUBSTITUTE(B1969," ","-"))))</f>
        <v/>
      </c>
    </row>
    <row r="1970" customFormat="false" ht="15" hidden="false" customHeight="true" outlineLevel="0" collapsed="false">
      <c r="A1970" s="68"/>
      <c r="B1970" s="68"/>
      <c r="C1970" s="68"/>
      <c r="D1970" s="68"/>
      <c r="E1970" s="68"/>
      <c r="F1970" s="68"/>
      <c r="G1970" s="68"/>
      <c r="H1970" s="64" t="str">
        <f aca="false">IF(OR(A1970="",B1970=""),"",CONCATENATE("https://matarstund.is/serfaedi?id=",LOWER(SUBSTITUTE(B1970," ","-"))))</f>
        <v/>
      </c>
    </row>
    <row r="1971" customFormat="false" ht="15" hidden="false" customHeight="true" outlineLevel="0" collapsed="false">
      <c r="A1971" s="9"/>
      <c r="B1971" s="9"/>
      <c r="C1971" s="9"/>
      <c r="D1971" s="9"/>
      <c r="E1971" s="9"/>
      <c r="F1971" s="9"/>
      <c r="G1971" s="9"/>
      <c r="H1971" s="64" t="str">
        <f aca="false">IF(OR(A1971="",B1971=""),"",CONCATENATE("https://matarstund.is/serfaedi?id=",LOWER(SUBSTITUTE(B1971," ","-"))))</f>
        <v/>
      </c>
    </row>
    <row r="1972" customFormat="false" ht="15" hidden="false" customHeight="true" outlineLevel="0" collapsed="false">
      <c r="A1972" s="68"/>
      <c r="B1972" s="68"/>
      <c r="C1972" s="68"/>
      <c r="D1972" s="68"/>
      <c r="E1972" s="68"/>
      <c r="F1972" s="68"/>
      <c r="G1972" s="68"/>
      <c r="H1972" s="64" t="str">
        <f aca="false">IF(OR(A1972="",B1972=""),"",CONCATENATE("https://matarstund.is/serfaedi?id=",LOWER(SUBSTITUTE(B1972," ","-"))))</f>
        <v/>
      </c>
    </row>
    <row r="1973" customFormat="false" ht="15" hidden="false" customHeight="true" outlineLevel="0" collapsed="false">
      <c r="A1973" s="9"/>
      <c r="B1973" s="9"/>
      <c r="C1973" s="9"/>
      <c r="D1973" s="9"/>
      <c r="E1973" s="9"/>
      <c r="F1973" s="9"/>
      <c r="G1973" s="9"/>
      <c r="H1973" s="64" t="str">
        <f aca="false">IF(OR(A1973="",B1973=""),"",CONCATENATE("https://matarstund.is/serfaedi?id=",LOWER(SUBSTITUTE(B1973," ","-"))))</f>
        <v/>
      </c>
    </row>
    <row r="1974" customFormat="false" ht="15" hidden="false" customHeight="true" outlineLevel="0" collapsed="false">
      <c r="A1974" s="68"/>
      <c r="B1974" s="68"/>
      <c r="C1974" s="68"/>
      <c r="D1974" s="68"/>
      <c r="E1974" s="68"/>
      <c r="F1974" s="68"/>
      <c r="G1974" s="68"/>
      <c r="H1974" s="64" t="str">
        <f aca="false">IF(OR(A1974="",B1974=""),"",CONCATENATE("https://matarstund.is/serfaedi?id=",LOWER(SUBSTITUTE(B1974," ","-"))))</f>
        <v/>
      </c>
    </row>
    <row r="1975" customFormat="false" ht="15" hidden="false" customHeight="true" outlineLevel="0" collapsed="false">
      <c r="A1975" s="9"/>
      <c r="B1975" s="9"/>
      <c r="C1975" s="9"/>
      <c r="D1975" s="9"/>
      <c r="E1975" s="9"/>
      <c r="F1975" s="9"/>
      <c r="G1975" s="9"/>
      <c r="H1975" s="64" t="str">
        <f aca="false">IF(OR(A1975="",B1975=""),"",CONCATENATE("https://matarstund.is/serfaedi?id=",LOWER(SUBSTITUTE(B1975," ","-"))))</f>
        <v/>
      </c>
    </row>
    <row r="1976" customFormat="false" ht="15" hidden="false" customHeight="true" outlineLevel="0" collapsed="false">
      <c r="A1976" s="68"/>
      <c r="B1976" s="68"/>
      <c r="C1976" s="68"/>
      <c r="D1976" s="68"/>
      <c r="E1976" s="68"/>
      <c r="F1976" s="68"/>
      <c r="G1976" s="68"/>
      <c r="H1976" s="64" t="str">
        <f aca="false">IF(OR(A1976="",B1976=""),"",CONCATENATE("https://matarstund.is/serfaedi?id=",LOWER(SUBSTITUTE(B1976," ","-"))))</f>
        <v/>
      </c>
    </row>
    <row r="1977" customFormat="false" ht="15" hidden="false" customHeight="true" outlineLevel="0" collapsed="false">
      <c r="A1977" s="9"/>
      <c r="B1977" s="9"/>
      <c r="C1977" s="9"/>
      <c r="D1977" s="9"/>
      <c r="E1977" s="9"/>
      <c r="F1977" s="9"/>
      <c r="G1977" s="9"/>
      <c r="H1977" s="64" t="str">
        <f aca="false">IF(OR(A1977="",B1977=""),"",CONCATENATE("https://matarstund.is/serfaedi?id=",LOWER(SUBSTITUTE(B1977," ","-"))))</f>
        <v/>
      </c>
    </row>
    <row r="1978" customFormat="false" ht="15" hidden="false" customHeight="true" outlineLevel="0" collapsed="false">
      <c r="A1978" s="68"/>
      <c r="B1978" s="68"/>
      <c r="C1978" s="68"/>
      <c r="D1978" s="68"/>
      <c r="E1978" s="68"/>
      <c r="F1978" s="68"/>
      <c r="G1978" s="68"/>
      <c r="H1978" s="64" t="str">
        <f aca="false">IF(OR(A1978="",B1978=""),"",CONCATENATE("https://matarstund.is/serfaedi?id=",LOWER(SUBSTITUTE(B1978," ","-"))))</f>
        <v/>
      </c>
    </row>
    <row r="1979" customFormat="false" ht="15" hidden="false" customHeight="true" outlineLevel="0" collapsed="false">
      <c r="A1979" s="9"/>
      <c r="B1979" s="9"/>
      <c r="C1979" s="9"/>
      <c r="D1979" s="9"/>
      <c r="E1979" s="9"/>
      <c r="F1979" s="9"/>
      <c r="G1979" s="9"/>
      <c r="H1979" s="64" t="str">
        <f aca="false">IF(OR(A1979="",B1979=""),"",CONCATENATE("https://matarstund.is/serfaedi?id=",LOWER(SUBSTITUTE(B1979," ","-"))))</f>
        <v/>
      </c>
    </row>
    <row r="1980" customFormat="false" ht="15" hidden="false" customHeight="true" outlineLevel="0" collapsed="false">
      <c r="A1980" s="68"/>
      <c r="B1980" s="68"/>
      <c r="C1980" s="68"/>
      <c r="D1980" s="68"/>
      <c r="E1980" s="68"/>
      <c r="F1980" s="68"/>
      <c r="G1980" s="68"/>
      <c r="H1980" s="64" t="str">
        <f aca="false">IF(OR(A1980="",B1980=""),"",CONCATENATE("https://matarstund.is/serfaedi?id=",LOWER(SUBSTITUTE(B1980," ","-"))))</f>
        <v/>
      </c>
    </row>
    <row r="1981" customFormat="false" ht="15" hidden="false" customHeight="true" outlineLevel="0" collapsed="false">
      <c r="A1981" s="9"/>
      <c r="B1981" s="9"/>
      <c r="C1981" s="9"/>
      <c r="D1981" s="9"/>
      <c r="E1981" s="9"/>
      <c r="F1981" s="9"/>
      <c r="G1981" s="9"/>
      <c r="H1981" s="64" t="str">
        <f aca="false">IF(OR(A1981="",B1981=""),"",CONCATENATE("https://matarstund.is/serfaedi?id=",LOWER(SUBSTITUTE(B1981," ","-"))))</f>
        <v/>
      </c>
    </row>
    <row r="1982" customFormat="false" ht="15" hidden="false" customHeight="true" outlineLevel="0" collapsed="false">
      <c r="A1982" s="68"/>
      <c r="B1982" s="68"/>
      <c r="C1982" s="68"/>
      <c r="D1982" s="68"/>
      <c r="E1982" s="68"/>
      <c r="F1982" s="68"/>
      <c r="G1982" s="68"/>
      <c r="H1982" s="64" t="str">
        <f aca="false">IF(OR(A1982="",B1982=""),"",CONCATENATE("https://matarstund.is/serfaedi?id=",LOWER(SUBSTITUTE(B1982," ","-"))))</f>
        <v/>
      </c>
    </row>
    <row r="1983" customFormat="false" ht="15" hidden="false" customHeight="true" outlineLevel="0" collapsed="false">
      <c r="A1983" s="9"/>
      <c r="B1983" s="9"/>
      <c r="C1983" s="9"/>
      <c r="D1983" s="9"/>
      <c r="E1983" s="9"/>
      <c r="F1983" s="9"/>
      <c r="G1983" s="9"/>
      <c r="H1983" s="64" t="str">
        <f aca="false">IF(OR(A1983="",B1983=""),"",CONCATENATE("https://matarstund.is/serfaedi?id=",LOWER(SUBSTITUTE(B1983," ","-"))))</f>
        <v/>
      </c>
    </row>
    <row r="1984" customFormat="false" ht="15" hidden="false" customHeight="true" outlineLevel="0" collapsed="false">
      <c r="A1984" s="68"/>
      <c r="B1984" s="68"/>
      <c r="C1984" s="68"/>
      <c r="D1984" s="68"/>
      <c r="E1984" s="68"/>
      <c r="F1984" s="68"/>
      <c r="G1984" s="68"/>
      <c r="H1984" s="64" t="str">
        <f aca="false">IF(OR(A1984="",B1984=""),"",CONCATENATE("https://matarstund.is/serfaedi?id=",LOWER(SUBSTITUTE(B1984," ","-"))))</f>
        <v/>
      </c>
    </row>
    <row r="1985" customFormat="false" ht="15" hidden="false" customHeight="true" outlineLevel="0" collapsed="false">
      <c r="A1985" s="9"/>
      <c r="B1985" s="9"/>
      <c r="C1985" s="9"/>
      <c r="D1985" s="9"/>
      <c r="E1985" s="9"/>
      <c r="F1985" s="9"/>
      <c r="G1985" s="9"/>
      <c r="H1985" s="64" t="str">
        <f aca="false">IF(OR(A1985="",B1985=""),"",CONCATENATE("https://matarstund.is/serfaedi?id=",LOWER(SUBSTITUTE(B1985," ","-"))))</f>
        <v/>
      </c>
    </row>
    <row r="1986" customFormat="false" ht="15" hidden="false" customHeight="true" outlineLevel="0" collapsed="false">
      <c r="A1986" s="68"/>
      <c r="B1986" s="68"/>
      <c r="C1986" s="68"/>
      <c r="D1986" s="68"/>
      <c r="E1986" s="68"/>
      <c r="F1986" s="68"/>
      <c r="G1986" s="68"/>
      <c r="H1986" s="64" t="str">
        <f aca="false">IF(OR(A1986="",B1986=""),"",CONCATENATE("https://matarstund.is/serfaedi?id=",LOWER(SUBSTITUTE(B1986," ","-"))))</f>
        <v/>
      </c>
    </row>
    <row r="1987" customFormat="false" ht="15" hidden="false" customHeight="true" outlineLevel="0" collapsed="false">
      <c r="A1987" s="9"/>
      <c r="B1987" s="9"/>
      <c r="C1987" s="9"/>
      <c r="D1987" s="9"/>
      <c r="E1987" s="9"/>
      <c r="F1987" s="9"/>
      <c r="G1987" s="9"/>
      <c r="H1987" s="64" t="str">
        <f aca="false">IF(OR(A1987="",B1987=""),"",CONCATENATE("https://matarstund.is/serfaedi?id=",LOWER(SUBSTITUTE(B1987," ","-"))))</f>
        <v/>
      </c>
    </row>
    <row r="1988" customFormat="false" ht="15" hidden="false" customHeight="true" outlineLevel="0" collapsed="false">
      <c r="A1988" s="68"/>
      <c r="B1988" s="68"/>
      <c r="C1988" s="68"/>
      <c r="D1988" s="68"/>
      <c r="E1988" s="68"/>
      <c r="F1988" s="68"/>
      <c r="G1988" s="68"/>
      <c r="H1988" s="64" t="str">
        <f aca="false">IF(OR(A1988="",B1988=""),"",CONCATENATE("https://matarstund.is/serfaedi?id=",LOWER(SUBSTITUTE(B1988," ","-"))))</f>
        <v/>
      </c>
    </row>
    <row r="1989" customFormat="false" ht="15" hidden="false" customHeight="true" outlineLevel="0" collapsed="false">
      <c r="A1989" s="9"/>
      <c r="B1989" s="9"/>
      <c r="C1989" s="9"/>
      <c r="D1989" s="9"/>
      <c r="E1989" s="9"/>
      <c r="F1989" s="9"/>
      <c r="G1989" s="9"/>
      <c r="H1989" s="64" t="str">
        <f aca="false">IF(OR(A1989="",B1989=""),"",CONCATENATE("https://matarstund.is/serfaedi?id=",LOWER(SUBSTITUTE(B1989," ","-"))))</f>
        <v/>
      </c>
    </row>
    <row r="1990" customFormat="false" ht="15" hidden="false" customHeight="true" outlineLevel="0" collapsed="false">
      <c r="A1990" s="68"/>
      <c r="B1990" s="68"/>
      <c r="C1990" s="68"/>
      <c r="D1990" s="68"/>
      <c r="E1990" s="68"/>
      <c r="F1990" s="68"/>
      <c r="G1990" s="68"/>
      <c r="H1990" s="64" t="str">
        <f aca="false">IF(OR(A1990="",B1990=""),"",CONCATENATE("https://matarstund.is/serfaedi?id=",LOWER(SUBSTITUTE(B1990," ","-"))))</f>
        <v/>
      </c>
    </row>
    <row r="1991" customFormat="false" ht="15" hidden="false" customHeight="true" outlineLevel="0" collapsed="false">
      <c r="A1991" s="9"/>
      <c r="B1991" s="9"/>
      <c r="C1991" s="9"/>
      <c r="D1991" s="9"/>
      <c r="E1991" s="9"/>
      <c r="F1991" s="9"/>
      <c r="G1991" s="9"/>
      <c r="H1991" s="64" t="str">
        <f aca="false">IF(OR(A1991="",B1991=""),"",CONCATENATE("https://matarstund.is/serfaedi?id=",LOWER(SUBSTITUTE(B1991," ","-"))))</f>
        <v/>
      </c>
    </row>
    <row r="1992" customFormat="false" ht="15" hidden="false" customHeight="true" outlineLevel="0" collapsed="false">
      <c r="A1992" s="68"/>
      <c r="B1992" s="68"/>
      <c r="C1992" s="68"/>
      <c r="D1992" s="68"/>
      <c r="E1992" s="68"/>
      <c r="F1992" s="68"/>
      <c r="G1992" s="68"/>
      <c r="H1992" s="64" t="str">
        <f aca="false">IF(OR(A1992="",B1992=""),"",CONCATENATE("https://matarstund.is/serfaedi?id=",LOWER(SUBSTITUTE(B1992," ","-"))))</f>
        <v/>
      </c>
    </row>
    <row r="1993" customFormat="false" ht="15" hidden="false" customHeight="true" outlineLevel="0" collapsed="false">
      <c r="A1993" s="9"/>
      <c r="B1993" s="9"/>
      <c r="C1993" s="9"/>
      <c r="D1993" s="9"/>
      <c r="E1993" s="9"/>
      <c r="F1993" s="9"/>
      <c r="G1993" s="9"/>
      <c r="H1993" s="64" t="str">
        <f aca="false">IF(OR(A1993="",B1993=""),"",CONCATENATE("https://matarstund.is/serfaedi?id=",LOWER(SUBSTITUTE(B1993," ","-"))))</f>
        <v/>
      </c>
    </row>
    <row r="1994" customFormat="false" ht="15" hidden="false" customHeight="true" outlineLevel="0" collapsed="false">
      <c r="A1994" s="68"/>
      <c r="B1994" s="68"/>
      <c r="C1994" s="68"/>
      <c r="D1994" s="68"/>
      <c r="E1994" s="68"/>
      <c r="F1994" s="68"/>
      <c r="G1994" s="68"/>
      <c r="H1994" s="64" t="str">
        <f aca="false">IF(OR(A1994="",B1994=""),"",CONCATENATE("https://matarstund.is/serfaedi?id=",LOWER(SUBSTITUTE(B1994," ","-"))))</f>
        <v/>
      </c>
    </row>
    <row r="1995" customFormat="false" ht="15" hidden="false" customHeight="true" outlineLevel="0" collapsed="false">
      <c r="A1995" s="9"/>
      <c r="B1995" s="9"/>
      <c r="C1995" s="9"/>
      <c r="D1995" s="9"/>
      <c r="E1995" s="9"/>
      <c r="F1995" s="9"/>
      <c r="G1995" s="9"/>
      <c r="H1995" s="64" t="str">
        <f aca="false">IF(OR(A1995="",B1995=""),"",CONCATENATE("https://matarstund.is/serfaedi?id=",LOWER(SUBSTITUTE(B1995," ","-"))))</f>
        <v/>
      </c>
    </row>
    <row r="1996" customFormat="false" ht="15" hidden="false" customHeight="true" outlineLevel="0" collapsed="false">
      <c r="A1996" s="68"/>
      <c r="B1996" s="68"/>
      <c r="C1996" s="68"/>
      <c r="D1996" s="68"/>
      <c r="E1996" s="68"/>
      <c r="F1996" s="68"/>
      <c r="G1996" s="68"/>
      <c r="H1996" s="64" t="str">
        <f aca="false">IF(OR(A1996="",B1996=""),"",CONCATENATE("https://matarstund.is/serfaedi?id=",LOWER(SUBSTITUTE(B1996," ","-"))))</f>
        <v/>
      </c>
    </row>
    <row r="1997" customFormat="false" ht="15" hidden="false" customHeight="true" outlineLevel="0" collapsed="false">
      <c r="A1997" s="9"/>
      <c r="B1997" s="9"/>
      <c r="C1997" s="9"/>
      <c r="D1997" s="9"/>
      <c r="E1997" s="9"/>
      <c r="F1997" s="9"/>
      <c r="G1997" s="9"/>
      <c r="H1997" s="64" t="str">
        <f aca="false">IF(OR(A1997="",B1997=""),"",CONCATENATE("https://matarstund.is/serfaedi?id=",LOWER(SUBSTITUTE(B1997," ","-"))))</f>
        <v/>
      </c>
    </row>
    <row r="1998" customFormat="false" ht="15" hidden="false" customHeight="true" outlineLevel="0" collapsed="false">
      <c r="A1998" s="68"/>
      <c r="B1998" s="68"/>
      <c r="C1998" s="68"/>
      <c r="D1998" s="68"/>
      <c r="E1998" s="68"/>
      <c r="F1998" s="68"/>
      <c r="G1998" s="68"/>
      <c r="H1998" s="64" t="str">
        <f aca="false">IF(OR(A1998="",B1998=""),"",CONCATENATE("https://matarstund.is/serfaedi?id=",LOWER(SUBSTITUTE(B1998," ","-"))))</f>
        <v/>
      </c>
    </row>
    <row r="1999" customFormat="false" ht="15" hidden="false" customHeight="true" outlineLevel="0" collapsed="false">
      <c r="A1999" s="9"/>
      <c r="B1999" s="9"/>
      <c r="C1999" s="9"/>
      <c r="D1999" s="9"/>
      <c r="E1999" s="9"/>
      <c r="F1999" s="9"/>
      <c r="G1999" s="9"/>
      <c r="H1999" s="64" t="str">
        <f aca="false">IF(OR(A1999="",B1999=""),"",CONCATENATE("https://matarstund.is/serfaedi?id=",LOWER(SUBSTITUTE(B1999," ","-"))))</f>
        <v/>
      </c>
    </row>
    <row r="2000" customFormat="false" ht="15" hidden="false" customHeight="true" outlineLevel="0" collapsed="false">
      <c r="A2000" s="68"/>
      <c r="B2000" s="68"/>
      <c r="C2000" s="68"/>
      <c r="D2000" s="68"/>
      <c r="E2000" s="68"/>
      <c r="F2000" s="68"/>
      <c r="G2000" s="68"/>
      <c r="H2000" s="64" t="str">
        <f aca="false">IF(OR(A2000="",B2000=""),"",CONCATENATE("https://matarstund.is/serfaedi?id=",LOWER(SUBSTITUTE(B2000," ","-"))))</f>
        <v/>
      </c>
    </row>
    <row r="2001" customFormat="false" ht="15" hidden="false" customHeight="true" outlineLevel="0" collapsed="false">
      <c r="A2001" s="9"/>
      <c r="B2001" s="9"/>
      <c r="C2001" s="9"/>
      <c r="D2001" s="9"/>
      <c r="E2001" s="9"/>
      <c r="F2001" s="9"/>
      <c r="G2001" s="9"/>
      <c r="H2001" s="64" t="str">
        <f aca="false">IF(OR(A2001="",B2001=""),"",CONCATENATE("https://matarstund.is/serfaedi?id=",LOWER(SUBSTITUTE(B2001," ","-"))))</f>
        <v/>
      </c>
    </row>
    <row r="2002" customFormat="false" ht="15" hidden="false" customHeight="true" outlineLevel="0" collapsed="false">
      <c r="A2002" s="68"/>
      <c r="B2002" s="68"/>
      <c r="C2002" s="68"/>
      <c r="D2002" s="68"/>
      <c r="E2002" s="68"/>
      <c r="F2002" s="68"/>
      <c r="G2002" s="68"/>
      <c r="H2002" s="64" t="str">
        <f aca="false">IF(OR(A2002="",B2002=""),"",CONCATENATE("https://matarstund.is/serfaedi?id=",LOWER(SUBSTITUTE(B2002," ","-"))))</f>
        <v/>
      </c>
    </row>
    <row r="2003" customFormat="false" ht="15" hidden="false" customHeight="true" outlineLevel="0" collapsed="false">
      <c r="A2003" s="9"/>
      <c r="B2003" s="9"/>
      <c r="C2003" s="9"/>
      <c r="D2003" s="9"/>
      <c r="E2003" s="9"/>
      <c r="F2003" s="9"/>
      <c r="G2003" s="9"/>
      <c r="H2003" s="64" t="str">
        <f aca="false">IF(OR(A2003="",B2003=""),"",CONCATENATE("https://matarstund.is/serfaedi?id=",LOWER(SUBSTITUTE(B2003," ","-"))))</f>
        <v/>
      </c>
    </row>
    <row r="2004" customFormat="false" ht="15" hidden="false" customHeight="true" outlineLevel="0" collapsed="false">
      <c r="A2004" s="68"/>
      <c r="B2004" s="68"/>
      <c r="C2004" s="68"/>
      <c r="D2004" s="68"/>
      <c r="E2004" s="68"/>
      <c r="F2004" s="68"/>
      <c r="G2004" s="68"/>
      <c r="H2004" s="64" t="str">
        <f aca="false">IF(OR(A2004="",B2004=""),"",CONCATENATE("https://matarstund.is/serfaedi?id=",LOWER(SUBSTITUTE(B2004," ","-"))))</f>
        <v/>
      </c>
    </row>
    <row r="2005" customFormat="false" ht="15" hidden="false" customHeight="true" outlineLevel="0" collapsed="false">
      <c r="A2005" s="9"/>
      <c r="B2005" s="9"/>
      <c r="C2005" s="9"/>
      <c r="D2005" s="9"/>
      <c r="E2005" s="9"/>
      <c r="F2005" s="9"/>
      <c r="G2005" s="9"/>
      <c r="H2005" s="64" t="str">
        <f aca="false">IF(OR(A2005="",B2005=""),"",CONCATENATE("https://matarstund.is/serfaedi?id=",LOWER(SUBSTITUTE(B2005," ","-"))))</f>
        <v/>
      </c>
    </row>
    <row r="2006" customFormat="false" ht="15" hidden="false" customHeight="true" outlineLevel="0" collapsed="false">
      <c r="A2006" s="68"/>
      <c r="B2006" s="68"/>
      <c r="C2006" s="68"/>
      <c r="D2006" s="68"/>
      <c r="E2006" s="68"/>
      <c r="F2006" s="68"/>
      <c r="G2006" s="68"/>
      <c r="H2006" s="64" t="str">
        <f aca="false">IF(OR(A2006="",B2006=""),"",CONCATENATE("https://matarstund.is/serfaedi?id=",LOWER(SUBSTITUTE(B2006," ","-"))))</f>
        <v/>
      </c>
    </row>
    <row r="2007" customFormat="false" ht="15" hidden="false" customHeight="true" outlineLevel="0" collapsed="false">
      <c r="A2007" s="9"/>
      <c r="B2007" s="9"/>
      <c r="C2007" s="9"/>
      <c r="D2007" s="9"/>
      <c r="E2007" s="9"/>
      <c r="F2007" s="9"/>
      <c r="G2007" s="9"/>
      <c r="H2007" s="64" t="str">
        <f aca="false">IF(OR(A2007="",B2007=""),"",CONCATENATE("https://matarstund.is/serfaedi?id=",LOWER(SUBSTITUTE(B2007," ","-"))))</f>
        <v/>
      </c>
    </row>
    <row r="2008" customFormat="false" ht="15" hidden="false" customHeight="true" outlineLevel="0" collapsed="false">
      <c r="A2008" s="68"/>
      <c r="B2008" s="68"/>
      <c r="C2008" s="68"/>
      <c r="D2008" s="68"/>
      <c r="E2008" s="68"/>
      <c r="F2008" s="68"/>
      <c r="G2008" s="68"/>
      <c r="H2008" s="64" t="str">
        <f aca="false">IF(OR(A2008="",B2008=""),"",CONCATENATE("https://matarstund.is/serfaedi?id=",LOWER(SUBSTITUTE(B2008," ","-"))))</f>
        <v/>
      </c>
    </row>
    <row r="2009" customFormat="false" ht="15" hidden="false" customHeight="true" outlineLevel="0" collapsed="false">
      <c r="A2009" s="9"/>
      <c r="B2009" s="9"/>
      <c r="C2009" s="9"/>
      <c r="D2009" s="9"/>
      <c r="E2009" s="9"/>
      <c r="F2009" s="9"/>
      <c r="G2009" s="9"/>
      <c r="H2009" s="64" t="str">
        <f aca="false">IF(OR(A2009="",B2009=""),"",CONCATENATE("https://matarstund.is/serfaedi?id=",LOWER(SUBSTITUTE(B2009," ","-"))))</f>
        <v/>
      </c>
    </row>
    <row r="2010" customFormat="false" ht="15" hidden="false" customHeight="true" outlineLevel="0" collapsed="false">
      <c r="A2010" s="68"/>
      <c r="B2010" s="68"/>
      <c r="C2010" s="68"/>
      <c r="D2010" s="68"/>
      <c r="E2010" s="68"/>
      <c r="F2010" s="68"/>
      <c r="G2010" s="68"/>
      <c r="H2010" s="64" t="str">
        <f aca="false">IF(OR(A2010="",B2010=""),"",CONCATENATE("https://matarstund.is/serfaedi?id=",LOWER(SUBSTITUTE(B2010," ","-"))))</f>
        <v/>
      </c>
    </row>
    <row r="2011" customFormat="false" ht="15" hidden="false" customHeight="true" outlineLevel="0" collapsed="false">
      <c r="A2011" s="9"/>
      <c r="B2011" s="9"/>
      <c r="C2011" s="9"/>
      <c r="D2011" s="9"/>
      <c r="E2011" s="9"/>
      <c r="F2011" s="9"/>
      <c r="G2011" s="9"/>
      <c r="H2011" s="64" t="str">
        <f aca="false">IF(OR(A2011="",B2011=""),"",CONCATENATE("https://matarstund.is/serfaedi?id=",LOWER(SUBSTITUTE(B2011," ","-"))))</f>
        <v/>
      </c>
    </row>
    <row r="2012" customFormat="false" ht="15" hidden="false" customHeight="true" outlineLevel="0" collapsed="false">
      <c r="A2012" s="68"/>
      <c r="B2012" s="68"/>
      <c r="C2012" s="68"/>
      <c r="D2012" s="68"/>
      <c r="E2012" s="68"/>
      <c r="F2012" s="68"/>
      <c r="G2012" s="68"/>
      <c r="H2012" s="64" t="str">
        <f aca="false">IF(OR(A2012="",B2012=""),"",CONCATENATE("https://matarstund.is/serfaedi?id=",LOWER(SUBSTITUTE(B2012," ","-"))))</f>
        <v/>
      </c>
    </row>
    <row r="2013" customFormat="false" ht="15" hidden="false" customHeight="true" outlineLevel="0" collapsed="false">
      <c r="A2013" s="9"/>
      <c r="B2013" s="9"/>
      <c r="C2013" s="9"/>
      <c r="D2013" s="9"/>
      <c r="E2013" s="9"/>
      <c r="F2013" s="9"/>
      <c r="G2013" s="9"/>
      <c r="H2013" s="64" t="str">
        <f aca="false">IF(OR(A2013="",B2013=""),"",CONCATENATE("https://matarstund.is/serfaedi?id=",LOWER(SUBSTITUTE(B2013," ","-"))))</f>
        <v/>
      </c>
    </row>
    <row r="2014" customFormat="false" ht="15" hidden="false" customHeight="true" outlineLevel="0" collapsed="false">
      <c r="A2014" s="68"/>
      <c r="B2014" s="68"/>
      <c r="C2014" s="68"/>
      <c r="D2014" s="68"/>
      <c r="E2014" s="68"/>
      <c r="F2014" s="68"/>
      <c r="G2014" s="68"/>
      <c r="H2014" s="64" t="str">
        <f aca="false">IF(OR(A2014="",B2014=""),"",CONCATENATE("https://matarstund.is/serfaedi?id=",LOWER(SUBSTITUTE(B2014," ","-"))))</f>
        <v/>
      </c>
    </row>
    <row r="2015" customFormat="false" ht="15" hidden="false" customHeight="true" outlineLevel="0" collapsed="false">
      <c r="A2015" s="9"/>
      <c r="B2015" s="9"/>
      <c r="C2015" s="9"/>
      <c r="D2015" s="9"/>
      <c r="E2015" s="9"/>
      <c r="F2015" s="9"/>
      <c r="G2015" s="9"/>
      <c r="H2015" s="64" t="str">
        <f aca="false">IF(OR(A2015="",B2015=""),"",CONCATENATE("https://matarstund.is/serfaedi?id=",LOWER(SUBSTITUTE(B2015," ","-"))))</f>
        <v/>
      </c>
    </row>
    <row r="2016" customFormat="false" ht="15" hidden="false" customHeight="true" outlineLevel="0" collapsed="false">
      <c r="A2016" s="68"/>
      <c r="B2016" s="68"/>
      <c r="C2016" s="68"/>
      <c r="D2016" s="68"/>
      <c r="E2016" s="68"/>
      <c r="F2016" s="68"/>
      <c r="G2016" s="68"/>
      <c r="H2016" s="64" t="str">
        <f aca="false">IF(OR(A2016="",B2016=""),"",CONCATENATE("https://matarstund.is/serfaedi?id=",LOWER(SUBSTITUTE(B2016," ","-"))))</f>
        <v/>
      </c>
    </row>
    <row r="2017" customFormat="false" ht="15" hidden="false" customHeight="true" outlineLevel="0" collapsed="false">
      <c r="A2017" s="9"/>
      <c r="B2017" s="9"/>
      <c r="C2017" s="9"/>
      <c r="D2017" s="9"/>
      <c r="E2017" s="9"/>
      <c r="F2017" s="9"/>
      <c r="G2017" s="9"/>
      <c r="H2017" s="64" t="str">
        <f aca="false">IF(OR(A2017="",B2017=""),"",CONCATENATE("https://matarstund.is/serfaedi?id=",LOWER(SUBSTITUTE(B2017," ","-"))))</f>
        <v/>
      </c>
    </row>
    <row r="2018" customFormat="false" ht="15" hidden="false" customHeight="true" outlineLevel="0" collapsed="false">
      <c r="A2018" s="68"/>
      <c r="B2018" s="68"/>
      <c r="C2018" s="68"/>
      <c r="D2018" s="68"/>
      <c r="E2018" s="68"/>
      <c r="F2018" s="68"/>
      <c r="G2018" s="68"/>
      <c r="H2018" s="64" t="str">
        <f aca="false">IF(OR(A2018="",B2018=""),"",CONCATENATE("https://matarstund.is/serfaedi?id=",LOWER(SUBSTITUTE(B2018," ","-"))))</f>
        <v/>
      </c>
    </row>
    <row r="2019" customFormat="false" ht="15" hidden="false" customHeight="true" outlineLevel="0" collapsed="false">
      <c r="A2019" s="9"/>
      <c r="B2019" s="9"/>
      <c r="C2019" s="9"/>
      <c r="D2019" s="9"/>
      <c r="E2019" s="9"/>
      <c r="F2019" s="9"/>
      <c r="G2019" s="9"/>
      <c r="H2019" s="64" t="str">
        <f aca="false">IF(OR(A2019="",B2019=""),"",CONCATENATE("https://matarstund.is/serfaedi?id=",LOWER(SUBSTITUTE(B2019," ","-"))))</f>
        <v/>
      </c>
    </row>
    <row r="2020" customFormat="false" ht="15" hidden="false" customHeight="true" outlineLevel="0" collapsed="false">
      <c r="A2020" s="68"/>
      <c r="B2020" s="68"/>
      <c r="C2020" s="68"/>
      <c r="D2020" s="68"/>
      <c r="E2020" s="68"/>
      <c r="F2020" s="68"/>
      <c r="G2020" s="68"/>
      <c r="H2020" s="64" t="str">
        <f aca="false">IF(OR(A2020="",B2020=""),"",CONCATENATE("https://matarstund.is/serfaedi?id=",LOWER(SUBSTITUTE(B2020," ","-"))))</f>
        <v/>
      </c>
    </row>
    <row r="2021" customFormat="false" ht="15" hidden="false" customHeight="true" outlineLevel="0" collapsed="false">
      <c r="A2021" s="9"/>
      <c r="B2021" s="9"/>
      <c r="C2021" s="9"/>
      <c r="D2021" s="9"/>
      <c r="E2021" s="9"/>
      <c r="F2021" s="9"/>
      <c r="G2021" s="9"/>
      <c r="H2021" s="64" t="str">
        <f aca="false">IF(OR(A2021="",B2021=""),"",CONCATENATE("https://matarstund.is/serfaedi?id=",LOWER(SUBSTITUTE(B2021," ","-"))))</f>
        <v/>
      </c>
    </row>
    <row r="2022" customFormat="false" ht="15" hidden="false" customHeight="true" outlineLevel="0" collapsed="false">
      <c r="A2022" s="68"/>
      <c r="B2022" s="68"/>
      <c r="C2022" s="68"/>
      <c r="D2022" s="68"/>
      <c r="E2022" s="68"/>
      <c r="F2022" s="68"/>
      <c r="G2022" s="68"/>
      <c r="H2022" s="64" t="str">
        <f aca="false">IF(OR(A2022="",B2022=""),"",CONCATENATE("https://matarstund.is/serfaedi?id=",LOWER(SUBSTITUTE(B2022," ","-"))))</f>
        <v/>
      </c>
    </row>
    <row r="2023" customFormat="false" ht="15" hidden="false" customHeight="true" outlineLevel="0" collapsed="false">
      <c r="A2023" s="9"/>
      <c r="B2023" s="9"/>
      <c r="C2023" s="9"/>
      <c r="D2023" s="9"/>
      <c r="E2023" s="9"/>
      <c r="F2023" s="9"/>
      <c r="G2023" s="9"/>
      <c r="H2023" s="64" t="str">
        <f aca="false">IF(OR(A2023="",B2023=""),"",CONCATENATE("https://matarstund.is/serfaedi?id=",LOWER(SUBSTITUTE(B2023," ","-"))))</f>
        <v/>
      </c>
    </row>
    <row r="2024" customFormat="false" ht="15" hidden="false" customHeight="true" outlineLevel="0" collapsed="false">
      <c r="A2024" s="68"/>
      <c r="B2024" s="68"/>
      <c r="C2024" s="68"/>
      <c r="D2024" s="68"/>
      <c r="E2024" s="68"/>
      <c r="F2024" s="68"/>
      <c r="G2024" s="68"/>
      <c r="H2024" s="64" t="str">
        <f aca="false">IF(OR(A2024="",B2024=""),"",CONCATENATE("https://matarstund.is/serfaedi?id=",LOWER(SUBSTITUTE(B2024," ","-"))))</f>
        <v/>
      </c>
    </row>
    <row r="2025" customFormat="false" ht="15" hidden="false" customHeight="true" outlineLevel="0" collapsed="false">
      <c r="A2025" s="9"/>
      <c r="B2025" s="9"/>
      <c r="C2025" s="9"/>
      <c r="D2025" s="9"/>
      <c r="E2025" s="9"/>
      <c r="F2025" s="9"/>
      <c r="G2025" s="9"/>
      <c r="H2025" s="64" t="str">
        <f aca="false">IF(OR(A2025="",B2025=""),"",CONCATENATE("https://matarstund.is/serfaedi?id=",LOWER(SUBSTITUTE(B2025," ","-"))))</f>
        <v/>
      </c>
    </row>
    <row r="2026" customFormat="false" ht="15" hidden="false" customHeight="true" outlineLevel="0" collapsed="false">
      <c r="A2026" s="68"/>
      <c r="B2026" s="68"/>
      <c r="C2026" s="68"/>
      <c r="D2026" s="68"/>
      <c r="E2026" s="68"/>
      <c r="F2026" s="68"/>
      <c r="G2026" s="68"/>
      <c r="H2026" s="64" t="str">
        <f aca="false">IF(OR(A2026="",B2026=""),"",CONCATENATE("https://matarstund.is/serfaedi?id=",LOWER(SUBSTITUTE(B2026," ","-"))))</f>
        <v/>
      </c>
    </row>
    <row r="2027" customFormat="false" ht="15" hidden="false" customHeight="true" outlineLevel="0" collapsed="false">
      <c r="A2027" s="9"/>
      <c r="B2027" s="9"/>
      <c r="C2027" s="9"/>
      <c r="D2027" s="9"/>
      <c r="E2027" s="9"/>
      <c r="F2027" s="9"/>
      <c r="G2027" s="9"/>
      <c r="H2027" s="64" t="str">
        <f aca="false">IF(OR(A2027="",B2027=""),"",CONCATENATE("https://matarstund.is/serfaedi?id=",LOWER(SUBSTITUTE(B2027," ","-"))))</f>
        <v/>
      </c>
    </row>
    <row r="2028" customFormat="false" ht="15" hidden="false" customHeight="true" outlineLevel="0" collapsed="false">
      <c r="A2028" s="68"/>
      <c r="B2028" s="68"/>
      <c r="C2028" s="68"/>
      <c r="D2028" s="68"/>
      <c r="E2028" s="68"/>
      <c r="F2028" s="68"/>
      <c r="G2028" s="68"/>
      <c r="H2028" s="64" t="str">
        <f aca="false">IF(OR(A2028="",B2028=""),"",CONCATENATE("https://matarstund.is/serfaedi?id=",LOWER(SUBSTITUTE(B2028," ","-"))))</f>
        <v/>
      </c>
    </row>
    <row r="2029" customFormat="false" ht="15" hidden="false" customHeight="true" outlineLevel="0" collapsed="false">
      <c r="A2029" s="9"/>
      <c r="B2029" s="9"/>
      <c r="C2029" s="9"/>
      <c r="D2029" s="9"/>
      <c r="E2029" s="9"/>
      <c r="F2029" s="9"/>
      <c r="G2029" s="9"/>
      <c r="H2029" s="64" t="str">
        <f aca="false">IF(OR(A2029="",B2029=""),"",CONCATENATE("https://matarstund.is/serfaedi?id=",LOWER(SUBSTITUTE(B2029," ","-"))))</f>
        <v/>
      </c>
    </row>
    <row r="2030" customFormat="false" ht="15" hidden="false" customHeight="true" outlineLevel="0" collapsed="false">
      <c r="A2030" s="68"/>
      <c r="B2030" s="68"/>
      <c r="C2030" s="68"/>
      <c r="D2030" s="68"/>
      <c r="E2030" s="68"/>
      <c r="F2030" s="68"/>
      <c r="G2030" s="68"/>
      <c r="H2030" s="64" t="str">
        <f aca="false">IF(OR(A2030="",B2030=""),"",CONCATENATE("https://matarstund.is/serfaedi?id=",LOWER(SUBSTITUTE(B2030," ","-"))))</f>
        <v/>
      </c>
    </row>
    <row r="2031" customFormat="false" ht="15" hidden="false" customHeight="true" outlineLevel="0" collapsed="false">
      <c r="A2031" s="9"/>
      <c r="B2031" s="9"/>
      <c r="C2031" s="9"/>
      <c r="D2031" s="9"/>
      <c r="E2031" s="9"/>
      <c r="F2031" s="9"/>
      <c r="G2031" s="9"/>
      <c r="H2031" s="64" t="str">
        <f aca="false">IF(OR(A2031="",B2031=""),"",CONCATENATE("https://matarstund.is/serfaedi?id=",LOWER(SUBSTITUTE(B2031," ","-"))))</f>
        <v/>
      </c>
    </row>
    <row r="2032" customFormat="false" ht="15" hidden="false" customHeight="true" outlineLevel="0" collapsed="false">
      <c r="A2032" s="68"/>
      <c r="B2032" s="68"/>
      <c r="C2032" s="68"/>
      <c r="D2032" s="68"/>
      <c r="E2032" s="68"/>
      <c r="F2032" s="68"/>
      <c r="G2032" s="68"/>
      <c r="H2032" s="64" t="str">
        <f aca="false">IF(OR(A2032="",B2032=""),"",CONCATENATE("https://matarstund.is/serfaedi?id=",LOWER(SUBSTITUTE(B2032," ","-"))))</f>
        <v/>
      </c>
    </row>
    <row r="2033" customFormat="false" ht="15" hidden="false" customHeight="true" outlineLevel="0" collapsed="false">
      <c r="A2033" s="9"/>
      <c r="B2033" s="9"/>
      <c r="C2033" s="9"/>
      <c r="D2033" s="9"/>
      <c r="E2033" s="9"/>
      <c r="F2033" s="9"/>
      <c r="G2033" s="9"/>
      <c r="H2033" s="64" t="str">
        <f aca="false">IF(OR(A2033="",B2033=""),"",CONCATENATE("https://matarstund.is/serfaedi?id=",LOWER(SUBSTITUTE(B2033," ","-"))))</f>
        <v/>
      </c>
    </row>
    <row r="2034" customFormat="false" ht="15" hidden="false" customHeight="true" outlineLevel="0" collapsed="false">
      <c r="A2034" s="68"/>
      <c r="B2034" s="68"/>
      <c r="C2034" s="68"/>
      <c r="D2034" s="68"/>
      <c r="E2034" s="68"/>
      <c r="F2034" s="68"/>
      <c r="G2034" s="68"/>
      <c r="H2034" s="64" t="str">
        <f aca="false">IF(OR(A2034="",B2034=""),"",CONCATENATE("https://matarstund.is/serfaedi?id=",LOWER(SUBSTITUTE(B2034," ","-"))))</f>
        <v/>
      </c>
    </row>
    <row r="2035" customFormat="false" ht="15" hidden="false" customHeight="true" outlineLevel="0" collapsed="false">
      <c r="A2035" s="9"/>
      <c r="B2035" s="9"/>
      <c r="C2035" s="9"/>
      <c r="D2035" s="9"/>
      <c r="E2035" s="9"/>
      <c r="F2035" s="9"/>
      <c r="G2035" s="9"/>
      <c r="H2035" s="64" t="str">
        <f aca="false">IF(OR(A2035="",B2035=""),"",CONCATENATE("https://matarstund.is/serfaedi?id=",LOWER(SUBSTITUTE(B2035," ","-"))))</f>
        <v/>
      </c>
    </row>
    <row r="2036" customFormat="false" ht="15" hidden="false" customHeight="true" outlineLevel="0" collapsed="false">
      <c r="A2036" s="68"/>
      <c r="B2036" s="68"/>
      <c r="C2036" s="68"/>
      <c r="D2036" s="68"/>
      <c r="E2036" s="68"/>
      <c r="F2036" s="68"/>
      <c r="G2036" s="68"/>
      <c r="H2036" s="64" t="str">
        <f aca="false">IF(OR(A2036="",B2036=""),"",CONCATENATE("https://matarstund.is/serfaedi?id=",LOWER(SUBSTITUTE(B2036," ","-"))))</f>
        <v/>
      </c>
    </row>
    <row r="2037" customFormat="false" ht="15" hidden="false" customHeight="true" outlineLevel="0" collapsed="false">
      <c r="A2037" s="9"/>
      <c r="B2037" s="9"/>
      <c r="C2037" s="9"/>
      <c r="D2037" s="9"/>
      <c r="E2037" s="9"/>
      <c r="F2037" s="9"/>
      <c r="G2037" s="9"/>
      <c r="H2037" s="64" t="str">
        <f aca="false">IF(OR(A2037="",B2037=""),"",CONCATENATE("https://matarstund.is/serfaedi?id=",LOWER(SUBSTITUTE(B2037," ","-"))))</f>
        <v/>
      </c>
    </row>
    <row r="2038" customFormat="false" ht="15" hidden="false" customHeight="true" outlineLevel="0" collapsed="false">
      <c r="A2038" s="68"/>
      <c r="B2038" s="68"/>
      <c r="C2038" s="68"/>
      <c r="D2038" s="68"/>
      <c r="E2038" s="68"/>
      <c r="F2038" s="68"/>
      <c r="G2038" s="68"/>
      <c r="H2038" s="64" t="str">
        <f aca="false">IF(OR(A2038="",B2038=""),"",CONCATENATE("https://matarstund.is/serfaedi?id=",LOWER(SUBSTITUTE(B2038," ","-"))))</f>
        <v/>
      </c>
    </row>
    <row r="2039" customFormat="false" ht="15" hidden="false" customHeight="true" outlineLevel="0" collapsed="false">
      <c r="A2039" s="9"/>
      <c r="B2039" s="9"/>
      <c r="C2039" s="9"/>
      <c r="D2039" s="9"/>
      <c r="E2039" s="9"/>
      <c r="F2039" s="9"/>
      <c r="G2039" s="9"/>
      <c r="H2039" s="64" t="str">
        <f aca="false">IF(OR(A2039="",B2039=""),"",CONCATENATE("https://matarstund.is/serfaedi?id=",LOWER(SUBSTITUTE(B2039," ","-"))))</f>
        <v/>
      </c>
    </row>
    <row r="2040" customFormat="false" ht="15" hidden="false" customHeight="true" outlineLevel="0" collapsed="false">
      <c r="A2040" s="68"/>
      <c r="B2040" s="68"/>
      <c r="C2040" s="68"/>
      <c r="D2040" s="68"/>
      <c r="E2040" s="68"/>
      <c r="F2040" s="68"/>
      <c r="G2040" s="68"/>
      <c r="H2040" s="64" t="str">
        <f aca="false">IF(OR(A2040="",B2040=""),"",CONCATENATE("https://matarstund.is/serfaedi?id=",LOWER(SUBSTITUTE(B2040," ","-"))))</f>
        <v/>
      </c>
    </row>
    <row r="2041" customFormat="false" ht="15" hidden="false" customHeight="true" outlineLevel="0" collapsed="false">
      <c r="A2041" s="9"/>
      <c r="B2041" s="9"/>
      <c r="C2041" s="9"/>
      <c r="D2041" s="9"/>
      <c r="E2041" s="9"/>
      <c r="F2041" s="9"/>
      <c r="G2041" s="9"/>
      <c r="H2041" s="64" t="str">
        <f aca="false">IF(OR(A2041="",B2041=""),"",CONCATENATE("https://matarstund.is/serfaedi?id=",LOWER(SUBSTITUTE(B2041," ","-"))))</f>
        <v/>
      </c>
    </row>
    <row r="2042" customFormat="false" ht="15" hidden="false" customHeight="true" outlineLevel="0" collapsed="false">
      <c r="A2042" s="68"/>
      <c r="B2042" s="68"/>
      <c r="C2042" s="68"/>
      <c r="D2042" s="68"/>
      <c r="E2042" s="68"/>
      <c r="F2042" s="68"/>
      <c r="G2042" s="68"/>
      <c r="H2042" s="64" t="str">
        <f aca="false">IF(OR(A2042="",B2042=""),"",CONCATENATE("https://matarstund.is/serfaedi?id=",LOWER(SUBSTITUTE(B2042," ","-"))))</f>
        <v/>
      </c>
    </row>
    <row r="2043" customFormat="false" ht="15" hidden="false" customHeight="true" outlineLevel="0" collapsed="false">
      <c r="A2043" s="9"/>
      <c r="B2043" s="9"/>
      <c r="C2043" s="9"/>
      <c r="D2043" s="9"/>
      <c r="E2043" s="9"/>
      <c r="F2043" s="9"/>
      <c r="G2043" s="9"/>
      <c r="H2043" s="64" t="str">
        <f aca="false">IF(OR(A2043="",B2043=""),"",CONCATENATE("https://matarstund.is/serfaedi?id=",LOWER(SUBSTITUTE(B2043," ","-"))))</f>
        <v/>
      </c>
    </row>
    <row r="2044" customFormat="false" ht="15" hidden="false" customHeight="true" outlineLevel="0" collapsed="false">
      <c r="A2044" s="68"/>
      <c r="B2044" s="68"/>
      <c r="C2044" s="68"/>
      <c r="D2044" s="68"/>
      <c r="E2044" s="68"/>
      <c r="F2044" s="68"/>
      <c r="G2044" s="68"/>
      <c r="H2044" s="64" t="str">
        <f aca="false">IF(OR(A2044="",B2044=""),"",CONCATENATE("https://matarstund.is/serfaedi?id=",LOWER(SUBSTITUTE(B2044," ","-"))))</f>
        <v/>
      </c>
    </row>
    <row r="2045" customFormat="false" ht="15" hidden="false" customHeight="true" outlineLevel="0" collapsed="false">
      <c r="A2045" s="9"/>
      <c r="B2045" s="9"/>
      <c r="C2045" s="9"/>
      <c r="D2045" s="9"/>
      <c r="E2045" s="9"/>
      <c r="F2045" s="9"/>
      <c r="G2045" s="9"/>
      <c r="H2045" s="64" t="str">
        <f aca="false">IF(OR(A2045="",B2045=""),"",CONCATENATE("https://matarstund.is/serfaedi?id=",LOWER(SUBSTITUTE(B2045," ","-"))))</f>
        <v/>
      </c>
    </row>
    <row r="2046" customFormat="false" ht="15" hidden="false" customHeight="true" outlineLevel="0" collapsed="false">
      <c r="A2046" s="68"/>
      <c r="B2046" s="68"/>
      <c r="C2046" s="68"/>
      <c r="D2046" s="68"/>
      <c r="E2046" s="68"/>
      <c r="F2046" s="68"/>
      <c r="G2046" s="68"/>
      <c r="H2046" s="64" t="str">
        <f aca="false">IF(OR(A2046="",B2046=""),"",CONCATENATE("https://matarstund.is/serfaedi?id=",LOWER(SUBSTITUTE(B2046," ","-"))))</f>
        <v/>
      </c>
    </row>
    <row r="2047" customFormat="false" ht="15" hidden="false" customHeight="true" outlineLevel="0" collapsed="false">
      <c r="A2047" s="9"/>
      <c r="B2047" s="9"/>
      <c r="C2047" s="9"/>
      <c r="D2047" s="9"/>
      <c r="E2047" s="9"/>
      <c r="F2047" s="9"/>
      <c r="G2047" s="9"/>
      <c r="H2047" s="64" t="str">
        <f aca="false">IF(OR(A2047="",B2047=""),"",CONCATENATE("https://matarstund.is/serfaedi?id=",LOWER(SUBSTITUTE(B2047," ","-"))))</f>
        <v/>
      </c>
    </row>
    <row r="2048" customFormat="false" ht="15" hidden="false" customHeight="true" outlineLevel="0" collapsed="false">
      <c r="A2048" s="68"/>
      <c r="B2048" s="68"/>
      <c r="C2048" s="68"/>
      <c r="D2048" s="68"/>
      <c r="E2048" s="68"/>
      <c r="F2048" s="68"/>
      <c r="G2048" s="68"/>
      <c r="H2048" s="64" t="str">
        <f aca="false">IF(OR(A2048="",B2048=""),"",CONCATENATE("https://matarstund.is/serfaedi?id=",LOWER(SUBSTITUTE(B2048," ","-"))))</f>
        <v/>
      </c>
    </row>
    <row r="2049" customFormat="false" ht="15" hidden="false" customHeight="true" outlineLevel="0" collapsed="false">
      <c r="A2049" s="9"/>
      <c r="B2049" s="9"/>
      <c r="C2049" s="9"/>
      <c r="D2049" s="9"/>
      <c r="E2049" s="9"/>
      <c r="F2049" s="9"/>
      <c r="G2049" s="9"/>
      <c r="H2049" s="64" t="str">
        <f aca="false">IF(OR(A2049="",B2049=""),"",CONCATENATE("https://matarstund.is/serfaedi?id=",LOWER(SUBSTITUTE(B2049," ","-"))))</f>
        <v/>
      </c>
    </row>
    <row r="2050" customFormat="false" ht="15" hidden="false" customHeight="true" outlineLevel="0" collapsed="false">
      <c r="A2050" s="68"/>
      <c r="B2050" s="68"/>
      <c r="C2050" s="68"/>
      <c r="D2050" s="68"/>
      <c r="E2050" s="68"/>
      <c r="F2050" s="68"/>
      <c r="G2050" s="68"/>
      <c r="H2050" s="64" t="str">
        <f aca="false">IF(OR(A2050="",B2050=""),"",CONCATENATE("https://matarstund.is/serfaedi?id=",LOWER(SUBSTITUTE(B2050," ","-"))))</f>
        <v/>
      </c>
    </row>
    <row r="2051" customFormat="false" ht="15" hidden="false" customHeight="true" outlineLevel="0" collapsed="false">
      <c r="A2051" s="9"/>
      <c r="B2051" s="9"/>
      <c r="C2051" s="9"/>
      <c r="D2051" s="9"/>
      <c r="E2051" s="9"/>
      <c r="F2051" s="9"/>
      <c r="G2051" s="9"/>
      <c r="H2051" s="64" t="str">
        <f aca="false">IF(OR(A2051="",B2051=""),"",CONCATENATE("https://matarstund.is/serfaedi?id=",LOWER(SUBSTITUTE(B2051," ","-"))))</f>
        <v/>
      </c>
    </row>
    <row r="2052" customFormat="false" ht="15" hidden="false" customHeight="true" outlineLevel="0" collapsed="false">
      <c r="A2052" s="68"/>
      <c r="B2052" s="68"/>
      <c r="C2052" s="68"/>
      <c r="D2052" s="68"/>
      <c r="E2052" s="68"/>
      <c r="F2052" s="68"/>
      <c r="G2052" s="68"/>
      <c r="H2052" s="64" t="str">
        <f aca="false">IF(OR(A2052="",B2052=""),"",CONCATENATE("https://matarstund.is/serfaedi?id=",LOWER(SUBSTITUTE(B2052," ","-"))))</f>
        <v/>
      </c>
    </row>
    <row r="2053" customFormat="false" ht="15" hidden="false" customHeight="true" outlineLevel="0" collapsed="false">
      <c r="A2053" s="9"/>
      <c r="B2053" s="9"/>
      <c r="C2053" s="9"/>
      <c r="D2053" s="9"/>
      <c r="E2053" s="9"/>
      <c r="F2053" s="9"/>
      <c r="G2053" s="9"/>
      <c r="H2053" s="64" t="str">
        <f aca="false">IF(OR(A2053="",B2053=""),"",CONCATENATE("https://matarstund.is/serfaedi?id=",LOWER(SUBSTITUTE(B2053," ","-"))))</f>
        <v/>
      </c>
    </row>
    <row r="2054" customFormat="false" ht="15" hidden="false" customHeight="true" outlineLevel="0" collapsed="false">
      <c r="A2054" s="68"/>
      <c r="B2054" s="68"/>
      <c r="C2054" s="68"/>
      <c r="D2054" s="68"/>
      <c r="E2054" s="68"/>
      <c r="F2054" s="68"/>
      <c r="G2054" s="68"/>
      <c r="H2054" s="64" t="str">
        <f aca="false">IF(OR(A2054="",B2054=""),"",CONCATENATE("https://matarstund.is/serfaedi?id=",LOWER(SUBSTITUTE(B2054," ","-"))))</f>
        <v/>
      </c>
    </row>
    <row r="2055" customFormat="false" ht="15" hidden="false" customHeight="true" outlineLevel="0" collapsed="false">
      <c r="A2055" s="9"/>
      <c r="B2055" s="9"/>
      <c r="C2055" s="9"/>
      <c r="D2055" s="9"/>
      <c r="E2055" s="9"/>
      <c r="F2055" s="9"/>
      <c r="G2055" s="9"/>
      <c r="H2055" s="64" t="str">
        <f aca="false">IF(OR(A2055="",B2055=""),"",CONCATENATE("https://matarstund.is/serfaedi?id=",LOWER(SUBSTITUTE(B2055," ","-"))))</f>
        <v/>
      </c>
    </row>
    <row r="2056" customFormat="false" ht="15" hidden="false" customHeight="true" outlineLevel="0" collapsed="false">
      <c r="A2056" s="68"/>
      <c r="B2056" s="68"/>
      <c r="C2056" s="68"/>
      <c r="D2056" s="68"/>
      <c r="E2056" s="68"/>
      <c r="F2056" s="68"/>
      <c r="G2056" s="68"/>
      <c r="H2056" s="64" t="str">
        <f aca="false">IF(OR(A2056="",B2056=""),"",CONCATENATE("https://matarstund.is/serfaedi?id=",LOWER(SUBSTITUTE(B2056," ","-"))))</f>
        <v/>
      </c>
    </row>
    <row r="2057" customFormat="false" ht="15" hidden="false" customHeight="true" outlineLevel="0" collapsed="false">
      <c r="A2057" s="9"/>
      <c r="B2057" s="9"/>
      <c r="C2057" s="9"/>
      <c r="D2057" s="9"/>
      <c r="E2057" s="9"/>
      <c r="F2057" s="9"/>
      <c r="G2057" s="9"/>
      <c r="H2057" s="64" t="str">
        <f aca="false">IF(OR(A2057="",B2057=""),"",CONCATENATE("https://matarstund.is/serfaedi?id=",LOWER(SUBSTITUTE(B2057," ","-"))))</f>
        <v/>
      </c>
    </row>
    <row r="2058" customFormat="false" ht="15" hidden="false" customHeight="true" outlineLevel="0" collapsed="false">
      <c r="A2058" s="68"/>
      <c r="B2058" s="68"/>
      <c r="C2058" s="68"/>
      <c r="D2058" s="68"/>
      <c r="E2058" s="68"/>
      <c r="F2058" s="68"/>
      <c r="G2058" s="68"/>
      <c r="H2058" s="64" t="str">
        <f aca="false">IF(OR(A2058="",B2058=""),"",CONCATENATE("https://matarstund.is/serfaedi?id=",LOWER(SUBSTITUTE(B2058," ","-"))))</f>
        <v/>
      </c>
    </row>
    <row r="2059" customFormat="false" ht="15" hidden="false" customHeight="true" outlineLevel="0" collapsed="false">
      <c r="A2059" s="9"/>
      <c r="B2059" s="9"/>
      <c r="C2059" s="9"/>
      <c r="D2059" s="9"/>
      <c r="E2059" s="9"/>
      <c r="F2059" s="9"/>
      <c r="G2059" s="9"/>
      <c r="H2059" s="64" t="str">
        <f aca="false">IF(OR(A2059="",B2059=""),"",CONCATENATE("https://matarstund.is/serfaedi?id=",LOWER(SUBSTITUTE(B2059," ","-"))))</f>
        <v/>
      </c>
    </row>
    <row r="2060" customFormat="false" ht="15" hidden="false" customHeight="true" outlineLevel="0" collapsed="false">
      <c r="A2060" s="68"/>
      <c r="B2060" s="68"/>
      <c r="C2060" s="68"/>
      <c r="D2060" s="68"/>
      <c r="E2060" s="68"/>
      <c r="F2060" s="68"/>
      <c r="G2060" s="68"/>
      <c r="H2060" s="64" t="str">
        <f aca="false">IF(OR(A2060="",B2060=""),"",CONCATENATE("https://matarstund.is/serfaedi?id=",LOWER(SUBSTITUTE(B2060," ","-"))))</f>
        <v/>
      </c>
    </row>
    <row r="2061" customFormat="false" ht="15" hidden="false" customHeight="true" outlineLevel="0" collapsed="false">
      <c r="A2061" s="9"/>
      <c r="B2061" s="9"/>
      <c r="C2061" s="9"/>
      <c r="D2061" s="9"/>
      <c r="E2061" s="9"/>
      <c r="F2061" s="9"/>
      <c r="G2061" s="9"/>
      <c r="H2061" s="64" t="str">
        <f aca="false">IF(OR(A2061="",B2061=""),"",CONCATENATE("https://matarstund.is/serfaedi?id=",LOWER(SUBSTITUTE(B2061," ","-"))))</f>
        <v/>
      </c>
    </row>
    <row r="2062" customFormat="false" ht="15" hidden="false" customHeight="true" outlineLevel="0" collapsed="false">
      <c r="A2062" s="68"/>
      <c r="B2062" s="68"/>
      <c r="C2062" s="68"/>
      <c r="D2062" s="68"/>
      <c r="E2062" s="68"/>
      <c r="F2062" s="68"/>
      <c r="G2062" s="68"/>
      <c r="H2062" s="64" t="str">
        <f aca="false">IF(OR(A2062="",B2062=""),"",CONCATENATE("https://matarstund.is/serfaedi?id=",LOWER(SUBSTITUTE(B2062," ","-"))))</f>
        <v/>
      </c>
    </row>
    <row r="2063" customFormat="false" ht="15" hidden="false" customHeight="true" outlineLevel="0" collapsed="false">
      <c r="A2063" s="9"/>
      <c r="B2063" s="9"/>
      <c r="C2063" s="9"/>
      <c r="D2063" s="9"/>
      <c r="E2063" s="9"/>
      <c r="F2063" s="9"/>
      <c r="G2063" s="9"/>
      <c r="H2063" s="64" t="str">
        <f aca="false">IF(OR(A2063="",B2063=""),"",CONCATENATE("https://matarstund.is/serfaedi?id=",LOWER(SUBSTITUTE(B2063," ","-"))))</f>
        <v/>
      </c>
    </row>
    <row r="2064" customFormat="false" ht="15" hidden="false" customHeight="true" outlineLevel="0" collapsed="false">
      <c r="A2064" s="68"/>
      <c r="B2064" s="68"/>
      <c r="C2064" s="68"/>
      <c r="D2064" s="68"/>
      <c r="E2064" s="68"/>
      <c r="F2064" s="68"/>
      <c r="G2064" s="68"/>
      <c r="H2064" s="64" t="str">
        <f aca="false">IF(OR(A2064="",B2064=""),"",CONCATENATE("https://matarstund.is/serfaedi?id=",LOWER(SUBSTITUTE(B2064," ","-"))))</f>
        <v/>
      </c>
    </row>
    <row r="2065" customFormat="false" ht="15" hidden="false" customHeight="true" outlineLevel="0" collapsed="false">
      <c r="A2065" s="9"/>
      <c r="B2065" s="9"/>
      <c r="C2065" s="9"/>
      <c r="D2065" s="9"/>
      <c r="E2065" s="9"/>
      <c r="F2065" s="9"/>
      <c r="G2065" s="9"/>
      <c r="H2065" s="64" t="str">
        <f aca="false">IF(OR(A2065="",B2065=""),"",CONCATENATE("https://matarstund.is/serfaedi?id=",LOWER(SUBSTITUTE(B2065," ","-"))))</f>
        <v/>
      </c>
    </row>
    <row r="2066" customFormat="false" ht="15" hidden="false" customHeight="true" outlineLevel="0" collapsed="false">
      <c r="A2066" s="68"/>
      <c r="B2066" s="68"/>
      <c r="C2066" s="68"/>
      <c r="D2066" s="68"/>
      <c r="E2066" s="68"/>
      <c r="F2066" s="68"/>
      <c r="G2066" s="68"/>
      <c r="H2066" s="64" t="str">
        <f aca="false">IF(OR(A2066="",B2066=""),"",CONCATENATE("https://matarstund.is/serfaedi?id=",LOWER(SUBSTITUTE(B2066," ","-"))))</f>
        <v/>
      </c>
    </row>
    <row r="2067" customFormat="false" ht="15" hidden="false" customHeight="true" outlineLevel="0" collapsed="false">
      <c r="A2067" s="9"/>
      <c r="B2067" s="9"/>
      <c r="C2067" s="9"/>
      <c r="D2067" s="9"/>
      <c r="E2067" s="9"/>
      <c r="F2067" s="9"/>
      <c r="G2067" s="9"/>
      <c r="H2067" s="64" t="str">
        <f aca="false">IF(OR(A2067="",B2067=""),"",CONCATENATE("https://matarstund.is/serfaedi?id=",LOWER(SUBSTITUTE(B2067," ","-"))))</f>
        <v/>
      </c>
    </row>
    <row r="2068" customFormat="false" ht="15" hidden="false" customHeight="true" outlineLevel="0" collapsed="false">
      <c r="A2068" s="68"/>
      <c r="B2068" s="68"/>
      <c r="C2068" s="68"/>
      <c r="D2068" s="68"/>
      <c r="E2068" s="68"/>
      <c r="F2068" s="68"/>
      <c r="G2068" s="68"/>
      <c r="H2068" s="64" t="str">
        <f aca="false">IF(OR(A2068="",B2068=""),"",CONCATENATE("https://matarstund.is/serfaedi?id=",LOWER(SUBSTITUTE(B2068," ","-"))))</f>
        <v/>
      </c>
    </row>
    <row r="2069" customFormat="false" ht="15" hidden="false" customHeight="true" outlineLevel="0" collapsed="false">
      <c r="A2069" s="9"/>
      <c r="B2069" s="9"/>
      <c r="C2069" s="9"/>
      <c r="D2069" s="9"/>
      <c r="E2069" s="9"/>
      <c r="F2069" s="9"/>
      <c r="G2069" s="9"/>
      <c r="H2069" s="64" t="str">
        <f aca="false">IF(OR(A2069="",B2069=""),"",CONCATENATE("https://matarstund.is/serfaedi?id=",LOWER(SUBSTITUTE(B2069," ","-"))))</f>
        <v/>
      </c>
    </row>
    <row r="2070" customFormat="false" ht="15" hidden="false" customHeight="true" outlineLevel="0" collapsed="false">
      <c r="A2070" s="68"/>
      <c r="B2070" s="68"/>
      <c r="C2070" s="68"/>
      <c r="D2070" s="68"/>
      <c r="E2070" s="68"/>
      <c r="F2070" s="68"/>
      <c r="G2070" s="68"/>
      <c r="H2070" s="64" t="str">
        <f aca="false">IF(OR(A2070="",B2070=""),"",CONCATENATE("https://matarstund.is/serfaedi?id=",LOWER(SUBSTITUTE(B2070," ","-"))))</f>
        <v/>
      </c>
    </row>
    <row r="2071" customFormat="false" ht="15" hidden="false" customHeight="true" outlineLevel="0" collapsed="false">
      <c r="A2071" s="9"/>
      <c r="B2071" s="9"/>
      <c r="C2071" s="9"/>
      <c r="D2071" s="9"/>
      <c r="E2071" s="9"/>
      <c r="F2071" s="9"/>
      <c r="G2071" s="9"/>
      <c r="H2071" s="64" t="str">
        <f aca="false">IF(OR(A2071="",B2071=""),"",CONCATENATE("https://matarstund.is/serfaedi?id=",LOWER(SUBSTITUTE(B2071," ","-"))))</f>
        <v/>
      </c>
    </row>
    <row r="2072" customFormat="false" ht="15" hidden="false" customHeight="true" outlineLevel="0" collapsed="false">
      <c r="A2072" s="68"/>
      <c r="B2072" s="68"/>
      <c r="C2072" s="68"/>
      <c r="D2072" s="68"/>
      <c r="E2072" s="68"/>
      <c r="F2072" s="68"/>
      <c r="G2072" s="68"/>
      <c r="H2072" s="64" t="str">
        <f aca="false">IF(OR(A2072="",B2072=""),"",CONCATENATE("https://matarstund.is/serfaedi?id=",LOWER(SUBSTITUTE(B2072," ","-"))))</f>
        <v/>
      </c>
    </row>
    <row r="2073" customFormat="false" ht="15" hidden="false" customHeight="true" outlineLevel="0" collapsed="false">
      <c r="A2073" s="9"/>
      <c r="B2073" s="9"/>
      <c r="C2073" s="9"/>
      <c r="D2073" s="9"/>
      <c r="E2073" s="9"/>
      <c r="F2073" s="9"/>
      <c r="G2073" s="9"/>
      <c r="H2073" s="64" t="str">
        <f aca="false">IF(OR(A2073="",B2073=""),"",CONCATENATE("https://matarstund.is/serfaedi?id=",LOWER(SUBSTITUTE(B2073," ","-"))))</f>
        <v/>
      </c>
    </row>
    <row r="2074" customFormat="false" ht="15" hidden="false" customHeight="true" outlineLevel="0" collapsed="false">
      <c r="A2074" s="68"/>
      <c r="B2074" s="68"/>
      <c r="C2074" s="68"/>
      <c r="D2074" s="68"/>
      <c r="E2074" s="68"/>
      <c r="F2074" s="68"/>
      <c r="G2074" s="68"/>
      <c r="H2074" s="64" t="str">
        <f aca="false">IF(OR(A2074="",B2074=""),"",CONCATENATE("https://matarstund.is/serfaedi?id=",LOWER(SUBSTITUTE(B2074," ","-"))))</f>
        <v/>
      </c>
    </row>
    <row r="2075" customFormat="false" ht="15" hidden="false" customHeight="true" outlineLevel="0" collapsed="false">
      <c r="A2075" s="9"/>
      <c r="B2075" s="9"/>
      <c r="C2075" s="9"/>
      <c r="D2075" s="9"/>
      <c r="E2075" s="9"/>
      <c r="F2075" s="9"/>
      <c r="G2075" s="9"/>
      <c r="H2075" s="64" t="str">
        <f aca="false">IF(OR(A2075="",B2075=""),"",CONCATENATE("https://matarstund.is/serfaedi?id=",LOWER(SUBSTITUTE(B2075," ","-"))))</f>
        <v/>
      </c>
    </row>
    <row r="2076" customFormat="false" ht="15" hidden="false" customHeight="true" outlineLevel="0" collapsed="false">
      <c r="A2076" s="68"/>
      <c r="B2076" s="68"/>
      <c r="C2076" s="68"/>
      <c r="D2076" s="68"/>
      <c r="E2076" s="68"/>
      <c r="F2076" s="68"/>
      <c r="G2076" s="68"/>
      <c r="H2076" s="64" t="str">
        <f aca="false">IF(OR(A2076="",B2076=""),"",CONCATENATE("https://matarstund.is/serfaedi?id=",LOWER(SUBSTITUTE(B2076," ","-"))))</f>
        <v/>
      </c>
    </row>
    <row r="2077" customFormat="false" ht="15" hidden="false" customHeight="true" outlineLevel="0" collapsed="false">
      <c r="A2077" s="9"/>
      <c r="B2077" s="9"/>
      <c r="C2077" s="9"/>
      <c r="D2077" s="9"/>
      <c r="E2077" s="9"/>
      <c r="F2077" s="9"/>
      <c r="G2077" s="9"/>
      <c r="H2077" s="64" t="str">
        <f aca="false">IF(OR(A2077="",B2077=""),"",CONCATENATE("https://matarstund.is/serfaedi?id=",LOWER(SUBSTITUTE(B2077," ","-"))))</f>
        <v/>
      </c>
    </row>
    <row r="2078" customFormat="false" ht="15" hidden="false" customHeight="true" outlineLevel="0" collapsed="false">
      <c r="A2078" s="68"/>
      <c r="B2078" s="68"/>
      <c r="C2078" s="68"/>
      <c r="D2078" s="68"/>
      <c r="E2078" s="68"/>
      <c r="F2078" s="68"/>
      <c r="G2078" s="68"/>
      <c r="H2078" s="64" t="str">
        <f aca="false">IF(OR(A2078="",B2078=""),"",CONCATENATE("https://matarstund.is/serfaedi?id=",LOWER(SUBSTITUTE(B2078," ","-"))))</f>
        <v/>
      </c>
    </row>
    <row r="2079" customFormat="false" ht="15" hidden="false" customHeight="true" outlineLevel="0" collapsed="false">
      <c r="A2079" s="9"/>
      <c r="B2079" s="9"/>
      <c r="C2079" s="9"/>
      <c r="D2079" s="9"/>
      <c r="E2079" s="9"/>
      <c r="F2079" s="9"/>
      <c r="G2079" s="9"/>
      <c r="H2079" s="64" t="str">
        <f aca="false">IF(OR(A2079="",B2079=""),"",CONCATENATE("https://matarstund.is/serfaedi?id=",LOWER(SUBSTITUTE(B2079," ","-"))))</f>
        <v/>
      </c>
    </row>
    <row r="2080" customFormat="false" ht="15" hidden="false" customHeight="true" outlineLevel="0" collapsed="false">
      <c r="A2080" s="68"/>
      <c r="B2080" s="68"/>
      <c r="C2080" s="68"/>
      <c r="D2080" s="68"/>
      <c r="E2080" s="68"/>
      <c r="F2080" s="68"/>
      <c r="G2080" s="68"/>
      <c r="H2080" s="64" t="str">
        <f aca="false">IF(OR(A2080="",B2080=""),"",CONCATENATE("https://matarstund.is/serfaedi?id=",LOWER(SUBSTITUTE(B2080," ","-"))))</f>
        <v/>
      </c>
    </row>
    <row r="2081" customFormat="false" ht="15" hidden="false" customHeight="true" outlineLevel="0" collapsed="false">
      <c r="A2081" s="9"/>
      <c r="B2081" s="9"/>
      <c r="C2081" s="9"/>
      <c r="D2081" s="9"/>
      <c r="E2081" s="9"/>
      <c r="F2081" s="9"/>
      <c r="G2081" s="9"/>
      <c r="H2081" s="64" t="str">
        <f aca="false">IF(OR(A2081="",B2081=""),"",CONCATENATE("https://matarstund.is/serfaedi?id=",LOWER(SUBSTITUTE(B2081," ","-"))))</f>
        <v/>
      </c>
    </row>
    <row r="2082" customFormat="false" ht="15" hidden="false" customHeight="true" outlineLevel="0" collapsed="false">
      <c r="A2082" s="68"/>
      <c r="B2082" s="68"/>
      <c r="C2082" s="68"/>
      <c r="D2082" s="68"/>
      <c r="E2082" s="68"/>
      <c r="F2082" s="68"/>
      <c r="G2082" s="68"/>
      <c r="H2082" s="64" t="str">
        <f aca="false">IF(OR(A2082="",B2082=""),"",CONCATENATE("https://matarstund.is/serfaedi?id=",LOWER(SUBSTITUTE(B2082," ","-"))))</f>
        <v/>
      </c>
    </row>
    <row r="2083" customFormat="false" ht="15" hidden="false" customHeight="true" outlineLevel="0" collapsed="false">
      <c r="A2083" s="9"/>
      <c r="B2083" s="9"/>
      <c r="C2083" s="9"/>
      <c r="D2083" s="9"/>
      <c r="E2083" s="9"/>
      <c r="F2083" s="9"/>
      <c r="G2083" s="9"/>
      <c r="H2083" s="64" t="str">
        <f aca="false">IF(OR(A2083="",B2083=""),"",CONCATENATE("https://matarstund.is/serfaedi?id=",LOWER(SUBSTITUTE(B2083," ","-"))))</f>
        <v/>
      </c>
    </row>
    <row r="2084" customFormat="false" ht="15" hidden="false" customHeight="true" outlineLevel="0" collapsed="false">
      <c r="A2084" s="68"/>
      <c r="B2084" s="68"/>
      <c r="C2084" s="68"/>
      <c r="D2084" s="68"/>
      <c r="E2084" s="68"/>
      <c r="F2084" s="68"/>
      <c r="G2084" s="68"/>
      <c r="H2084" s="64" t="str">
        <f aca="false">IF(OR(A2084="",B2084=""),"",CONCATENATE("https://matarstund.is/serfaedi?id=",LOWER(SUBSTITUTE(B2084," ","-"))))</f>
        <v/>
      </c>
    </row>
    <row r="2085" customFormat="false" ht="15" hidden="false" customHeight="true" outlineLevel="0" collapsed="false">
      <c r="A2085" s="9"/>
      <c r="B2085" s="9"/>
      <c r="C2085" s="9"/>
      <c r="D2085" s="9"/>
      <c r="E2085" s="9"/>
      <c r="F2085" s="9"/>
      <c r="G2085" s="9"/>
      <c r="H2085" s="64" t="str">
        <f aca="false">IF(OR(A2085="",B2085=""),"",CONCATENATE("https://matarstund.is/serfaedi?id=",LOWER(SUBSTITUTE(B2085," ","-"))))</f>
        <v/>
      </c>
    </row>
    <row r="2086" customFormat="false" ht="15" hidden="false" customHeight="true" outlineLevel="0" collapsed="false">
      <c r="A2086" s="68"/>
      <c r="B2086" s="68"/>
      <c r="C2086" s="68"/>
      <c r="D2086" s="68"/>
      <c r="E2086" s="68"/>
      <c r="F2086" s="68"/>
      <c r="G2086" s="68"/>
      <c r="H2086" s="64" t="str">
        <f aca="false">IF(OR(A2086="",B2086=""),"",CONCATENATE("https://matarstund.is/serfaedi?id=",LOWER(SUBSTITUTE(B2086," ","-"))))</f>
        <v/>
      </c>
    </row>
    <row r="2087" customFormat="false" ht="15" hidden="false" customHeight="true" outlineLevel="0" collapsed="false">
      <c r="A2087" s="9"/>
      <c r="B2087" s="9"/>
      <c r="C2087" s="9"/>
      <c r="D2087" s="9"/>
      <c r="E2087" s="9"/>
      <c r="F2087" s="9"/>
      <c r="G2087" s="9"/>
      <c r="H2087" s="64" t="str">
        <f aca="false">IF(OR(A2087="",B2087=""),"",CONCATENATE("https://matarstund.is/serfaedi?id=",LOWER(SUBSTITUTE(B2087," ","-"))))</f>
        <v/>
      </c>
    </row>
    <row r="2088" customFormat="false" ht="15" hidden="false" customHeight="true" outlineLevel="0" collapsed="false">
      <c r="A2088" s="68"/>
      <c r="B2088" s="68"/>
      <c r="C2088" s="68"/>
      <c r="D2088" s="68"/>
      <c r="E2088" s="68"/>
      <c r="F2088" s="68"/>
      <c r="G2088" s="68"/>
      <c r="H2088" s="64" t="str">
        <f aca="false">IF(OR(A2088="",B2088=""),"",CONCATENATE("https://matarstund.is/serfaedi?id=",LOWER(SUBSTITUTE(B2088," ","-"))))</f>
        <v/>
      </c>
    </row>
    <row r="2089" customFormat="false" ht="15" hidden="false" customHeight="true" outlineLevel="0" collapsed="false">
      <c r="A2089" s="9"/>
      <c r="B2089" s="9"/>
      <c r="C2089" s="9"/>
      <c r="D2089" s="9"/>
      <c r="E2089" s="9"/>
      <c r="F2089" s="9"/>
      <c r="G2089" s="9"/>
      <c r="H2089" s="64" t="str">
        <f aca="false">IF(OR(A2089="",B2089=""),"",CONCATENATE("https://matarstund.is/serfaedi?id=",LOWER(SUBSTITUTE(B2089," ","-"))))</f>
        <v/>
      </c>
    </row>
    <row r="2090" customFormat="false" ht="15" hidden="false" customHeight="true" outlineLevel="0" collapsed="false">
      <c r="A2090" s="68"/>
      <c r="B2090" s="68"/>
      <c r="C2090" s="68"/>
      <c r="D2090" s="68"/>
      <c r="E2090" s="68"/>
      <c r="F2090" s="68"/>
      <c r="G2090" s="68"/>
      <c r="H2090" s="64" t="str">
        <f aca="false">IF(OR(A2090="",B2090=""),"",CONCATENATE("https://matarstund.is/serfaedi?id=",LOWER(SUBSTITUTE(B2090," ","-"))))</f>
        <v/>
      </c>
    </row>
    <row r="2091" customFormat="false" ht="15" hidden="false" customHeight="true" outlineLevel="0" collapsed="false">
      <c r="A2091" s="9"/>
      <c r="B2091" s="9"/>
      <c r="C2091" s="9"/>
      <c r="D2091" s="9"/>
      <c r="E2091" s="9"/>
      <c r="F2091" s="9"/>
      <c r="G2091" s="9"/>
      <c r="H2091" s="64" t="str">
        <f aca="false">IF(OR(A2091="",B2091=""),"",CONCATENATE("https://matarstund.is/serfaedi?id=",LOWER(SUBSTITUTE(B2091," ","-"))))</f>
        <v/>
      </c>
    </row>
    <row r="2092" customFormat="false" ht="15" hidden="false" customHeight="true" outlineLevel="0" collapsed="false">
      <c r="A2092" s="68"/>
      <c r="B2092" s="68"/>
      <c r="C2092" s="68"/>
      <c r="D2092" s="68"/>
      <c r="E2092" s="68"/>
      <c r="F2092" s="68"/>
      <c r="G2092" s="68"/>
      <c r="H2092" s="64" t="str">
        <f aca="false">IF(OR(A2092="",B2092=""),"",CONCATENATE("https://matarstund.is/serfaedi?id=",LOWER(SUBSTITUTE(B2092," ","-"))))</f>
        <v/>
      </c>
    </row>
    <row r="2093" customFormat="false" ht="15" hidden="false" customHeight="true" outlineLevel="0" collapsed="false">
      <c r="A2093" s="9"/>
      <c r="B2093" s="9"/>
      <c r="C2093" s="9"/>
      <c r="D2093" s="9"/>
      <c r="E2093" s="9"/>
      <c r="F2093" s="9"/>
      <c r="G2093" s="9"/>
      <c r="H2093" s="64" t="str">
        <f aca="false">IF(OR(A2093="",B2093=""),"",CONCATENATE("https://matarstund.is/serfaedi?id=",LOWER(SUBSTITUTE(B2093," ","-"))))</f>
        <v/>
      </c>
    </row>
    <row r="2094" customFormat="false" ht="15" hidden="false" customHeight="true" outlineLevel="0" collapsed="false">
      <c r="A2094" s="68"/>
      <c r="B2094" s="68"/>
      <c r="C2094" s="68"/>
      <c r="D2094" s="68"/>
      <c r="E2094" s="68"/>
      <c r="F2094" s="68"/>
      <c r="G2094" s="68"/>
      <c r="H2094" s="64" t="str">
        <f aca="false">IF(OR(A2094="",B2094=""),"",CONCATENATE("https://matarstund.is/serfaedi?id=",LOWER(SUBSTITUTE(B2094," ","-"))))</f>
        <v/>
      </c>
    </row>
    <row r="2095" customFormat="false" ht="15" hidden="false" customHeight="true" outlineLevel="0" collapsed="false">
      <c r="A2095" s="9"/>
      <c r="B2095" s="9"/>
      <c r="C2095" s="9"/>
      <c r="D2095" s="9"/>
      <c r="E2095" s="9"/>
      <c r="F2095" s="9"/>
      <c r="G2095" s="9"/>
      <c r="H2095" s="64" t="str">
        <f aca="false">IF(OR(A2095="",B2095=""),"",CONCATENATE("https://matarstund.is/serfaedi?id=",LOWER(SUBSTITUTE(B2095," ","-"))))</f>
        <v/>
      </c>
    </row>
    <row r="2096" customFormat="false" ht="15" hidden="false" customHeight="true" outlineLevel="0" collapsed="false">
      <c r="A2096" s="68"/>
      <c r="B2096" s="68"/>
      <c r="C2096" s="68"/>
      <c r="D2096" s="68"/>
      <c r="E2096" s="68"/>
      <c r="F2096" s="68"/>
      <c r="G2096" s="68"/>
      <c r="H2096" s="64" t="str">
        <f aca="false">IF(OR(A2096="",B2096=""),"",CONCATENATE("https://matarstund.is/serfaedi?id=",LOWER(SUBSTITUTE(B2096," ","-"))))</f>
        <v/>
      </c>
    </row>
    <row r="2097" customFormat="false" ht="15" hidden="false" customHeight="true" outlineLevel="0" collapsed="false">
      <c r="A2097" s="9"/>
      <c r="B2097" s="9"/>
      <c r="C2097" s="9"/>
      <c r="D2097" s="9"/>
      <c r="E2097" s="9"/>
      <c r="F2097" s="9"/>
      <c r="G2097" s="9"/>
      <c r="H2097" s="64" t="str">
        <f aca="false">IF(OR(A2097="",B2097=""),"",CONCATENATE("https://matarstund.is/serfaedi?id=",LOWER(SUBSTITUTE(B2097," ","-"))))</f>
        <v/>
      </c>
    </row>
    <row r="2098" customFormat="false" ht="15" hidden="false" customHeight="true" outlineLevel="0" collapsed="false">
      <c r="A2098" s="68"/>
      <c r="B2098" s="68"/>
      <c r="C2098" s="68"/>
      <c r="D2098" s="68"/>
      <c r="E2098" s="68"/>
      <c r="F2098" s="68"/>
      <c r="G2098" s="68"/>
      <c r="H2098" s="64" t="str">
        <f aca="false">IF(OR(A2098="",B2098=""),"",CONCATENATE("https://matarstund.is/serfaedi?id=",LOWER(SUBSTITUTE(B2098," ","-"))))</f>
        <v/>
      </c>
    </row>
    <row r="2099" customFormat="false" ht="15" hidden="false" customHeight="true" outlineLevel="0" collapsed="false">
      <c r="A2099" s="9"/>
      <c r="B2099" s="9"/>
      <c r="C2099" s="9"/>
      <c r="D2099" s="9"/>
      <c r="E2099" s="9"/>
      <c r="F2099" s="9"/>
      <c r="G2099" s="9"/>
      <c r="H2099" s="64" t="str">
        <f aca="false">IF(OR(A2099="",B2099=""),"",CONCATENATE("https://matarstund.is/serfaedi?id=",LOWER(SUBSTITUTE(B2099," ","-"))))</f>
        <v/>
      </c>
    </row>
    <row r="2100" customFormat="false" ht="15" hidden="false" customHeight="true" outlineLevel="0" collapsed="false">
      <c r="A2100" s="68"/>
      <c r="B2100" s="68"/>
      <c r="C2100" s="68"/>
      <c r="D2100" s="68"/>
      <c r="E2100" s="68"/>
      <c r="F2100" s="68"/>
      <c r="G2100" s="68"/>
      <c r="H2100" s="64" t="str">
        <f aca="false">IF(OR(A2100="",B2100=""),"",CONCATENATE("https://matarstund.is/serfaedi?id=",LOWER(SUBSTITUTE(B2100," ","-"))))</f>
        <v/>
      </c>
    </row>
    <row r="2101" customFormat="false" ht="15" hidden="false" customHeight="true" outlineLevel="0" collapsed="false">
      <c r="A2101" s="9"/>
      <c r="B2101" s="9"/>
      <c r="C2101" s="9"/>
      <c r="D2101" s="9"/>
      <c r="E2101" s="9"/>
      <c r="F2101" s="9"/>
      <c r="G2101" s="9"/>
      <c r="H2101" s="64" t="str">
        <f aca="false">IF(OR(A2101="",B2101=""),"",CONCATENATE("https://matarstund.is/serfaedi?id=",LOWER(SUBSTITUTE(B2101," ","-"))))</f>
        <v/>
      </c>
    </row>
    <row r="2102" customFormat="false" ht="15" hidden="false" customHeight="true" outlineLevel="0" collapsed="false">
      <c r="A2102" s="68"/>
      <c r="B2102" s="68"/>
      <c r="C2102" s="68"/>
      <c r="D2102" s="68"/>
      <c r="E2102" s="68"/>
      <c r="F2102" s="68"/>
      <c r="G2102" s="68"/>
      <c r="H2102" s="64" t="str">
        <f aca="false">IF(OR(A2102="",B2102=""),"",CONCATENATE("https://matarstund.is/serfaedi?id=",LOWER(SUBSTITUTE(B2102," ","-"))))</f>
        <v/>
      </c>
    </row>
    <row r="2103" customFormat="false" ht="15" hidden="false" customHeight="true" outlineLevel="0" collapsed="false">
      <c r="A2103" s="9"/>
      <c r="B2103" s="9"/>
      <c r="C2103" s="9"/>
      <c r="D2103" s="9"/>
      <c r="E2103" s="9"/>
      <c r="F2103" s="9"/>
      <c r="G2103" s="9"/>
      <c r="H2103" s="64" t="str">
        <f aca="false">IF(OR(A2103="",B2103=""),"",CONCATENATE("https://matarstund.is/serfaedi?id=",LOWER(SUBSTITUTE(B2103," ","-"))))</f>
        <v/>
      </c>
    </row>
    <row r="2104" customFormat="false" ht="15" hidden="false" customHeight="true" outlineLevel="0" collapsed="false">
      <c r="A2104" s="68"/>
      <c r="B2104" s="68"/>
      <c r="C2104" s="68"/>
      <c r="D2104" s="68"/>
      <c r="E2104" s="68"/>
      <c r="F2104" s="68"/>
      <c r="G2104" s="68"/>
      <c r="H2104" s="64" t="str">
        <f aca="false">IF(OR(A2104="",B2104=""),"",CONCATENATE("https://matarstund.is/serfaedi?id=",LOWER(SUBSTITUTE(B2104," ","-"))))</f>
        <v/>
      </c>
    </row>
    <row r="2105" customFormat="false" ht="15" hidden="false" customHeight="true" outlineLevel="0" collapsed="false">
      <c r="A2105" s="9"/>
      <c r="B2105" s="9"/>
      <c r="C2105" s="9"/>
      <c r="D2105" s="9"/>
      <c r="E2105" s="9"/>
      <c r="F2105" s="9"/>
      <c r="G2105" s="9"/>
      <c r="H2105" s="64" t="str">
        <f aca="false">IF(OR(A2105="",B2105=""),"",CONCATENATE("https://matarstund.is/serfaedi?id=",LOWER(SUBSTITUTE(B2105," ","-"))))</f>
        <v/>
      </c>
    </row>
    <row r="2106" customFormat="false" ht="15" hidden="false" customHeight="true" outlineLevel="0" collapsed="false">
      <c r="A2106" s="68"/>
      <c r="B2106" s="68"/>
      <c r="C2106" s="68"/>
      <c r="D2106" s="68"/>
      <c r="E2106" s="68"/>
      <c r="F2106" s="68"/>
      <c r="G2106" s="68"/>
      <c r="H2106" s="64" t="str">
        <f aca="false">IF(OR(A2106="",B2106=""),"",CONCATENATE("https://matarstund.is/serfaedi?id=",LOWER(SUBSTITUTE(B2106," ","-"))))</f>
        <v/>
      </c>
    </row>
    <row r="2107" customFormat="false" ht="15" hidden="false" customHeight="true" outlineLevel="0" collapsed="false">
      <c r="A2107" s="9"/>
      <c r="B2107" s="9"/>
      <c r="C2107" s="9"/>
      <c r="D2107" s="9"/>
      <c r="E2107" s="9"/>
      <c r="F2107" s="9"/>
      <c r="G2107" s="9"/>
      <c r="H2107" s="64" t="str">
        <f aca="false">IF(OR(A2107="",B2107=""),"",CONCATENATE("https://matarstund.is/serfaedi?id=",LOWER(SUBSTITUTE(B2107," ","-"))))</f>
        <v/>
      </c>
    </row>
    <row r="2108" customFormat="false" ht="15" hidden="false" customHeight="true" outlineLevel="0" collapsed="false">
      <c r="A2108" s="68"/>
      <c r="B2108" s="68"/>
      <c r="C2108" s="68"/>
      <c r="D2108" s="68"/>
      <c r="E2108" s="68"/>
      <c r="F2108" s="68"/>
      <c r="G2108" s="68"/>
      <c r="H2108" s="64" t="str">
        <f aca="false">IF(OR(A2108="",B2108=""),"",CONCATENATE("https://matarstund.is/serfaedi?id=",LOWER(SUBSTITUTE(B2108," ","-"))))</f>
        <v/>
      </c>
    </row>
    <row r="2109" customFormat="false" ht="15" hidden="false" customHeight="true" outlineLevel="0" collapsed="false">
      <c r="A2109" s="9"/>
      <c r="B2109" s="9"/>
      <c r="C2109" s="9"/>
      <c r="D2109" s="9"/>
      <c r="E2109" s="9"/>
      <c r="F2109" s="9"/>
      <c r="G2109" s="9"/>
      <c r="H2109" s="64" t="str">
        <f aca="false">IF(OR(A2109="",B2109=""),"",CONCATENATE("https://matarstund.is/serfaedi?id=",LOWER(SUBSTITUTE(B2109," ","-"))))</f>
        <v/>
      </c>
    </row>
    <row r="2110" customFormat="false" ht="15" hidden="false" customHeight="true" outlineLevel="0" collapsed="false">
      <c r="A2110" s="68"/>
      <c r="B2110" s="68"/>
      <c r="C2110" s="68"/>
      <c r="D2110" s="68"/>
      <c r="E2110" s="68"/>
      <c r="F2110" s="68"/>
      <c r="G2110" s="68"/>
      <c r="H2110" s="64" t="str">
        <f aca="false">IF(OR(A2110="",B2110=""),"",CONCATENATE("https://matarstund.is/serfaedi?id=",LOWER(SUBSTITUTE(B2110," ","-"))))</f>
        <v/>
      </c>
    </row>
    <row r="2111" customFormat="false" ht="15" hidden="false" customHeight="true" outlineLevel="0" collapsed="false">
      <c r="A2111" s="9"/>
      <c r="B2111" s="9"/>
      <c r="C2111" s="9"/>
      <c r="D2111" s="9"/>
      <c r="E2111" s="9"/>
      <c r="F2111" s="9"/>
      <c r="G2111" s="9"/>
      <c r="H2111" s="64" t="str">
        <f aca="false">IF(OR(A2111="",B2111=""),"",CONCATENATE("https://matarstund.is/serfaedi?id=",LOWER(SUBSTITUTE(B2111," ","-"))))</f>
        <v/>
      </c>
    </row>
    <row r="2112" customFormat="false" ht="15" hidden="false" customHeight="true" outlineLevel="0" collapsed="false">
      <c r="A2112" s="68"/>
      <c r="B2112" s="68"/>
      <c r="C2112" s="68"/>
      <c r="D2112" s="68"/>
      <c r="E2112" s="68"/>
      <c r="F2112" s="68"/>
      <c r="G2112" s="68"/>
      <c r="H2112" s="64" t="str">
        <f aca="false">IF(OR(A2112="",B2112=""),"",CONCATENATE("https://matarstund.is/serfaedi?id=",LOWER(SUBSTITUTE(B2112," ","-"))))</f>
        <v/>
      </c>
    </row>
    <row r="2113" customFormat="false" ht="15" hidden="false" customHeight="true" outlineLevel="0" collapsed="false">
      <c r="A2113" s="9"/>
      <c r="B2113" s="9"/>
      <c r="C2113" s="9"/>
      <c r="D2113" s="9"/>
      <c r="E2113" s="9"/>
      <c r="F2113" s="9"/>
      <c r="G2113" s="9"/>
      <c r="H2113" s="64" t="str">
        <f aca="false">IF(OR(A2113="",B2113=""),"",CONCATENATE("https://matarstund.is/serfaedi?id=",LOWER(SUBSTITUTE(B2113," ","-"))))</f>
        <v/>
      </c>
    </row>
    <row r="2114" customFormat="false" ht="15" hidden="false" customHeight="true" outlineLevel="0" collapsed="false">
      <c r="A2114" s="68"/>
      <c r="B2114" s="68"/>
      <c r="C2114" s="68"/>
      <c r="D2114" s="68"/>
      <c r="E2114" s="68"/>
      <c r="F2114" s="68"/>
      <c r="G2114" s="68"/>
      <c r="H2114" s="64" t="str">
        <f aca="false">IF(OR(A2114="",B2114=""),"",CONCATENATE("https://matarstund.is/serfaedi?id=",LOWER(SUBSTITUTE(B2114," ","-"))))</f>
        <v/>
      </c>
    </row>
    <row r="2115" customFormat="false" ht="15" hidden="false" customHeight="true" outlineLevel="0" collapsed="false">
      <c r="A2115" s="9"/>
      <c r="B2115" s="9"/>
      <c r="C2115" s="9"/>
      <c r="D2115" s="9"/>
      <c r="E2115" s="9"/>
      <c r="F2115" s="9"/>
      <c r="G2115" s="9"/>
      <c r="H2115" s="64" t="str">
        <f aca="false">IF(OR(A2115="",B2115=""),"",CONCATENATE("https://matarstund.is/serfaedi?id=",LOWER(SUBSTITUTE(B2115," ","-"))))</f>
        <v/>
      </c>
    </row>
    <row r="2116" customFormat="false" ht="15" hidden="false" customHeight="true" outlineLevel="0" collapsed="false">
      <c r="A2116" s="68"/>
      <c r="B2116" s="68"/>
      <c r="C2116" s="68"/>
      <c r="D2116" s="68"/>
      <c r="E2116" s="68"/>
      <c r="F2116" s="68"/>
      <c r="G2116" s="68"/>
      <c r="H2116" s="64" t="str">
        <f aca="false">IF(OR(A2116="",B2116=""),"",CONCATENATE("https://matarstund.is/serfaedi?id=",LOWER(SUBSTITUTE(B2116," ","-"))))</f>
        <v/>
      </c>
    </row>
    <row r="2117" customFormat="false" ht="15" hidden="false" customHeight="true" outlineLevel="0" collapsed="false">
      <c r="A2117" s="9"/>
      <c r="B2117" s="9"/>
      <c r="C2117" s="9"/>
      <c r="D2117" s="9"/>
      <c r="E2117" s="9"/>
      <c r="F2117" s="9"/>
      <c r="G2117" s="9"/>
      <c r="H2117" s="64" t="str">
        <f aca="false">IF(OR(A2117="",B2117=""),"",CONCATENATE("https://matarstund.is/serfaedi?id=",LOWER(SUBSTITUTE(B2117," ","-"))))</f>
        <v/>
      </c>
    </row>
    <row r="2118" customFormat="false" ht="15" hidden="false" customHeight="true" outlineLevel="0" collapsed="false">
      <c r="A2118" s="68"/>
      <c r="B2118" s="68"/>
      <c r="C2118" s="68"/>
      <c r="D2118" s="68"/>
      <c r="E2118" s="68"/>
      <c r="F2118" s="68"/>
      <c r="G2118" s="68"/>
      <c r="H2118" s="64" t="str">
        <f aca="false">IF(OR(A2118="",B2118=""),"",CONCATENATE("https://matarstund.is/serfaedi?id=",LOWER(SUBSTITUTE(B2118," ","-"))))</f>
        <v/>
      </c>
    </row>
    <row r="2119" customFormat="false" ht="15" hidden="false" customHeight="true" outlineLevel="0" collapsed="false">
      <c r="A2119" s="9"/>
      <c r="B2119" s="9"/>
      <c r="C2119" s="9"/>
      <c r="D2119" s="9"/>
      <c r="E2119" s="9"/>
      <c r="F2119" s="9"/>
      <c r="G2119" s="9"/>
      <c r="H2119" s="64" t="str">
        <f aca="false">IF(OR(A2119="",B2119=""),"",CONCATENATE("https://matarstund.is/serfaedi?id=",LOWER(SUBSTITUTE(B2119," ","-"))))</f>
        <v/>
      </c>
    </row>
    <row r="2120" customFormat="false" ht="15" hidden="false" customHeight="true" outlineLevel="0" collapsed="false">
      <c r="A2120" s="68"/>
      <c r="B2120" s="68"/>
      <c r="C2120" s="68"/>
      <c r="D2120" s="68"/>
      <c r="E2120" s="68"/>
      <c r="F2120" s="68"/>
      <c r="G2120" s="68"/>
      <c r="H2120" s="64" t="str">
        <f aca="false">IF(OR(A2120="",B2120=""),"",CONCATENATE("https://matarstund.is/serfaedi?id=",LOWER(SUBSTITUTE(B2120," ","-"))))</f>
        <v/>
      </c>
    </row>
    <row r="2121" customFormat="false" ht="15" hidden="false" customHeight="true" outlineLevel="0" collapsed="false">
      <c r="A2121" s="9"/>
      <c r="B2121" s="9"/>
      <c r="C2121" s="9"/>
      <c r="D2121" s="9"/>
      <c r="E2121" s="9"/>
      <c r="F2121" s="9"/>
      <c r="G2121" s="9"/>
      <c r="H2121" s="64" t="str">
        <f aca="false">IF(OR(A2121="",B2121=""),"",CONCATENATE("https://matarstund.is/serfaedi?id=",LOWER(SUBSTITUTE(B2121," ","-"))))</f>
        <v/>
      </c>
    </row>
    <row r="2122" customFormat="false" ht="15" hidden="false" customHeight="true" outlineLevel="0" collapsed="false">
      <c r="A2122" s="68"/>
      <c r="B2122" s="68"/>
      <c r="C2122" s="68"/>
      <c r="D2122" s="68"/>
      <c r="E2122" s="68"/>
      <c r="F2122" s="68"/>
      <c r="G2122" s="68"/>
      <c r="H2122" s="64" t="str">
        <f aca="false">IF(OR(A2122="",B2122=""),"",CONCATENATE("https://matarstund.is/serfaedi?id=",LOWER(SUBSTITUTE(B2122," ","-"))))</f>
        <v/>
      </c>
    </row>
    <row r="2123" customFormat="false" ht="15" hidden="false" customHeight="true" outlineLevel="0" collapsed="false">
      <c r="A2123" s="9"/>
      <c r="B2123" s="9"/>
      <c r="C2123" s="9"/>
      <c r="D2123" s="9"/>
      <c r="E2123" s="9"/>
      <c r="F2123" s="9"/>
      <c r="G2123" s="9"/>
      <c r="H2123" s="64" t="str">
        <f aca="false">IF(OR(A2123="",B2123=""),"",CONCATENATE("https://matarstund.is/serfaedi?id=",LOWER(SUBSTITUTE(B2123," ","-"))))</f>
        <v/>
      </c>
    </row>
    <row r="2124" customFormat="false" ht="15" hidden="false" customHeight="true" outlineLevel="0" collapsed="false">
      <c r="A2124" s="68"/>
      <c r="B2124" s="68"/>
      <c r="C2124" s="68"/>
      <c r="D2124" s="68"/>
      <c r="E2124" s="68"/>
      <c r="F2124" s="68"/>
      <c r="G2124" s="68"/>
      <c r="H2124" s="64" t="str">
        <f aca="false">IF(OR(A2124="",B2124=""),"",CONCATENATE("https://matarstund.is/serfaedi?id=",LOWER(SUBSTITUTE(B2124," ","-"))))</f>
        <v/>
      </c>
    </row>
    <row r="2125" customFormat="false" ht="15" hidden="false" customHeight="true" outlineLevel="0" collapsed="false">
      <c r="A2125" s="9"/>
      <c r="B2125" s="9"/>
      <c r="C2125" s="9"/>
      <c r="D2125" s="9"/>
      <c r="E2125" s="9"/>
      <c r="F2125" s="9"/>
      <c r="G2125" s="9"/>
      <c r="H2125" s="64" t="str">
        <f aca="false">IF(OR(A2125="",B2125=""),"",CONCATENATE("https://matarstund.is/serfaedi?id=",LOWER(SUBSTITUTE(B2125," ","-"))))</f>
        <v/>
      </c>
    </row>
    <row r="2126" customFormat="false" ht="15" hidden="false" customHeight="true" outlineLevel="0" collapsed="false">
      <c r="A2126" s="68"/>
      <c r="B2126" s="68"/>
      <c r="C2126" s="68"/>
      <c r="D2126" s="68"/>
      <c r="E2126" s="68"/>
      <c r="F2126" s="68"/>
      <c r="G2126" s="68"/>
      <c r="H2126" s="64" t="str">
        <f aca="false">IF(OR(A2126="",B2126=""),"",CONCATENATE("https://matarstund.is/serfaedi?id=",LOWER(SUBSTITUTE(B2126," ","-"))))</f>
        <v/>
      </c>
    </row>
    <row r="2127" customFormat="false" ht="15" hidden="false" customHeight="true" outlineLevel="0" collapsed="false">
      <c r="A2127" s="9"/>
      <c r="B2127" s="9"/>
      <c r="C2127" s="9"/>
      <c r="D2127" s="9"/>
      <c r="E2127" s="9"/>
      <c r="F2127" s="9"/>
      <c r="G2127" s="9"/>
      <c r="H2127" s="64" t="str">
        <f aca="false">IF(OR(A2127="",B2127=""),"",CONCATENATE("https://matarstund.is/serfaedi?id=",LOWER(SUBSTITUTE(B2127," ","-"))))</f>
        <v/>
      </c>
    </row>
    <row r="2128" customFormat="false" ht="15" hidden="false" customHeight="true" outlineLevel="0" collapsed="false">
      <c r="A2128" s="68"/>
      <c r="B2128" s="68"/>
      <c r="C2128" s="68"/>
      <c r="D2128" s="68"/>
      <c r="E2128" s="68"/>
      <c r="F2128" s="68"/>
      <c r="G2128" s="68"/>
      <c r="H2128" s="64" t="str">
        <f aca="false">IF(OR(A2128="",B2128=""),"",CONCATENATE("https://matarstund.is/serfaedi?id=",LOWER(SUBSTITUTE(B2128," ","-"))))</f>
        <v/>
      </c>
    </row>
    <row r="2129" customFormat="false" ht="15" hidden="false" customHeight="true" outlineLevel="0" collapsed="false">
      <c r="A2129" s="9"/>
      <c r="B2129" s="9"/>
      <c r="C2129" s="9"/>
      <c r="D2129" s="9"/>
      <c r="E2129" s="9"/>
      <c r="F2129" s="9"/>
      <c r="G2129" s="9"/>
      <c r="H2129" s="64" t="str">
        <f aca="false">IF(OR(A2129="",B2129=""),"",CONCATENATE("https://matarstund.is/serfaedi?id=",LOWER(SUBSTITUTE(B2129," ","-"))))</f>
        <v/>
      </c>
    </row>
    <row r="2130" customFormat="false" ht="15" hidden="false" customHeight="true" outlineLevel="0" collapsed="false">
      <c r="A2130" s="68"/>
      <c r="B2130" s="68"/>
      <c r="C2130" s="68"/>
      <c r="D2130" s="68"/>
      <c r="E2130" s="68"/>
      <c r="F2130" s="68"/>
      <c r="G2130" s="68"/>
      <c r="H2130" s="64" t="str">
        <f aca="false">IF(OR(A2130="",B2130=""),"",CONCATENATE("https://matarstund.is/serfaedi?id=",LOWER(SUBSTITUTE(B2130," ","-"))))</f>
        <v/>
      </c>
    </row>
    <row r="2131" customFormat="false" ht="15" hidden="false" customHeight="true" outlineLevel="0" collapsed="false">
      <c r="A2131" s="9"/>
      <c r="B2131" s="9"/>
      <c r="C2131" s="9"/>
      <c r="D2131" s="9"/>
      <c r="E2131" s="9"/>
      <c r="F2131" s="9"/>
      <c r="G2131" s="9"/>
      <c r="H2131" s="64" t="str">
        <f aca="false">IF(OR(A2131="",B2131=""),"",CONCATENATE("https://matarstund.is/serfaedi?id=",LOWER(SUBSTITUTE(B2131," ","-"))))</f>
        <v/>
      </c>
    </row>
    <row r="2132" customFormat="false" ht="15" hidden="false" customHeight="true" outlineLevel="0" collapsed="false">
      <c r="A2132" s="68"/>
      <c r="B2132" s="68"/>
      <c r="C2132" s="68"/>
      <c r="D2132" s="68"/>
      <c r="E2132" s="68"/>
      <c r="F2132" s="68"/>
      <c r="G2132" s="68"/>
      <c r="H2132" s="64" t="str">
        <f aca="false">IF(OR(A2132="",B2132=""),"",CONCATENATE("https://matarstund.is/serfaedi?id=",LOWER(SUBSTITUTE(B2132," ","-"))))</f>
        <v/>
      </c>
    </row>
    <row r="2133" customFormat="false" ht="15" hidden="false" customHeight="true" outlineLevel="0" collapsed="false">
      <c r="A2133" s="9"/>
      <c r="B2133" s="9"/>
      <c r="C2133" s="9"/>
      <c r="D2133" s="9"/>
      <c r="E2133" s="9"/>
      <c r="F2133" s="9"/>
      <c r="G2133" s="9"/>
      <c r="H2133" s="64" t="str">
        <f aca="false">IF(OR(A2133="",B2133=""),"",CONCATENATE("https://matarstund.is/serfaedi?id=",LOWER(SUBSTITUTE(B2133," ","-"))))</f>
        <v/>
      </c>
    </row>
    <row r="2134" customFormat="false" ht="15" hidden="false" customHeight="true" outlineLevel="0" collapsed="false">
      <c r="A2134" s="68"/>
      <c r="B2134" s="68"/>
      <c r="C2134" s="68"/>
      <c r="D2134" s="68"/>
      <c r="E2134" s="68"/>
      <c r="F2134" s="68"/>
      <c r="G2134" s="68"/>
      <c r="H2134" s="64" t="str">
        <f aca="false">IF(OR(A2134="",B2134=""),"",CONCATENATE("https://matarstund.is/serfaedi?id=",LOWER(SUBSTITUTE(B2134," ","-"))))</f>
        <v/>
      </c>
    </row>
    <row r="2135" customFormat="false" ht="15" hidden="false" customHeight="true" outlineLevel="0" collapsed="false">
      <c r="A2135" s="9"/>
      <c r="B2135" s="9"/>
      <c r="C2135" s="9"/>
      <c r="D2135" s="9"/>
      <c r="E2135" s="9"/>
      <c r="F2135" s="9"/>
      <c r="G2135" s="9"/>
      <c r="H2135" s="64" t="str">
        <f aca="false">IF(OR(A2135="",B2135=""),"",CONCATENATE("https://matarstund.is/serfaedi?id=",LOWER(SUBSTITUTE(B2135," ","-"))))</f>
        <v/>
      </c>
    </row>
    <row r="2136" customFormat="false" ht="15" hidden="false" customHeight="true" outlineLevel="0" collapsed="false">
      <c r="A2136" s="68"/>
      <c r="B2136" s="68"/>
      <c r="C2136" s="68"/>
      <c r="D2136" s="68"/>
      <c r="E2136" s="68"/>
      <c r="F2136" s="68"/>
      <c r="G2136" s="68"/>
      <c r="H2136" s="64" t="str">
        <f aca="false">IF(OR(A2136="",B2136=""),"",CONCATENATE("https://matarstund.is/serfaedi?id=",LOWER(SUBSTITUTE(B2136," ","-"))))</f>
        <v/>
      </c>
    </row>
    <row r="2137" customFormat="false" ht="15" hidden="false" customHeight="true" outlineLevel="0" collapsed="false">
      <c r="A2137" s="9"/>
      <c r="B2137" s="9"/>
      <c r="C2137" s="9"/>
      <c r="D2137" s="9"/>
      <c r="E2137" s="9"/>
      <c r="F2137" s="9"/>
      <c r="G2137" s="9"/>
      <c r="H2137" s="64" t="str">
        <f aca="false">IF(OR(A2137="",B2137=""),"",CONCATENATE("https://matarstund.is/serfaedi?id=",LOWER(SUBSTITUTE(B2137," ","-"))))</f>
        <v/>
      </c>
    </row>
    <row r="2138" customFormat="false" ht="15" hidden="false" customHeight="true" outlineLevel="0" collapsed="false">
      <c r="A2138" s="68"/>
      <c r="B2138" s="68"/>
      <c r="C2138" s="68"/>
      <c r="D2138" s="68"/>
      <c r="E2138" s="68"/>
      <c r="F2138" s="68"/>
      <c r="G2138" s="68"/>
      <c r="H2138" s="64" t="str">
        <f aca="false">IF(OR(A2138="",B2138=""),"",CONCATENATE("https://matarstund.is/serfaedi?id=",LOWER(SUBSTITUTE(B2138," ","-"))))</f>
        <v/>
      </c>
    </row>
    <row r="2139" customFormat="false" ht="15" hidden="false" customHeight="true" outlineLevel="0" collapsed="false">
      <c r="A2139" s="9"/>
      <c r="B2139" s="9"/>
      <c r="C2139" s="9"/>
      <c r="D2139" s="9"/>
      <c r="E2139" s="9"/>
      <c r="F2139" s="9"/>
      <c r="G2139" s="9"/>
      <c r="H2139" s="64" t="str">
        <f aca="false">IF(OR(A2139="",B2139=""),"",CONCATENATE("https://matarstund.is/serfaedi?id=",LOWER(SUBSTITUTE(B2139," ","-"))))</f>
        <v/>
      </c>
    </row>
    <row r="2140" customFormat="false" ht="15" hidden="false" customHeight="true" outlineLevel="0" collapsed="false">
      <c r="A2140" s="68"/>
      <c r="B2140" s="68"/>
      <c r="C2140" s="68"/>
      <c r="D2140" s="68"/>
      <c r="E2140" s="68"/>
      <c r="F2140" s="68"/>
      <c r="G2140" s="68"/>
      <c r="H2140" s="64" t="str">
        <f aca="false">IF(OR(A2140="",B2140=""),"",CONCATENATE("https://matarstund.is/serfaedi?id=",LOWER(SUBSTITUTE(B2140," ","-"))))</f>
        <v/>
      </c>
    </row>
    <row r="2141" customFormat="false" ht="15" hidden="false" customHeight="true" outlineLevel="0" collapsed="false">
      <c r="A2141" s="9"/>
      <c r="B2141" s="9"/>
      <c r="C2141" s="9"/>
      <c r="D2141" s="9"/>
      <c r="E2141" s="9"/>
      <c r="F2141" s="9"/>
      <c r="G2141" s="9"/>
      <c r="H2141" s="64" t="str">
        <f aca="false">IF(OR(A2141="",B2141=""),"",CONCATENATE("https://matarstund.is/serfaedi?id=",LOWER(SUBSTITUTE(B2141," ","-"))))</f>
        <v/>
      </c>
    </row>
    <row r="2142" customFormat="false" ht="15" hidden="false" customHeight="true" outlineLevel="0" collapsed="false">
      <c r="A2142" s="68"/>
      <c r="B2142" s="68"/>
      <c r="C2142" s="68"/>
      <c r="D2142" s="68"/>
      <c r="E2142" s="68"/>
      <c r="F2142" s="68"/>
      <c r="G2142" s="68"/>
      <c r="H2142" s="64" t="str">
        <f aca="false">IF(OR(A2142="",B2142=""),"",CONCATENATE("https://matarstund.is/serfaedi?id=",LOWER(SUBSTITUTE(B2142," ","-"))))</f>
        <v/>
      </c>
    </row>
    <row r="2143" customFormat="false" ht="15" hidden="false" customHeight="true" outlineLevel="0" collapsed="false">
      <c r="A2143" s="9"/>
      <c r="B2143" s="9"/>
      <c r="C2143" s="9"/>
      <c r="D2143" s="9"/>
      <c r="E2143" s="9"/>
      <c r="F2143" s="9"/>
      <c r="G2143" s="9"/>
      <c r="H2143" s="64" t="str">
        <f aca="false">IF(OR(A2143="",B2143=""),"",CONCATENATE("https://matarstund.is/serfaedi?id=",LOWER(SUBSTITUTE(B2143," ","-"))))</f>
        <v/>
      </c>
    </row>
    <row r="2144" customFormat="false" ht="15" hidden="false" customHeight="true" outlineLevel="0" collapsed="false">
      <c r="A2144" s="68"/>
      <c r="B2144" s="68"/>
      <c r="C2144" s="68"/>
      <c r="D2144" s="68"/>
      <c r="E2144" s="68"/>
      <c r="F2144" s="68"/>
      <c r="G2144" s="68"/>
      <c r="H2144" s="64" t="str">
        <f aca="false">IF(OR(A2144="",B2144=""),"",CONCATENATE("https://matarstund.is/serfaedi?id=",LOWER(SUBSTITUTE(B2144," ","-"))))</f>
        <v/>
      </c>
    </row>
    <row r="2145" customFormat="false" ht="15" hidden="false" customHeight="true" outlineLevel="0" collapsed="false">
      <c r="A2145" s="9"/>
      <c r="B2145" s="9"/>
      <c r="C2145" s="9"/>
      <c r="D2145" s="9"/>
      <c r="E2145" s="9"/>
      <c r="F2145" s="9"/>
      <c r="G2145" s="9"/>
      <c r="H2145" s="64" t="str">
        <f aca="false">IF(OR(A2145="",B2145=""),"",CONCATENATE("https://matarstund.is/serfaedi?id=",LOWER(SUBSTITUTE(B2145," ","-"))))</f>
        <v/>
      </c>
    </row>
    <row r="2146" customFormat="false" ht="15" hidden="false" customHeight="true" outlineLevel="0" collapsed="false">
      <c r="A2146" s="68"/>
      <c r="B2146" s="68"/>
      <c r="C2146" s="68"/>
      <c r="D2146" s="68"/>
      <c r="E2146" s="68"/>
      <c r="F2146" s="68"/>
      <c r="G2146" s="68"/>
      <c r="H2146" s="64" t="str">
        <f aca="false">IF(OR(A2146="",B2146=""),"",CONCATENATE("https://matarstund.is/serfaedi?id=",LOWER(SUBSTITUTE(B2146," ","-"))))</f>
        <v/>
      </c>
    </row>
    <row r="2147" customFormat="false" ht="15" hidden="false" customHeight="true" outlineLevel="0" collapsed="false">
      <c r="A2147" s="9"/>
      <c r="B2147" s="9"/>
      <c r="C2147" s="9"/>
      <c r="D2147" s="9"/>
      <c r="E2147" s="9"/>
      <c r="F2147" s="9"/>
      <c r="G2147" s="9"/>
      <c r="H2147" s="64" t="str">
        <f aca="false">IF(OR(A2147="",B2147=""),"",CONCATENATE("https://matarstund.is/serfaedi?id=",LOWER(SUBSTITUTE(B2147," ","-"))))</f>
        <v/>
      </c>
    </row>
    <row r="2148" customFormat="false" ht="15" hidden="false" customHeight="true" outlineLevel="0" collapsed="false">
      <c r="A2148" s="68"/>
      <c r="B2148" s="68"/>
      <c r="C2148" s="68"/>
      <c r="D2148" s="68"/>
      <c r="E2148" s="68"/>
      <c r="F2148" s="68"/>
      <c r="G2148" s="68"/>
      <c r="H2148" s="64" t="str">
        <f aca="false">IF(OR(A2148="",B2148=""),"",CONCATENATE("https://matarstund.is/serfaedi?id=",LOWER(SUBSTITUTE(B2148," ","-"))))</f>
        <v/>
      </c>
    </row>
    <row r="2149" customFormat="false" ht="15" hidden="false" customHeight="true" outlineLevel="0" collapsed="false">
      <c r="A2149" s="9"/>
      <c r="B2149" s="9"/>
      <c r="C2149" s="9"/>
      <c r="D2149" s="9"/>
      <c r="E2149" s="9"/>
      <c r="F2149" s="9"/>
      <c r="G2149" s="9"/>
      <c r="H2149" s="64" t="str">
        <f aca="false">IF(OR(A2149="",B2149=""),"",CONCATENATE("https://matarstund.is/serfaedi?id=",LOWER(SUBSTITUTE(B2149," ","-"))))</f>
        <v/>
      </c>
    </row>
    <row r="2150" customFormat="false" ht="15" hidden="false" customHeight="true" outlineLevel="0" collapsed="false">
      <c r="A2150" s="68"/>
      <c r="B2150" s="68"/>
      <c r="C2150" s="68"/>
      <c r="D2150" s="68"/>
      <c r="E2150" s="68"/>
      <c r="F2150" s="68"/>
      <c r="G2150" s="68"/>
      <c r="H2150" s="64" t="str">
        <f aca="false">IF(OR(A2150="",B2150=""),"",CONCATENATE("https://matarstund.is/serfaedi?id=",LOWER(SUBSTITUTE(B2150," ","-"))))</f>
        <v/>
      </c>
    </row>
    <row r="2151" customFormat="false" ht="15" hidden="false" customHeight="true" outlineLevel="0" collapsed="false">
      <c r="A2151" s="9"/>
      <c r="B2151" s="9"/>
      <c r="C2151" s="9"/>
      <c r="D2151" s="9"/>
      <c r="E2151" s="9"/>
      <c r="F2151" s="9"/>
      <c r="G2151" s="9"/>
      <c r="H2151" s="64" t="str">
        <f aca="false">IF(OR(A2151="",B2151=""),"",CONCATENATE("https://matarstund.is/serfaedi?id=",LOWER(SUBSTITUTE(B2151," ","-"))))</f>
        <v/>
      </c>
    </row>
    <row r="2152" customFormat="false" ht="15" hidden="false" customHeight="true" outlineLevel="0" collapsed="false">
      <c r="A2152" s="68"/>
      <c r="B2152" s="68"/>
      <c r="C2152" s="68"/>
      <c r="D2152" s="68"/>
      <c r="E2152" s="68"/>
      <c r="F2152" s="68"/>
      <c r="G2152" s="68"/>
      <c r="H2152" s="64" t="str">
        <f aca="false">IF(OR(A2152="",B2152=""),"",CONCATENATE("https://matarstund.is/serfaedi?id=",LOWER(SUBSTITUTE(B2152," ","-"))))</f>
        <v/>
      </c>
    </row>
    <row r="2153" customFormat="false" ht="15" hidden="false" customHeight="true" outlineLevel="0" collapsed="false">
      <c r="A2153" s="9"/>
      <c r="B2153" s="9"/>
      <c r="C2153" s="9"/>
      <c r="D2153" s="9"/>
      <c r="E2153" s="9"/>
      <c r="F2153" s="9"/>
      <c r="G2153" s="9"/>
      <c r="H2153" s="64" t="str">
        <f aca="false">IF(OR(A2153="",B2153=""),"",CONCATENATE("https://matarstund.is/serfaedi?id=",LOWER(SUBSTITUTE(B2153," ","-"))))</f>
        <v/>
      </c>
    </row>
    <row r="2154" customFormat="false" ht="15" hidden="false" customHeight="true" outlineLevel="0" collapsed="false">
      <c r="A2154" s="68"/>
      <c r="B2154" s="68"/>
      <c r="C2154" s="68"/>
      <c r="D2154" s="68"/>
      <c r="E2154" s="68"/>
      <c r="F2154" s="68"/>
      <c r="G2154" s="68"/>
      <c r="H2154" s="64" t="str">
        <f aca="false">IF(OR(A2154="",B2154=""),"",CONCATENATE("https://matarstund.is/serfaedi?id=",LOWER(SUBSTITUTE(B2154," ","-"))))</f>
        <v/>
      </c>
    </row>
    <row r="2155" customFormat="false" ht="15" hidden="false" customHeight="true" outlineLevel="0" collapsed="false">
      <c r="A2155" s="9"/>
      <c r="B2155" s="9"/>
      <c r="C2155" s="9"/>
      <c r="D2155" s="9"/>
      <c r="E2155" s="9"/>
      <c r="F2155" s="9"/>
      <c r="G2155" s="9"/>
      <c r="H2155" s="64" t="str">
        <f aca="false">IF(OR(A2155="",B2155=""),"",CONCATENATE("https://matarstund.is/serfaedi?id=",LOWER(SUBSTITUTE(B2155," ","-"))))</f>
        <v/>
      </c>
    </row>
    <row r="2156" customFormat="false" ht="15" hidden="false" customHeight="true" outlineLevel="0" collapsed="false">
      <c r="A2156" s="68"/>
      <c r="B2156" s="68"/>
      <c r="C2156" s="68"/>
      <c r="D2156" s="68"/>
      <c r="E2156" s="68"/>
      <c r="F2156" s="68"/>
      <c r="G2156" s="68"/>
      <c r="H2156" s="64" t="str">
        <f aca="false">IF(OR(A2156="",B2156=""),"",CONCATENATE("https://matarstund.is/serfaedi?id=",LOWER(SUBSTITUTE(B2156," ","-"))))</f>
        <v/>
      </c>
    </row>
    <row r="2157" customFormat="false" ht="15" hidden="false" customHeight="true" outlineLevel="0" collapsed="false">
      <c r="A2157" s="9"/>
      <c r="B2157" s="9"/>
      <c r="C2157" s="9"/>
      <c r="D2157" s="9"/>
      <c r="E2157" s="9"/>
      <c r="F2157" s="9"/>
      <c r="G2157" s="9"/>
      <c r="H2157" s="64" t="str">
        <f aca="false">IF(OR(A2157="",B2157=""),"",CONCATENATE("https://matarstund.is/serfaedi?id=",LOWER(SUBSTITUTE(B2157," ","-"))))</f>
        <v/>
      </c>
    </row>
    <row r="2158" customFormat="false" ht="15" hidden="false" customHeight="true" outlineLevel="0" collapsed="false">
      <c r="A2158" s="68"/>
      <c r="B2158" s="68"/>
      <c r="C2158" s="68"/>
      <c r="D2158" s="68"/>
      <c r="E2158" s="68"/>
      <c r="F2158" s="68"/>
      <c r="G2158" s="68"/>
      <c r="H2158" s="64" t="str">
        <f aca="false">IF(OR(A2158="",B2158=""),"",CONCATENATE("https://matarstund.is/serfaedi?id=",LOWER(SUBSTITUTE(B2158," ","-"))))</f>
        <v/>
      </c>
    </row>
    <row r="2159" customFormat="false" ht="15" hidden="false" customHeight="true" outlineLevel="0" collapsed="false">
      <c r="A2159" s="9"/>
      <c r="B2159" s="9"/>
      <c r="C2159" s="9"/>
      <c r="D2159" s="9"/>
      <c r="E2159" s="9"/>
      <c r="F2159" s="9"/>
      <c r="G2159" s="9"/>
      <c r="H2159" s="64" t="str">
        <f aca="false">IF(OR(A2159="",B2159=""),"",CONCATENATE("https://matarstund.is/serfaedi?id=",LOWER(SUBSTITUTE(B2159," ","-"))))</f>
        <v/>
      </c>
    </row>
    <row r="2160" customFormat="false" ht="15" hidden="false" customHeight="true" outlineLevel="0" collapsed="false">
      <c r="A2160" s="68"/>
      <c r="B2160" s="68"/>
      <c r="C2160" s="68"/>
      <c r="D2160" s="68"/>
      <c r="E2160" s="68"/>
      <c r="F2160" s="68"/>
      <c r="G2160" s="68"/>
      <c r="H2160" s="64" t="str">
        <f aca="false">IF(OR(A2160="",B2160=""),"",CONCATENATE("https://matarstund.is/serfaedi?id=",LOWER(SUBSTITUTE(B2160," ","-"))))</f>
        <v/>
      </c>
    </row>
    <row r="2161" customFormat="false" ht="15" hidden="false" customHeight="true" outlineLevel="0" collapsed="false">
      <c r="A2161" s="9"/>
      <c r="B2161" s="9"/>
      <c r="C2161" s="9"/>
      <c r="D2161" s="9"/>
      <c r="E2161" s="9"/>
      <c r="F2161" s="9"/>
      <c r="G2161" s="9"/>
      <c r="H2161" s="64" t="str">
        <f aca="false">IF(OR(A2161="",B2161=""),"",CONCATENATE("https://matarstund.is/serfaedi?id=",LOWER(SUBSTITUTE(B2161," ","-"))))</f>
        <v/>
      </c>
    </row>
    <row r="2162" customFormat="false" ht="15" hidden="false" customHeight="true" outlineLevel="0" collapsed="false">
      <c r="A2162" s="68"/>
      <c r="B2162" s="68"/>
      <c r="C2162" s="68"/>
      <c r="D2162" s="68"/>
      <c r="E2162" s="68"/>
      <c r="F2162" s="68"/>
      <c r="G2162" s="68"/>
      <c r="H2162" s="64" t="str">
        <f aca="false">IF(OR(A2162="",B2162=""),"",CONCATENATE("https://matarstund.is/serfaedi?id=",LOWER(SUBSTITUTE(B2162," ","-"))))</f>
        <v/>
      </c>
    </row>
    <row r="2163" customFormat="false" ht="15" hidden="false" customHeight="true" outlineLevel="0" collapsed="false">
      <c r="A2163" s="9"/>
      <c r="B2163" s="9"/>
      <c r="C2163" s="9"/>
      <c r="D2163" s="9"/>
      <c r="E2163" s="9"/>
      <c r="F2163" s="9"/>
      <c r="G2163" s="9"/>
      <c r="H2163" s="64" t="str">
        <f aca="false">IF(OR(A2163="",B2163=""),"",CONCATENATE("https://matarstund.is/serfaedi?id=",LOWER(SUBSTITUTE(B2163," ","-"))))</f>
        <v/>
      </c>
    </row>
    <row r="2164" customFormat="false" ht="15" hidden="false" customHeight="true" outlineLevel="0" collapsed="false">
      <c r="A2164" s="68"/>
      <c r="B2164" s="68"/>
      <c r="C2164" s="68"/>
      <c r="D2164" s="68"/>
      <c r="E2164" s="68"/>
      <c r="F2164" s="68"/>
      <c r="G2164" s="68"/>
      <c r="H2164" s="64" t="str">
        <f aca="false">IF(OR(A2164="",B2164=""),"",CONCATENATE("https://matarstund.is/serfaedi?id=",LOWER(SUBSTITUTE(B2164," ","-"))))</f>
        <v/>
      </c>
    </row>
    <row r="2165" customFormat="false" ht="15" hidden="false" customHeight="true" outlineLevel="0" collapsed="false">
      <c r="A2165" s="9"/>
      <c r="B2165" s="9"/>
      <c r="C2165" s="9"/>
      <c r="D2165" s="9"/>
      <c r="E2165" s="9"/>
      <c r="F2165" s="9"/>
      <c r="G2165" s="9"/>
      <c r="H2165" s="64" t="str">
        <f aca="false">IF(OR(A2165="",B2165=""),"",CONCATENATE("https://matarstund.is/serfaedi?id=",LOWER(SUBSTITUTE(B2165," ","-"))))</f>
        <v/>
      </c>
    </row>
    <row r="2166" customFormat="false" ht="15" hidden="false" customHeight="true" outlineLevel="0" collapsed="false">
      <c r="A2166" s="68"/>
      <c r="B2166" s="68"/>
      <c r="C2166" s="68"/>
      <c r="D2166" s="68"/>
      <c r="E2166" s="68"/>
      <c r="F2166" s="68"/>
      <c r="G2166" s="68"/>
      <c r="H2166" s="64" t="str">
        <f aca="false">IF(OR(A2166="",B2166=""),"",CONCATENATE("https://matarstund.is/serfaedi?id=",LOWER(SUBSTITUTE(B2166," ","-"))))</f>
        <v/>
      </c>
    </row>
    <row r="2167" customFormat="false" ht="15" hidden="false" customHeight="true" outlineLevel="0" collapsed="false">
      <c r="A2167" s="9"/>
      <c r="B2167" s="9"/>
      <c r="C2167" s="9"/>
      <c r="D2167" s="9"/>
      <c r="E2167" s="9"/>
      <c r="F2167" s="9"/>
      <c r="G2167" s="9"/>
      <c r="H2167" s="64" t="str">
        <f aca="false">IF(OR(A2167="",B2167=""),"",CONCATENATE("https://matarstund.is/serfaedi?id=",LOWER(SUBSTITUTE(B2167," ","-"))))</f>
        <v/>
      </c>
    </row>
    <row r="2168" customFormat="false" ht="15" hidden="false" customHeight="true" outlineLevel="0" collapsed="false">
      <c r="A2168" s="68"/>
      <c r="B2168" s="68"/>
      <c r="C2168" s="68"/>
      <c r="D2168" s="68"/>
      <c r="E2168" s="68"/>
      <c r="F2168" s="68"/>
      <c r="G2168" s="68"/>
      <c r="H2168" s="64" t="str">
        <f aca="false">IF(OR(A2168="",B2168=""),"",CONCATENATE("https://matarstund.is/serfaedi?id=",LOWER(SUBSTITUTE(B2168," ","-"))))</f>
        <v/>
      </c>
    </row>
    <row r="2169" customFormat="false" ht="15" hidden="false" customHeight="true" outlineLevel="0" collapsed="false">
      <c r="A2169" s="9"/>
      <c r="B2169" s="9"/>
      <c r="C2169" s="9"/>
      <c r="D2169" s="9"/>
      <c r="E2169" s="9"/>
      <c r="F2169" s="9"/>
      <c r="G2169" s="9"/>
      <c r="H2169" s="64" t="str">
        <f aca="false">IF(OR(A2169="",B2169=""),"",CONCATENATE("https://matarstund.is/serfaedi?id=",LOWER(SUBSTITUTE(B2169," ","-"))))</f>
        <v/>
      </c>
    </row>
    <row r="2170" customFormat="false" ht="15" hidden="false" customHeight="true" outlineLevel="0" collapsed="false">
      <c r="A2170" s="68"/>
      <c r="B2170" s="68"/>
      <c r="C2170" s="68"/>
      <c r="D2170" s="68"/>
      <c r="E2170" s="68"/>
      <c r="F2170" s="68"/>
      <c r="G2170" s="68"/>
      <c r="H2170" s="64" t="str">
        <f aca="false">IF(OR(A2170="",B2170=""),"",CONCATENATE("https://matarstund.is/serfaedi?id=",LOWER(SUBSTITUTE(B2170," ","-"))))</f>
        <v/>
      </c>
    </row>
    <row r="2171" customFormat="false" ht="15" hidden="false" customHeight="true" outlineLevel="0" collapsed="false">
      <c r="A2171" s="9"/>
      <c r="B2171" s="9"/>
      <c r="C2171" s="9"/>
      <c r="D2171" s="9"/>
      <c r="E2171" s="9"/>
      <c r="F2171" s="9"/>
      <c r="G2171" s="9"/>
      <c r="H2171" s="64" t="str">
        <f aca="false">IF(OR(A2171="",B2171=""),"",CONCATENATE("https://matarstund.is/serfaedi?id=",LOWER(SUBSTITUTE(B2171," ","-"))))</f>
        <v/>
      </c>
    </row>
    <row r="2172" customFormat="false" ht="15" hidden="false" customHeight="true" outlineLevel="0" collapsed="false">
      <c r="A2172" s="68"/>
      <c r="B2172" s="68"/>
      <c r="C2172" s="68"/>
      <c r="D2172" s="68"/>
      <c r="E2172" s="68"/>
      <c r="F2172" s="68"/>
      <c r="G2172" s="68"/>
      <c r="H2172" s="64" t="str">
        <f aca="false">IF(OR(A2172="",B2172=""),"",CONCATENATE("https://matarstund.is/serfaedi?id=",LOWER(SUBSTITUTE(B2172," ","-"))))</f>
        <v/>
      </c>
    </row>
    <row r="2173" customFormat="false" ht="15" hidden="false" customHeight="true" outlineLevel="0" collapsed="false">
      <c r="A2173" s="9"/>
      <c r="B2173" s="9"/>
      <c r="C2173" s="9"/>
      <c r="D2173" s="9"/>
      <c r="E2173" s="9"/>
      <c r="F2173" s="9"/>
      <c r="G2173" s="9"/>
      <c r="H2173" s="64" t="str">
        <f aca="false">IF(OR(A2173="",B2173=""),"",CONCATENATE("https://matarstund.is/serfaedi?id=",LOWER(SUBSTITUTE(B2173," ","-"))))</f>
        <v/>
      </c>
    </row>
    <row r="2174" customFormat="false" ht="15" hidden="false" customHeight="true" outlineLevel="0" collapsed="false">
      <c r="A2174" s="68"/>
      <c r="B2174" s="68"/>
      <c r="C2174" s="68"/>
      <c r="D2174" s="68"/>
      <c r="E2174" s="68"/>
      <c r="F2174" s="68"/>
      <c r="G2174" s="68"/>
      <c r="H2174" s="64" t="str">
        <f aca="false">IF(OR(A2174="",B2174=""),"",CONCATENATE("https://matarstund.is/serfaedi?id=",LOWER(SUBSTITUTE(B2174," ","-"))))</f>
        <v/>
      </c>
    </row>
    <row r="2175" customFormat="false" ht="15" hidden="false" customHeight="true" outlineLevel="0" collapsed="false">
      <c r="A2175" s="9"/>
      <c r="B2175" s="9"/>
      <c r="C2175" s="9"/>
      <c r="D2175" s="9"/>
      <c r="E2175" s="9"/>
      <c r="F2175" s="9"/>
      <c r="G2175" s="9"/>
      <c r="H2175" s="64" t="str">
        <f aca="false">IF(OR(A2175="",B2175=""),"",CONCATENATE("https://matarstund.is/serfaedi?id=",LOWER(SUBSTITUTE(B2175," ","-"))))</f>
        <v/>
      </c>
    </row>
    <row r="2176" customFormat="false" ht="15" hidden="false" customHeight="true" outlineLevel="0" collapsed="false">
      <c r="A2176" s="68"/>
      <c r="B2176" s="68"/>
      <c r="C2176" s="68"/>
      <c r="D2176" s="68"/>
      <c r="E2176" s="68"/>
      <c r="F2176" s="68"/>
      <c r="G2176" s="68"/>
      <c r="H2176" s="64" t="str">
        <f aca="false">IF(OR(A2176="",B2176=""),"",CONCATENATE("https://matarstund.is/serfaedi?id=",LOWER(SUBSTITUTE(B2176," ","-"))))</f>
        <v/>
      </c>
    </row>
    <row r="2177" customFormat="false" ht="15" hidden="false" customHeight="true" outlineLevel="0" collapsed="false">
      <c r="A2177" s="9"/>
      <c r="B2177" s="9"/>
      <c r="C2177" s="9"/>
      <c r="D2177" s="9"/>
      <c r="E2177" s="9"/>
      <c r="F2177" s="9"/>
      <c r="G2177" s="9"/>
      <c r="H2177" s="64" t="str">
        <f aca="false">IF(OR(A2177="",B2177=""),"",CONCATENATE("https://matarstund.is/serfaedi?id=",LOWER(SUBSTITUTE(B2177," ","-"))))</f>
        <v/>
      </c>
    </row>
    <row r="2178" customFormat="false" ht="15" hidden="false" customHeight="true" outlineLevel="0" collapsed="false">
      <c r="A2178" s="68"/>
      <c r="B2178" s="68"/>
      <c r="C2178" s="68"/>
      <c r="D2178" s="68"/>
      <c r="E2178" s="68"/>
      <c r="F2178" s="68"/>
      <c r="G2178" s="68"/>
      <c r="H2178" s="64" t="str">
        <f aca="false">IF(OR(A2178="",B2178=""),"",CONCATENATE("https://matarstund.is/serfaedi?id=",LOWER(SUBSTITUTE(B2178," ","-"))))</f>
        <v/>
      </c>
    </row>
    <row r="2179" customFormat="false" ht="15" hidden="false" customHeight="true" outlineLevel="0" collapsed="false">
      <c r="A2179" s="9"/>
      <c r="B2179" s="9"/>
      <c r="C2179" s="9"/>
      <c r="D2179" s="9"/>
      <c r="E2179" s="9"/>
      <c r="F2179" s="9"/>
      <c r="G2179" s="9"/>
      <c r="H2179" s="64" t="str">
        <f aca="false">IF(OR(A2179="",B2179=""),"",CONCATENATE("https://matarstund.is/serfaedi?id=",LOWER(SUBSTITUTE(B2179," ","-"))))</f>
        <v/>
      </c>
    </row>
    <row r="2180" customFormat="false" ht="15" hidden="false" customHeight="true" outlineLevel="0" collapsed="false">
      <c r="A2180" s="68"/>
      <c r="B2180" s="68"/>
      <c r="C2180" s="68"/>
      <c r="D2180" s="68"/>
      <c r="E2180" s="68"/>
      <c r="F2180" s="68"/>
      <c r="G2180" s="68"/>
      <c r="H2180" s="64" t="str">
        <f aca="false">IF(OR(A2180="",B2180=""),"",CONCATENATE("https://matarstund.is/serfaedi?id=",LOWER(SUBSTITUTE(B2180," ","-"))))</f>
        <v/>
      </c>
    </row>
    <row r="2181" customFormat="false" ht="15" hidden="false" customHeight="true" outlineLevel="0" collapsed="false">
      <c r="A2181" s="9"/>
      <c r="B2181" s="9"/>
      <c r="C2181" s="9"/>
      <c r="D2181" s="9"/>
      <c r="E2181" s="9"/>
      <c r="F2181" s="9"/>
      <c r="G2181" s="9"/>
      <c r="H2181" s="64" t="str">
        <f aca="false">IF(OR(A2181="",B2181=""),"",CONCATENATE("https://matarstund.is/serfaedi?id=",LOWER(SUBSTITUTE(B2181," ","-"))))</f>
        <v/>
      </c>
    </row>
    <row r="2182" customFormat="false" ht="15" hidden="false" customHeight="true" outlineLevel="0" collapsed="false">
      <c r="A2182" s="68"/>
      <c r="B2182" s="68"/>
      <c r="C2182" s="68"/>
      <c r="D2182" s="68"/>
      <c r="E2182" s="68"/>
      <c r="F2182" s="68"/>
      <c r="G2182" s="68"/>
      <c r="H2182" s="64" t="str">
        <f aca="false">IF(OR(A2182="",B2182=""),"",CONCATENATE("https://matarstund.is/serfaedi?id=",LOWER(SUBSTITUTE(B2182," ","-"))))</f>
        <v/>
      </c>
    </row>
    <row r="2183" customFormat="false" ht="15" hidden="false" customHeight="true" outlineLevel="0" collapsed="false">
      <c r="A2183" s="9"/>
      <c r="B2183" s="9"/>
      <c r="C2183" s="9"/>
      <c r="D2183" s="9"/>
      <c r="E2183" s="9"/>
      <c r="F2183" s="9"/>
      <c r="G2183" s="9"/>
      <c r="H2183" s="64" t="str">
        <f aca="false">IF(OR(A2183="",B2183=""),"",CONCATENATE("https://matarstund.is/serfaedi?id=",LOWER(SUBSTITUTE(B2183," ","-"))))</f>
        <v/>
      </c>
    </row>
    <row r="2184" customFormat="false" ht="15" hidden="false" customHeight="true" outlineLevel="0" collapsed="false">
      <c r="A2184" s="68"/>
      <c r="B2184" s="68"/>
      <c r="C2184" s="68"/>
      <c r="D2184" s="68"/>
      <c r="E2184" s="68"/>
      <c r="F2184" s="68"/>
      <c r="G2184" s="68"/>
      <c r="H2184" s="64" t="str">
        <f aca="false">IF(OR(A2184="",B2184=""),"",CONCATENATE("https://matarstund.is/serfaedi?id=",LOWER(SUBSTITUTE(B2184," ","-"))))</f>
        <v/>
      </c>
    </row>
    <row r="2185" customFormat="false" ht="15" hidden="false" customHeight="true" outlineLevel="0" collapsed="false">
      <c r="A2185" s="9"/>
      <c r="B2185" s="9"/>
      <c r="C2185" s="9"/>
      <c r="D2185" s="9"/>
      <c r="E2185" s="9"/>
      <c r="F2185" s="9"/>
      <c r="G2185" s="9"/>
      <c r="H2185" s="64" t="str">
        <f aca="false">IF(OR(A2185="",B2185=""),"",CONCATENATE("https://matarstund.is/serfaedi?id=",LOWER(SUBSTITUTE(B2185," ","-"))))</f>
        <v/>
      </c>
    </row>
    <row r="2186" customFormat="false" ht="15" hidden="false" customHeight="true" outlineLevel="0" collapsed="false">
      <c r="A2186" s="68"/>
      <c r="B2186" s="68"/>
      <c r="C2186" s="68"/>
      <c r="D2186" s="68"/>
      <c r="E2186" s="68"/>
      <c r="F2186" s="68"/>
      <c r="G2186" s="68"/>
      <c r="H2186" s="64" t="str">
        <f aca="false">IF(OR(A2186="",B2186=""),"",CONCATENATE("https://matarstund.is/serfaedi?id=",LOWER(SUBSTITUTE(B2186," ","-"))))</f>
        <v/>
      </c>
    </row>
    <row r="2187" customFormat="false" ht="15" hidden="false" customHeight="true" outlineLevel="0" collapsed="false">
      <c r="A2187" s="9"/>
      <c r="B2187" s="9"/>
      <c r="C2187" s="9"/>
      <c r="D2187" s="9"/>
      <c r="E2187" s="9"/>
      <c r="F2187" s="9"/>
      <c r="G2187" s="9"/>
      <c r="H2187" s="64" t="str">
        <f aca="false">IF(OR(A2187="",B2187=""),"",CONCATENATE("https://matarstund.is/serfaedi?id=",LOWER(SUBSTITUTE(B2187," ","-"))))</f>
        <v/>
      </c>
    </row>
    <row r="2188" customFormat="false" ht="15" hidden="false" customHeight="true" outlineLevel="0" collapsed="false">
      <c r="A2188" s="68"/>
      <c r="B2188" s="68"/>
      <c r="C2188" s="68"/>
      <c r="D2188" s="68"/>
      <c r="E2188" s="68"/>
      <c r="F2188" s="68"/>
      <c r="G2188" s="68"/>
      <c r="H2188" s="64" t="str">
        <f aca="false">IF(OR(A2188="",B2188=""),"",CONCATENATE("https://matarstund.is/serfaedi?id=",LOWER(SUBSTITUTE(B2188," ","-"))))</f>
        <v/>
      </c>
    </row>
    <row r="2189" customFormat="false" ht="15" hidden="false" customHeight="true" outlineLevel="0" collapsed="false">
      <c r="A2189" s="9"/>
      <c r="B2189" s="9"/>
      <c r="C2189" s="9"/>
      <c r="D2189" s="9"/>
      <c r="E2189" s="9"/>
      <c r="F2189" s="9"/>
      <c r="G2189" s="9"/>
      <c r="H2189" s="64" t="str">
        <f aca="false">IF(OR(A2189="",B2189=""),"",CONCATENATE("https://matarstund.is/serfaedi?id=",LOWER(SUBSTITUTE(B2189," ","-"))))</f>
        <v/>
      </c>
    </row>
    <row r="2190" customFormat="false" ht="15" hidden="false" customHeight="true" outlineLevel="0" collapsed="false">
      <c r="A2190" s="68"/>
      <c r="B2190" s="68"/>
      <c r="C2190" s="68"/>
      <c r="D2190" s="68"/>
      <c r="E2190" s="68"/>
      <c r="F2190" s="68"/>
      <c r="G2190" s="68"/>
      <c r="H2190" s="64" t="str">
        <f aca="false">IF(OR(A2190="",B2190=""),"",CONCATENATE("https://matarstund.is/serfaedi?id=",LOWER(SUBSTITUTE(B2190," ","-"))))</f>
        <v/>
      </c>
    </row>
    <row r="2191" customFormat="false" ht="15" hidden="false" customHeight="true" outlineLevel="0" collapsed="false">
      <c r="A2191" s="9"/>
      <c r="B2191" s="9"/>
      <c r="C2191" s="9"/>
      <c r="D2191" s="9"/>
      <c r="E2191" s="9"/>
      <c r="F2191" s="9"/>
      <c r="G2191" s="9"/>
      <c r="H2191" s="64" t="str">
        <f aca="false">IF(OR(A2191="",B2191=""),"",CONCATENATE("https://matarstund.is/serfaedi?id=",LOWER(SUBSTITUTE(B2191," ","-"))))</f>
        <v/>
      </c>
    </row>
    <row r="2192" customFormat="false" ht="15" hidden="false" customHeight="true" outlineLevel="0" collapsed="false">
      <c r="A2192" s="68"/>
      <c r="B2192" s="68"/>
      <c r="C2192" s="68"/>
      <c r="D2192" s="68"/>
      <c r="E2192" s="68"/>
      <c r="F2192" s="68"/>
      <c r="G2192" s="68"/>
      <c r="H2192" s="64" t="str">
        <f aca="false">IF(OR(A2192="",B2192=""),"",CONCATENATE("https://matarstund.is/serfaedi?id=",LOWER(SUBSTITUTE(B2192," ","-"))))</f>
        <v/>
      </c>
    </row>
    <row r="2193" customFormat="false" ht="15" hidden="false" customHeight="true" outlineLevel="0" collapsed="false">
      <c r="A2193" s="9"/>
      <c r="B2193" s="9"/>
      <c r="C2193" s="9"/>
      <c r="D2193" s="9"/>
      <c r="E2193" s="9"/>
      <c r="F2193" s="9"/>
      <c r="G2193" s="9"/>
      <c r="H2193" s="64" t="str">
        <f aca="false">IF(OR(A2193="",B2193=""),"",CONCATENATE("https://matarstund.is/serfaedi?id=",LOWER(SUBSTITUTE(B2193," ","-"))))</f>
        <v/>
      </c>
    </row>
    <row r="2194" customFormat="false" ht="15" hidden="false" customHeight="true" outlineLevel="0" collapsed="false">
      <c r="A2194" s="68"/>
      <c r="B2194" s="68"/>
      <c r="C2194" s="68"/>
      <c r="D2194" s="68"/>
      <c r="E2194" s="68"/>
      <c r="F2194" s="68"/>
      <c r="G2194" s="68"/>
      <c r="H2194" s="64" t="str">
        <f aca="false">IF(OR(A2194="",B2194=""),"",CONCATENATE("https://matarstund.is/serfaedi?id=",LOWER(SUBSTITUTE(B2194," ","-"))))</f>
        <v/>
      </c>
    </row>
    <row r="2195" customFormat="false" ht="15" hidden="false" customHeight="true" outlineLevel="0" collapsed="false">
      <c r="A2195" s="9"/>
      <c r="B2195" s="9"/>
      <c r="C2195" s="9"/>
      <c r="D2195" s="9"/>
      <c r="E2195" s="9"/>
      <c r="F2195" s="9"/>
      <c r="G2195" s="9"/>
      <c r="H2195" s="64" t="str">
        <f aca="false">IF(OR(A2195="",B2195=""),"",CONCATENATE("https://matarstund.is/serfaedi?id=",LOWER(SUBSTITUTE(B2195," ","-"))))</f>
        <v/>
      </c>
    </row>
    <row r="2196" customFormat="false" ht="15" hidden="false" customHeight="true" outlineLevel="0" collapsed="false">
      <c r="A2196" s="68"/>
      <c r="B2196" s="68"/>
      <c r="C2196" s="68"/>
      <c r="D2196" s="68"/>
      <c r="E2196" s="68"/>
      <c r="F2196" s="68"/>
      <c r="G2196" s="68"/>
      <c r="H2196" s="64" t="str">
        <f aca="false">IF(OR(A2196="",B2196=""),"",CONCATENATE("https://matarstund.is/serfaedi?id=",LOWER(SUBSTITUTE(B2196," ","-"))))</f>
        <v/>
      </c>
    </row>
    <row r="2197" customFormat="false" ht="15" hidden="false" customHeight="true" outlineLevel="0" collapsed="false">
      <c r="A2197" s="9"/>
      <c r="B2197" s="9"/>
      <c r="C2197" s="9"/>
      <c r="D2197" s="9"/>
      <c r="E2197" s="9"/>
      <c r="F2197" s="9"/>
      <c r="G2197" s="9"/>
      <c r="H2197" s="64" t="str">
        <f aca="false">IF(OR(A2197="",B2197=""),"",CONCATENATE("https://matarstund.is/serfaedi?id=",LOWER(SUBSTITUTE(B2197," ","-"))))</f>
        <v/>
      </c>
    </row>
    <row r="2198" customFormat="false" ht="15" hidden="false" customHeight="true" outlineLevel="0" collapsed="false">
      <c r="A2198" s="68"/>
      <c r="B2198" s="68"/>
      <c r="C2198" s="68"/>
      <c r="D2198" s="68"/>
      <c r="E2198" s="68"/>
      <c r="F2198" s="68"/>
      <c r="G2198" s="68"/>
      <c r="H2198" s="64" t="str">
        <f aca="false">IF(OR(A2198="",B2198=""),"",CONCATENATE("https://matarstund.is/serfaedi?id=",LOWER(SUBSTITUTE(B2198," ","-"))))</f>
        <v/>
      </c>
    </row>
    <row r="2199" customFormat="false" ht="15" hidden="false" customHeight="true" outlineLevel="0" collapsed="false">
      <c r="A2199" s="9"/>
      <c r="B2199" s="9"/>
      <c r="C2199" s="9"/>
      <c r="D2199" s="9"/>
      <c r="E2199" s="9"/>
      <c r="F2199" s="9"/>
      <c r="G2199" s="9"/>
      <c r="H2199" s="64" t="str">
        <f aca="false">IF(OR(A2199="",B2199=""),"",CONCATENATE("https://matarstund.is/serfaedi?id=",LOWER(SUBSTITUTE(B2199," ","-"))))</f>
        <v/>
      </c>
    </row>
    <row r="2200" customFormat="false" ht="15" hidden="false" customHeight="true" outlineLevel="0" collapsed="false">
      <c r="A2200" s="68"/>
      <c r="B2200" s="68"/>
      <c r="C2200" s="68"/>
      <c r="D2200" s="68"/>
      <c r="E2200" s="68"/>
      <c r="F2200" s="68"/>
      <c r="G2200" s="68"/>
      <c r="H2200" s="64" t="str">
        <f aca="false">IF(OR(A2200="",B2200=""),"",CONCATENATE("https://matarstund.is/serfaedi?id=",LOWER(SUBSTITUTE(B2200," ","-"))))</f>
        <v/>
      </c>
    </row>
    <row r="2201" customFormat="false" ht="15" hidden="false" customHeight="true" outlineLevel="0" collapsed="false">
      <c r="A2201" s="9"/>
      <c r="B2201" s="9"/>
      <c r="C2201" s="9"/>
      <c r="D2201" s="9"/>
      <c r="E2201" s="9"/>
      <c r="F2201" s="9"/>
      <c r="G2201" s="9"/>
      <c r="H2201" s="64" t="str">
        <f aca="false">IF(OR(A2201="",B2201=""),"",CONCATENATE("https://matarstund.is/serfaedi?id=",LOWER(SUBSTITUTE(B2201," ","-"))))</f>
        <v/>
      </c>
    </row>
    <row r="2202" customFormat="false" ht="15" hidden="false" customHeight="true" outlineLevel="0" collapsed="false">
      <c r="A2202" s="68"/>
      <c r="B2202" s="68"/>
      <c r="C2202" s="68"/>
      <c r="D2202" s="68"/>
      <c r="E2202" s="68"/>
      <c r="F2202" s="68"/>
      <c r="G2202" s="68"/>
      <c r="H2202" s="64" t="str">
        <f aca="false">IF(OR(A2202="",B2202=""),"",CONCATENATE("https://matarstund.is/serfaedi?id=",LOWER(SUBSTITUTE(B2202," ","-"))))</f>
        <v/>
      </c>
    </row>
    <row r="2203" customFormat="false" ht="15" hidden="false" customHeight="true" outlineLevel="0" collapsed="false">
      <c r="A2203" s="9"/>
      <c r="B2203" s="9"/>
      <c r="C2203" s="9"/>
      <c r="D2203" s="9"/>
      <c r="E2203" s="9"/>
      <c r="F2203" s="9"/>
      <c r="G2203" s="9"/>
      <c r="H2203" s="64" t="str">
        <f aca="false">IF(OR(A2203="",B2203=""),"",CONCATENATE("https://matarstund.is/serfaedi?id=",LOWER(SUBSTITUTE(B2203," ","-"))))</f>
        <v/>
      </c>
    </row>
    <row r="2204" customFormat="false" ht="15" hidden="false" customHeight="true" outlineLevel="0" collapsed="false">
      <c r="A2204" s="68"/>
      <c r="B2204" s="68"/>
      <c r="C2204" s="68"/>
      <c r="D2204" s="68"/>
      <c r="E2204" s="68"/>
      <c r="F2204" s="68"/>
      <c r="G2204" s="68"/>
      <c r="H2204" s="64" t="str">
        <f aca="false">IF(OR(A2204="",B2204=""),"",CONCATENATE("https://matarstund.is/serfaedi?id=",LOWER(SUBSTITUTE(B2204," ","-"))))</f>
        <v/>
      </c>
    </row>
    <row r="2205" customFormat="false" ht="15" hidden="false" customHeight="true" outlineLevel="0" collapsed="false">
      <c r="A2205" s="9"/>
      <c r="B2205" s="9"/>
      <c r="C2205" s="9"/>
      <c r="D2205" s="9"/>
      <c r="E2205" s="9"/>
      <c r="F2205" s="9"/>
      <c r="G2205" s="9"/>
      <c r="H2205" s="64" t="str">
        <f aca="false">IF(OR(A2205="",B2205=""),"",CONCATENATE("https://matarstund.is/serfaedi?id=",LOWER(SUBSTITUTE(B2205," ","-"))))</f>
        <v/>
      </c>
    </row>
    <row r="2206" customFormat="false" ht="15" hidden="false" customHeight="true" outlineLevel="0" collapsed="false">
      <c r="A2206" s="68"/>
      <c r="B2206" s="68"/>
      <c r="C2206" s="68"/>
      <c r="D2206" s="68"/>
      <c r="E2206" s="68"/>
      <c r="F2206" s="68"/>
      <c r="G2206" s="68"/>
      <c r="H2206" s="64" t="str">
        <f aca="false">IF(OR(A2206="",B2206=""),"",CONCATENATE("https://matarstund.is/serfaedi?id=",LOWER(SUBSTITUTE(B2206," ","-"))))</f>
        <v/>
      </c>
    </row>
    <row r="2207" customFormat="false" ht="15" hidden="false" customHeight="true" outlineLevel="0" collapsed="false">
      <c r="A2207" s="9"/>
      <c r="B2207" s="9"/>
      <c r="C2207" s="9"/>
      <c r="D2207" s="9"/>
      <c r="E2207" s="9"/>
      <c r="F2207" s="9"/>
      <c r="G2207" s="9"/>
      <c r="H2207" s="64" t="str">
        <f aca="false">IF(OR(A2207="",B2207=""),"",CONCATENATE("https://matarstund.is/serfaedi?id=",LOWER(SUBSTITUTE(B2207," ","-"))))</f>
        <v/>
      </c>
    </row>
    <row r="2208" customFormat="false" ht="15" hidden="false" customHeight="true" outlineLevel="0" collapsed="false">
      <c r="A2208" s="68"/>
      <c r="B2208" s="68"/>
      <c r="C2208" s="68"/>
      <c r="D2208" s="68"/>
      <c r="E2208" s="68"/>
      <c r="F2208" s="68"/>
      <c r="G2208" s="68"/>
      <c r="H2208" s="64" t="str">
        <f aca="false">IF(OR(A2208="",B2208=""),"",CONCATENATE("https://matarstund.is/serfaedi?id=",LOWER(SUBSTITUTE(B2208," ","-"))))</f>
        <v/>
      </c>
    </row>
    <row r="2209" customFormat="false" ht="15" hidden="false" customHeight="true" outlineLevel="0" collapsed="false">
      <c r="A2209" s="9"/>
      <c r="B2209" s="9"/>
      <c r="C2209" s="9"/>
      <c r="D2209" s="9"/>
      <c r="E2209" s="9"/>
      <c r="F2209" s="9"/>
      <c r="G2209" s="9"/>
      <c r="H2209" s="64" t="str">
        <f aca="false">IF(OR(A2209="",B2209=""),"",CONCATENATE("https://matarstund.is/serfaedi?id=",LOWER(SUBSTITUTE(B2209," ","-"))))</f>
        <v/>
      </c>
    </row>
    <row r="2210" customFormat="false" ht="15" hidden="false" customHeight="true" outlineLevel="0" collapsed="false">
      <c r="A2210" s="68"/>
      <c r="B2210" s="68"/>
      <c r="C2210" s="68"/>
      <c r="D2210" s="68"/>
      <c r="E2210" s="68"/>
      <c r="F2210" s="68"/>
      <c r="G2210" s="68"/>
      <c r="H2210" s="64" t="str">
        <f aca="false">IF(OR(A2210="",B2210=""),"",CONCATENATE("https://matarstund.is/serfaedi?id=",LOWER(SUBSTITUTE(B2210," ","-"))))</f>
        <v/>
      </c>
    </row>
    <row r="2211" customFormat="false" ht="15" hidden="false" customHeight="true" outlineLevel="0" collapsed="false">
      <c r="A2211" s="9"/>
      <c r="B2211" s="9"/>
      <c r="C2211" s="9"/>
      <c r="D2211" s="9"/>
      <c r="E2211" s="9"/>
      <c r="F2211" s="9"/>
      <c r="G2211" s="9"/>
      <c r="H2211" s="64" t="str">
        <f aca="false">IF(OR(A2211="",B2211=""),"",CONCATENATE("https://matarstund.is/serfaedi?id=",LOWER(SUBSTITUTE(B2211," ","-"))))</f>
        <v/>
      </c>
    </row>
    <row r="2212" customFormat="false" ht="15" hidden="false" customHeight="true" outlineLevel="0" collapsed="false">
      <c r="A2212" s="68"/>
      <c r="B2212" s="68"/>
      <c r="C2212" s="68"/>
      <c r="D2212" s="68"/>
      <c r="E2212" s="68"/>
      <c r="F2212" s="68"/>
      <c r="G2212" s="68"/>
      <c r="H2212" s="64" t="str">
        <f aca="false">IF(OR(A2212="",B2212=""),"",CONCATENATE("https://matarstund.is/serfaedi?id=",LOWER(SUBSTITUTE(B2212," ","-"))))</f>
        <v/>
      </c>
    </row>
    <row r="2213" customFormat="false" ht="15" hidden="false" customHeight="true" outlineLevel="0" collapsed="false">
      <c r="A2213" s="9"/>
      <c r="B2213" s="9"/>
      <c r="C2213" s="9"/>
      <c r="D2213" s="9"/>
      <c r="E2213" s="9"/>
      <c r="F2213" s="9"/>
      <c r="G2213" s="9"/>
      <c r="H2213" s="64" t="str">
        <f aca="false">IF(OR(A2213="",B2213=""),"",CONCATENATE("https://matarstund.is/serfaedi?id=",LOWER(SUBSTITUTE(B2213," ","-"))))</f>
        <v/>
      </c>
    </row>
    <row r="2214" customFormat="false" ht="15" hidden="false" customHeight="true" outlineLevel="0" collapsed="false">
      <c r="A2214" s="68"/>
      <c r="B2214" s="68"/>
      <c r="C2214" s="68"/>
      <c r="D2214" s="68"/>
      <c r="E2214" s="68"/>
      <c r="F2214" s="68"/>
      <c r="G2214" s="68"/>
      <c r="H2214" s="64" t="str">
        <f aca="false">IF(OR(A2214="",B2214=""),"",CONCATENATE("https://matarstund.is/serfaedi?id=",LOWER(SUBSTITUTE(B2214," ","-"))))</f>
        <v/>
      </c>
    </row>
    <row r="2215" customFormat="false" ht="15" hidden="false" customHeight="true" outlineLevel="0" collapsed="false">
      <c r="A2215" s="9"/>
      <c r="B2215" s="9"/>
      <c r="C2215" s="9"/>
      <c r="D2215" s="9"/>
      <c r="E2215" s="9"/>
      <c r="F2215" s="9"/>
      <c r="G2215" s="9"/>
      <c r="H2215" s="64" t="str">
        <f aca="false">IF(OR(A2215="",B2215=""),"",CONCATENATE("https://matarstund.is/serfaedi?id=",LOWER(SUBSTITUTE(B2215," ","-"))))</f>
        <v/>
      </c>
    </row>
    <row r="2216" customFormat="false" ht="15" hidden="false" customHeight="true" outlineLevel="0" collapsed="false">
      <c r="A2216" s="68"/>
      <c r="B2216" s="68"/>
      <c r="C2216" s="68"/>
      <c r="D2216" s="68"/>
      <c r="E2216" s="68"/>
      <c r="F2216" s="68"/>
      <c r="G2216" s="68"/>
      <c r="H2216" s="64" t="str">
        <f aca="false">IF(OR(A2216="",B2216=""),"",CONCATENATE("https://matarstund.is/serfaedi?id=",LOWER(SUBSTITUTE(B2216," ","-"))))</f>
        <v/>
      </c>
    </row>
    <row r="2217" customFormat="false" ht="15" hidden="false" customHeight="true" outlineLevel="0" collapsed="false">
      <c r="A2217" s="9"/>
      <c r="B2217" s="9"/>
      <c r="C2217" s="9"/>
      <c r="D2217" s="9"/>
      <c r="E2217" s="9"/>
      <c r="F2217" s="9"/>
      <c r="G2217" s="9"/>
      <c r="H2217" s="64" t="str">
        <f aca="false">IF(OR(A2217="",B2217=""),"",CONCATENATE("https://matarstund.is/serfaedi?id=",LOWER(SUBSTITUTE(B2217," ","-"))))</f>
        <v/>
      </c>
    </row>
    <row r="2218" customFormat="false" ht="15" hidden="false" customHeight="true" outlineLevel="0" collapsed="false">
      <c r="A2218" s="68"/>
      <c r="B2218" s="68"/>
      <c r="C2218" s="68"/>
      <c r="D2218" s="68"/>
      <c r="E2218" s="68"/>
      <c r="F2218" s="68"/>
      <c r="G2218" s="68"/>
      <c r="H2218" s="64" t="str">
        <f aca="false">IF(OR(A2218="",B2218=""),"",CONCATENATE("https://matarstund.is/serfaedi?id=",LOWER(SUBSTITUTE(B2218," ","-"))))</f>
        <v/>
      </c>
    </row>
    <row r="2219" customFormat="false" ht="15" hidden="false" customHeight="true" outlineLevel="0" collapsed="false">
      <c r="A2219" s="9"/>
      <c r="B2219" s="9"/>
      <c r="C2219" s="9"/>
      <c r="D2219" s="9"/>
      <c r="E2219" s="9"/>
      <c r="F2219" s="9"/>
      <c r="G2219" s="9"/>
      <c r="H2219" s="64" t="str">
        <f aca="false">IF(OR(A2219="",B2219=""),"",CONCATENATE("https://matarstund.is/serfaedi?id=",LOWER(SUBSTITUTE(B2219," ","-"))))</f>
        <v/>
      </c>
    </row>
    <row r="2220" customFormat="false" ht="15" hidden="false" customHeight="true" outlineLevel="0" collapsed="false">
      <c r="A2220" s="68"/>
      <c r="B2220" s="68"/>
      <c r="C2220" s="68"/>
      <c r="D2220" s="68"/>
      <c r="E2220" s="68"/>
      <c r="F2220" s="68"/>
      <c r="G2220" s="68"/>
      <c r="H2220" s="64" t="str">
        <f aca="false">IF(OR(A2220="",B2220=""),"",CONCATENATE("https://matarstund.is/serfaedi?id=",LOWER(SUBSTITUTE(B2220," ","-"))))</f>
        <v/>
      </c>
    </row>
    <row r="2221" customFormat="false" ht="15" hidden="false" customHeight="true" outlineLevel="0" collapsed="false">
      <c r="A2221" s="9"/>
      <c r="B2221" s="9"/>
      <c r="C2221" s="9"/>
      <c r="D2221" s="9"/>
      <c r="E2221" s="9"/>
      <c r="F2221" s="9"/>
      <c r="G2221" s="9"/>
      <c r="H2221" s="64" t="str">
        <f aca="false">IF(OR(A2221="",B2221=""),"",CONCATENATE("https://matarstund.is/serfaedi?id=",LOWER(SUBSTITUTE(B2221," ","-"))))</f>
        <v/>
      </c>
    </row>
    <row r="2222" customFormat="false" ht="15" hidden="false" customHeight="true" outlineLevel="0" collapsed="false">
      <c r="A2222" s="68"/>
      <c r="B2222" s="68"/>
      <c r="C2222" s="68"/>
      <c r="D2222" s="68"/>
      <c r="E2222" s="68"/>
      <c r="F2222" s="68"/>
      <c r="G2222" s="68"/>
      <c r="H2222" s="64" t="str">
        <f aca="false">IF(OR(A2222="",B2222=""),"",CONCATENATE("https://matarstund.is/serfaedi?id=",LOWER(SUBSTITUTE(B2222," ","-"))))</f>
        <v/>
      </c>
    </row>
    <row r="2223" customFormat="false" ht="15" hidden="false" customHeight="true" outlineLevel="0" collapsed="false">
      <c r="A2223" s="9"/>
      <c r="B2223" s="9"/>
      <c r="C2223" s="9"/>
      <c r="D2223" s="9"/>
      <c r="E2223" s="9"/>
      <c r="F2223" s="9"/>
      <c r="G2223" s="9"/>
      <c r="H2223" s="64" t="str">
        <f aca="false">IF(OR(A2223="",B2223=""),"",CONCATENATE("https://matarstund.is/serfaedi?id=",LOWER(SUBSTITUTE(B2223," ","-"))))</f>
        <v/>
      </c>
    </row>
    <row r="2224" customFormat="false" ht="15" hidden="false" customHeight="true" outlineLevel="0" collapsed="false">
      <c r="A2224" s="68"/>
      <c r="B2224" s="68"/>
      <c r="C2224" s="68"/>
      <c r="D2224" s="68"/>
      <c r="E2224" s="68"/>
      <c r="F2224" s="68"/>
      <c r="G2224" s="68"/>
      <c r="H2224" s="64" t="str">
        <f aca="false">IF(OR(A2224="",B2224=""),"",CONCATENATE("https://matarstund.is/serfaedi?id=",LOWER(SUBSTITUTE(B2224," ","-"))))</f>
        <v/>
      </c>
    </row>
    <row r="2225" customFormat="false" ht="15" hidden="false" customHeight="true" outlineLevel="0" collapsed="false">
      <c r="A2225" s="9"/>
      <c r="B2225" s="9"/>
      <c r="C2225" s="9"/>
      <c r="D2225" s="9"/>
      <c r="E2225" s="9"/>
      <c r="F2225" s="9"/>
      <c r="G2225" s="9"/>
      <c r="H2225" s="64" t="str">
        <f aca="false">IF(OR(A2225="",B2225=""),"",CONCATENATE("https://matarstund.is/serfaedi?id=",LOWER(SUBSTITUTE(B2225," ","-"))))</f>
        <v/>
      </c>
    </row>
    <row r="2226" customFormat="false" ht="15" hidden="false" customHeight="true" outlineLevel="0" collapsed="false">
      <c r="A2226" s="68"/>
      <c r="B2226" s="68"/>
      <c r="C2226" s="68"/>
      <c r="D2226" s="68"/>
      <c r="E2226" s="68"/>
      <c r="F2226" s="68"/>
      <c r="G2226" s="68"/>
      <c r="H2226" s="64" t="str">
        <f aca="false">IF(OR(A2226="",B2226=""),"",CONCATENATE("https://matarstund.is/serfaedi?id=",LOWER(SUBSTITUTE(B2226," ","-"))))</f>
        <v/>
      </c>
    </row>
    <row r="2227" customFormat="false" ht="15" hidden="false" customHeight="true" outlineLevel="0" collapsed="false">
      <c r="A2227" s="9"/>
      <c r="B2227" s="9"/>
      <c r="C2227" s="9"/>
      <c r="D2227" s="9"/>
      <c r="E2227" s="9"/>
      <c r="F2227" s="9"/>
      <c r="G2227" s="9"/>
      <c r="H2227" s="64" t="str">
        <f aca="false">IF(OR(A2227="",B2227=""),"",CONCATENATE("https://matarstund.is/serfaedi?id=",LOWER(SUBSTITUTE(B2227," ","-"))))</f>
        <v/>
      </c>
    </row>
    <row r="2228" customFormat="false" ht="15" hidden="false" customHeight="true" outlineLevel="0" collapsed="false">
      <c r="A2228" s="68"/>
      <c r="B2228" s="68"/>
      <c r="C2228" s="68"/>
      <c r="D2228" s="68"/>
      <c r="E2228" s="68"/>
      <c r="F2228" s="68"/>
      <c r="G2228" s="68"/>
      <c r="H2228" s="64" t="str">
        <f aca="false">IF(OR(A2228="",B2228=""),"",CONCATENATE("https://matarstund.is/serfaedi?id=",LOWER(SUBSTITUTE(B2228," ","-"))))</f>
        <v/>
      </c>
    </row>
    <row r="2229" customFormat="false" ht="15" hidden="false" customHeight="true" outlineLevel="0" collapsed="false">
      <c r="A2229" s="9"/>
      <c r="B2229" s="9"/>
      <c r="C2229" s="9"/>
      <c r="D2229" s="9"/>
      <c r="E2229" s="9"/>
      <c r="F2229" s="9"/>
      <c r="G2229" s="9"/>
      <c r="H2229" s="64" t="str">
        <f aca="false">IF(OR(A2229="",B2229=""),"",CONCATENATE("https://matarstund.is/serfaedi?id=",LOWER(SUBSTITUTE(B2229," ","-"))))</f>
        <v/>
      </c>
    </row>
    <row r="2230" customFormat="false" ht="15" hidden="false" customHeight="true" outlineLevel="0" collapsed="false">
      <c r="A2230" s="68"/>
      <c r="B2230" s="68"/>
      <c r="C2230" s="68"/>
      <c r="D2230" s="68"/>
      <c r="E2230" s="68"/>
      <c r="F2230" s="68"/>
      <c r="G2230" s="68"/>
      <c r="H2230" s="64" t="str">
        <f aca="false">IF(OR(A2230="",B2230=""),"",CONCATENATE("https://matarstund.is/serfaedi?id=",LOWER(SUBSTITUTE(B2230," ","-"))))</f>
        <v/>
      </c>
    </row>
    <row r="2231" customFormat="false" ht="15" hidden="false" customHeight="true" outlineLevel="0" collapsed="false">
      <c r="A2231" s="9"/>
      <c r="B2231" s="9"/>
      <c r="C2231" s="9"/>
      <c r="D2231" s="9"/>
      <c r="E2231" s="9"/>
      <c r="F2231" s="9"/>
      <c r="G2231" s="9"/>
      <c r="H2231" s="64" t="str">
        <f aca="false">IF(OR(A2231="",B2231=""),"",CONCATENATE("https://matarstund.is/serfaedi?id=",LOWER(SUBSTITUTE(B2231," ","-"))))</f>
        <v/>
      </c>
    </row>
    <row r="2232" customFormat="false" ht="15" hidden="false" customHeight="true" outlineLevel="0" collapsed="false">
      <c r="A2232" s="68"/>
      <c r="B2232" s="68"/>
      <c r="C2232" s="68"/>
      <c r="D2232" s="68"/>
      <c r="E2232" s="68"/>
      <c r="F2232" s="68"/>
      <c r="G2232" s="68"/>
      <c r="H2232" s="64" t="str">
        <f aca="false">IF(OR(A2232="",B2232=""),"",CONCATENATE("https://matarstund.is/serfaedi?id=",LOWER(SUBSTITUTE(B2232," ","-"))))</f>
        <v/>
      </c>
    </row>
    <row r="2233" customFormat="false" ht="15" hidden="false" customHeight="true" outlineLevel="0" collapsed="false">
      <c r="A2233" s="9"/>
      <c r="B2233" s="9"/>
      <c r="C2233" s="9"/>
      <c r="D2233" s="9"/>
      <c r="E2233" s="9"/>
      <c r="F2233" s="9"/>
      <c r="G2233" s="9"/>
      <c r="H2233" s="64" t="str">
        <f aca="false">IF(OR(A2233="",B2233=""),"",CONCATENATE("https://matarstund.is/serfaedi?id=",LOWER(SUBSTITUTE(B2233," ","-"))))</f>
        <v/>
      </c>
    </row>
    <row r="2234" customFormat="false" ht="15" hidden="false" customHeight="true" outlineLevel="0" collapsed="false">
      <c r="A2234" s="68"/>
      <c r="B2234" s="68"/>
      <c r="C2234" s="68"/>
      <c r="D2234" s="68"/>
      <c r="E2234" s="68"/>
      <c r="F2234" s="68"/>
      <c r="G2234" s="68"/>
      <c r="H2234" s="64" t="str">
        <f aca="false">IF(OR(A2234="",B2234=""),"",CONCATENATE("https://matarstund.is/serfaedi?id=",LOWER(SUBSTITUTE(B2234," ","-"))))</f>
        <v/>
      </c>
    </row>
    <row r="2235" customFormat="false" ht="15" hidden="false" customHeight="true" outlineLevel="0" collapsed="false">
      <c r="A2235" s="9"/>
      <c r="B2235" s="9"/>
      <c r="C2235" s="9"/>
      <c r="D2235" s="9"/>
      <c r="E2235" s="9"/>
      <c r="F2235" s="9"/>
      <c r="G2235" s="9"/>
      <c r="H2235" s="64" t="str">
        <f aca="false">IF(OR(A2235="",B2235=""),"",CONCATENATE("https://matarstund.is/serfaedi?id=",LOWER(SUBSTITUTE(B2235," ","-"))))</f>
        <v/>
      </c>
    </row>
    <row r="2236" customFormat="false" ht="15" hidden="false" customHeight="true" outlineLevel="0" collapsed="false">
      <c r="A2236" s="68"/>
      <c r="B2236" s="68"/>
      <c r="C2236" s="68"/>
      <c r="D2236" s="68"/>
      <c r="E2236" s="68"/>
      <c r="F2236" s="68"/>
      <c r="G2236" s="68"/>
      <c r="H2236" s="64" t="str">
        <f aca="false">IF(OR(A2236="",B2236=""),"",CONCATENATE("https://matarstund.is/serfaedi?id=",LOWER(SUBSTITUTE(B2236," ","-"))))</f>
        <v/>
      </c>
    </row>
    <row r="2237" customFormat="false" ht="15" hidden="false" customHeight="true" outlineLevel="0" collapsed="false">
      <c r="A2237" s="9"/>
      <c r="B2237" s="9"/>
      <c r="C2237" s="9"/>
      <c r="D2237" s="9"/>
      <c r="E2237" s="9"/>
      <c r="F2237" s="9"/>
      <c r="G2237" s="9"/>
      <c r="H2237" s="64" t="str">
        <f aca="false">IF(OR(A2237="",B2237=""),"",CONCATENATE("https://matarstund.is/serfaedi?id=",LOWER(SUBSTITUTE(B2237," ","-"))))</f>
        <v/>
      </c>
    </row>
    <row r="2238" customFormat="false" ht="15" hidden="false" customHeight="true" outlineLevel="0" collapsed="false">
      <c r="A2238" s="68"/>
      <c r="B2238" s="68"/>
      <c r="C2238" s="68"/>
      <c r="D2238" s="68"/>
      <c r="E2238" s="68"/>
      <c r="F2238" s="68"/>
      <c r="G2238" s="68"/>
      <c r="H2238" s="64" t="str">
        <f aca="false">IF(OR(A2238="",B2238=""),"",CONCATENATE("https://matarstund.is/serfaedi?id=",LOWER(SUBSTITUTE(B2238," ","-"))))</f>
        <v/>
      </c>
    </row>
    <row r="2239" customFormat="false" ht="15" hidden="false" customHeight="true" outlineLevel="0" collapsed="false">
      <c r="A2239" s="9"/>
      <c r="B2239" s="9"/>
      <c r="C2239" s="9"/>
      <c r="D2239" s="9"/>
      <c r="E2239" s="9"/>
      <c r="F2239" s="9"/>
      <c r="G2239" s="9"/>
      <c r="H2239" s="64" t="str">
        <f aca="false">IF(OR(A2239="",B2239=""),"",CONCATENATE("https://matarstund.is/serfaedi?id=",LOWER(SUBSTITUTE(B2239," ","-"))))</f>
        <v/>
      </c>
    </row>
    <row r="2240" customFormat="false" ht="15" hidden="false" customHeight="true" outlineLevel="0" collapsed="false">
      <c r="A2240" s="68"/>
      <c r="B2240" s="68"/>
      <c r="C2240" s="68"/>
      <c r="D2240" s="68"/>
      <c r="E2240" s="68"/>
      <c r="F2240" s="68"/>
      <c r="G2240" s="68"/>
      <c r="H2240" s="64" t="str">
        <f aca="false">IF(OR(A2240="",B2240=""),"",CONCATENATE("https://matarstund.is/serfaedi?id=",LOWER(SUBSTITUTE(B2240," ","-"))))</f>
        <v/>
      </c>
    </row>
    <row r="2241" customFormat="false" ht="15" hidden="false" customHeight="true" outlineLevel="0" collapsed="false">
      <c r="A2241" s="9"/>
      <c r="B2241" s="9"/>
      <c r="C2241" s="9"/>
      <c r="D2241" s="9"/>
      <c r="E2241" s="9"/>
      <c r="F2241" s="9"/>
      <c r="G2241" s="9"/>
      <c r="H2241" s="64" t="str">
        <f aca="false">IF(OR(A2241="",B2241=""),"",CONCATENATE("https://matarstund.is/serfaedi?id=",LOWER(SUBSTITUTE(B2241," ","-"))))</f>
        <v/>
      </c>
    </row>
    <row r="2242" customFormat="false" ht="15" hidden="false" customHeight="true" outlineLevel="0" collapsed="false">
      <c r="A2242" s="68"/>
      <c r="B2242" s="68"/>
      <c r="C2242" s="68"/>
      <c r="D2242" s="68"/>
      <c r="E2242" s="68"/>
      <c r="F2242" s="68"/>
      <c r="G2242" s="68"/>
      <c r="H2242" s="64" t="str">
        <f aca="false">IF(OR(A2242="",B2242=""),"",CONCATENATE("https://matarstund.is/serfaedi?id=",LOWER(SUBSTITUTE(B2242," ","-"))))</f>
        <v/>
      </c>
    </row>
    <row r="2243" customFormat="false" ht="15" hidden="false" customHeight="true" outlineLevel="0" collapsed="false">
      <c r="A2243" s="9"/>
      <c r="B2243" s="9"/>
      <c r="C2243" s="9"/>
      <c r="D2243" s="9"/>
      <c r="E2243" s="9"/>
      <c r="F2243" s="9"/>
      <c r="G2243" s="9"/>
      <c r="H2243" s="64" t="str">
        <f aca="false">IF(OR(A2243="",B2243=""),"",CONCATENATE("https://matarstund.is/serfaedi?id=",LOWER(SUBSTITUTE(B2243," ","-"))))</f>
        <v/>
      </c>
    </row>
    <row r="2244" customFormat="false" ht="15" hidden="false" customHeight="true" outlineLevel="0" collapsed="false">
      <c r="A2244" s="68"/>
      <c r="B2244" s="68"/>
      <c r="C2244" s="68"/>
      <c r="D2244" s="68"/>
      <c r="E2244" s="68"/>
      <c r="F2244" s="68"/>
      <c r="G2244" s="68"/>
      <c r="H2244" s="64" t="str">
        <f aca="false">IF(OR(A2244="",B2244=""),"",CONCATENATE("https://matarstund.is/serfaedi?id=",LOWER(SUBSTITUTE(B2244," ","-"))))</f>
        <v/>
      </c>
    </row>
    <row r="2245" customFormat="false" ht="15" hidden="false" customHeight="true" outlineLevel="0" collapsed="false">
      <c r="A2245" s="9"/>
      <c r="B2245" s="9"/>
      <c r="C2245" s="9"/>
      <c r="D2245" s="9"/>
      <c r="E2245" s="9"/>
      <c r="F2245" s="9"/>
      <c r="G2245" s="9"/>
      <c r="H2245" s="64" t="str">
        <f aca="false">IF(OR(A2245="",B2245=""),"",CONCATENATE("https://matarstund.is/serfaedi?id=",LOWER(SUBSTITUTE(B2245," ","-"))))</f>
        <v/>
      </c>
    </row>
    <row r="2246" customFormat="false" ht="15" hidden="false" customHeight="true" outlineLevel="0" collapsed="false">
      <c r="A2246" s="68"/>
      <c r="B2246" s="68"/>
      <c r="C2246" s="68"/>
      <c r="D2246" s="68"/>
      <c r="E2246" s="68"/>
      <c r="F2246" s="68"/>
      <c r="G2246" s="68"/>
      <c r="H2246" s="64" t="str">
        <f aca="false">IF(OR(A2246="",B2246=""),"",CONCATENATE("https://matarstund.is/serfaedi?id=",LOWER(SUBSTITUTE(B2246," ","-"))))</f>
        <v/>
      </c>
    </row>
    <row r="2247" customFormat="false" ht="15" hidden="false" customHeight="true" outlineLevel="0" collapsed="false">
      <c r="A2247" s="9"/>
      <c r="B2247" s="9"/>
      <c r="C2247" s="9"/>
      <c r="D2247" s="9"/>
      <c r="E2247" s="9"/>
      <c r="F2247" s="9"/>
      <c r="G2247" s="9"/>
      <c r="H2247" s="64" t="str">
        <f aca="false">IF(OR(A2247="",B2247=""),"",CONCATENATE("https://matarstund.is/serfaedi?id=",LOWER(SUBSTITUTE(B2247," ","-"))))</f>
        <v/>
      </c>
    </row>
    <row r="2248" customFormat="false" ht="15" hidden="false" customHeight="true" outlineLevel="0" collapsed="false">
      <c r="A2248" s="68"/>
      <c r="B2248" s="68"/>
      <c r="C2248" s="68"/>
      <c r="D2248" s="68"/>
      <c r="E2248" s="68"/>
      <c r="F2248" s="68"/>
      <c r="G2248" s="68"/>
      <c r="H2248" s="64" t="str">
        <f aca="false">IF(OR(A2248="",B2248=""),"",CONCATENATE("https://matarstund.is/serfaedi?id=",LOWER(SUBSTITUTE(B2248," ","-"))))</f>
        <v/>
      </c>
    </row>
    <row r="2249" customFormat="false" ht="15" hidden="false" customHeight="true" outlineLevel="0" collapsed="false">
      <c r="A2249" s="9"/>
      <c r="B2249" s="9"/>
      <c r="C2249" s="9"/>
      <c r="D2249" s="9"/>
      <c r="E2249" s="9"/>
      <c r="F2249" s="9"/>
      <c r="G2249" s="9"/>
      <c r="H2249" s="64" t="str">
        <f aca="false">IF(OR(A2249="",B2249=""),"",CONCATENATE("https://matarstund.is/serfaedi?id=",LOWER(SUBSTITUTE(B2249," ","-"))))</f>
        <v/>
      </c>
    </row>
    <row r="2250" customFormat="false" ht="15" hidden="false" customHeight="true" outlineLevel="0" collapsed="false">
      <c r="A2250" s="68"/>
      <c r="B2250" s="68"/>
      <c r="C2250" s="68"/>
      <c r="D2250" s="68"/>
      <c r="E2250" s="68"/>
      <c r="F2250" s="68"/>
      <c r="G2250" s="68"/>
      <c r="H2250" s="64" t="str">
        <f aca="false">IF(OR(A2250="",B2250=""),"",CONCATENATE("https://matarstund.is/serfaedi?id=",LOWER(SUBSTITUTE(B2250," ","-"))))</f>
        <v/>
      </c>
    </row>
    <row r="2251" customFormat="false" ht="15" hidden="false" customHeight="true" outlineLevel="0" collapsed="false">
      <c r="A2251" s="9"/>
      <c r="B2251" s="9"/>
      <c r="C2251" s="9"/>
      <c r="D2251" s="9"/>
      <c r="E2251" s="9"/>
      <c r="F2251" s="9"/>
      <c r="G2251" s="9"/>
      <c r="H2251" s="64" t="str">
        <f aca="false">IF(OR(A2251="",B2251=""),"",CONCATENATE("https://matarstund.is/serfaedi?id=",LOWER(SUBSTITUTE(B2251," ","-"))))</f>
        <v/>
      </c>
    </row>
    <row r="2252" customFormat="false" ht="15" hidden="false" customHeight="true" outlineLevel="0" collapsed="false">
      <c r="A2252" s="68"/>
      <c r="B2252" s="68"/>
      <c r="C2252" s="68"/>
      <c r="D2252" s="68"/>
      <c r="E2252" s="68"/>
      <c r="F2252" s="68"/>
      <c r="G2252" s="68"/>
      <c r="H2252" s="64" t="str">
        <f aca="false">IF(OR(A2252="",B2252=""),"",CONCATENATE("https://matarstund.is/serfaedi?id=",LOWER(SUBSTITUTE(B2252," ","-"))))</f>
        <v/>
      </c>
    </row>
    <row r="2253" customFormat="false" ht="15" hidden="false" customHeight="true" outlineLevel="0" collapsed="false">
      <c r="A2253" s="9"/>
      <c r="B2253" s="9"/>
      <c r="C2253" s="9"/>
      <c r="D2253" s="9"/>
      <c r="E2253" s="9"/>
      <c r="F2253" s="9"/>
      <c r="G2253" s="9"/>
      <c r="H2253" s="64" t="str">
        <f aca="false">IF(OR(A2253="",B2253=""),"",CONCATENATE("https://matarstund.is/serfaedi?id=",LOWER(SUBSTITUTE(B2253," ","-"))))</f>
        <v/>
      </c>
    </row>
    <row r="2254" customFormat="false" ht="15" hidden="false" customHeight="true" outlineLevel="0" collapsed="false">
      <c r="A2254" s="68"/>
      <c r="B2254" s="68"/>
      <c r="C2254" s="68"/>
      <c r="D2254" s="68"/>
      <c r="E2254" s="68"/>
      <c r="F2254" s="68"/>
      <c r="G2254" s="68"/>
      <c r="H2254" s="64" t="str">
        <f aca="false">IF(OR(A2254="",B2254=""),"",CONCATENATE("https://matarstund.is/serfaedi?id=",LOWER(SUBSTITUTE(B2254," ","-"))))</f>
        <v/>
      </c>
    </row>
    <row r="2255" customFormat="false" ht="15" hidden="false" customHeight="true" outlineLevel="0" collapsed="false">
      <c r="A2255" s="9"/>
      <c r="B2255" s="9"/>
      <c r="C2255" s="9"/>
      <c r="D2255" s="9"/>
      <c r="E2255" s="9"/>
      <c r="F2255" s="9"/>
      <c r="G2255" s="9"/>
      <c r="H2255" s="64" t="str">
        <f aca="false">IF(OR(A2255="",B2255=""),"",CONCATENATE("https://matarstund.is/serfaedi?id=",LOWER(SUBSTITUTE(B2255," ","-"))))</f>
        <v/>
      </c>
    </row>
    <row r="2256" customFormat="false" ht="15" hidden="false" customHeight="true" outlineLevel="0" collapsed="false">
      <c r="A2256" s="68"/>
      <c r="B2256" s="68"/>
      <c r="C2256" s="68"/>
      <c r="D2256" s="68"/>
      <c r="E2256" s="68"/>
      <c r="F2256" s="68"/>
      <c r="G2256" s="68"/>
      <c r="H2256" s="64" t="str">
        <f aca="false">IF(OR(A2256="",B2256=""),"",CONCATENATE("https://matarstund.is/serfaedi?id=",LOWER(SUBSTITUTE(B2256," ","-"))))</f>
        <v/>
      </c>
    </row>
    <row r="2257" customFormat="false" ht="15" hidden="false" customHeight="true" outlineLevel="0" collapsed="false">
      <c r="A2257" s="9"/>
      <c r="B2257" s="9"/>
      <c r="C2257" s="9"/>
      <c r="D2257" s="9"/>
      <c r="E2257" s="9"/>
      <c r="F2257" s="9"/>
      <c r="G2257" s="9"/>
      <c r="H2257" s="64" t="str">
        <f aca="false">IF(OR(A2257="",B2257=""),"",CONCATENATE("https://matarstund.is/serfaedi?id=",LOWER(SUBSTITUTE(B2257," ","-"))))</f>
        <v/>
      </c>
    </row>
    <row r="2258" customFormat="false" ht="15" hidden="false" customHeight="true" outlineLevel="0" collapsed="false">
      <c r="A2258" s="68"/>
      <c r="B2258" s="68"/>
      <c r="C2258" s="68"/>
      <c r="D2258" s="68"/>
      <c r="E2258" s="68"/>
      <c r="F2258" s="68"/>
      <c r="G2258" s="68"/>
      <c r="H2258" s="64" t="str">
        <f aca="false">IF(OR(A2258="",B2258=""),"",CONCATENATE("https://matarstund.is/serfaedi?id=",LOWER(SUBSTITUTE(B2258," ","-"))))</f>
        <v/>
      </c>
    </row>
    <row r="2259" customFormat="false" ht="15" hidden="false" customHeight="true" outlineLevel="0" collapsed="false">
      <c r="A2259" s="9"/>
      <c r="B2259" s="9"/>
      <c r="C2259" s="9"/>
      <c r="D2259" s="9"/>
      <c r="E2259" s="9"/>
      <c r="F2259" s="9"/>
      <c r="G2259" s="9"/>
      <c r="H2259" s="64" t="str">
        <f aca="false">IF(OR(A2259="",B2259=""),"",CONCATENATE("https://matarstund.is/serfaedi?id=",LOWER(SUBSTITUTE(B2259," ","-"))))</f>
        <v/>
      </c>
    </row>
    <row r="2260" customFormat="false" ht="15" hidden="false" customHeight="true" outlineLevel="0" collapsed="false">
      <c r="A2260" s="68"/>
      <c r="B2260" s="68"/>
      <c r="C2260" s="68"/>
      <c r="D2260" s="68"/>
      <c r="E2260" s="68"/>
      <c r="F2260" s="68"/>
      <c r="G2260" s="68"/>
      <c r="H2260" s="64" t="str">
        <f aca="false">IF(OR(A2260="",B2260=""),"",CONCATENATE("https://matarstund.is/serfaedi?id=",LOWER(SUBSTITUTE(B2260," ","-"))))</f>
        <v/>
      </c>
    </row>
    <row r="2261" customFormat="false" ht="15" hidden="false" customHeight="true" outlineLevel="0" collapsed="false">
      <c r="A2261" s="9"/>
      <c r="B2261" s="9"/>
      <c r="C2261" s="9"/>
      <c r="D2261" s="9"/>
      <c r="E2261" s="9"/>
      <c r="F2261" s="9"/>
      <c r="G2261" s="9"/>
      <c r="H2261" s="64" t="str">
        <f aca="false">IF(OR(A2261="",B2261=""),"",CONCATENATE("https://matarstund.is/serfaedi?id=",LOWER(SUBSTITUTE(B2261," ","-"))))</f>
        <v/>
      </c>
    </row>
    <row r="2262" customFormat="false" ht="15" hidden="false" customHeight="true" outlineLevel="0" collapsed="false">
      <c r="A2262" s="68"/>
      <c r="B2262" s="68"/>
      <c r="C2262" s="68"/>
      <c r="D2262" s="68"/>
      <c r="E2262" s="68"/>
      <c r="F2262" s="68"/>
      <c r="G2262" s="68"/>
      <c r="H2262" s="64" t="str">
        <f aca="false">IF(OR(A2262="",B2262=""),"",CONCATENATE("https://matarstund.is/serfaedi?id=",LOWER(SUBSTITUTE(B2262," ","-"))))</f>
        <v/>
      </c>
    </row>
    <row r="2263" customFormat="false" ht="15" hidden="false" customHeight="true" outlineLevel="0" collapsed="false">
      <c r="A2263" s="9"/>
      <c r="B2263" s="9"/>
      <c r="C2263" s="9"/>
      <c r="D2263" s="9"/>
      <c r="E2263" s="9"/>
      <c r="F2263" s="9"/>
      <c r="G2263" s="9"/>
      <c r="H2263" s="64" t="str">
        <f aca="false">IF(OR(A2263="",B2263=""),"",CONCATENATE("https://matarstund.is/serfaedi?id=",LOWER(SUBSTITUTE(B2263," ","-"))))</f>
        <v/>
      </c>
    </row>
    <row r="2264" customFormat="false" ht="15" hidden="false" customHeight="true" outlineLevel="0" collapsed="false">
      <c r="A2264" s="68"/>
      <c r="B2264" s="68"/>
      <c r="C2264" s="68"/>
      <c r="D2264" s="68"/>
      <c r="E2264" s="68"/>
      <c r="F2264" s="68"/>
      <c r="G2264" s="68"/>
      <c r="H2264" s="64" t="str">
        <f aca="false">IF(OR(A2264="",B2264=""),"",CONCATENATE("https://matarstund.is/serfaedi?id=",LOWER(SUBSTITUTE(B2264," ","-"))))</f>
        <v/>
      </c>
    </row>
    <row r="2265" customFormat="false" ht="15" hidden="false" customHeight="true" outlineLevel="0" collapsed="false">
      <c r="A2265" s="9"/>
      <c r="B2265" s="9"/>
      <c r="C2265" s="9"/>
      <c r="D2265" s="9"/>
      <c r="E2265" s="9"/>
      <c r="F2265" s="9"/>
      <c r="G2265" s="9"/>
      <c r="H2265" s="64" t="str">
        <f aca="false">IF(OR(A2265="",B2265=""),"",CONCATENATE("https://matarstund.is/serfaedi?id=",LOWER(SUBSTITUTE(B2265," ","-"))))</f>
        <v/>
      </c>
    </row>
    <row r="2266" customFormat="false" ht="15" hidden="false" customHeight="true" outlineLevel="0" collapsed="false">
      <c r="A2266" s="68"/>
      <c r="B2266" s="68"/>
      <c r="C2266" s="68"/>
      <c r="D2266" s="68"/>
      <c r="E2266" s="68"/>
      <c r="F2266" s="68"/>
      <c r="G2266" s="68"/>
      <c r="H2266" s="64" t="str">
        <f aca="false">IF(OR(A2266="",B2266=""),"",CONCATENATE("https://matarstund.is/serfaedi?id=",LOWER(SUBSTITUTE(B2266," ","-"))))</f>
        <v/>
      </c>
    </row>
    <row r="2267" customFormat="false" ht="15" hidden="false" customHeight="true" outlineLevel="0" collapsed="false">
      <c r="A2267" s="9"/>
      <c r="B2267" s="9"/>
      <c r="C2267" s="9"/>
      <c r="D2267" s="9"/>
      <c r="E2267" s="9"/>
      <c r="F2267" s="9"/>
      <c r="G2267" s="9"/>
      <c r="H2267" s="64" t="str">
        <f aca="false">IF(OR(A2267="",B2267=""),"",CONCATENATE("https://matarstund.is/serfaedi?id=",LOWER(SUBSTITUTE(B2267," ","-"))))</f>
        <v/>
      </c>
    </row>
    <row r="2268" customFormat="false" ht="15" hidden="false" customHeight="true" outlineLevel="0" collapsed="false">
      <c r="A2268" s="68"/>
      <c r="B2268" s="68"/>
      <c r="C2268" s="68"/>
      <c r="D2268" s="68"/>
      <c r="E2268" s="68"/>
      <c r="F2268" s="68"/>
      <c r="G2268" s="68"/>
      <c r="H2268" s="64" t="str">
        <f aca="false">IF(OR(A2268="",B2268=""),"",CONCATENATE("https://matarstund.is/serfaedi?id=",LOWER(SUBSTITUTE(B2268," ","-"))))</f>
        <v/>
      </c>
    </row>
    <row r="2269" customFormat="false" ht="15" hidden="false" customHeight="true" outlineLevel="0" collapsed="false">
      <c r="A2269" s="9"/>
      <c r="B2269" s="9"/>
      <c r="C2269" s="9"/>
      <c r="D2269" s="9"/>
      <c r="E2269" s="9"/>
      <c r="F2269" s="9"/>
      <c r="G2269" s="9"/>
      <c r="H2269" s="64" t="str">
        <f aca="false">IF(OR(A2269="",B2269=""),"",CONCATENATE("https://matarstund.is/serfaedi?id=",LOWER(SUBSTITUTE(B2269," ","-"))))</f>
        <v/>
      </c>
    </row>
    <row r="2270" customFormat="false" ht="15" hidden="false" customHeight="true" outlineLevel="0" collapsed="false">
      <c r="A2270" s="68"/>
      <c r="B2270" s="68"/>
      <c r="C2270" s="68"/>
      <c r="D2270" s="68"/>
      <c r="E2270" s="68"/>
      <c r="F2270" s="68"/>
      <c r="G2270" s="68"/>
      <c r="H2270" s="64" t="str">
        <f aca="false">IF(OR(A2270="",B2270=""),"",CONCATENATE("https://matarstund.is/serfaedi?id=",LOWER(SUBSTITUTE(B2270," ","-"))))</f>
        <v/>
      </c>
    </row>
    <row r="2271" customFormat="false" ht="15" hidden="false" customHeight="true" outlineLevel="0" collapsed="false">
      <c r="A2271" s="9"/>
      <c r="B2271" s="9"/>
      <c r="C2271" s="9"/>
      <c r="D2271" s="9"/>
      <c r="E2271" s="9"/>
      <c r="F2271" s="9"/>
      <c r="G2271" s="9"/>
      <c r="H2271" s="64" t="str">
        <f aca="false">IF(OR(A2271="",B2271=""),"",CONCATENATE("https://matarstund.is/serfaedi?id=",LOWER(SUBSTITUTE(B2271," ","-"))))</f>
        <v/>
      </c>
    </row>
    <row r="2272" customFormat="false" ht="15" hidden="false" customHeight="true" outlineLevel="0" collapsed="false">
      <c r="A2272" s="68"/>
      <c r="B2272" s="68"/>
      <c r="C2272" s="68"/>
      <c r="D2272" s="68"/>
      <c r="E2272" s="68"/>
      <c r="F2272" s="68"/>
      <c r="G2272" s="68"/>
      <c r="H2272" s="64" t="str">
        <f aca="false">IF(OR(A2272="",B2272=""),"",CONCATENATE("https://matarstund.is/serfaedi?id=",LOWER(SUBSTITUTE(B2272," ","-"))))</f>
        <v/>
      </c>
    </row>
    <row r="2273" customFormat="false" ht="15" hidden="false" customHeight="true" outlineLevel="0" collapsed="false">
      <c r="A2273" s="9"/>
      <c r="B2273" s="9"/>
      <c r="C2273" s="9"/>
      <c r="D2273" s="9"/>
      <c r="E2273" s="9"/>
      <c r="F2273" s="9"/>
      <c r="G2273" s="9"/>
      <c r="H2273" s="64" t="str">
        <f aca="false">IF(OR(A2273="",B2273=""),"",CONCATENATE("https://matarstund.is/serfaedi?id=",LOWER(SUBSTITUTE(B2273," ","-"))))</f>
        <v/>
      </c>
    </row>
    <row r="2274" customFormat="false" ht="15" hidden="false" customHeight="true" outlineLevel="0" collapsed="false">
      <c r="A2274" s="68"/>
      <c r="B2274" s="68"/>
      <c r="C2274" s="68"/>
      <c r="D2274" s="68"/>
      <c r="E2274" s="68"/>
      <c r="F2274" s="68"/>
      <c r="G2274" s="68"/>
      <c r="H2274" s="64" t="str">
        <f aca="false">IF(OR(A2274="",B2274=""),"",CONCATENATE("https://matarstund.is/serfaedi?id=",LOWER(SUBSTITUTE(B2274," ","-"))))</f>
        <v/>
      </c>
    </row>
    <row r="2275" customFormat="false" ht="15" hidden="false" customHeight="true" outlineLevel="0" collapsed="false">
      <c r="A2275" s="9"/>
      <c r="B2275" s="9"/>
      <c r="C2275" s="9"/>
      <c r="D2275" s="9"/>
      <c r="E2275" s="9"/>
      <c r="F2275" s="9"/>
      <c r="G2275" s="9"/>
      <c r="H2275" s="64" t="str">
        <f aca="false">IF(OR(A2275="",B2275=""),"",CONCATENATE("https://matarstund.is/serfaedi?id=",LOWER(SUBSTITUTE(B2275," ","-"))))</f>
        <v/>
      </c>
    </row>
    <row r="2276" customFormat="false" ht="15" hidden="false" customHeight="true" outlineLevel="0" collapsed="false">
      <c r="A2276" s="68"/>
      <c r="B2276" s="68"/>
      <c r="C2276" s="68"/>
      <c r="D2276" s="68"/>
      <c r="E2276" s="68"/>
      <c r="F2276" s="68"/>
      <c r="G2276" s="68"/>
      <c r="H2276" s="64" t="str">
        <f aca="false">IF(OR(A2276="",B2276=""),"",CONCATENATE("https://matarstund.is/serfaedi?id=",LOWER(SUBSTITUTE(B2276," ","-"))))</f>
        <v/>
      </c>
    </row>
    <row r="2277" customFormat="false" ht="15" hidden="false" customHeight="true" outlineLevel="0" collapsed="false">
      <c r="A2277" s="9"/>
      <c r="B2277" s="9"/>
      <c r="C2277" s="9"/>
      <c r="D2277" s="9"/>
      <c r="E2277" s="9"/>
      <c r="F2277" s="9"/>
      <c r="G2277" s="9"/>
      <c r="H2277" s="64" t="str">
        <f aca="false">IF(OR(A2277="",B2277=""),"",CONCATENATE("https://matarstund.is/serfaedi?id=",LOWER(SUBSTITUTE(B2277," ","-"))))</f>
        <v/>
      </c>
    </row>
    <row r="2278" customFormat="false" ht="15" hidden="false" customHeight="true" outlineLevel="0" collapsed="false">
      <c r="A2278" s="68"/>
      <c r="B2278" s="68"/>
      <c r="C2278" s="68"/>
      <c r="D2278" s="68"/>
      <c r="E2278" s="68"/>
      <c r="F2278" s="68"/>
      <c r="G2278" s="68"/>
      <c r="H2278" s="64" t="str">
        <f aca="false">IF(OR(A2278="",B2278=""),"",CONCATENATE("https://matarstund.is/serfaedi?id=",LOWER(SUBSTITUTE(B2278," ","-"))))</f>
        <v/>
      </c>
    </row>
    <row r="2279" customFormat="false" ht="15" hidden="false" customHeight="true" outlineLevel="0" collapsed="false">
      <c r="A2279" s="9"/>
      <c r="B2279" s="9"/>
      <c r="C2279" s="9"/>
      <c r="D2279" s="9"/>
      <c r="E2279" s="9"/>
      <c r="F2279" s="9"/>
      <c r="G2279" s="9"/>
      <c r="H2279" s="64" t="str">
        <f aca="false">IF(OR(A2279="",B2279=""),"",CONCATENATE("https://matarstund.is/serfaedi?id=",LOWER(SUBSTITUTE(B2279," ","-"))))</f>
        <v/>
      </c>
    </row>
    <row r="2280" customFormat="false" ht="15" hidden="false" customHeight="true" outlineLevel="0" collapsed="false">
      <c r="A2280" s="68"/>
      <c r="B2280" s="68"/>
      <c r="C2280" s="68"/>
      <c r="D2280" s="68"/>
      <c r="E2280" s="68"/>
      <c r="F2280" s="68"/>
      <c r="G2280" s="68"/>
      <c r="H2280" s="64" t="str">
        <f aca="false">IF(OR(A2280="",B2280=""),"",CONCATENATE("https://matarstund.is/serfaedi?id=",LOWER(SUBSTITUTE(B2280," ","-"))))</f>
        <v/>
      </c>
    </row>
    <row r="2281" customFormat="false" ht="15" hidden="false" customHeight="true" outlineLevel="0" collapsed="false">
      <c r="A2281" s="9"/>
      <c r="B2281" s="9"/>
      <c r="C2281" s="9"/>
      <c r="D2281" s="9"/>
      <c r="E2281" s="9"/>
      <c r="F2281" s="9"/>
      <c r="G2281" s="9"/>
      <c r="H2281" s="64" t="str">
        <f aca="false">IF(OR(A2281="",B2281=""),"",CONCATENATE("https://matarstund.is/serfaedi?id=",LOWER(SUBSTITUTE(B2281," ","-"))))</f>
        <v/>
      </c>
    </row>
    <row r="2282" customFormat="false" ht="15" hidden="false" customHeight="true" outlineLevel="0" collapsed="false">
      <c r="A2282" s="68"/>
      <c r="B2282" s="68"/>
      <c r="C2282" s="68"/>
      <c r="D2282" s="68"/>
      <c r="E2282" s="68"/>
      <c r="F2282" s="68"/>
      <c r="G2282" s="68"/>
      <c r="H2282" s="64" t="str">
        <f aca="false">IF(OR(A2282="",B2282=""),"",CONCATENATE("https://matarstund.is/serfaedi?id=",LOWER(SUBSTITUTE(B2282," ","-"))))</f>
        <v/>
      </c>
    </row>
    <row r="2283" customFormat="false" ht="15" hidden="false" customHeight="true" outlineLevel="0" collapsed="false">
      <c r="A2283" s="9"/>
      <c r="B2283" s="9"/>
      <c r="C2283" s="9"/>
      <c r="D2283" s="9"/>
      <c r="E2283" s="9"/>
      <c r="F2283" s="9"/>
      <c r="G2283" s="9"/>
      <c r="H2283" s="64" t="str">
        <f aca="false">IF(OR(A2283="",B2283=""),"",CONCATENATE("https://matarstund.is/serfaedi?id=",LOWER(SUBSTITUTE(B2283," ","-"))))</f>
        <v/>
      </c>
    </row>
    <row r="2284" customFormat="false" ht="15" hidden="false" customHeight="true" outlineLevel="0" collapsed="false">
      <c r="A2284" s="68"/>
      <c r="B2284" s="68"/>
      <c r="C2284" s="68"/>
      <c r="D2284" s="68"/>
      <c r="E2284" s="68"/>
      <c r="F2284" s="68"/>
      <c r="G2284" s="68"/>
      <c r="H2284" s="64" t="str">
        <f aca="false">IF(OR(A2284="",B2284=""),"",CONCATENATE("https://matarstund.is/serfaedi?id=",LOWER(SUBSTITUTE(B2284," ","-"))))</f>
        <v/>
      </c>
    </row>
    <row r="2285" customFormat="false" ht="15" hidden="false" customHeight="true" outlineLevel="0" collapsed="false">
      <c r="A2285" s="9"/>
      <c r="B2285" s="9"/>
      <c r="C2285" s="9"/>
      <c r="D2285" s="9"/>
      <c r="E2285" s="9"/>
      <c r="F2285" s="9"/>
      <c r="G2285" s="9"/>
      <c r="H2285" s="64" t="str">
        <f aca="false">IF(OR(A2285="",B2285=""),"",CONCATENATE("https://matarstund.is/serfaedi?id=",LOWER(SUBSTITUTE(B2285," ","-"))))</f>
        <v/>
      </c>
    </row>
    <row r="2286" customFormat="false" ht="15" hidden="false" customHeight="true" outlineLevel="0" collapsed="false">
      <c r="A2286" s="68"/>
      <c r="B2286" s="68"/>
      <c r="C2286" s="68"/>
      <c r="D2286" s="68"/>
      <c r="E2286" s="68"/>
      <c r="F2286" s="68"/>
      <c r="G2286" s="68"/>
      <c r="H2286" s="64" t="str">
        <f aca="false">IF(OR(A2286="",B2286=""),"",CONCATENATE("https://matarstund.is/serfaedi?id=",LOWER(SUBSTITUTE(B2286," ","-"))))</f>
        <v/>
      </c>
    </row>
    <row r="2287" customFormat="false" ht="15" hidden="false" customHeight="true" outlineLevel="0" collapsed="false">
      <c r="A2287" s="9"/>
      <c r="B2287" s="9"/>
      <c r="C2287" s="9"/>
      <c r="D2287" s="9"/>
      <c r="E2287" s="9"/>
      <c r="F2287" s="9"/>
      <c r="G2287" s="9"/>
      <c r="H2287" s="64" t="str">
        <f aca="false">IF(OR(A2287="",B2287=""),"",CONCATENATE("https://matarstund.is/serfaedi?id=",LOWER(SUBSTITUTE(B2287," ","-"))))</f>
        <v/>
      </c>
    </row>
    <row r="2288" customFormat="false" ht="15" hidden="false" customHeight="true" outlineLevel="0" collapsed="false">
      <c r="A2288" s="68"/>
      <c r="B2288" s="68"/>
      <c r="C2288" s="68"/>
      <c r="D2288" s="68"/>
      <c r="E2288" s="68"/>
      <c r="F2288" s="68"/>
      <c r="G2288" s="68"/>
      <c r="H2288" s="64" t="str">
        <f aca="false">IF(OR(A2288="",B2288=""),"",CONCATENATE("https://matarstund.is/serfaedi?id=",LOWER(SUBSTITUTE(B2288," ","-"))))</f>
        <v/>
      </c>
    </row>
    <row r="2289" customFormat="false" ht="15" hidden="false" customHeight="true" outlineLevel="0" collapsed="false">
      <c r="A2289" s="9"/>
      <c r="B2289" s="9"/>
      <c r="C2289" s="9"/>
      <c r="D2289" s="9"/>
      <c r="E2289" s="9"/>
      <c r="F2289" s="9"/>
      <c r="G2289" s="9"/>
      <c r="H2289" s="64" t="str">
        <f aca="false">IF(OR(A2289="",B2289=""),"",CONCATENATE("https://matarstund.is/serfaedi?id=",LOWER(SUBSTITUTE(B2289," ","-"))))</f>
        <v/>
      </c>
    </row>
    <row r="2290" customFormat="false" ht="15" hidden="false" customHeight="true" outlineLevel="0" collapsed="false">
      <c r="A2290" s="68"/>
      <c r="B2290" s="68"/>
      <c r="C2290" s="68"/>
      <c r="D2290" s="68"/>
      <c r="E2290" s="68"/>
      <c r="F2290" s="68"/>
      <c r="G2290" s="68"/>
      <c r="H2290" s="64" t="str">
        <f aca="false">IF(OR(A2290="",B2290=""),"",CONCATENATE("https://matarstund.is/serfaedi?id=",LOWER(SUBSTITUTE(B2290," ","-"))))</f>
        <v/>
      </c>
    </row>
    <row r="2291" customFormat="false" ht="15" hidden="false" customHeight="true" outlineLevel="0" collapsed="false">
      <c r="A2291" s="9"/>
      <c r="B2291" s="9"/>
      <c r="C2291" s="9"/>
      <c r="D2291" s="9"/>
      <c r="E2291" s="9"/>
      <c r="F2291" s="9"/>
      <c r="G2291" s="9"/>
      <c r="H2291" s="64" t="str">
        <f aca="false">IF(OR(A2291="",B2291=""),"",CONCATENATE("https://matarstund.is/serfaedi?id=",LOWER(SUBSTITUTE(B2291," ","-"))))</f>
        <v/>
      </c>
    </row>
    <row r="2292" customFormat="false" ht="15" hidden="false" customHeight="true" outlineLevel="0" collapsed="false">
      <c r="A2292" s="68"/>
      <c r="B2292" s="68"/>
      <c r="C2292" s="68"/>
      <c r="D2292" s="68"/>
      <c r="E2292" s="68"/>
      <c r="F2292" s="68"/>
      <c r="G2292" s="68"/>
      <c r="H2292" s="64" t="str">
        <f aca="false">IF(OR(A2292="",B2292=""),"",CONCATENATE("https://matarstund.is/serfaedi?id=",LOWER(SUBSTITUTE(B2292," ","-"))))</f>
        <v/>
      </c>
    </row>
    <row r="2293" customFormat="false" ht="15" hidden="false" customHeight="true" outlineLevel="0" collapsed="false">
      <c r="A2293" s="9"/>
      <c r="B2293" s="9"/>
      <c r="C2293" s="9"/>
      <c r="D2293" s="9"/>
      <c r="E2293" s="9"/>
      <c r="F2293" s="9"/>
      <c r="G2293" s="9"/>
      <c r="H2293" s="64" t="str">
        <f aca="false">IF(OR(A2293="",B2293=""),"",CONCATENATE("https://matarstund.is/serfaedi?id=",LOWER(SUBSTITUTE(B2293," ","-"))))</f>
        <v/>
      </c>
    </row>
    <row r="2294" customFormat="false" ht="15" hidden="false" customHeight="true" outlineLevel="0" collapsed="false">
      <c r="A2294" s="68"/>
      <c r="B2294" s="68"/>
      <c r="C2294" s="68"/>
      <c r="D2294" s="68"/>
      <c r="E2294" s="68"/>
      <c r="F2294" s="68"/>
      <c r="G2294" s="68"/>
      <c r="H2294" s="64" t="str">
        <f aca="false">IF(OR(A2294="",B2294=""),"",CONCATENATE("https://matarstund.is/serfaedi?id=",LOWER(SUBSTITUTE(B2294," ","-"))))</f>
        <v/>
      </c>
    </row>
    <row r="2295" customFormat="false" ht="15" hidden="false" customHeight="true" outlineLevel="0" collapsed="false">
      <c r="A2295" s="9"/>
      <c r="B2295" s="9"/>
      <c r="C2295" s="9"/>
      <c r="D2295" s="9"/>
      <c r="E2295" s="9"/>
      <c r="F2295" s="9"/>
      <c r="G2295" s="9"/>
      <c r="H2295" s="64" t="str">
        <f aca="false">IF(OR(A2295="",B2295=""),"",CONCATENATE("https://matarstund.is/serfaedi?id=",LOWER(SUBSTITUTE(B2295," ","-"))))</f>
        <v/>
      </c>
    </row>
    <row r="2296" customFormat="false" ht="15" hidden="false" customHeight="true" outlineLevel="0" collapsed="false">
      <c r="A2296" s="68"/>
      <c r="B2296" s="68"/>
      <c r="C2296" s="68"/>
      <c r="D2296" s="68"/>
      <c r="E2296" s="68"/>
      <c r="F2296" s="68"/>
      <c r="G2296" s="68"/>
      <c r="H2296" s="64" t="str">
        <f aca="false">IF(OR(A2296="",B2296=""),"",CONCATENATE("https://matarstund.is/serfaedi?id=",LOWER(SUBSTITUTE(B2296," ","-"))))</f>
        <v/>
      </c>
    </row>
    <row r="2297" customFormat="false" ht="15" hidden="false" customHeight="true" outlineLevel="0" collapsed="false">
      <c r="A2297" s="9"/>
      <c r="B2297" s="9"/>
      <c r="C2297" s="9"/>
      <c r="D2297" s="9"/>
      <c r="E2297" s="9"/>
      <c r="F2297" s="9"/>
      <c r="G2297" s="9"/>
      <c r="H2297" s="64" t="str">
        <f aca="false">IF(OR(A2297="",B2297=""),"",CONCATENATE("https://matarstund.is/serfaedi?id=",LOWER(SUBSTITUTE(B2297," ","-"))))</f>
        <v/>
      </c>
    </row>
    <row r="2298" customFormat="false" ht="15" hidden="false" customHeight="true" outlineLevel="0" collapsed="false">
      <c r="A2298" s="68"/>
      <c r="B2298" s="68"/>
      <c r="C2298" s="68"/>
      <c r="D2298" s="68"/>
      <c r="E2298" s="68"/>
      <c r="F2298" s="68"/>
      <c r="G2298" s="68"/>
      <c r="H2298" s="64" t="str">
        <f aca="false">IF(OR(A2298="",B2298=""),"",CONCATENATE("https://matarstund.is/serfaedi?id=",LOWER(SUBSTITUTE(B2298," ","-"))))</f>
        <v/>
      </c>
    </row>
    <row r="2299" customFormat="false" ht="15" hidden="false" customHeight="true" outlineLevel="0" collapsed="false">
      <c r="A2299" s="9"/>
      <c r="B2299" s="9"/>
      <c r="C2299" s="9"/>
      <c r="D2299" s="9"/>
      <c r="E2299" s="9"/>
      <c r="F2299" s="9"/>
      <c r="G2299" s="9"/>
      <c r="H2299" s="64" t="str">
        <f aca="false">IF(OR(A2299="",B2299=""),"",CONCATENATE("https://matarstund.is/serfaedi?id=",LOWER(SUBSTITUTE(B2299," ","-"))))</f>
        <v/>
      </c>
    </row>
    <row r="2300" customFormat="false" ht="15" hidden="false" customHeight="true" outlineLevel="0" collapsed="false">
      <c r="A2300" s="68"/>
      <c r="B2300" s="68"/>
      <c r="C2300" s="68"/>
      <c r="D2300" s="68"/>
      <c r="E2300" s="68"/>
      <c r="F2300" s="68"/>
      <c r="G2300" s="68"/>
      <c r="H2300" s="64" t="str">
        <f aca="false">IF(OR(A2300="",B2300=""),"",CONCATENATE("https://matarstund.is/serfaedi?id=",LOWER(SUBSTITUTE(B2300," ","-"))))</f>
        <v/>
      </c>
    </row>
    <row r="2301" customFormat="false" ht="15" hidden="false" customHeight="true" outlineLevel="0" collapsed="false">
      <c r="A2301" s="9"/>
      <c r="B2301" s="9"/>
      <c r="C2301" s="9"/>
      <c r="D2301" s="9"/>
      <c r="E2301" s="9"/>
      <c r="F2301" s="9"/>
      <c r="G2301" s="9"/>
      <c r="H2301" s="64" t="str">
        <f aca="false">IF(OR(A2301="",B2301=""),"",CONCATENATE("https://matarstund.is/serfaedi?id=",LOWER(SUBSTITUTE(B2301," ","-"))))</f>
        <v/>
      </c>
    </row>
    <row r="2302" customFormat="false" ht="15" hidden="false" customHeight="true" outlineLevel="0" collapsed="false">
      <c r="A2302" s="68"/>
      <c r="B2302" s="68"/>
      <c r="C2302" s="68"/>
      <c r="D2302" s="68"/>
      <c r="E2302" s="68"/>
      <c r="F2302" s="68"/>
      <c r="G2302" s="68"/>
      <c r="H2302" s="64" t="str">
        <f aca="false">IF(OR(A2302="",B2302=""),"",CONCATENATE("https://matarstund.is/serfaedi?id=",LOWER(SUBSTITUTE(B2302," ","-"))))</f>
        <v/>
      </c>
    </row>
    <row r="2303" customFormat="false" ht="15" hidden="false" customHeight="true" outlineLevel="0" collapsed="false">
      <c r="A2303" s="9"/>
      <c r="B2303" s="9"/>
      <c r="C2303" s="9"/>
      <c r="D2303" s="9"/>
      <c r="E2303" s="9"/>
      <c r="F2303" s="9"/>
      <c r="G2303" s="9"/>
      <c r="H2303" s="64" t="str">
        <f aca="false">IF(OR(A2303="",B2303=""),"",CONCATENATE("https://matarstund.is/serfaedi?id=",LOWER(SUBSTITUTE(B2303," ","-"))))</f>
        <v/>
      </c>
    </row>
    <row r="2304" customFormat="false" ht="15" hidden="false" customHeight="true" outlineLevel="0" collapsed="false">
      <c r="A2304" s="68"/>
      <c r="B2304" s="68"/>
      <c r="C2304" s="68"/>
      <c r="D2304" s="68"/>
      <c r="E2304" s="68"/>
      <c r="F2304" s="68"/>
      <c r="G2304" s="68"/>
      <c r="H2304" s="64" t="str">
        <f aca="false">IF(OR(A2304="",B2304=""),"",CONCATENATE("https://matarstund.is/serfaedi?id=",LOWER(SUBSTITUTE(B2304," ","-"))))</f>
        <v/>
      </c>
    </row>
    <row r="2305" customFormat="false" ht="15" hidden="false" customHeight="true" outlineLevel="0" collapsed="false">
      <c r="A2305" s="9"/>
      <c r="B2305" s="9"/>
      <c r="C2305" s="9"/>
      <c r="D2305" s="9"/>
      <c r="E2305" s="9"/>
      <c r="F2305" s="9"/>
      <c r="G2305" s="9"/>
      <c r="H2305" s="64" t="str">
        <f aca="false">IF(OR(A2305="",B2305=""),"",CONCATENATE("https://matarstund.is/serfaedi?id=",LOWER(SUBSTITUTE(B2305," ","-"))))</f>
        <v/>
      </c>
    </row>
    <row r="2306" customFormat="false" ht="15" hidden="false" customHeight="true" outlineLevel="0" collapsed="false">
      <c r="A2306" s="68"/>
      <c r="B2306" s="68"/>
      <c r="C2306" s="68"/>
      <c r="D2306" s="68"/>
      <c r="E2306" s="68"/>
      <c r="F2306" s="68"/>
      <c r="G2306" s="68"/>
      <c r="H2306" s="64" t="str">
        <f aca="false">IF(OR(A2306="",B2306=""),"",CONCATENATE("https://matarstund.is/serfaedi?id=",LOWER(SUBSTITUTE(B2306," ","-"))))</f>
        <v/>
      </c>
    </row>
    <row r="2307" customFormat="false" ht="15" hidden="false" customHeight="true" outlineLevel="0" collapsed="false">
      <c r="A2307" s="9"/>
      <c r="B2307" s="9"/>
      <c r="C2307" s="9"/>
      <c r="D2307" s="9"/>
      <c r="E2307" s="9"/>
      <c r="F2307" s="9"/>
      <c r="G2307" s="9"/>
      <c r="H2307" s="64" t="str">
        <f aca="false">IF(OR(A2307="",B2307=""),"",CONCATENATE("https://matarstund.is/serfaedi?id=",LOWER(SUBSTITUTE(B2307," ","-"))))</f>
        <v/>
      </c>
    </row>
    <row r="2308" customFormat="false" ht="15" hidden="false" customHeight="true" outlineLevel="0" collapsed="false">
      <c r="A2308" s="68"/>
      <c r="B2308" s="68"/>
      <c r="C2308" s="68"/>
      <c r="D2308" s="68"/>
      <c r="E2308" s="68"/>
      <c r="F2308" s="68"/>
      <c r="G2308" s="68"/>
      <c r="H2308" s="64" t="str">
        <f aca="false">IF(OR(A2308="",B2308=""),"",CONCATENATE("https://matarstund.is/serfaedi?id=",LOWER(SUBSTITUTE(B2308," ","-"))))</f>
        <v/>
      </c>
    </row>
    <row r="2309" customFormat="false" ht="15" hidden="false" customHeight="true" outlineLevel="0" collapsed="false">
      <c r="A2309" s="9"/>
      <c r="B2309" s="9"/>
      <c r="C2309" s="9"/>
      <c r="D2309" s="9"/>
      <c r="E2309" s="9"/>
      <c r="F2309" s="9"/>
      <c r="G2309" s="9"/>
      <c r="H2309" s="64" t="str">
        <f aca="false">IF(OR(A2309="",B2309=""),"",CONCATENATE("https://matarstund.is/serfaedi?id=",LOWER(SUBSTITUTE(B2309," ","-"))))</f>
        <v/>
      </c>
    </row>
    <row r="2310" customFormat="false" ht="15" hidden="false" customHeight="true" outlineLevel="0" collapsed="false">
      <c r="A2310" s="68"/>
      <c r="B2310" s="68"/>
      <c r="C2310" s="68"/>
      <c r="D2310" s="68"/>
      <c r="E2310" s="68"/>
      <c r="F2310" s="68"/>
      <c r="G2310" s="68"/>
      <c r="H2310" s="64" t="str">
        <f aca="false">IF(OR(A2310="",B2310=""),"",CONCATENATE("https://matarstund.is/serfaedi?id=",LOWER(SUBSTITUTE(B2310," ","-"))))</f>
        <v/>
      </c>
    </row>
    <row r="2311" customFormat="false" ht="15" hidden="false" customHeight="true" outlineLevel="0" collapsed="false">
      <c r="A2311" s="9"/>
      <c r="B2311" s="9"/>
      <c r="C2311" s="9"/>
      <c r="D2311" s="9"/>
      <c r="E2311" s="9"/>
      <c r="F2311" s="9"/>
      <c r="G2311" s="9"/>
      <c r="H2311" s="64" t="str">
        <f aca="false">IF(OR(A2311="",B2311=""),"",CONCATENATE("https://matarstund.is/serfaedi?id=",LOWER(SUBSTITUTE(B2311," ","-"))))</f>
        <v/>
      </c>
    </row>
    <row r="2312" customFormat="false" ht="15" hidden="false" customHeight="true" outlineLevel="0" collapsed="false">
      <c r="A2312" s="68"/>
      <c r="B2312" s="68"/>
      <c r="C2312" s="68"/>
      <c r="D2312" s="68"/>
      <c r="E2312" s="68"/>
      <c r="F2312" s="68"/>
      <c r="G2312" s="68"/>
      <c r="H2312" s="64" t="str">
        <f aca="false">IF(OR(A2312="",B2312=""),"",CONCATENATE("https://matarstund.is/serfaedi?id=",LOWER(SUBSTITUTE(B2312," ","-"))))</f>
        <v/>
      </c>
    </row>
    <row r="2313" customFormat="false" ht="15" hidden="false" customHeight="true" outlineLevel="0" collapsed="false">
      <c r="A2313" s="9"/>
      <c r="B2313" s="9"/>
      <c r="C2313" s="9"/>
      <c r="D2313" s="9"/>
      <c r="E2313" s="9"/>
      <c r="F2313" s="9"/>
      <c r="G2313" s="9"/>
      <c r="H2313" s="64" t="str">
        <f aca="false">IF(OR(A2313="",B2313=""),"",CONCATENATE("https://matarstund.is/serfaedi?id=",LOWER(SUBSTITUTE(B2313," ","-"))))</f>
        <v/>
      </c>
    </row>
    <row r="2314" customFormat="false" ht="15" hidden="false" customHeight="true" outlineLevel="0" collapsed="false">
      <c r="A2314" s="68"/>
      <c r="B2314" s="68"/>
      <c r="C2314" s="68"/>
      <c r="D2314" s="68"/>
      <c r="E2314" s="68"/>
      <c r="F2314" s="68"/>
      <c r="G2314" s="68"/>
      <c r="H2314" s="64" t="str">
        <f aca="false">IF(OR(A2314="",B2314=""),"",CONCATENATE("https://matarstund.is/serfaedi?id=",LOWER(SUBSTITUTE(B2314," ","-"))))</f>
        <v/>
      </c>
    </row>
    <row r="2315" customFormat="false" ht="15" hidden="false" customHeight="true" outlineLevel="0" collapsed="false">
      <c r="A2315" s="9"/>
      <c r="B2315" s="9"/>
      <c r="C2315" s="9"/>
      <c r="D2315" s="9"/>
      <c r="E2315" s="9"/>
      <c r="F2315" s="9"/>
      <c r="G2315" s="9"/>
      <c r="H2315" s="64" t="str">
        <f aca="false">IF(OR(A2315="",B2315=""),"",CONCATENATE("https://matarstund.is/serfaedi?id=",LOWER(SUBSTITUTE(B2315," ","-"))))</f>
        <v/>
      </c>
    </row>
    <row r="2316" customFormat="false" ht="15" hidden="false" customHeight="true" outlineLevel="0" collapsed="false">
      <c r="A2316" s="68"/>
      <c r="B2316" s="68"/>
      <c r="C2316" s="68"/>
      <c r="D2316" s="68"/>
      <c r="E2316" s="68"/>
      <c r="F2316" s="68"/>
      <c r="G2316" s="68"/>
      <c r="H2316" s="64" t="str">
        <f aca="false">IF(OR(A2316="",B2316=""),"",CONCATENATE("https://matarstund.is/serfaedi?id=",LOWER(SUBSTITUTE(B2316," ","-"))))</f>
        <v/>
      </c>
    </row>
    <row r="2317" customFormat="false" ht="15" hidden="false" customHeight="true" outlineLevel="0" collapsed="false">
      <c r="A2317" s="9"/>
      <c r="B2317" s="9"/>
      <c r="C2317" s="9"/>
      <c r="D2317" s="9"/>
      <c r="E2317" s="9"/>
      <c r="F2317" s="9"/>
      <c r="G2317" s="9"/>
      <c r="H2317" s="64" t="str">
        <f aca="false">IF(OR(A2317="",B2317=""),"",CONCATENATE("https://matarstund.is/serfaedi?id=",LOWER(SUBSTITUTE(B2317," ","-"))))</f>
        <v/>
      </c>
    </row>
    <row r="2318" customFormat="false" ht="15" hidden="false" customHeight="true" outlineLevel="0" collapsed="false">
      <c r="A2318" s="68"/>
      <c r="B2318" s="68"/>
      <c r="C2318" s="68"/>
      <c r="D2318" s="68"/>
      <c r="E2318" s="68"/>
      <c r="F2318" s="68"/>
      <c r="G2318" s="68"/>
      <c r="H2318" s="64" t="str">
        <f aca="false">IF(OR(A2318="",B2318=""),"",CONCATENATE("https://matarstund.is/serfaedi?id=",LOWER(SUBSTITUTE(B2318," ","-"))))</f>
        <v/>
      </c>
    </row>
    <row r="2319" customFormat="false" ht="15" hidden="false" customHeight="true" outlineLevel="0" collapsed="false">
      <c r="A2319" s="9"/>
      <c r="B2319" s="9"/>
      <c r="C2319" s="9"/>
      <c r="D2319" s="9"/>
      <c r="E2319" s="9"/>
      <c r="F2319" s="9"/>
      <c r="G2319" s="9"/>
      <c r="H2319" s="64" t="str">
        <f aca="false">IF(OR(A2319="",B2319=""),"",CONCATENATE("https://matarstund.is/serfaedi?id=",LOWER(SUBSTITUTE(B2319," ","-"))))</f>
        <v/>
      </c>
    </row>
    <row r="2320" customFormat="false" ht="15" hidden="false" customHeight="true" outlineLevel="0" collapsed="false">
      <c r="A2320" s="68"/>
      <c r="B2320" s="68"/>
      <c r="C2320" s="68"/>
      <c r="D2320" s="68"/>
      <c r="E2320" s="68"/>
      <c r="F2320" s="68"/>
      <c r="G2320" s="68"/>
      <c r="H2320" s="64" t="str">
        <f aca="false">IF(OR(A2320="",B2320=""),"",CONCATENATE("https://matarstund.is/serfaedi?id=",LOWER(SUBSTITUTE(B2320," ","-"))))</f>
        <v/>
      </c>
    </row>
    <row r="2321" customFormat="false" ht="15" hidden="false" customHeight="true" outlineLevel="0" collapsed="false">
      <c r="A2321" s="9"/>
      <c r="B2321" s="9"/>
      <c r="C2321" s="9"/>
      <c r="D2321" s="9"/>
      <c r="E2321" s="9"/>
      <c r="F2321" s="9"/>
      <c r="G2321" s="9"/>
      <c r="H2321" s="64" t="str">
        <f aca="false">IF(OR(A2321="",B2321=""),"",CONCATENATE("https://matarstund.is/serfaedi?id=",LOWER(SUBSTITUTE(B2321," ","-"))))</f>
        <v/>
      </c>
    </row>
    <row r="2322" customFormat="false" ht="15" hidden="false" customHeight="true" outlineLevel="0" collapsed="false">
      <c r="A2322" s="68"/>
      <c r="B2322" s="68"/>
      <c r="C2322" s="68"/>
      <c r="D2322" s="68"/>
      <c r="E2322" s="68"/>
      <c r="F2322" s="68"/>
      <c r="G2322" s="68"/>
      <c r="H2322" s="64" t="str">
        <f aca="false">IF(OR(A2322="",B2322=""),"",CONCATENATE("https://matarstund.is/serfaedi?id=",LOWER(SUBSTITUTE(B2322," ","-"))))</f>
        <v/>
      </c>
    </row>
    <row r="2323" customFormat="false" ht="15" hidden="false" customHeight="true" outlineLevel="0" collapsed="false">
      <c r="A2323" s="9"/>
      <c r="B2323" s="9"/>
      <c r="C2323" s="9"/>
      <c r="D2323" s="9"/>
      <c r="E2323" s="9"/>
      <c r="F2323" s="9"/>
      <c r="G2323" s="9"/>
      <c r="H2323" s="64" t="str">
        <f aca="false">IF(OR(A2323="",B2323=""),"",CONCATENATE("https://matarstund.is/serfaedi?id=",LOWER(SUBSTITUTE(B2323," ","-"))))</f>
        <v/>
      </c>
    </row>
    <row r="2324" customFormat="false" ht="15" hidden="false" customHeight="true" outlineLevel="0" collapsed="false">
      <c r="A2324" s="68"/>
      <c r="B2324" s="68"/>
      <c r="C2324" s="68"/>
      <c r="D2324" s="68"/>
      <c r="E2324" s="68"/>
      <c r="F2324" s="68"/>
      <c r="G2324" s="68"/>
      <c r="H2324" s="64" t="str">
        <f aca="false">IF(OR(A2324="",B2324=""),"",CONCATENATE("https://matarstund.is/serfaedi?id=",LOWER(SUBSTITUTE(B2324," ","-"))))</f>
        <v/>
      </c>
    </row>
    <row r="2325" customFormat="false" ht="15" hidden="false" customHeight="true" outlineLevel="0" collapsed="false">
      <c r="A2325" s="9"/>
      <c r="B2325" s="9"/>
      <c r="C2325" s="9"/>
      <c r="D2325" s="9"/>
      <c r="E2325" s="9"/>
      <c r="F2325" s="9"/>
      <c r="G2325" s="9"/>
      <c r="H2325" s="64" t="str">
        <f aca="false">IF(OR(A2325="",B2325=""),"",CONCATENATE("https://matarstund.is/serfaedi?id=",LOWER(SUBSTITUTE(B2325," ","-"))))</f>
        <v/>
      </c>
    </row>
    <row r="2326" customFormat="false" ht="15" hidden="false" customHeight="true" outlineLevel="0" collapsed="false">
      <c r="A2326" s="68"/>
      <c r="B2326" s="68"/>
      <c r="C2326" s="68"/>
      <c r="D2326" s="68"/>
      <c r="E2326" s="68"/>
      <c r="F2326" s="68"/>
      <c r="G2326" s="68"/>
      <c r="H2326" s="64" t="str">
        <f aca="false">IF(OR(A2326="",B2326=""),"",CONCATENATE("https://matarstund.is/serfaedi?id=",LOWER(SUBSTITUTE(B2326," ","-"))))</f>
        <v/>
      </c>
    </row>
    <row r="2327" customFormat="false" ht="15" hidden="false" customHeight="true" outlineLevel="0" collapsed="false">
      <c r="A2327" s="9"/>
      <c r="B2327" s="9"/>
      <c r="C2327" s="9"/>
      <c r="D2327" s="9"/>
      <c r="E2327" s="9"/>
      <c r="F2327" s="9"/>
      <c r="G2327" s="9"/>
      <c r="H2327" s="64" t="str">
        <f aca="false">IF(OR(A2327="",B2327=""),"",CONCATENATE("https://matarstund.is/serfaedi?id=",LOWER(SUBSTITUTE(B2327," ","-"))))</f>
        <v/>
      </c>
    </row>
    <row r="2328" customFormat="false" ht="15" hidden="false" customHeight="true" outlineLevel="0" collapsed="false">
      <c r="A2328" s="68"/>
      <c r="B2328" s="68"/>
      <c r="C2328" s="68"/>
      <c r="D2328" s="68"/>
      <c r="E2328" s="68"/>
      <c r="F2328" s="68"/>
      <c r="G2328" s="68"/>
      <c r="H2328" s="64" t="str">
        <f aca="false">IF(OR(A2328="",B2328=""),"",CONCATENATE("https://matarstund.is/serfaedi?id=",LOWER(SUBSTITUTE(B2328," ","-"))))</f>
        <v/>
      </c>
    </row>
    <row r="2329" customFormat="false" ht="15" hidden="false" customHeight="true" outlineLevel="0" collapsed="false">
      <c r="A2329" s="9"/>
      <c r="B2329" s="9"/>
      <c r="C2329" s="9"/>
      <c r="D2329" s="9"/>
      <c r="E2329" s="9"/>
      <c r="F2329" s="9"/>
      <c r="G2329" s="9"/>
      <c r="H2329" s="64" t="str">
        <f aca="false">IF(OR(A2329="",B2329=""),"",CONCATENATE("https://matarstund.is/serfaedi?id=",LOWER(SUBSTITUTE(B2329," ","-"))))</f>
        <v/>
      </c>
    </row>
    <row r="2330" customFormat="false" ht="15" hidden="false" customHeight="true" outlineLevel="0" collapsed="false">
      <c r="A2330" s="68"/>
      <c r="B2330" s="68"/>
      <c r="C2330" s="68"/>
      <c r="D2330" s="68"/>
      <c r="E2330" s="68"/>
      <c r="F2330" s="68"/>
      <c r="G2330" s="68"/>
      <c r="H2330" s="64" t="str">
        <f aca="false">IF(OR(A2330="",B2330=""),"",CONCATENATE("https://matarstund.is/serfaedi?id=",LOWER(SUBSTITUTE(B2330," ","-"))))</f>
        <v/>
      </c>
    </row>
    <row r="2331" customFormat="false" ht="15" hidden="false" customHeight="true" outlineLevel="0" collapsed="false">
      <c r="A2331" s="9"/>
      <c r="B2331" s="9"/>
      <c r="C2331" s="9"/>
      <c r="D2331" s="9"/>
      <c r="E2331" s="9"/>
      <c r="F2331" s="9"/>
      <c r="G2331" s="9"/>
      <c r="H2331" s="64" t="str">
        <f aca="false">IF(OR(A2331="",B2331=""),"",CONCATENATE("https://matarstund.is/serfaedi?id=",LOWER(SUBSTITUTE(B2331," ","-"))))</f>
        <v/>
      </c>
    </row>
    <row r="2332" customFormat="false" ht="15" hidden="false" customHeight="true" outlineLevel="0" collapsed="false">
      <c r="A2332" s="68"/>
      <c r="B2332" s="68"/>
      <c r="C2332" s="68"/>
      <c r="D2332" s="68"/>
      <c r="E2332" s="68"/>
      <c r="F2332" s="68"/>
      <c r="G2332" s="68"/>
      <c r="H2332" s="64" t="str">
        <f aca="false">IF(OR(A2332="",B2332=""),"",CONCATENATE("https://matarstund.is/serfaedi?id=",LOWER(SUBSTITUTE(B2332," ","-"))))</f>
        <v/>
      </c>
    </row>
    <row r="2333" customFormat="false" ht="15" hidden="false" customHeight="true" outlineLevel="0" collapsed="false">
      <c r="A2333" s="9"/>
      <c r="B2333" s="9"/>
      <c r="C2333" s="9"/>
      <c r="D2333" s="9"/>
      <c r="E2333" s="9"/>
      <c r="F2333" s="9"/>
      <c r="G2333" s="9"/>
      <c r="H2333" s="64" t="str">
        <f aca="false">IF(OR(A2333="",B2333=""),"",CONCATENATE("https://matarstund.is/serfaedi?id=",LOWER(SUBSTITUTE(B2333," ","-"))))</f>
        <v/>
      </c>
    </row>
    <row r="2334" customFormat="false" ht="15" hidden="false" customHeight="true" outlineLevel="0" collapsed="false">
      <c r="A2334" s="68"/>
      <c r="B2334" s="68"/>
      <c r="C2334" s="68"/>
      <c r="D2334" s="68"/>
      <c r="E2334" s="68"/>
      <c r="F2334" s="68"/>
      <c r="G2334" s="68"/>
      <c r="H2334" s="64" t="str">
        <f aca="false">IF(OR(A2334="",B2334=""),"",CONCATENATE("https://matarstund.is/serfaedi?id=",LOWER(SUBSTITUTE(B2334," ","-"))))</f>
        <v/>
      </c>
    </row>
    <row r="2335" customFormat="false" ht="15" hidden="false" customHeight="true" outlineLevel="0" collapsed="false">
      <c r="A2335" s="9"/>
      <c r="B2335" s="9"/>
      <c r="C2335" s="9"/>
      <c r="D2335" s="9"/>
      <c r="E2335" s="9"/>
      <c r="F2335" s="9"/>
      <c r="G2335" s="9"/>
      <c r="H2335" s="64" t="str">
        <f aca="false">IF(OR(A2335="",B2335=""),"",CONCATENATE("https://matarstund.is/serfaedi?id=",LOWER(SUBSTITUTE(B2335," ","-"))))</f>
        <v/>
      </c>
    </row>
    <row r="2336" customFormat="false" ht="15" hidden="false" customHeight="true" outlineLevel="0" collapsed="false">
      <c r="A2336" s="68"/>
      <c r="B2336" s="68"/>
      <c r="C2336" s="68"/>
      <c r="D2336" s="68"/>
      <c r="E2336" s="68"/>
      <c r="F2336" s="68"/>
      <c r="G2336" s="68"/>
      <c r="H2336" s="64" t="str">
        <f aca="false">IF(OR(A2336="",B2336=""),"",CONCATENATE("https://matarstund.is/serfaedi?id=",LOWER(SUBSTITUTE(B2336," ","-"))))</f>
        <v/>
      </c>
    </row>
    <row r="2337" customFormat="false" ht="15" hidden="false" customHeight="true" outlineLevel="0" collapsed="false">
      <c r="A2337" s="9"/>
      <c r="B2337" s="9"/>
      <c r="C2337" s="9"/>
      <c r="D2337" s="9"/>
      <c r="E2337" s="9"/>
      <c r="F2337" s="9"/>
      <c r="G2337" s="9"/>
      <c r="H2337" s="64" t="str">
        <f aca="false">IF(OR(A2337="",B2337=""),"",CONCATENATE("https://matarstund.is/serfaedi?id=",LOWER(SUBSTITUTE(B2337," ","-"))))</f>
        <v/>
      </c>
    </row>
    <row r="2338" customFormat="false" ht="15" hidden="false" customHeight="true" outlineLevel="0" collapsed="false">
      <c r="A2338" s="68"/>
      <c r="B2338" s="68"/>
      <c r="C2338" s="68"/>
      <c r="D2338" s="68"/>
      <c r="E2338" s="68"/>
      <c r="F2338" s="68"/>
      <c r="G2338" s="68"/>
      <c r="H2338" s="64" t="str">
        <f aca="false">IF(OR(A2338="",B2338=""),"",CONCATENATE("https://matarstund.is/serfaedi?id=",LOWER(SUBSTITUTE(B2338," ","-"))))</f>
        <v/>
      </c>
    </row>
    <row r="2339" customFormat="false" ht="15" hidden="false" customHeight="true" outlineLevel="0" collapsed="false">
      <c r="A2339" s="9"/>
      <c r="B2339" s="9"/>
      <c r="C2339" s="9"/>
      <c r="D2339" s="9"/>
      <c r="E2339" s="9"/>
      <c r="F2339" s="9"/>
      <c r="G2339" s="9"/>
      <c r="H2339" s="64" t="str">
        <f aca="false">IF(OR(A2339="",B2339=""),"",CONCATENATE("https://matarstund.is/serfaedi?id=",LOWER(SUBSTITUTE(B2339," ","-"))))</f>
        <v/>
      </c>
    </row>
    <row r="2340" customFormat="false" ht="15" hidden="false" customHeight="true" outlineLevel="0" collapsed="false">
      <c r="A2340" s="68"/>
      <c r="B2340" s="68"/>
      <c r="C2340" s="68"/>
      <c r="D2340" s="68"/>
      <c r="E2340" s="68"/>
      <c r="F2340" s="68"/>
      <c r="G2340" s="68"/>
      <c r="H2340" s="64" t="str">
        <f aca="false">IF(OR(A2340="",B2340=""),"",CONCATENATE("https://matarstund.is/serfaedi?id=",LOWER(SUBSTITUTE(B2340," ","-"))))</f>
        <v/>
      </c>
    </row>
    <row r="2341" customFormat="false" ht="15" hidden="false" customHeight="true" outlineLevel="0" collapsed="false">
      <c r="A2341" s="9"/>
      <c r="B2341" s="9"/>
      <c r="C2341" s="9"/>
      <c r="D2341" s="9"/>
      <c r="E2341" s="9"/>
      <c r="F2341" s="9"/>
      <c r="G2341" s="9"/>
      <c r="H2341" s="64" t="str">
        <f aca="false">IF(OR(A2341="",B2341=""),"",CONCATENATE("https://matarstund.is/serfaedi?id=",LOWER(SUBSTITUTE(B2341," ","-"))))</f>
        <v/>
      </c>
    </row>
    <row r="2342" customFormat="false" ht="15" hidden="false" customHeight="true" outlineLevel="0" collapsed="false">
      <c r="A2342" s="68"/>
      <c r="B2342" s="68"/>
      <c r="C2342" s="68"/>
      <c r="D2342" s="68"/>
      <c r="E2342" s="68"/>
      <c r="F2342" s="68"/>
      <c r="G2342" s="68"/>
      <c r="H2342" s="64" t="str">
        <f aca="false">IF(OR(A2342="",B2342=""),"",CONCATENATE("https://matarstund.is/serfaedi?id=",LOWER(SUBSTITUTE(B2342," ","-"))))</f>
        <v/>
      </c>
    </row>
    <row r="2343" customFormat="false" ht="15" hidden="false" customHeight="true" outlineLevel="0" collapsed="false">
      <c r="A2343" s="9"/>
      <c r="B2343" s="9"/>
      <c r="C2343" s="9"/>
      <c r="D2343" s="9"/>
      <c r="E2343" s="9"/>
      <c r="F2343" s="9"/>
      <c r="G2343" s="9"/>
      <c r="H2343" s="64" t="str">
        <f aca="false">IF(OR(A2343="",B2343=""),"",CONCATENATE("https://matarstund.is/serfaedi?id=",LOWER(SUBSTITUTE(B2343," ","-"))))</f>
        <v/>
      </c>
    </row>
    <row r="2344" customFormat="false" ht="15" hidden="false" customHeight="true" outlineLevel="0" collapsed="false">
      <c r="A2344" s="68"/>
      <c r="B2344" s="68"/>
      <c r="C2344" s="68"/>
      <c r="D2344" s="68"/>
      <c r="E2344" s="68"/>
      <c r="F2344" s="68"/>
      <c r="G2344" s="68"/>
      <c r="H2344" s="64" t="str">
        <f aca="false">IF(OR(A2344="",B2344=""),"",CONCATENATE("https://matarstund.is/serfaedi?id=",LOWER(SUBSTITUTE(B2344," ","-"))))</f>
        <v/>
      </c>
    </row>
    <row r="2345" customFormat="false" ht="15" hidden="false" customHeight="true" outlineLevel="0" collapsed="false">
      <c r="A2345" s="9"/>
      <c r="B2345" s="9"/>
      <c r="C2345" s="9"/>
      <c r="D2345" s="9"/>
      <c r="E2345" s="9"/>
      <c r="F2345" s="9"/>
      <c r="G2345" s="9"/>
      <c r="H2345" s="64" t="str">
        <f aca="false">IF(OR(A2345="",B2345=""),"",CONCATENATE("https://matarstund.is/serfaedi?id=",LOWER(SUBSTITUTE(B2345," ","-"))))</f>
        <v/>
      </c>
    </row>
    <row r="2346" customFormat="false" ht="15" hidden="false" customHeight="true" outlineLevel="0" collapsed="false">
      <c r="A2346" s="68"/>
      <c r="B2346" s="68"/>
      <c r="C2346" s="68"/>
      <c r="D2346" s="68"/>
      <c r="E2346" s="68"/>
      <c r="F2346" s="68"/>
      <c r="G2346" s="68"/>
      <c r="H2346" s="64" t="str">
        <f aca="false">IF(OR(A2346="",B2346=""),"",CONCATENATE("https://matarstund.is/serfaedi?id=",LOWER(SUBSTITUTE(B2346," ","-"))))</f>
        <v/>
      </c>
    </row>
    <row r="2347" customFormat="false" ht="15" hidden="false" customHeight="true" outlineLevel="0" collapsed="false">
      <c r="A2347" s="9"/>
      <c r="B2347" s="9"/>
      <c r="C2347" s="9"/>
      <c r="D2347" s="9"/>
      <c r="E2347" s="9"/>
      <c r="F2347" s="9"/>
      <c r="G2347" s="9"/>
      <c r="H2347" s="64" t="str">
        <f aca="false">IF(OR(A2347="",B2347=""),"",CONCATENATE("https://matarstund.is/serfaedi?id=",LOWER(SUBSTITUTE(B2347," ","-"))))</f>
        <v/>
      </c>
    </row>
    <row r="2348" customFormat="false" ht="15" hidden="false" customHeight="true" outlineLevel="0" collapsed="false">
      <c r="A2348" s="68"/>
      <c r="B2348" s="68"/>
      <c r="C2348" s="68"/>
      <c r="D2348" s="68"/>
      <c r="E2348" s="68"/>
      <c r="F2348" s="68"/>
      <c r="G2348" s="68"/>
      <c r="H2348" s="64" t="str">
        <f aca="false">IF(OR(A2348="",B2348=""),"",CONCATENATE("https://matarstund.is/serfaedi?id=",LOWER(SUBSTITUTE(B2348," ","-"))))</f>
        <v/>
      </c>
    </row>
    <row r="2349" customFormat="false" ht="15" hidden="false" customHeight="true" outlineLevel="0" collapsed="false">
      <c r="A2349" s="9"/>
      <c r="B2349" s="9"/>
      <c r="C2349" s="9"/>
      <c r="D2349" s="9"/>
      <c r="E2349" s="9"/>
      <c r="F2349" s="9"/>
      <c r="G2349" s="9"/>
      <c r="H2349" s="64" t="str">
        <f aca="false">IF(OR(A2349="",B2349=""),"",CONCATENATE("https://matarstund.is/serfaedi?id=",LOWER(SUBSTITUTE(B2349," ","-"))))</f>
        <v/>
      </c>
    </row>
    <row r="2350" customFormat="false" ht="15" hidden="false" customHeight="true" outlineLevel="0" collapsed="false">
      <c r="A2350" s="68"/>
      <c r="B2350" s="68"/>
      <c r="C2350" s="68"/>
      <c r="D2350" s="68"/>
      <c r="E2350" s="68"/>
      <c r="F2350" s="68"/>
      <c r="G2350" s="68"/>
      <c r="H2350" s="64" t="str">
        <f aca="false">IF(OR(A2350="",B2350=""),"",CONCATENATE("https://matarstund.is/serfaedi?id=",LOWER(SUBSTITUTE(B2350," ","-"))))</f>
        <v/>
      </c>
    </row>
    <row r="2351" customFormat="false" ht="15" hidden="false" customHeight="true" outlineLevel="0" collapsed="false">
      <c r="A2351" s="9"/>
      <c r="B2351" s="9"/>
      <c r="C2351" s="9"/>
      <c r="D2351" s="9"/>
      <c r="E2351" s="9"/>
      <c r="F2351" s="9"/>
      <c r="G2351" s="9"/>
      <c r="H2351" s="64" t="str">
        <f aca="false">IF(OR(A2351="",B2351=""),"",CONCATENATE("https://matarstund.is/serfaedi?id=",LOWER(SUBSTITUTE(B2351," ","-"))))</f>
        <v/>
      </c>
    </row>
    <row r="2352" customFormat="false" ht="15" hidden="false" customHeight="true" outlineLevel="0" collapsed="false">
      <c r="A2352" s="68"/>
      <c r="B2352" s="68"/>
      <c r="C2352" s="68"/>
      <c r="D2352" s="68"/>
      <c r="E2352" s="68"/>
      <c r="F2352" s="68"/>
      <c r="G2352" s="68"/>
      <c r="H2352" s="64" t="str">
        <f aca="false">IF(OR(A2352="",B2352=""),"",CONCATENATE("https://matarstund.is/serfaedi?id=",LOWER(SUBSTITUTE(B2352," ","-"))))</f>
        <v/>
      </c>
    </row>
    <row r="2353" customFormat="false" ht="15" hidden="false" customHeight="true" outlineLevel="0" collapsed="false">
      <c r="A2353" s="9"/>
      <c r="B2353" s="9"/>
      <c r="C2353" s="9"/>
      <c r="D2353" s="9"/>
      <c r="E2353" s="9"/>
      <c r="F2353" s="9"/>
      <c r="G2353" s="9"/>
      <c r="H2353" s="64" t="str">
        <f aca="false">IF(OR(A2353="",B2353=""),"",CONCATENATE("https://matarstund.is/serfaedi?id=",LOWER(SUBSTITUTE(B2353," ","-"))))</f>
        <v/>
      </c>
    </row>
    <row r="2354" customFormat="false" ht="15" hidden="false" customHeight="true" outlineLevel="0" collapsed="false">
      <c r="A2354" s="68"/>
      <c r="B2354" s="68"/>
      <c r="C2354" s="68"/>
      <c r="D2354" s="68"/>
      <c r="E2354" s="68"/>
      <c r="F2354" s="68"/>
      <c r="G2354" s="68"/>
      <c r="H2354" s="64" t="str">
        <f aca="false">IF(OR(A2354="",B2354=""),"",CONCATENATE("https://matarstund.is/serfaedi?id=",LOWER(SUBSTITUTE(B2354," ","-"))))</f>
        <v/>
      </c>
    </row>
    <row r="2355" customFormat="false" ht="15" hidden="false" customHeight="true" outlineLevel="0" collapsed="false">
      <c r="A2355" s="9"/>
      <c r="B2355" s="9"/>
      <c r="C2355" s="9"/>
      <c r="D2355" s="9"/>
      <c r="E2355" s="9"/>
      <c r="F2355" s="9"/>
      <c r="G2355" s="9"/>
      <c r="H2355" s="64" t="str">
        <f aca="false">IF(OR(A2355="",B2355=""),"",CONCATENATE("https://matarstund.is/serfaedi?id=",LOWER(SUBSTITUTE(B2355," ","-"))))</f>
        <v/>
      </c>
    </row>
    <row r="2356" customFormat="false" ht="15" hidden="false" customHeight="true" outlineLevel="0" collapsed="false">
      <c r="A2356" s="68"/>
      <c r="B2356" s="68"/>
      <c r="C2356" s="68"/>
      <c r="D2356" s="68"/>
      <c r="E2356" s="68"/>
      <c r="F2356" s="68"/>
      <c r="G2356" s="68"/>
      <c r="H2356" s="64" t="str">
        <f aca="false">IF(OR(A2356="",B2356=""),"",CONCATENATE("https://matarstund.is/serfaedi?id=",LOWER(SUBSTITUTE(B2356," ","-"))))</f>
        <v/>
      </c>
    </row>
    <row r="2357" customFormat="false" ht="15" hidden="false" customHeight="true" outlineLevel="0" collapsed="false">
      <c r="A2357" s="9"/>
      <c r="B2357" s="9"/>
      <c r="C2357" s="9"/>
      <c r="D2357" s="9"/>
      <c r="E2357" s="9"/>
      <c r="F2357" s="9"/>
      <c r="G2357" s="9"/>
      <c r="H2357" s="64" t="str">
        <f aca="false">IF(OR(A2357="",B2357=""),"",CONCATENATE("https://matarstund.is/serfaedi?id=",LOWER(SUBSTITUTE(B2357," ","-"))))</f>
        <v/>
      </c>
    </row>
    <row r="2358" customFormat="false" ht="15" hidden="false" customHeight="true" outlineLevel="0" collapsed="false">
      <c r="A2358" s="68"/>
      <c r="B2358" s="68"/>
      <c r="C2358" s="68"/>
      <c r="D2358" s="68"/>
      <c r="E2358" s="68"/>
      <c r="F2358" s="68"/>
      <c r="G2358" s="68"/>
      <c r="H2358" s="64" t="str">
        <f aca="false">IF(OR(A2358="",B2358=""),"",CONCATENATE("https://matarstund.is/serfaedi?id=",LOWER(SUBSTITUTE(B2358," ","-"))))</f>
        <v/>
      </c>
    </row>
    <row r="2359" customFormat="false" ht="15" hidden="false" customHeight="true" outlineLevel="0" collapsed="false">
      <c r="A2359" s="9"/>
      <c r="B2359" s="9"/>
      <c r="C2359" s="9"/>
      <c r="D2359" s="9"/>
      <c r="E2359" s="9"/>
      <c r="F2359" s="9"/>
      <c r="G2359" s="9"/>
      <c r="H2359" s="64" t="str">
        <f aca="false">IF(OR(A2359="",B2359=""),"",CONCATENATE("https://matarstund.is/serfaedi?id=",LOWER(SUBSTITUTE(B2359," ","-"))))</f>
        <v/>
      </c>
    </row>
    <row r="2360" customFormat="false" ht="15" hidden="false" customHeight="true" outlineLevel="0" collapsed="false">
      <c r="A2360" s="68"/>
      <c r="B2360" s="68"/>
      <c r="C2360" s="68"/>
      <c r="D2360" s="68"/>
      <c r="E2360" s="68"/>
      <c r="F2360" s="68"/>
      <c r="G2360" s="68"/>
      <c r="H2360" s="64" t="str">
        <f aca="false">IF(OR(A2360="",B2360=""),"",CONCATENATE("https://matarstund.is/serfaedi?id=",LOWER(SUBSTITUTE(B2360," ","-"))))</f>
        <v/>
      </c>
    </row>
    <row r="2361" customFormat="false" ht="15" hidden="false" customHeight="true" outlineLevel="0" collapsed="false">
      <c r="A2361" s="9"/>
      <c r="B2361" s="9"/>
      <c r="C2361" s="9"/>
      <c r="D2361" s="9"/>
      <c r="E2361" s="9"/>
      <c r="F2361" s="9"/>
      <c r="G2361" s="9"/>
      <c r="H2361" s="64" t="str">
        <f aca="false">IF(OR(A2361="",B2361=""),"",CONCATENATE("https://matarstund.is/serfaedi?id=",LOWER(SUBSTITUTE(B2361," ","-"))))</f>
        <v/>
      </c>
    </row>
    <row r="2362" customFormat="false" ht="15" hidden="false" customHeight="true" outlineLevel="0" collapsed="false">
      <c r="A2362" s="68"/>
      <c r="B2362" s="68"/>
      <c r="C2362" s="68"/>
      <c r="D2362" s="68"/>
      <c r="E2362" s="68"/>
      <c r="F2362" s="68"/>
      <c r="G2362" s="68"/>
      <c r="H2362" s="64" t="str">
        <f aca="false">IF(OR(A2362="",B2362=""),"",CONCATENATE("https://matarstund.is/serfaedi?id=",LOWER(SUBSTITUTE(B2362," ","-"))))</f>
        <v/>
      </c>
    </row>
    <row r="2363" customFormat="false" ht="15" hidden="false" customHeight="true" outlineLevel="0" collapsed="false">
      <c r="A2363" s="9"/>
      <c r="B2363" s="9"/>
      <c r="C2363" s="9"/>
      <c r="D2363" s="9"/>
      <c r="E2363" s="9"/>
      <c r="F2363" s="9"/>
      <c r="G2363" s="9"/>
      <c r="H2363" s="64" t="str">
        <f aca="false">IF(OR(A2363="",B2363=""),"",CONCATENATE("https://matarstund.is/serfaedi?id=",LOWER(SUBSTITUTE(B2363," ","-"))))</f>
        <v/>
      </c>
    </row>
    <row r="2364" customFormat="false" ht="15" hidden="false" customHeight="true" outlineLevel="0" collapsed="false">
      <c r="A2364" s="68"/>
      <c r="B2364" s="68"/>
      <c r="C2364" s="68"/>
      <c r="D2364" s="68"/>
      <c r="E2364" s="68"/>
      <c r="F2364" s="68"/>
      <c r="G2364" s="68"/>
      <c r="H2364" s="64" t="str">
        <f aca="false">IF(OR(A2364="",B2364=""),"",CONCATENATE("https://matarstund.is/serfaedi?id=",LOWER(SUBSTITUTE(B2364," ","-"))))</f>
        <v/>
      </c>
    </row>
    <row r="2365" customFormat="false" ht="15" hidden="false" customHeight="true" outlineLevel="0" collapsed="false">
      <c r="A2365" s="9"/>
      <c r="B2365" s="9"/>
      <c r="C2365" s="9"/>
      <c r="D2365" s="9"/>
      <c r="E2365" s="9"/>
      <c r="F2365" s="9"/>
      <c r="G2365" s="9"/>
      <c r="H2365" s="64" t="str">
        <f aca="false">IF(OR(A2365="",B2365=""),"",CONCATENATE("https://matarstund.is/serfaedi?id=",LOWER(SUBSTITUTE(B2365," ","-"))))</f>
        <v/>
      </c>
    </row>
    <row r="2366" customFormat="false" ht="15" hidden="false" customHeight="true" outlineLevel="0" collapsed="false">
      <c r="A2366" s="68"/>
      <c r="B2366" s="68"/>
      <c r="C2366" s="68"/>
      <c r="D2366" s="68"/>
      <c r="E2366" s="68"/>
      <c r="F2366" s="68"/>
      <c r="G2366" s="68"/>
      <c r="H2366" s="64" t="str">
        <f aca="false">IF(OR(A2366="",B2366=""),"",CONCATENATE("https://matarstund.is/serfaedi?id=",LOWER(SUBSTITUTE(B2366," ","-"))))</f>
        <v/>
      </c>
    </row>
    <row r="2367" customFormat="false" ht="15" hidden="false" customHeight="true" outlineLevel="0" collapsed="false">
      <c r="A2367" s="9"/>
      <c r="B2367" s="9"/>
      <c r="C2367" s="9"/>
      <c r="D2367" s="9"/>
      <c r="E2367" s="9"/>
      <c r="F2367" s="9"/>
      <c r="G2367" s="9"/>
      <c r="H2367" s="64" t="str">
        <f aca="false">IF(OR(A2367="",B2367=""),"",CONCATENATE("https://matarstund.is/serfaedi?id=",LOWER(SUBSTITUTE(B2367," ","-"))))</f>
        <v/>
      </c>
    </row>
    <row r="2368" customFormat="false" ht="15" hidden="false" customHeight="true" outlineLevel="0" collapsed="false">
      <c r="A2368" s="68"/>
      <c r="B2368" s="68"/>
      <c r="C2368" s="68"/>
      <c r="D2368" s="68"/>
      <c r="E2368" s="68"/>
      <c r="F2368" s="68"/>
      <c r="G2368" s="68"/>
      <c r="H2368" s="64" t="str">
        <f aca="false">IF(OR(A2368="",B2368=""),"",CONCATENATE("https://matarstund.is/serfaedi?id=",LOWER(SUBSTITUTE(B2368," ","-"))))</f>
        <v/>
      </c>
    </row>
    <row r="2369" customFormat="false" ht="15" hidden="false" customHeight="true" outlineLevel="0" collapsed="false">
      <c r="A2369" s="9"/>
      <c r="B2369" s="9"/>
      <c r="C2369" s="9"/>
      <c r="D2369" s="9"/>
      <c r="E2369" s="9"/>
      <c r="F2369" s="9"/>
      <c r="G2369" s="9"/>
      <c r="H2369" s="64" t="str">
        <f aca="false">IF(OR(A2369="",B2369=""),"",CONCATENATE("https://matarstund.is/serfaedi?id=",LOWER(SUBSTITUTE(B2369," ","-"))))</f>
        <v/>
      </c>
    </row>
    <row r="2370" customFormat="false" ht="15" hidden="false" customHeight="true" outlineLevel="0" collapsed="false">
      <c r="A2370" s="68"/>
      <c r="B2370" s="68"/>
      <c r="C2370" s="68"/>
      <c r="D2370" s="68"/>
      <c r="E2370" s="68"/>
      <c r="F2370" s="68"/>
      <c r="G2370" s="68"/>
      <c r="H2370" s="64" t="str">
        <f aca="false">IF(OR(A2370="",B2370=""),"",CONCATENATE("https://matarstund.is/serfaedi?id=",LOWER(SUBSTITUTE(B2370," ","-"))))</f>
        <v/>
      </c>
    </row>
    <row r="2371" customFormat="false" ht="15" hidden="false" customHeight="true" outlineLevel="0" collapsed="false">
      <c r="A2371" s="9"/>
      <c r="B2371" s="9"/>
      <c r="C2371" s="9"/>
      <c r="D2371" s="9"/>
      <c r="E2371" s="9"/>
      <c r="F2371" s="9"/>
      <c r="G2371" s="9"/>
      <c r="H2371" s="64" t="str">
        <f aca="false">IF(OR(A2371="",B2371=""),"",CONCATENATE("https://matarstund.is/serfaedi?id=",LOWER(SUBSTITUTE(B2371," ","-"))))</f>
        <v/>
      </c>
    </row>
    <row r="2372" customFormat="false" ht="15" hidden="false" customHeight="true" outlineLevel="0" collapsed="false">
      <c r="A2372" s="68"/>
      <c r="B2372" s="68"/>
      <c r="C2372" s="68"/>
      <c r="D2372" s="68"/>
      <c r="E2372" s="68"/>
      <c r="F2372" s="68"/>
      <c r="G2372" s="68"/>
      <c r="H2372" s="64" t="str">
        <f aca="false">IF(OR(A2372="",B2372=""),"",CONCATENATE("https://matarstund.is/serfaedi?id=",LOWER(SUBSTITUTE(B2372," ","-"))))</f>
        <v/>
      </c>
    </row>
    <row r="2373" customFormat="false" ht="15" hidden="false" customHeight="true" outlineLevel="0" collapsed="false">
      <c r="A2373" s="9"/>
      <c r="B2373" s="9"/>
      <c r="C2373" s="9"/>
      <c r="D2373" s="9"/>
      <c r="E2373" s="9"/>
      <c r="F2373" s="9"/>
      <c r="G2373" s="9"/>
      <c r="H2373" s="64" t="str">
        <f aca="false">IF(OR(A2373="",B2373=""),"",CONCATENATE("https://matarstund.is/serfaedi?id=",LOWER(SUBSTITUTE(B2373," ","-"))))</f>
        <v/>
      </c>
    </row>
    <row r="2374" customFormat="false" ht="15" hidden="false" customHeight="true" outlineLevel="0" collapsed="false">
      <c r="A2374" s="68"/>
      <c r="B2374" s="68"/>
      <c r="C2374" s="68"/>
      <c r="D2374" s="68"/>
      <c r="E2374" s="68"/>
      <c r="F2374" s="68"/>
      <c r="G2374" s="68"/>
      <c r="H2374" s="64" t="str">
        <f aca="false">IF(OR(A2374="",B2374=""),"",CONCATENATE("https://matarstund.is/serfaedi?id=",LOWER(SUBSTITUTE(B2374," ","-"))))</f>
        <v/>
      </c>
    </row>
    <row r="2375" customFormat="false" ht="15" hidden="false" customHeight="true" outlineLevel="0" collapsed="false">
      <c r="A2375" s="9"/>
      <c r="B2375" s="9"/>
      <c r="C2375" s="9"/>
      <c r="D2375" s="9"/>
      <c r="E2375" s="9"/>
      <c r="F2375" s="9"/>
      <c r="G2375" s="9"/>
      <c r="H2375" s="64" t="str">
        <f aca="false">IF(OR(A2375="",B2375=""),"",CONCATENATE("https://matarstund.is/serfaedi?id=",LOWER(SUBSTITUTE(B2375," ","-"))))</f>
        <v/>
      </c>
    </row>
    <row r="2376" customFormat="false" ht="15" hidden="false" customHeight="true" outlineLevel="0" collapsed="false">
      <c r="A2376" s="68"/>
      <c r="B2376" s="68"/>
      <c r="C2376" s="68"/>
      <c r="D2376" s="68"/>
      <c r="E2376" s="68"/>
      <c r="F2376" s="68"/>
      <c r="G2376" s="68"/>
      <c r="H2376" s="64" t="str">
        <f aca="false">IF(OR(A2376="",B2376=""),"",CONCATENATE("https://matarstund.is/serfaedi?id=",LOWER(SUBSTITUTE(B2376," ","-"))))</f>
        <v/>
      </c>
    </row>
    <row r="2377" customFormat="false" ht="15" hidden="false" customHeight="true" outlineLevel="0" collapsed="false">
      <c r="A2377" s="9"/>
      <c r="B2377" s="9"/>
      <c r="C2377" s="9"/>
      <c r="D2377" s="9"/>
      <c r="E2377" s="9"/>
      <c r="F2377" s="9"/>
      <c r="G2377" s="9"/>
      <c r="H2377" s="64" t="str">
        <f aca="false">IF(OR(A2377="",B2377=""),"",CONCATENATE("https://matarstund.is/serfaedi?id=",LOWER(SUBSTITUTE(B2377," ","-"))))</f>
        <v/>
      </c>
    </row>
    <row r="2378" customFormat="false" ht="15" hidden="false" customHeight="true" outlineLevel="0" collapsed="false">
      <c r="A2378" s="68"/>
      <c r="B2378" s="68"/>
      <c r="C2378" s="68"/>
      <c r="D2378" s="68"/>
      <c r="E2378" s="68"/>
      <c r="F2378" s="68"/>
      <c r="G2378" s="68"/>
      <c r="H2378" s="64" t="str">
        <f aca="false">IF(OR(A2378="",B2378=""),"",CONCATENATE("https://matarstund.is/serfaedi?id=",LOWER(SUBSTITUTE(B2378," ","-"))))</f>
        <v/>
      </c>
    </row>
    <row r="2379" customFormat="false" ht="15" hidden="false" customHeight="true" outlineLevel="0" collapsed="false">
      <c r="A2379" s="9"/>
      <c r="B2379" s="9"/>
      <c r="C2379" s="9"/>
      <c r="D2379" s="9"/>
      <c r="E2379" s="9"/>
      <c r="F2379" s="9"/>
      <c r="G2379" s="9"/>
      <c r="H2379" s="64" t="str">
        <f aca="false">IF(OR(A2379="",B2379=""),"",CONCATENATE("https://matarstund.is/serfaedi?id=",LOWER(SUBSTITUTE(B2379," ","-"))))</f>
        <v/>
      </c>
    </row>
    <row r="2380" customFormat="false" ht="15" hidden="false" customHeight="true" outlineLevel="0" collapsed="false">
      <c r="A2380" s="68"/>
      <c r="B2380" s="68"/>
      <c r="C2380" s="68"/>
      <c r="D2380" s="68"/>
      <c r="E2380" s="68"/>
      <c r="F2380" s="68"/>
      <c r="G2380" s="68"/>
      <c r="H2380" s="64" t="str">
        <f aca="false">IF(OR(A2380="",B2380=""),"",CONCATENATE("https://matarstund.is/serfaedi?id=",LOWER(SUBSTITUTE(B2380," ","-"))))</f>
        <v/>
      </c>
    </row>
    <row r="2381" customFormat="false" ht="15" hidden="false" customHeight="true" outlineLevel="0" collapsed="false">
      <c r="A2381" s="9"/>
      <c r="B2381" s="9"/>
      <c r="C2381" s="9"/>
      <c r="D2381" s="9"/>
      <c r="E2381" s="9"/>
      <c r="F2381" s="9"/>
      <c r="G2381" s="9"/>
      <c r="H2381" s="64" t="str">
        <f aca="false">IF(OR(A2381="",B2381=""),"",CONCATENATE("https://matarstund.is/serfaedi?id=",LOWER(SUBSTITUTE(B2381," ","-"))))</f>
        <v/>
      </c>
    </row>
    <row r="2382" customFormat="false" ht="15" hidden="false" customHeight="true" outlineLevel="0" collapsed="false">
      <c r="A2382" s="68"/>
      <c r="B2382" s="68"/>
      <c r="C2382" s="68"/>
      <c r="D2382" s="68"/>
      <c r="E2382" s="68"/>
      <c r="F2382" s="68"/>
      <c r="G2382" s="68"/>
      <c r="H2382" s="64" t="str">
        <f aca="false">IF(OR(A2382="",B2382=""),"",CONCATENATE("https://matarstund.is/serfaedi?id=",LOWER(SUBSTITUTE(B2382," ","-"))))</f>
        <v/>
      </c>
    </row>
    <row r="2383" customFormat="false" ht="15" hidden="false" customHeight="true" outlineLevel="0" collapsed="false">
      <c r="A2383" s="9"/>
      <c r="B2383" s="9"/>
      <c r="C2383" s="9"/>
      <c r="D2383" s="9"/>
      <c r="E2383" s="9"/>
      <c r="F2383" s="9"/>
      <c r="G2383" s="9"/>
      <c r="H2383" s="64" t="str">
        <f aca="false">IF(OR(A2383="",B2383=""),"",CONCATENATE("https://matarstund.is/serfaedi?id=",LOWER(SUBSTITUTE(B2383," ","-"))))</f>
        <v/>
      </c>
    </row>
    <row r="2384" customFormat="false" ht="15" hidden="false" customHeight="true" outlineLevel="0" collapsed="false">
      <c r="A2384" s="68"/>
      <c r="B2384" s="68"/>
      <c r="C2384" s="68"/>
      <c r="D2384" s="68"/>
      <c r="E2384" s="68"/>
      <c r="F2384" s="68"/>
      <c r="G2384" s="68"/>
      <c r="H2384" s="64" t="str">
        <f aca="false">IF(OR(A2384="",B2384=""),"",CONCATENATE("https://matarstund.is/serfaedi?id=",LOWER(SUBSTITUTE(B2384," ","-"))))</f>
        <v/>
      </c>
    </row>
    <row r="2385" customFormat="false" ht="15" hidden="false" customHeight="true" outlineLevel="0" collapsed="false">
      <c r="A2385" s="9"/>
      <c r="B2385" s="9"/>
      <c r="C2385" s="9"/>
      <c r="D2385" s="9"/>
      <c r="E2385" s="9"/>
      <c r="F2385" s="9"/>
      <c r="G2385" s="9"/>
      <c r="H2385" s="64" t="str">
        <f aca="false">IF(OR(A2385="",B2385=""),"",CONCATENATE("https://matarstund.is/serfaedi?id=",LOWER(SUBSTITUTE(B2385," ","-"))))</f>
        <v/>
      </c>
    </row>
    <row r="2386" customFormat="false" ht="15" hidden="false" customHeight="true" outlineLevel="0" collapsed="false">
      <c r="A2386" s="68"/>
      <c r="B2386" s="68"/>
      <c r="C2386" s="68"/>
      <c r="D2386" s="68"/>
      <c r="E2386" s="68"/>
      <c r="F2386" s="68"/>
      <c r="G2386" s="68"/>
      <c r="H2386" s="64" t="str">
        <f aca="false">IF(OR(A2386="",B2386=""),"",CONCATENATE("https://matarstund.is/serfaedi?id=",LOWER(SUBSTITUTE(B2386," ","-"))))</f>
        <v/>
      </c>
    </row>
    <row r="2387" customFormat="false" ht="15" hidden="false" customHeight="true" outlineLevel="0" collapsed="false">
      <c r="A2387" s="9"/>
      <c r="B2387" s="9"/>
      <c r="C2387" s="9"/>
      <c r="D2387" s="9"/>
      <c r="E2387" s="9"/>
      <c r="F2387" s="9"/>
      <c r="G2387" s="9"/>
      <c r="H2387" s="64" t="str">
        <f aca="false">IF(OR(A2387="",B2387=""),"",CONCATENATE("https://matarstund.is/serfaedi?id=",LOWER(SUBSTITUTE(B2387," ","-"))))</f>
        <v/>
      </c>
    </row>
    <row r="2388" customFormat="false" ht="15" hidden="false" customHeight="true" outlineLevel="0" collapsed="false">
      <c r="A2388" s="68"/>
      <c r="B2388" s="68"/>
      <c r="C2388" s="68"/>
      <c r="D2388" s="68"/>
      <c r="E2388" s="68"/>
      <c r="F2388" s="68"/>
      <c r="G2388" s="68"/>
      <c r="H2388" s="64" t="str">
        <f aca="false">IF(OR(A2388="",B2388=""),"",CONCATENATE("https://matarstund.is/serfaedi?id=",LOWER(SUBSTITUTE(B2388," ","-"))))</f>
        <v/>
      </c>
    </row>
    <row r="2389" customFormat="false" ht="15" hidden="false" customHeight="true" outlineLevel="0" collapsed="false">
      <c r="A2389" s="9"/>
      <c r="B2389" s="9"/>
      <c r="C2389" s="9"/>
      <c r="D2389" s="9"/>
      <c r="E2389" s="9"/>
      <c r="F2389" s="9"/>
      <c r="G2389" s="9"/>
      <c r="H2389" s="64" t="str">
        <f aca="false">IF(OR(A2389="",B2389=""),"",CONCATENATE("https://matarstund.is/serfaedi?id=",LOWER(SUBSTITUTE(B2389," ","-"))))</f>
        <v/>
      </c>
    </row>
    <row r="2390" customFormat="false" ht="15" hidden="false" customHeight="true" outlineLevel="0" collapsed="false">
      <c r="A2390" s="68"/>
      <c r="B2390" s="68"/>
      <c r="C2390" s="68"/>
      <c r="D2390" s="68"/>
      <c r="E2390" s="68"/>
      <c r="F2390" s="68"/>
      <c r="G2390" s="68"/>
      <c r="H2390" s="64" t="str">
        <f aca="false">IF(OR(A2390="",B2390=""),"",CONCATENATE("https://matarstund.is/serfaedi?id=",LOWER(SUBSTITUTE(B2390," ","-"))))</f>
        <v/>
      </c>
    </row>
    <row r="2391" customFormat="false" ht="15" hidden="false" customHeight="true" outlineLevel="0" collapsed="false">
      <c r="A2391" s="9"/>
      <c r="B2391" s="9"/>
      <c r="C2391" s="9"/>
      <c r="D2391" s="9"/>
      <c r="E2391" s="9"/>
      <c r="F2391" s="9"/>
      <c r="G2391" s="9"/>
      <c r="H2391" s="64" t="str">
        <f aca="false">IF(OR(A2391="",B2391=""),"",CONCATENATE("https://matarstund.is/serfaedi?id=",LOWER(SUBSTITUTE(B2391," ","-"))))</f>
        <v/>
      </c>
    </row>
    <row r="2392" customFormat="false" ht="15" hidden="false" customHeight="true" outlineLevel="0" collapsed="false">
      <c r="A2392" s="68"/>
      <c r="B2392" s="68"/>
      <c r="C2392" s="68"/>
      <c r="D2392" s="68"/>
      <c r="E2392" s="68"/>
      <c r="F2392" s="68"/>
      <c r="G2392" s="68"/>
      <c r="H2392" s="64" t="str">
        <f aca="false">IF(OR(A2392="",B2392=""),"",CONCATENATE("https://matarstund.is/serfaedi?id=",LOWER(SUBSTITUTE(B2392," ","-"))))</f>
        <v/>
      </c>
    </row>
    <row r="2393" customFormat="false" ht="15" hidden="false" customHeight="true" outlineLevel="0" collapsed="false">
      <c r="A2393" s="9"/>
      <c r="B2393" s="9"/>
      <c r="C2393" s="9"/>
      <c r="D2393" s="9"/>
      <c r="E2393" s="9"/>
      <c r="F2393" s="9"/>
      <c r="G2393" s="9"/>
      <c r="H2393" s="64" t="str">
        <f aca="false">IF(OR(A2393="",B2393=""),"",CONCATENATE("https://matarstund.is/serfaedi?id=",LOWER(SUBSTITUTE(B2393," ","-"))))</f>
        <v/>
      </c>
    </row>
    <row r="2394" customFormat="false" ht="15" hidden="false" customHeight="true" outlineLevel="0" collapsed="false">
      <c r="A2394" s="68"/>
      <c r="B2394" s="68"/>
      <c r="C2394" s="68"/>
      <c r="D2394" s="68"/>
      <c r="E2394" s="68"/>
      <c r="F2394" s="68"/>
      <c r="G2394" s="68"/>
      <c r="H2394" s="64" t="str">
        <f aca="false">IF(OR(A2394="",B2394=""),"",CONCATENATE("https://matarstund.is/serfaedi?id=",LOWER(SUBSTITUTE(B2394," ","-"))))</f>
        <v/>
      </c>
    </row>
    <row r="2395" customFormat="false" ht="15" hidden="false" customHeight="true" outlineLevel="0" collapsed="false">
      <c r="A2395" s="9"/>
      <c r="B2395" s="9"/>
      <c r="C2395" s="9"/>
      <c r="D2395" s="9"/>
      <c r="E2395" s="9"/>
      <c r="F2395" s="9"/>
      <c r="G2395" s="9"/>
      <c r="H2395" s="64" t="str">
        <f aca="false">IF(OR(A2395="",B2395=""),"",CONCATENATE("https://matarstund.is/serfaedi?id=",LOWER(SUBSTITUTE(B2395," ","-"))))</f>
        <v/>
      </c>
    </row>
    <row r="2396" customFormat="false" ht="15" hidden="false" customHeight="true" outlineLevel="0" collapsed="false">
      <c r="A2396" s="68"/>
      <c r="B2396" s="68"/>
      <c r="C2396" s="68"/>
      <c r="D2396" s="68"/>
      <c r="E2396" s="68"/>
      <c r="F2396" s="68"/>
      <c r="G2396" s="68"/>
      <c r="H2396" s="64" t="str">
        <f aca="false">IF(OR(A2396="",B2396=""),"",CONCATENATE("https://matarstund.is/serfaedi?id=",LOWER(SUBSTITUTE(B2396," ","-"))))</f>
        <v/>
      </c>
    </row>
    <row r="2397" customFormat="false" ht="15" hidden="false" customHeight="true" outlineLevel="0" collapsed="false">
      <c r="A2397" s="9"/>
      <c r="B2397" s="9"/>
      <c r="C2397" s="9"/>
      <c r="D2397" s="9"/>
      <c r="E2397" s="9"/>
      <c r="F2397" s="9"/>
      <c r="G2397" s="9"/>
      <c r="H2397" s="64" t="str">
        <f aca="false">IF(OR(A2397="",B2397=""),"",CONCATENATE("https://matarstund.is/serfaedi?id=",LOWER(SUBSTITUTE(B2397," ","-"))))</f>
        <v/>
      </c>
    </row>
    <row r="2398" customFormat="false" ht="15" hidden="false" customHeight="true" outlineLevel="0" collapsed="false">
      <c r="A2398" s="68"/>
      <c r="B2398" s="68"/>
      <c r="C2398" s="68"/>
      <c r="D2398" s="68"/>
      <c r="E2398" s="68"/>
      <c r="F2398" s="68"/>
      <c r="G2398" s="68"/>
      <c r="H2398" s="64" t="str">
        <f aca="false">IF(OR(A2398="",B2398=""),"",CONCATENATE("https://matarstund.is/serfaedi?id=",LOWER(SUBSTITUTE(B2398," ","-"))))</f>
        <v/>
      </c>
    </row>
    <row r="2399" customFormat="false" ht="15" hidden="false" customHeight="true" outlineLevel="0" collapsed="false">
      <c r="A2399" s="9"/>
      <c r="B2399" s="9"/>
      <c r="C2399" s="9"/>
      <c r="D2399" s="9"/>
      <c r="E2399" s="9"/>
      <c r="F2399" s="9"/>
      <c r="G2399" s="9"/>
      <c r="H2399" s="64" t="str">
        <f aca="false">IF(OR(A2399="",B2399=""),"",CONCATENATE("https://matarstund.is/serfaedi?id=",LOWER(SUBSTITUTE(B2399," ","-"))))</f>
        <v/>
      </c>
    </row>
    <row r="2400" customFormat="false" ht="15" hidden="false" customHeight="true" outlineLevel="0" collapsed="false">
      <c r="A2400" s="68"/>
      <c r="B2400" s="68"/>
      <c r="C2400" s="68"/>
      <c r="D2400" s="68"/>
      <c r="E2400" s="68"/>
      <c r="F2400" s="68"/>
      <c r="G2400" s="68"/>
      <c r="H2400" s="64" t="str">
        <f aca="false">IF(OR(A2400="",B2400=""),"",CONCATENATE("https://matarstund.is/serfaedi?id=",LOWER(SUBSTITUTE(B2400," ","-"))))</f>
        <v/>
      </c>
    </row>
    <row r="2401" customFormat="false" ht="15" hidden="false" customHeight="true" outlineLevel="0" collapsed="false">
      <c r="A2401" s="9"/>
      <c r="B2401" s="9"/>
      <c r="C2401" s="9"/>
      <c r="D2401" s="9"/>
      <c r="E2401" s="9"/>
      <c r="F2401" s="9"/>
      <c r="G2401" s="9"/>
      <c r="H2401" s="64" t="str">
        <f aca="false">IF(OR(A2401="",B2401=""),"",CONCATENATE("https://matarstund.is/serfaedi?id=",LOWER(SUBSTITUTE(B2401," ","-"))))</f>
        <v/>
      </c>
    </row>
    <row r="2402" customFormat="false" ht="15" hidden="false" customHeight="true" outlineLevel="0" collapsed="false">
      <c r="A2402" s="68"/>
      <c r="B2402" s="68"/>
      <c r="C2402" s="68"/>
      <c r="D2402" s="68"/>
      <c r="E2402" s="68"/>
      <c r="F2402" s="68"/>
      <c r="G2402" s="68"/>
      <c r="H2402" s="64" t="str">
        <f aca="false">IF(OR(A2402="",B2402=""),"",CONCATENATE("https://matarstund.is/serfaedi?id=",LOWER(SUBSTITUTE(B2402," ","-"))))</f>
        <v/>
      </c>
    </row>
    <row r="2403" customFormat="false" ht="15" hidden="false" customHeight="true" outlineLevel="0" collapsed="false">
      <c r="A2403" s="9"/>
      <c r="B2403" s="9"/>
      <c r="C2403" s="9"/>
      <c r="D2403" s="9"/>
      <c r="E2403" s="9"/>
      <c r="F2403" s="9"/>
      <c r="G2403" s="9"/>
      <c r="H2403" s="64" t="str">
        <f aca="false">IF(OR(A2403="",B2403=""),"",CONCATENATE("https://matarstund.is/serfaedi?id=",LOWER(SUBSTITUTE(B2403," ","-"))))</f>
        <v/>
      </c>
    </row>
    <row r="2404" customFormat="false" ht="15" hidden="false" customHeight="true" outlineLevel="0" collapsed="false">
      <c r="A2404" s="68"/>
      <c r="B2404" s="68"/>
      <c r="C2404" s="68"/>
      <c r="D2404" s="68"/>
      <c r="E2404" s="68"/>
      <c r="F2404" s="68"/>
      <c r="G2404" s="68"/>
      <c r="H2404" s="64" t="str">
        <f aca="false">IF(OR(A2404="",B2404=""),"",CONCATENATE("https://matarstund.is/serfaedi?id=",LOWER(SUBSTITUTE(B2404," ","-"))))</f>
        <v/>
      </c>
    </row>
    <row r="2405" customFormat="false" ht="15" hidden="false" customHeight="true" outlineLevel="0" collapsed="false">
      <c r="A2405" s="9"/>
      <c r="B2405" s="9"/>
      <c r="C2405" s="9"/>
      <c r="D2405" s="9"/>
      <c r="E2405" s="9"/>
      <c r="F2405" s="9"/>
      <c r="G2405" s="9"/>
      <c r="H2405" s="64" t="str">
        <f aca="false">IF(OR(A2405="",B2405=""),"",CONCATENATE("https://matarstund.is/serfaedi?id=",LOWER(SUBSTITUTE(B2405," ","-"))))</f>
        <v/>
      </c>
    </row>
    <row r="2406" customFormat="false" ht="15" hidden="false" customHeight="true" outlineLevel="0" collapsed="false">
      <c r="A2406" s="68"/>
      <c r="B2406" s="68"/>
      <c r="C2406" s="68"/>
      <c r="D2406" s="68"/>
      <c r="E2406" s="68"/>
      <c r="F2406" s="68"/>
      <c r="G2406" s="68"/>
      <c r="H2406" s="64" t="str">
        <f aca="false">IF(OR(A2406="",B2406=""),"",CONCATENATE("https://matarstund.is/serfaedi?id=",LOWER(SUBSTITUTE(B2406," ","-"))))</f>
        <v/>
      </c>
    </row>
    <row r="2407" customFormat="false" ht="15" hidden="false" customHeight="true" outlineLevel="0" collapsed="false">
      <c r="A2407" s="9"/>
      <c r="B2407" s="9"/>
      <c r="C2407" s="9"/>
      <c r="D2407" s="9"/>
      <c r="E2407" s="9"/>
      <c r="F2407" s="9"/>
      <c r="G2407" s="9"/>
      <c r="H2407" s="64" t="str">
        <f aca="false">IF(OR(A2407="",B2407=""),"",CONCATENATE("https://matarstund.is/serfaedi?id=",LOWER(SUBSTITUTE(B2407," ","-"))))</f>
        <v/>
      </c>
    </row>
    <row r="2408" customFormat="false" ht="15" hidden="false" customHeight="true" outlineLevel="0" collapsed="false">
      <c r="A2408" s="68"/>
      <c r="B2408" s="68"/>
      <c r="C2408" s="68"/>
      <c r="D2408" s="68"/>
      <c r="E2408" s="68"/>
      <c r="F2408" s="68"/>
      <c r="G2408" s="68"/>
      <c r="H2408" s="64" t="str">
        <f aca="false">IF(OR(A2408="",B2408=""),"",CONCATENATE("https://matarstund.is/serfaedi?id=",LOWER(SUBSTITUTE(B2408," ","-"))))</f>
        <v/>
      </c>
    </row>
    <row r="2409" customFormat="false" ht="15" hidden="false" customHeight="true" outlineLevel="0" collapsed="false">
      <c r="A2409" s="9"/>
      <c r="B2409" s="9"/>
      <c r="C2409" s="9"/>
      <c r="D2409" s="9"/>
      <c r="E2409" s="9"/>
      <c r="F2409" s="9"/>
      <c r="G2409" s="9"/>
      <c r="H2409" s="64" t="str">
        <f aca="false">IF(OR(A2409="",B2409=""),"",CONCATENATE("https://matarstund.is/serfaedi?id=",LOWER(SUBSTITUTE(B2409," ","-"))))</f>
        <v/>
      </c>
    </row>
    <row r="2410" customFormat="false" ht="15" hidden="false" customHeight="true" outlineLevel="0" collapsed="false">
      <c r="A2410" s="68"/>
      <c r="B2410" s="68"/>
      <c r="C2410" s="68"/>
      <c r="D2410" s="68"/>
      <c r="E2410" s="68"/>
      <c r="F2410" s="68"/>
      <c r="G2410" s="68"/>
      <c r="H2410" s="64" t="str">
        <f aca="false">IF(OR(A2410="",B2410=""),"",CONCATENATE("https://matarstund.is/serfaedi?id=",LOWER(SUBSTITUTE(B2410," ","-"))))</f>
        <v/>
      </c>
    </row>
    <row r="2411" customFormat="false" ht="15" hidden="false" customHeight="true" outlineLevel="0" collapsed="false">
      <c r="A2411" s="9"/>
      <c r="B2411" s="9"/>
      <c r="C2411" s="9"/>
      <c r="D2411" s="9"/>
      <c r="E2411" s="9"/>
      <c r="F2411" s="9"/>
      <c r="G2411" s="9"/>
      <c r="H2411" s="64" t="str">
        <f aca="false">IF(OR(A2411="",B2411=""),"",CONCATENATE("https://matarstund.is/serfaedi?id=",LOWER(SUBSTITUTE(B2411," ","-"))))</f>
        <v/>
      </c>
    </row>
    <row r="2412" customFormat="false" ht="15" hidden="false" customHeight="true" outlineLevel="0" collapsed="false">
      <c r="A2412" s="68"/>
      <c r="B2412" s="68"/>
      <c r="C2412" s="68"/>
      <c r="D2412" s="68"/>
      <c r="E2412" s="68"/>
      <c r="F2412" s="68"/>
      <c r="G2412" s="68"/>
      <c r="H2412" s="64" t="str">
        <f aca="false">IF(OR(A2412="",B2412=""),"",CONCATENATE("https://matarstund.is/serfaedi?id=",LOWER(SUBSTITUTE(B2412," ","-"))))</f>
        <v/>
      </c>
    </row>
    <row r="2413" customFormat="false" ht="15" hidden="false" customHeight="true" outlineLevel="0" collapsed="false">
      <c r="A2413" s="9"/>
      <c r="B2413" s="9"/>
      <c r="C2413" s="9"/>
      <c r="D2413" s="9"/>
      <c r="E2413" s="9"/>
      <c r="F2413" s="9"/>
      <c r="G2413" s="9"/>
      <c r="H2413" s="64" t="str">
        <f aca="false">IF(OR(A2413="",B2413=""),"",CONCATENATE("https://matarstund.is/serfaedi?id=",LOWER(SUBSTITUTE(B2413," ","-"))))</f>
        <v/>
      </c>
    </row>
    <row r="2414" customFormat="false" ht="15" hidden="false" customHeight="true" outlineLevel="0" collapsed="false">
      <c r="A2414" s="68"/>
      <c r="B2414" s="68"/>
      <c r="C2414" s="68"/>
      <c r="D2414" s="68"/>
      <c r="E2414" s="68"/>
      <c r="F2414" s="68"/>
      <c r="G2414" s="68"/>
      <c r="H2414" s="64" t="str">
        <f aca="false">IF(OR(A2414="",B2414=""),"",CONCATENATE("https://matarstund.is/serfaedi?id=",LOWER(SUBSTITUTE(B2414," ","-"))))</f>
        <v/>
      </c>
    </row>
    <row r="2415" customFormat="false" ht="15" hidden="false" customHeight="true" outlineLevel="0" collapsed="false">
      <c r="A2415" s="9"/>
      <c r="B2415" s="9"/>
      <c r="C2415" s="9"/>
      <c r="D2415" s="9"/>
      <c r="E2415" s="9"/>
      <c r="F2415" s="9"/>
      <c r="G2415" s="9"/>
      <c r="H2415" s="64" t="str">
        <f aca="false">IF(OR(A2415="",B2415=""),"",CONCATENATE("https://matarstund.is/serfaedi?id=",LOWER(SUBSTITUTE(B2415," ","-"))))</f>
        <v/>
      </c>
    </row>
    <row r="2416" customFormat="false" ht="15" hidden="false" customHeight="true" outlineLevel="0" collapsed="false">
      <c r="A2416" s="68"/>
      <c r="B2416" s="68"/>
      <c r="C2416" s="68"/>
      <c r="D2416" s="68"/>
      <c r="E2416" s="68"/>
      <c r="F2416" s="68"/>
      <c r="G2416" s="68"/>
      <c r="H2416" s="64" t="str">
        <f aca="false">IF(OR(A2416="",B2416=""),"",CONCATENATE("https://matarstund.is/serfaedi?id=",LOWER(SUBSTITUTE(B2416," ","-"))))</f>
        <v/>
      </c>
    </row>
    <row r="2417" customFormat="false" ht="15" hidden="false" customHeight="true" outlineLevel="0" collapsed="false">
      <c r="A2417" s="9"/>
      <c r="B2417" s="9"/>
      <c r="C2417" s="9"/>
      <c r="D2417" s="9"/>
      <c r="E2417" s="9"/>
      <c r="F2417" s="9"/>
      <c r="G2417" s="9"/>
      <c r="H2417" s="64" t="str">
        <f aca="false">IF(OR(A2417="",B2417=""),"",CONCATENATE("https://matarstund.is/serfaedi?id=",LOWER(SUBSTITUTE(B2417," ","-"))))</f>
        <v/>
      </c>
    </row>
    <row r="2418" customFormat="false" ht="15" hidden="false" customHeight="true" outlineLevel="0" collapsed="false">
      <c r="A2418" s="68"/>
      <c r="B2418" s="68"/>
      <c r="C2418" s="68"/>
      <c r="D2418" s="68"/>
      <c r="E2418" s="68"/>
      <c r="F2418" s="68"/>
      <c r="G2418" s="68"/>
      <c r="H2418" s="64" t="str">
        <f aca="false">IF(OR(A2418="",B2418=""),"",CONCATENATE("https://matarstund.is/serfaedi?id=",LOWER(SUBSTITUTE(B2418," ","-"))))</f>
        <v/>
      </c>
    </row>
    <row r="2419" customFormat="false" ht="15" hidden="false" customHeight="true" outlineLevel="0" collapsed="false">
      <c r="A2419" s="9"/>
      <c r="B2419" s="9"/>
      <c r="C2419" s="9"/>
      <c r="D2419" s="9"/>
      <c r="E2419" s="9"/>
      <c r="F2419" s="9"/>
      <c r="G2419" s="9"/>
      <c r="H2419" s="64" t="str">
        <f aca="false">IF(OR(A2419="",B2419=""),"",CONCATENATE("https://matarstund.is/serfaedi?id=",LOWER(SUBSTITUTE(B2419," ","-"))))</f>
        <v/>
      </c>
    </row>
    <row r="2420" customFormat="false" ht="15" hidden="false" customHeight="true" outlineLevel="0" collapsed="false">
      <c r="A2420" s="68"/>
      <c r="B2420" s="68"/>
      <c r="C2420" s="68"/>
      <c r="D2420" s="68"/>
      <c r="E2420" s="68"/>
      <c r="F2420" s="68"/>
      <c r="G2420" s="68"/>
      <c r="H2420" s="64" t="str">
        <f aca="false">IF(OR(A2420="",B2420=""),"",CONCATENATE("https://matarstund.is/serfaedi?id=",LOWER(SUBSTITUTE(B2420," ","-"))))</f>
        <v/>
      </c>
    </row>
    <row r="2421" customFormat="false" ht="15" hidden="false" customHeight="true" outlineLevel="0" collapsed="false">
      <c r="A2421" s="9"/>
      <c r="B2421" s="9"/>
      <c r="C2421" s="9"/>
      <c r="D2421" s="9"/>
      <c r="E2421" s="9"/>
      <c r="F2421" s="9"/>
      <c r="G2421" s="9"/>
      <c r="H2421" s="64" t="str">
        <f aca="false">IF(OR(A2421="",B2421=""),"",CONCATENATE("https://matarstund.is/serfaedi?id=",LOWER(SUBSTITUTE(B2421," ","-"))))</f>
        <v/>
      </c>
    </row>
    <row r="2422" customFormat="false" ht="15" hidden="false" customHeight="true" outlineLevel="0" collapsed="false">
      <c r="A2422" s="68"/>
      <c r="B2422" s="68"/>
      <c r="C2422" s="68"/>
      <c r="D2422" s="68"/>
      <c r="E2422" s="68"/>
      <c r="F2422" s="68"/>
      <c r="G2422" s="68"/>
      <c r="H2422" s="64" t="str">
        <f aca="false">IF(OR(A2422="",B2422=""),"",CONCATENATE("https://matarstund.is/serfaedi?id=",LOWER(SUBSTITUTE(B2422," ","-"))))</f>
        <v/>
      </c>
    </row>
    <row r="2423" customFormat="false" ht="15" hidden="false" customHeight="true" outlineLevel="0" collapsed="false">
      <c r="A2423" s="9"/>
      <c r="B2423" s="9"/>
      <c r="C2423" s="9"/>
      <c r="D2423" s="9"/>
      <c r="E2423" s="9"/>
      <c r="F2423" s="9"/>
      <c r="G2423" s="9"/>
      <c r="H2423" s="64" t="str">
        <f aca="false">IF(OR(A2423="",B2423=""),"",CONCATENATE("https://matarstund.is/serfaedi?id=",LOWER(SUBSTITUTE(B2423," ","-"))))</f>
        <v/>
      </c>
    </row>
    <row r="2424" customFormat="false" ht="15" hidden="false" customHeight="true" outlineLevel="0" collapsed="false">
      <c r="A2424" s="68"/>
      <c r="B2424" s="68"/>
      <c r="C2424" s="68"/>
      <c r="D2424" s="68"/>
      <c r="E2424" s="68"/>
      <c r="F2424" s="68"/>
      <c r="G2424" s="68"/>
      <c r="H2424" s="64" t="str">
        <f aca="false">IF(OR(A2424="",B2424=""),"",CONCATENATE("https://matarstund.is/serfaedi?id=",LOWER(SUBSTITUTE(B2424," ","-"))))</f>
        <v/>
      </c>
    </row>
    <row r="2425" customFormat="false" ht="15" hidden="false" customHeight="true" outlineLevel="0" collapsed="false">
      <c r="A2425" s="9"/>
      <c r="B2425" s="9"/>
      <c r="C2425" s="9"/>
      <c r="D2425" s="9"/>
      <c r="E2425" s="9"/>
      <c r="F2425" s="9"/>
      <c r="G2425" s="9"/>
      <c r="H2425" s="64" t="str">
        <f aca="false">IF(OR(A2425="",B2425=""),"",CONCATENATE("https://matarstund.is/serfaedi?id=",LOWER(SUBSTITUTE(B2425," ","-"))))</f>
        <v/>
      </c>
    </row>
    <row r="2426" customFormat="false" ht="15" hidden="false" customHeight="true" outlineLevel="0" collapsed="false">
      <c r="A2426" s="68"/>
      <c r="B2426" s="68"/>
      <c r="C2426" s="68"/>
      <c r="D2426" s="68"/>
      <c r="E2426" s="68"/>
      <c r="F2426" s="68"/>
      <c r="G2426" s="68"/>
      <c r="H2426" s="64" t="str">
        <f aca="false">IF(OR(A2426="",B2426=""),"",CONCATENATE("https://matarstund.is/serfaedi?id=",LOWER(SUBSTITUTE(B2426," ","-"))))</f>
        <v/>
      </c>
    </row>
    <row r="2427" customFormat="false" ht="15" hidden="false" customHeight="true" outlineLevel="0" collapsed="false">
      <c r="A2427" s="9"/>
      <c r="B2427" s="9"/>
      <c r="C2427" s="9"/>
      <c r="D2427" s="9"/>
      <c r="E2427" s="9"/>
      <c r="F2427" s="9"/>
      <c r="G2427" s="9"/>
      <c r="H2427" s="64" t="str">
        <f aca="false">IF(OR(A2427="",B2427=""),"",CONCATENATE("https://matarstund.is/serfaedi?id=",LOWER(SUBSTITUTE(B2427," ","-"))))</f>
        <v/>
      </c>
    </row>
    <row r="2428" customFormat="false" ht="15" hidden="false" customHeight="true" outlineLevel="0" collapsed="false">
      <c r="A2428" s="68"/>
      <c r="B2428" s="68"/>
      <c r="C2428" s="68"/>
      <c r="D2428" s="68"/>
      <c r="E2428" s="68"/>
      <c r="F2428" s="68"/>
      <c r="G2428" s="68"/>
      <c r="H2428" s="64" t="str">
        <f aca="false">IF(OR(A2428="",B2428=""),"",CONCATENATE("https://matarstund.is/serfaedi?id=",LOWER(SUBSTITUTE(B2428," ","-"))))</f>
        <v/>
      </c>
    </row>
    <row r="2429" customFormat="false" ht="15" hidden="false" customHeight="true" outlineLevel="0" collapsed="false">
      <c r="A2429" s="9"/>
      <c r="B2429" s="9"/>
      <c r="C2429" s="9"/>
      <c r="D2429" s="9"/>
      <c r="E2429" s="9"/>
      <c r="F2429" s="9"/>
      <c r="G2429" s="9"/>
      <c r="H2429" s="64" t="str">
        <f aca="false">IF(OR(A2429="",B2429=""),"",CONCATENATE("https://matarstund.is/serfaedi?id=",LOWER(SUBSTITUTE(B2429," ","-"))))</f>
        <v/>
      </c>
    </row>
    <row r="2430" customFormat="false" ht="15" hidden="false" customHeight="true" outlineLevel="0" collapsed="false">
      <c r="A2430" s="68"/>
      <c r="B2430" s="68"/>
      <c r="C2430" s="68"/>
      <c r="D2430" s="68"/>
      <c r="E2430" s="68"/>
      <c r="F2430" s="68"/>
      <c r="G2430" s="68"/>
      <c r="H2430" s="64" t="str">
        <f aca="false">IF(OR(A2430="",B2430=""),"",CONCATENATE("https://matarstund.is/serfaedi?id=",LOWER(SUBSTITUTE(B2430," ","-"))))</f>
        <v/>
      </c>
    </row>
    <row r="2431" customFormat="false" ht="15" hidden="false" customHeight="true" outlineLevel="0" collapsed="false">
      <c r="A2431" s="9"/>
      <c r="B2431" s="9"/>
      <c r="C2431" s="9"/>
      <c r="D2431" s="9"/>
      <c r="E2431" s="9"/>
      <c r="F2431" s="9"/>
      <c r="G2431" s="9"/>
      <c r="H2431" s="64" t="str">
        <f aca="false">IF(OR(A2431="",B2431=""),"",CONCATENATE("https://matarstund.is/serfaedi?id=",LOWER(SUBSTITUTE(B2431," ","-"))))</f>
        <v/>
      </c>
    </row>
    <row r="2432" customFormat="false" ht="15" hidden="false" customHeight="true" outlineLevel="0" collapsed="false">
      <c r="A2432" s="68"/>
      <c r="B2432" s="68"/>
      <c r="C2432" s="68"/>
      <c r="D2432" s="68"/>
      <c r="E2432" s="68"/>
      <c r="F2432" s="68"/>
      <c r="G2432" s="68"/>
      <c r="H2432" s="64" t="str">
        <f aca="false">IF(OR(A2432="",B2432=""),"",CONCATENATE("https://matarstund.is/serfaedi?id=",LOWER(SUBSTITUTE(B2432," ","-"))))</f>
        <v/>
      </c>
    </row>
    <row r="2433" customFormat="false" ht="15" hidden="false" customHeight="true" outlineLevel="0" collapsed="false">
      <c r="A2433" s="9"/>
      <c r="B2433" s="9"/>
      <c r="C2433" s="9"/>
      <c r="D2433" s="9"/>
      <c r="E2433" s="9"/>
      <c r="F2433" s="9"/>
      <c r="G2433" s="9"/>
      <c r="H2433" s="64" t="str">
        <f aca="false">IF(OR(A2433="",B2433=""),"",CONCATENATE("https://matarstund.is/serfaedi?id=",LOWER(SUBSTITUTE(B2433," ","-"))))</f>
        <v/>
      </c>
    </row>
    <row r="2434" customFormat="false" ht="15" hidden="false" customHeight="true" outlineLevel="0" collapsed="false">
      <c r="A2434" s="68"/>
      <c r="B2434" s="68"/>
      <c r="C2434" s="68"/>
      <c r="D2434" s="68"/>
      <c r="E2434" s="68"/>
      <c r="F2434" s="68"/>
      <c r="G2434" s="68"/>
      <c r="H2434" s="64" t="str">
        <f aca="false">IF(OR(A2434="",B2434=""),"",CONCATENATE("https://matarstund.is/serfaedi?id=",LOWER(SUBSTITUTE(B2434," ","-"))))</f>
        <v/>
      </c>
    </row>
    <row r="2435" customFormat="false" ht="15" hidden="false" customHeight="true" outlineLevel="0" collapsed="false">
      <c r="A2435" s="9"/>
      <c r="B2435" s="9"/>
      <c r="C2435" s="9"/>
      <c r="D2435" s="9"/>
      <c r="E2435" s="9"/>
      <c r="F2435" s="9"/>
      <c r="G2435" s="9"/>
      <c r="H2435" s="64" t="str">
        <f aca="false">IF(OR(A2435="",B2435=""),"",CONCATENATE("https://matarstund.is/serfaedi?id=",LOWER(SUBSTITUTE(B2435," ","-"))))</f>
        <v/>
      </c>
    </row>
    <row r="2436" customFormat="false" ht="15" hidden="false" customHeight="true" outlineLevel="0" collapsed="false">
      <c r="A2436" s="68"/>
      <c r="B2436" s="68"/>
      <c r="C2436" s="68"/>
      <c r="D2436" s="68"/>
      <c r="E2436" s="68"/>
      <c r="F2436" s="68"/>
      <c r="G2436" s="68"/>
      <c r="H2436" s="64" t="str">
        <f aca="false">IF(OR(A2436="",B2436=""),"",CONCATENATE("https://matarstund.is/serfaedi?id=",LOWER(SUBSTITUTE(B2436," ","-"))))</f>
        <v/>
      </c>
    </row>
    <row r="2437" customFormat="false" ht="15" hidden="false" customHeight="true" outlineLevel="0" collapsed="false">
      <c r="A2437" s="9"/>
      <c r="B2437" s="9"/>
      <c r="C2437" s="9"/>
      <c r="D2437" s="9"/>
      <c r="E2437" s="9"/>
      <c r="F2437" s="9"/>
      <c r="G2437" s="9"/>
      <c r="H2437" s="64" t="str">
        <f aca="false">IF(OR(A2437="",B2437=""),"",CONCATENATE("https://matarstund.is/serfaedi?id=",LOWER(SUBSTITUTE(B2437," ","-"))))</f>
        <v/>
      </c>
    </row>
    <row r="2438" customFormat="false" ht="15" hidden="false" customHeight="true" outlineLevel="0" collapsed="false">
      <c r="A2438" s="68"/>
      <c r="B2438" s="68"/>
      <c r="C2438" s="68"/>
      <c r="D2438" s="68"/>
      <c r="E2438" s="68"/>
      <c r="F2438" s="68"/>
      <c r="G2438" s="68"/>
      <c r="H2438" s="64" t="str">
        <f aca="false">IF(OR(A2438="",B2438=""),"",CONCATENATE("https://matarstund.is/serfaedi?id=",LOWER(SUBSTITUTE(B2438," ","-"))))</f>
        <v/>
      </c>
    </row>
    <row r="2439" customFormat="false" ht="15" hidden="false" customHeight="true" outlineLevel="0" collapsed="false">
      <c r="A2439" s="9"/>
      <c r="B2439" s="9"/>
      <c r="C2439" s="9"/>
      <c r="D2439" s="9"/>
      <c r="E2439" s="9"/>
      <c r="F2439" s="9"/>
      <c r="G2439" s="9"/>
      <c r="H2439" s="64" t="str">
        <f aca="false">IF(OR(A2439="",B2439=""),"",CONCATENATE("https://matarstund.is/serfaedi?id=",LOWER(SUBSTITUTE(B2439," ","-"))))</f>
        <v/>
      </c>
    </row>
    <row r="2440" customFormat="false" ht="15" hidden="false" customHeight="true" outlineLevel="0" collapsed="false">
      <c r="A2440" s="68"/>
      <c r="B2440" s="68"/>
      <c r="C2440" s="68"/>
      <c r="D2440" s="68"/>
      <c r="E2440" s="68"/>
      <c r="F2440" s="68"/>
      <c r="G2440" s="68"/>
      <c r="H2440" s="64" t="str">
        <f aca="false">IF(OR(A2440="",B2440=""),"",CONCATENATE("https://matarstund.is/serfaedi?id=",LOWER(SUBSTITUTE(B2440," ","-"))))</f>
        <v/>
      </c>
    </row>
    <row r="2441" customFormat="false" ht="15" hidden="false" customHeight="true" outlineLevel="0" collapsed="false">
      <c r="A2441" s="9"/>
      <c r="B2441" s="9"/>
      <c r="C2441" s="9"/>
      <c r="D2441" s="9"/>
      <c r="E2441" s="9"/>
      <c r="F2441" s="9"/>
      <c r="G2441" s="9"/>
      <c r="H2441" s="64" t="str">
        <f aca="false">IF(OR(A2441="",B2441=""),"",CONCATENATE("https://matarstund.is/serfaedi?id=",LOWER(SUBSTITUTE(B2441," ","-"))))</f>
        <v/>
      </c>
    </row>
    <row r="2442" customFormat="false" ht="15" hidden="false" customHeight="true" outlineLevel="0" collapsed="false">
      <c r="A2442" s="68"/>
      <c r="B2442" s="68"/>
      <c r="C2442" s="68"/>
      <c r="D2442" s="68"/>
      <c r="E2442" s="68"/>
      <c r="F2442" s="68"/>
      <c r="G2442" s="68"/>
      <c r="H2442" s="64" t="str">
        <f aca="false">IF(OR(A2442="",B2442=""),"",CONCATENATE("https://matarstund.is/serfaedi?id=",LOWER(SUBSTITUTE(B2442," ","-"))))</f>
        <v/>
      </c>
    </row>
    <row r="2443" customFormat="false" ht="15" hidden="false" customHeight="true" outlineLevel="0" collapsed="false">
      <c r="A2443" s="9"/>
      <c r="B2443" s="9"/>
      <c r="C2443" s="9"/>
      <c r="D2443" s="9"/>
      <c r="E2443" s="9"/>
      <c r="F2443" s="9"/>
      <c r="G2443" s="9"/>
      <c r="H2443" s="64" t="str">
        <f aca="false">IF(OR(A2443="",B2443=""),"",CONCATENATE("https://matarstund.is/serfaedi?id=",LOWER(SUBSTITUTE(B2443," ","-"))))</f>
        <v/>
      </c>
    </row>
    <row r="2444" customFormat="false" ht="15" hidden="false" customHeight="true" outlineLevel="0" collapsed="false">
      <c r="A2444" s="68"/>
      <c r="B2444" s="68"/>
      <c r="C2444" s="68"/>
      <c r="D2444" s="68"/>
      <c r="E2444" s="68"/>
      <c r="F2444" s="68"/>
      <c r="G2444" s="68"/>
      <c r="H2444" s="64" t="str">
        <f aca="false">IF(OR(A2444="",B2444=""),"",CONCATENATE("https://matarstund.is/serfaedi?id=",LOWER(SUBSTITUTE(B2444," ","-"))))</f>
        <v/>
      </c>
    </row>
    <row r="2445" customFormat="false" ht="15" hidden="false" customHeight="true" outlineLevel="0" collapsed="false">
      <c r="A2445" s="9"/>
      <c r="B2445" s="9"/>
      <c r="C2445" s="9"/>
      <c r="D2445" s="9"/>
      <c r="E2445" s="9"/>
      <c r="F2445" s="9"/>
      <c r="G2445" s="9"/>
      <c r="H2445" s="64" t="str">
        <f aca="false">IF(OR(A2445="",B2445=""),"",CONCATENATE("https://matarstund.is/serfaedi?id=",LOWER(SUBSTITUTE(B2445," ","-"))))</f>
        <v/>
      </c>
    </row>
    <row r="2446" customFormat="false" ht="15" hidden="false" customHeight="true" outlineLevel="0" collapsed="false">
      <c r="A2446" s="68"/>
      <c r="B2446" s="68"/>
      <c r="C2446" s="68"/>
      <c r="D2446" s="68"/>
      <c r="E2446" s="68"/>
      <c r="F2446" s="68"/>
      <c r="G2446" s="68"/>
      <c r="H2446" s="64" t="str">
        <f aca="false">IF(OR(A2446="",B2446=""),"",CONCATENATE("https://matarstund.is/serfaedi?id=",LOWER(SUBSTITUTE(B2446," ","-"))))</f>
        <v/>
      </c>
    </row>
    <row r="2447" customFormat="false" ht="15" hidden="false" customHeight="true" outlineLevel="0" collapsed="false">
      <c r="A2447" s="9"/>
      <c r="B2447" s="9"/>
      <c r="C2447" s="9"/>
      <c r="D2447" s="9"/>
      <c r="E2447" s="9"/>
      <c r="F2447" s="9"/>
      <c r="G2447" s="9"/>
      <c r="H2447" s="64" t="str">
        <f aca="false">IF(OR(A2447="",B2447=""),"",CONCATENATE("https://matarstund.is/serfaedi?id=",LOWER(SUBSTITUTE(B2447," ","-"))))</f>
        <v/>
      </c>
    </row>
    <row r="2448" customFormat="false" ht="15" hidden="false" customHeight="true" outlineLevel="0" collapsed="false">
      <c r="A2448" s="68"/>
      <c r="B2448" s="68"/>
      <c r="C2448" s="68"/>
      <c r="D2448" s="68"/>
      <c r="E2448" s="68"/>
      <c r="F2448" s="68"/>
      <c r="G2448" s="68"/>
      <c r="H2448" s="64" t="str">
        <f aca="false">IF(OR(A2448="",B2448=""),"",CONCATENATE("https://matarstund.is/serfaedi?id=",LOWER(SUBSTITUTE(B2448," ","-"))))</f>
        <v/>
      </c>
    </row>
    <row r="2449" customFormat="false" ht="15" hidden="false" customHeight="true" outlineLevel="0" collapsed="false">
      <c r="A2449" s="9"/>
      <c r="B2449" s="9"/>
      <c r="C2449" s="9"/>
      <c r="D2449" s="9"/>
      <c r="E2449" s="9"/>
      <c r="F2449" s="9"/>
      <c r="G2449" s="9"/>
      <c r="H2449" s="64" t="str">
        <f aca="false">IF(OR(A2449="",B2449=""),"",CONCATENATE("https://matarstund.is/serfaedi?id=",LOWER(SUBSTITUTE(B2449," ","-"))))</f>
        <v/>
      </c>
    </row>
    <row r="2450" customFormat="false" ht="15" hidden="false" customHeight="true" outlineLevel="0" collapsed="false">
      <c r="A2450" s="68"/>
      <c r="B2450" s="68"/>
      <c r="C2450" s="68"/>
      <c r="D2450" s="68"/>
      <c r="E2450" s="68"/>
      <c r="F2450" s="68"/>
      <c r="G2450" s="68"/>
      <c r="H2450" s="64" t="str">
        <f aca="false">IF(OR(A2450="",B2450=""),"",CONCATENATE("https://matarstund.is/serfaedi?id=",LOWER(SUBSTITUTE(B2450," ","-"))))</f>
        <v/>
      </c>
    </row>
    <row r="2451" customFormat="false" ht="15" hidden="false" customHeight="true" outlineLevel="0" collapsed="false">
      <c r="A2451" s="9"/>
      <c r="B2451" s="9"/>
      <c r="C2451" s="9"/>
      <c r="D2451" s="9"/>
      <c r="E2451" s="9"/>
      <c r="F2451" s="9"/>
      <c r="G2451" s="9"/>
      <c r="H2451" s="64" t="str">
        <f aca="false">IF(OR(A2451="",B2451=""),"",CONCATENATE("https://matarstund.is/serfaedi?id=",LOWER(SUBSTITUTE(B2451," ","-"))))</f>
        <v/>
      </c>
    </row>
    <row r="2452" customFormat="false" ht="15" hidden="false" customHeight="true" outlineLevel="0" collapsed="false">
      <c r="A2452" s="68"/>
      <c r="B2452" s="68"/>
      <c r="C2452" s="68"/>
      <c r="D2452" s="68"/>
      <c r="E2452" s="68"/>
      <c r="F2452" s="68"/>
      <c r="G2452" s="68"/>
      <c r="H2452" s="64" t="str">
        <f aca="false">IF(OR(A2452="",B2452=""),"",CONCATENATE("https://matarstund.is/serfaedi?id=",LOWER(SUBSTITUTE(B2452," ","-"))))</f>
        <v/>
      </c>
    </row>
    <row r="2453" customFormat="false" ht="15" hidden="false" customHeight="true" outlineLevel="0" collapsed="false">
      <c r="A2453" s="9"/>
      <c r="B2453" s="9"/>
      <c r="C2453" s="9"/>
      <c r="D2453" s="9"/>
      <c r="E2453" s="9"/>
      <c r="F2453" s="9"/>
      <c r="G2453" s="9"/>
      <c r="H2453" s="64" t="str">
        <f aca="false">IF(OR(A2453="",B2453=""),"",CONCATENATE("https://matarstund.is/serfaedi?id=",LOWER(SUBSTITUTE(B2453," ","-"))))</f>
        <v/>
      </c>
    </row>
    <row r="2454" customFormat="false" ht="15" hidden="false" customHeight="true" outlineLevel="0" collapsed="false">
      <c r="A2454" s="68"/>
      <c r="B2454" s="68"/>
      <c r="C2454" s="68"/>
      <c r="D2454" s="68"/>
      <c r="E2454" s="68"/>
      <c r="F2454" s="68"/>
      <c r="G2454" s="68"/>
      <c r="H2454" s="64" t="str">
        <f aca="false">IF(OR(A2454="",B2454=""),"",CONCATENATE("https://matarstund.is/serfaedi?id=",LOWER(SUBSTITUTE(B2454," ","-"))))</f>
        <v/>
      </c>
    </row>
    <row r="2455" customFormat="false" ht="15" hidden="false" customHeight="true" outlineLevel="0" collapsed="false">
      <c r="A2455" s="9"/>
      <c r="B2455" s="9"/>
      <c r="C2455" s="9"/>
      <c r="D2455" s="9"/>
      <c r="E2455" s="9"/>
      <c r="F2455" s="9"/>
      <c r="G2455" s="9"/>
      <c r="H2455" s="64" t="str">
        <f aca="false">IF(OR(A2455="",B2455=""),"",CONCATENATE("https://matarstund.is/serfaedi?id=",LOWER(SUBSTITUTE(B2455," ","-"))))</f>
        <v/>
      </c>
    </row>
    <row r="2456" customFormat="false" ht="15" hidden="false" customHeight="true" outlineLevel="0" collapsed="false">
      <c r="A2456" s="68"/>
      <c r="B2456" s="68"/>
      <c r="C2456" s="68"/>
      <c r="D2456" s="68"/>
      <c r="E2456" s="68"/>
      <c r="F2456" s="68"/>
      <c r="G2456" s="68"/>
      <c r="H2456" s="64" t="str">
        <f aca="false">IF(OR(A2456="",B2456=""),"",CONCATENATE("https://matarstund.is/serfaedi?id=",LOWER(SUBSTITUTE(B2456," ","-"))))</f>
        <v/>
      </c>
    </row>
    <row r="2457" customFormat="false" ht="15" hidden="false" customHeight="true" outlineLevel="0" collapsed="false">
      <c r="A2457" s="9"/>
      <c r="B2457" s="9"/>
      <c r="C2457" s="9"/>
      <c r="D2457" s="9"/>
      <c r="E2457" s="9"/>
      <c r="F2457" s="9"/>
      <c r="G2457" s="9"/>
      <c r="H2457" s="64" t="str">
        <f aca="false">IF(OR(A2457="",B2457=""),"",CONCATENATE("https://matarstund.is/serfaedi?id=",LOWER(SUBSTITUTE(B2457," ","-"))))</f>
        <v/>
      </c>
    </row>
    <row r="2458" customFormat="false" ht="15" hidden="false" customHeight="true" outlineLevel="0" collapsed="false">
      <c r="A2458" s="68"/>
      <c r="B2458" s="68"/>
      <c r="C2458" s="68"/>
      <c r="D2458" s="68"/>
      <c r="E2458" s="68"/>
      <c r="F2458" s="68"/>
      <c r="G2458" s="68"/>
      <c r="H2458" s="64" t="str">
        <f aca="false">IF(OR(A2458="",B2458=""),"",CONCATENATE("https://matarstund.is/serfaedi?id=",LOWER(SUBSTITUTE(B2458," ","-"))))</f>
        <v/>
      </c>
    </row>
    <row r="2459" customFormat="false" ht="15" hidden="false" customHeight="true" outlineLevel="0" collapsed="false">
      <c r="A2459" s="9"/>
      <c r="B2459" s="9"/>
      <c r="C2459" s="9"/>
      <c r="D2459" s="9"/>
      <c r="E2459" s="9"/>
      <c r="F2459" s="9"/>
      <c r="G2459" s="9"/>
      <c r="H2459" s="64" t="str">
        <f aca="false">IF(OR(A2459="",B2459=""),"",CONCATENATE("https://matarstund.is/serfaedi?id=",LOWER(SUBSTITUTE(B2459," ","-"))))</f>
        <v/>
      </c>
    </row>
    <row r="2460" customFormat="false" ht="15" hidden="false" customHeight="true" outlineLevel="0" collapsed="false">
      <c r="A2460" s="68"/>
      <c r="B2460" s="68"/>
      <c r="C2460" s="68"/>
      <c r="D2460" s="68"/>
      <c r="E2460" s="68"/>
      <c r="F2460" s="68"/>
      <c r="G2460" s="68"/>
      <c r="H2460" s="64" t="str">
        <f aca="false">IF(OR(A2460="",B2460=""),"",CONCATENATE("https://matarstund.is/serfaedi?id=",LOWER(SUBSTITUTE(B2460," ","-"))))</f>
        <v/>
      </c>
    </row>
    <row r="2461" customFormat="false" ht="15" hidden="false" customHeight="true" outlineLevel="0" collapsed="false">
      <c r="A2461" s="9"/>
      <c r="B2461" s="9"/>
      <c r="C2461" s="9"/>
      <c r="D2461" s="9"/>
      <c r="E2461" s="9"/>
      <c r="F2461" s="9"/>
      <c r="G2461" s="9"/>
      <c r="H2461" s="64" t="str">
        <f aca="false">IF(OR(A2461="",B2461=""),"",CONCATENATE("https://matarstund.is/serfaedi?id=",LOWER(SUBSTITUTE(B2461," ","-"))))</f>
        <v/>
      </c>
    </row>
    <row r="2462" customFormat="false" ht="15" hidden="false" customHeight="true" outlineLevel="0" collapsed="false">
      <c r="A2462" s="68"/>
      <c r="B2462" s="68"/>
      <c r="C2462" s="68"/>
      <c r="D2462" s="68"/>
      <c r="E2462" s="68"/>
      <c r="F2462" s="68"/>
      <c r="G2462" s="68"/>
      <c r="H2462" s="64" t="str">
        <f aca="false">IF(OR(A2462="",B2462=""),"",CONCATENATE("https://matarstund.is/serfaedi?id=",LOWER(SUBSTITUTE(B2462," ","-"))))</f>
        <v/>
      </c>
    </row>
    <row r="2463" customFormat="false" ht="15" hidden="false" customHeight="true" outlineLevel="0" collapsed="false">
      <c r="A2463" s="9"/>
      <c r="B2463" s="9"/>
      <c r="C2463" s="9"/>
      <c r="D2463" s="9"/>
      <c r="E2463" s="9"/>
      <c r="F2463" s="9"/>
      <c r="G2463" s="9"/>
      <c r="H2463" s="64" t="str">
        <f aca="false">IF(OR(A2463="",B2463=""),"",CONCATENATE("https://matarstund.is/serfaedi?id=",LOWER(SUBSTITUTE(B2463," ","-"))))</f>
        <v/>
      </c>
    </row>
    <row r="2464" customFormat="false" ht="15" hidden="false" customHeight="true" outlineLevel="0" collapsed="false">
      <c r="A2464" s="68"/>
      <c r="B2464" s="68"/>
      <c r="C2464" s="68"/>
      <c r="D2464" s="68"/>
      <c r="E2464" s="68"/>
      <c r="F2464" s="68"/>
      <c r="G2464" s="68"/>
      <c r="H2464" s="64" t="str">
        <f aca="false">IF(OR(A2464="",B2464=""),"",CONCATENATE("https://matarstund.is/serfaedi?id=",LOWER(SUBSTITUTE(B2464," ","-"))))</f>
        <v/>
      </c>
    </row>
    <row r="2465" customFormat="false" ht="15" hidden="false" customHeight="true" outlineLevel="0" collapsed="false">
      <c r="A2465" s="9"/>
      <c r="B2465" s="9"/>
      <c r="C2465" s="9"/>
      <c r="D2465" s="9"/>
      <c r="E2465" s="9"/>
      <c r="F2465" s="9"/>
      <c r="G2465" s="9"/>
      <c r="H2465" s="64" t="str">
        <f aca="false">IF(OR(A2465="",B2465=""),"",CONCATENATE("https://matarstund.is/serfaedi?id=",LOWER(SUBSTITUTE(B2465," ","-"))))</f>
        <v/>
      </c>
    </row>
    <row r="2466" customFormat="false" ht="15" hidden="false" customHeight="true" outlineLevel="0" collapsed="false">
      <c r="A2466" s="68"/>
      <c r="B2466" s="68"/>
      <c r="C2466" s="68"/>
      <c r="D2466" s="68"/>
      <c r="E2466" s="68"/>
      <c r="F2466" s="68"/>
      <c r="G2466" s="68"/>
      <c r="H2466" s="64" t="str">
        <f aca="false">IF(OR(A2466="",B2466=""),"",CONCATENATE("https://matarstund.is/serfaedi?id=",LOWER(SUBSTITUTE(B2466," ","-"))))</f>
        <v/>
      </c>
    </row>
    <row r="2467" customFormat="false" ht="15" hidden="false" customHeight="true" outlineLevel="0" collapsed="false">
      <c r="A2467" s="9"/>
      <c r="B2467" s="9"/>
      <c r="C2467" s="9"/>
      <c r="D2467" s="9"/>
      <c r="E2467" s="9"/>
      <c r="F2467" s="9"/>
      <c r="G2467" s="9"/>
      <c r="H2467" s="64" t="str">
        <f aca="false">IF(OR(A2467="",B2467=""),"",CONCATENATE("https://matarstund.is/serfaedi?id=",LOWER(SUBSTITUTE(B2467," ","-"))))</f>
        <v/>
      </c>
    </row>
    <row r="2468" customFormat="false" ht="15" hidden="false" customHeight="true" outlineLevel="0" collapsed="false">
      <c r="A2468" s="68"/>
      <c r="B2468" s="68"/>
      <c r="C2468" s="68"/>
      <c r="D2468" s="68"/>
      <c r="E2468" s="68"/>
      <c r="F2468" s="68"/>
      <c r="G2468" s="68"/>
      <c r="H2468" s="64" t="str">
        <f aca="false">IF(OR(A2468="",B2468=""),"",CONCATENATE("https://matarstund.is/serfaedi?id=",LOWER(SUBSTITUTE(B2468," ","-"))))</f>
        <v/>
      </c>
    </row>
    <row r="2469" customFormat="false" ht="15" hidden="false" customHeight="true" outlineLevel="0" collapsed="false">
      <c r="A2469" s="9"/>
      <c r="B2469" s="9"/>
      <c r="C2469" s="9"/>
      <c r="D2469" s="9"/>
      <c r="E2469" s="9"/>
      <c r="F2469" s="9"/>
      <c r="G2469" s="9"/>
      <c r="H2469" s="64" t="str">
        <f aca="false">IF(OR(A2469="",B2469=""),"",CONCATENATE("https://matarstund.is/serfaedi?id=",LOWER(SUBSTITUTE(B2469," ","-"))))</f>
        <v/>
      </c>
    </row>
    <row r="2470" customFormat="false" ht="15" hidden="false" customHeight="true" outlineLevel="0" collapsed="false">
      <c r="A2470" s="68"/>
      <c r="B2470" s="68"/>
      <c r="C2470" s="68"/>
      <c r="D2470" s="68"/>
      <c r="E2470" s="68"/>
      <c r="F2470" s="68"/>
      <c r="G2470" s="68"/>
      <c r="H2470" s="64" t="str">
        <f aca="false">IF(OR(A2470="",B2470=""),"",CONCATENATE("https://matarstund.is/serfaedi?id=",LOWER(SUBSTITUTE(B2470," ","-"))))</f>
        <v/>
      </c>
    </row>
    <row r="2471" customFormat="false" ht="15" hidden="false" customHeight="true" outlineLevel="0" collapsed="false">
      <c r="A2471" s="9"/>
      <c r="B2471" s="9"/>
      <c r="C2471" s="9"/>
      <c r="D2471" s="9"/>
      <c r="E2471" s="9"/>
      <c r="F2471" s="9"/>
      <c r="G2471" s="9"/>
      <c r="H2471" s="64" t="str">
        <f aca="false">IF(OR(A2471="",B2471=""),"",CONCATENATE("https://matarstund.is/serfaedi?id=",LOWER(SUBSTITUTE(B2471," ","-"))))</f>
        <v/>
      </c>
    </row>
    <row r="2472" customFormat="false" ht="15" hidden="false" customHeight="true" outlineLevel="0" collapsed="false">
      <c r="A2472" s="68"/>
      <c r="B2472" s="68"/>
      <c r="C2472" s="68"/>
      <c r="D2472" s="68"/>
      <c r="E2472" s="68"/>
      <c r="F2472" s="68"/>
      <c r="G2472" s="68"/>
      <c r="H2472" s="64" t="str">
        <f aca="false">IF(OR(A2472="",B2472=""),"",CONCATENATE("https://matarstund.is/serfaedi?id=",LOWER(SUBSTITUTE(B2472," ","-"))))</f>
        <v/>
      </c>
    </row>
    <row r="2473" customFormat="false" ht="15" hidden="false" customHeight="true" outlineLevel="0" collapsed="false">
      <c r="A2473" s="9"/>
      <c r="B2473" s="9"/>
      <c r="C2473" s="9"/>
      <c r="D2473" s="9"/>
      <c r="E2473" s="9"/>
      <c r="F2473" s="9"/>
      <c r="G2473" s="9"/>
      <c r="H2473" s="64" t="str">
        <f aca="false">IF(OR(A2473="",B2473=""),"",CONCATENATE("https://matarstund.is/serfaedi?id=",LOWER(SUBSTITUTE(B2473," ","-"))))</f>
        <v/>
      </c>
    </row>
    <row r="2474" customFormat="false" ht="15" hidden="false" customHeight="true" outlineLevel="0" collapsed="false">
      <c r="A2474" s="68"/>
      <c r="B2474" s="68"/>
      <c r="C2474" s="68"/>
      <c r="D2474" s="68"/>
      <c r="E2474" s="68"/>
      <c r="F2474" s="68"/>
      <c r="G2474" s="68"/>
      <c r="H2474" s="64" t="str">
        <f aca="false">IF(OR(A2474="",B2474=""),"",CONCATENATE("https://matarstund.is/serfaedi?id=",LOWER(SUBSTITUTE(B2474," ","-"))))</f>
        <v/>
      </c>
    </row>
    <row r="2475" customFormat="false" ht="15" hidden="false" customHeight="true" outlineLevel="0" collapsed="false">
      <c r="A2475" s="9"/>
      <c r="B2475" s="9"/>
      <c r="C2475" s="9"/>
      <c r="D2475" s="9"/>
      <c r="E2475" s="9"/>
      <c r="F2475" s="9"/>
      <c r="G2475" s="9"/>
      <c r="H2475" s="64" t="str">
        <f aca="false">IF(OR(A2475="",B2475=""),"",CONCATENATE("https://matarstund.is/serfaedi?id=",LOWER(SUBSTITUTE(B2475," ","-"))))</f>
        <v/>
      </c>
    </row>
    <row r="2476" customFormat="false" ht="15" hidden="false" customHeight="true" outlineLevel="0" collapsed="false">
      <c r="A2476" s="68"/>
      <c r="B2476" s="68"/>
      <c r="C2476" s="68"/>
      <c r="D2476" s="68"/>
      <c r="E2476" s="68"/>
      <c r="F2476" s="68"/>
      <c r="G2476" s="68"/>
      <c r="H2476" s="64" t="str">
        <f aca="false">IF(OR(A2476="",B2476=""),"",CONCATENATE("https://matarstund.is/serfaedi?id=",LOWER(SUBSTITUTE(B2476," ","-"))))</f>
        <v/>
      </c>
    </row>
    <row r="2477" customFormat="false" ht="15" hidden="false" customHeight="true" outlineLevel="0" collapsed="false">
      <c r="A2477" s="9"/>
      <c r="B2477" s="9"/>
      <c r="C2477" s="9"/>
      <c r="D2477" s="9"/>
      <c r="E2477" s="9"/>
      <c r="F2477" s="9"/>
      <c r="G2477" s="9"/>
      <c r="H2477" s="64" t="str">
        <f aca="false">IF(OR(A2477="",B2477=""),"",CONCATENATE("https://matarstund.is/serfaedi?id=",LOWER(SUBSTITUTE(B2477," ","-"))))</f>
        <v/>
      </c>
    </row>
    <row r="2478" customFormat="false" ht="15" hidden="false" customHeight="true" outlineLevel="0" collapsed="false">
      <c r="A2478" s="68"/>
      <c r="B2478" s="68"/>
      <c r="C2478" s="68"/>
      <c r="D2478" s="68"/>
      <c r="E2478" s="68"/>
      <c r="F2478" s="68"/>
      <c r="G2478" s="68"/>
      <c r="H2478" s="64" t="str">
        <f aca="false">IF(OR(A2478="",B2478=""),"",CONCATENATE("https://matarstund.is/serfaedi?id=",LOWER(SUBSTITUTE(B2478," ","-"))))</f>
        <v/>
      </c>
    </row>
    <row r="2479" customFormat="false" ht="15" hidden="false" customHeight="true" outlineLevel="0" collapsed="false">
      <c r="A2479" s="9"/>
      <c r="B2479" s="9"/>
      <c r="C2479" s="9"/>
      <c r="D2479" s="9"/>
      <c r="E2479" s="9"/>
      <c r="F2479" s="9"/>
      <c r="G2479" s="9"/>
      <c r="H2479" s="64" t="str">
        <f aca="false">IF(OR(A2479="",B2479=""),"",CONCATENATE("https://matarstund.is/serfaedi?id=",LOWER(SUBSTITUTE(B2479," ","-"))))</f>
        <v/>
      </c>
    </row>
    <row r="2480" customFormat="false" ht="15" hidden="false" customHeight="true" outlineLevel="0" collapsed="false">
      <c r="A2480" s="68"/>
      <c r="B2480" s="68"/>
      <c r="C2480" s="68"/>
      <c r="D2480" s="68"/>
      <c r="E2480" s="68"/>
      <c r="F2480" s="68"/>
      <c r="G2480" s="68"/>
      <c r="H2480" s="64" t="str">
        <f aca="false">IF(OR(A2480="",B2480=""),"",CONCATENATE("https://matarstund.is/serfaedi?id=",LOWER(SUBSTITUTE(B2480," ","-"))))</f>
        <v/>
      </c>
    </row>
    <row r="2481" customFormat="false" ht="15" hidden="false" customHeight="true" outlineLevel="0" collapsed="false">
      <c r="A2481" s="9"/>
      <c r="B2481" s="9"/>
      <c r="C2481" s="9"/>
      <c r="D2481" s="9"/>
      <c r="E2481" s="9"/>
      <c r="F2481" s="9"/>
      <c r="G2481" s="9"/>
      <c r="H2481" s="64" t="str">
        <f aca="false">IF(OR(A2481="",B2481=""),"",CONCATENATE("https://matarstund.is/serfaedi?id=",LOWER(SUBSTITUTE(B2481," ","-"))))</f>
        <v/>
      </c>
    </row>
    <row r="2482" customFormat="false" ht="15" hidden="false" customHeight="true" outlineLevel="0" collapsed="false">
      <c r="A2482" s="68"/>
      <c r="B2482" s="68"/>
      <c r="C2482" s="68"/>
      <c r="D2482" s="68"/>
      <c r="E2482" s="68"/>
      <c r="F2482" s="68"/>
      <c r="G2482" s="68"/>
      <c r="H2482" s="64" t="str">
        <f aca="false">IF(OR(A2482="",B2482=""),"",CONCATENATE("https://matarstund.is/serfaedi?id=",LOWER(SUBSTITUTE(B2482," ","-"))))</f>
        <v/>
      </c>
    </row>
    <row r="2483" customFormat="false" ht="15" hidden="false" customHeight="true" outlineLevel="0" collapsed="false">
      <c r="A2483" s="9"/>
      <c r="B2483" s="9"/>
      <c r="C2483" s="9"/>
      <c r="D2483" s="9"/>
      <c r="E2483" s="9"/>
      <c r="F2483" s="9"/>
      <c r="G2483" s="9"/>
      <c r="H2483" s="64" t="str">
        <f aca="false">IF(OR(A2483="",B2483=""),"",CONCATENATE("https://matarstund.is/serfaedi?id=",LOWER(SUBSTITUTE(B2483," ","-"))))</f>
        <v/>
      </c>
    </row>
    <row r="2484" customFormat="false" ht="15" hidden="false" customHeight="true" outlineLevel="0" collapsed="false">
      <c r="A2484" s="68"/>
      <c r="B2484" s="68"/>
      <c r="C2484" s="68"/>
      <c r="D2484" s="68"/>
      <c r="E2484" s="68"/>
      <c r="F2484" s="68"/>
      <c r="G2484" s="68"/>
      <c r="H2484" s="64" t="str">
        <f aca="false">IF(OR(A2484="",B2484=""),"",CONCATENATE("https://matarstund.is/serfaedi?id=",LOWER(SUBSTITUTE(B2484," ","-"))))</f>
        <v/>
      </c>
    </row>
    <row r="2485" customFormat="false" ht="15" hidden="false" customHeight="true" outlineLevel="0" collapsed="false">
      <c r="A2485" s="9"/>
      <c r="B2485" s="9"/>
      <c r="C2485" s="9"/>
      <c r="D2485" s="9"/>
      <c r="E2485" s="9"/>
      <c r="F2485" s="9"/>
      <c r="G2485" s="9"/>
      <c r="H2485" s="64" t="str">
        <f aca="false">IF(OR(A2485="",B2485=""),"",CONCATENATE("https://matarstund.is/serfaedi?id=",LOWER(SUBSTITUTE(B2485," ","-"))))</f>
        <v/>
      </c>
    </row>
    <row r="2486" customFormat="false" ht="15" hidden="false" customHeight="true" outlineLevel="0" collapsed="false">
      <c r="A2486" s="68"/>
      <c r="B2486" s="68"/>
      <c r="C2486" s="68"/>
      <c r="D2486" s="68"/>
      <c r="E2486" s="68"/>
      <c r="F2486" s="68"/>
      <c r="G2486" s="68"/>
      <c r="H2486" s="64" t="str">
        <f aca="false">IF(OR(A2486="",B2486=""),"",CONCATENATE("https://matarstund.is/serfaedi?id=",LOWER(SUBSTITUTE(B2486," ","-"))))</f>
        <v/>
      </c>
    </row>
    <row r="2487" customFormat="false" ht="15" hidden="false" customHeight="true" outlineLevel="0" collapsed="false">
      <c r="A2487" s="9"/>
      <c r="B2487" s="9"/>
      <c r="C2487" s="9"/>
      <c r="D2487" s="9"/>
      <c r="E2487" s="9"/>
      <c r="F2487" s="9"/>
      <c r="G2487" s="9"/>
      <c r="H2487" s="64" t="str">
        <f aca="false">IF(OR(A2487="",B2487=""),"",CONCATENATE("https://matarstund.is/serfaedi?id=",LOWER(SUBSTITUTE(B2487," ","-"))))</f>
        <v/>
      </c>
    </row>
    <row r="2488" customFormat="false" ht="15" hidden="false" customHeight="true" outlineLevel="0" collapsed="false">
      <c r="A2488" s="68"/>
      <c r="B2488" s="68"/>
      <c r="C2488" s="68"/>
      <c r="D2488" s="68"/>
      <c r="E2488" s="68"/>
      <c r="F2488" s="68"/>
      <c r="G2488" s="68"/>
      <c r="H2488" s="64" t="str">
        <f aca="false">IF(OR(A2488="",B2488=""),"",CONCATENATE("https://matarstund.is/serfaedi?id=",LOWER(SUBSTITUTE(B2488," ","-"))))</f>
        <v/>
      </c>
    </row>
    <row r="2489" customFormat="false" ht="15" hidden="false" customHeight="true" outlineLevel="0" collapsed="false">
      <c r="A2489" s="9"/>
      <c r="B2489" s="9"/>
      <c r="C2489" s="9"/>
      <c r="D2489" s="9"/>
      <c r="E2489" s="9"/>
      <c r="F2489" s="9"/>
      <c r="G2489" s="9"/>
      <c r="H2489" s="64" t="str">
        <f aca="false">IF(OR(A2489="",B2489=""),"",CONCATENATE("https://matarstund.is/serfaedi?id=",LOWER(SUBSTITUTE(B2489," ","-"))))</f>
        <v/>
      </c>
    </row>
    <row r="2490" customFormat="false" ht="15" hidden="false" customHeight="true" outlineLevel="0" collapsed="false">
      <c r="A2490" s="68"/>
      <c r="B2490" s="68"/>
      <c r="C2490" s="68"/>
      <c r="D2490" s="68"/>
      <c r="E2490" s="68"/>
      <c r="F2490" s="68"/>
      <c r="G2490" s="68"/>
      <c r="H2490" s="64" t="str">
        <f aca="false">IF(OR(A2490="",B2490=""),"",CONCATENATE("https://matarstund.is/serfaedi?id=",LOWER(SUBSTITUTE(B2490," ","-"))))</f>
        <v/>
      </c>
    </row>
    <row r="2491" customFormat="false" ht="15" hidden="false" customHeight="true" outlineLevel="0" collapsed="false">
      <c r="A2491" s="9"/>
      <c r="B2491" s="9"/>
      <c r="C2491" s="9"/>
      <c r="D2491" s="9"/>
      <c r="E2491" s="9"/>
      <c r="F2491" s="9"/>
      <c r="G2491" s="9"/>
      <c r="H2491" s="64" t="str">
        <f aca="false">IF(OR(A2491="",B2491=""),"",CONCATENATE("https://matarstund.is/serfaedi?id=",LOWER(SUBSTITUTE(B2491," ","-"))))</f>
        <v/>
      </c>
    </row>
    <row r="2492" customFormat="false" ht="15" hidden="false" customHeight="true" outlineLevel="0" collapsed="false">
      <c r="A2492" s="68"/>
      <c r="B2492" s="68"/>
      <c r="C2492" s="68"/>
      <c r="D2492" s="68"/>
      <c r="E2492" s="68"/>
      <c r="F2492" s="68"/>
      <c r="G2492" s="68"/>
      <c r="H2492" s="64" t="str">
        <f aca="false">IF(OR(A2492="",B2492=""),"",CONCATENATE("https://matarstund.is/serfaedi?id=",LOWER(SUBSTITUTE(B2492," ","-"))))</f>
        <v/>
      </c>
    </row>
    <row r="2493" customFormat="false" ht="15" hidden="false" customHeight="true" outlineLevel="0" collapsed="false">
      <c r="A2493" s="9"/>
      <c r="B2493" s="9"/>
      <c r="C2493" s="9"/>
      <c r="D2493" s="9"/>
      <c r="E2493" s="9"/>
      <c r="F2493" s="9"/>
      <c r="G2493" s="9"/>
      <c r="H2493" s="64" t="str">
        <f aca="false">IF(OR(A2493="",B2493=""),"",CONCATENATE("https://matarstund.is/serfaedi?id=",LOWER(SUBSTITUTE(B2493," ","-"))))</f>
        <v/>
      </c>
    </row>
    <row r="2494" customFormat="false" ht="15" hidden="false" customHeight="true" outlineLevel="0" collapsed="false">
      <c r="A2494" s="68"/>
      <c r="B2494" s="68"/>
      <c r="C2494" s="68"/>
      <c r="D2494" s="68"/>
      <c r="E2494" s="68"/>
      <c r="F2494" s="68"/>
      <c r="G2494" s="68"/>
      <c r="H2494" s="64" t="str">
        <f aca="false">IF(OR(A2494="",B2494=""),"",CONCATENATE("https://matarstund.is/serfaedi?id=",LOWER(SUBSTITUTE(B2494," ","-"))))</f>
        <v/>
      </c>
    </row>
    <row r="2495" customFormat="false" ht="15" hidden="false" customHeight="true" outlineLevel="0" collapsed="false">
      <c r="A2495" s="9"/>
      <c r="B2495" s="9"/>
      <c r="C2495" s="9"/>
      <c r="D2495" s="9"/>
      <c r="E2495" s="9"/>
      <c r="F2495" s="9"/>
      <c r="G2495" s="9"/>
      <c r="H2495" s="64" t="str">
        <f aca="false">IF(OR(A2495="",B2495=""),"",CONCATENATE("https://matarstund.is/serfaedi?id=",LOWER(SUBSTITUTE(B2495," ","-"))))</f>
        <v/>
      </c>
    </row>
    <row r="2496" customFormat="false" ht="15" hidden="false" customHeight="true" outlineLevel="0" collapsed="false">
      <c r="A2496" s="68"/>
      <c r="B2496" s="68"/>
      <c r="C2496" s="68"/>
      <c r="D2496" s="68"/>
      <c r="E2496" s="68"/>
      <c r="F2496" s="68"/>
      <c r="G2496" s="68"/>
      <c r="H2496" s="64" t="str">
        <f aca="false">IF(OR(A2496="",B2496=""),"",CONCATENATE("https://matarstund.is/serfaedi?id=",LOWER(SUBSTITUTE(B2496," ","-"))))</f>
        <v/>
      </c>
    </row>
    <row r="2497" customFormat="false" ht="15" hidden="false" customHeight="true" outlineLevel="0" collapsed="false">
      <c r="A2497" s="9"/>
      <c r="B2497" s="9"/>
      <c r="C2497" s="9"/>
      <c r="D2497" s="9"/>
      <c r="E2497" s="9"/>
      <c r="F2497" s="9"/>
      <c r="G2497" s="9"/>
      <c r="H2497" s="64" t="str">
        <f aca="false">IF(OR(A2497="",B2497=""),"",CONCATENATE("https://matarstund.is/serfaedi?id=",LOWER(SUBSTITUTE(B2497," ","-"))))</f>
        <v/>
      </c>
    </row>
    <row r="2498" customFormat="false" ht="15" hidden="false" customHeight="true" outlineLevel="0" collapsed="false">
      <c r="A2498" s="68"/>
      <c r="B2498" s="68"/>
      <c r="C2498" s="68"/>
      <c r="D2498" s="68"/>
      <c r="E2498" s="68"/>
      <c r="F2498" s="68"/>
      <c r="G2498" s="68"/>
      <c r="H2498" s="64" t="str">
        <f aca="false">IF(OR(A2498="",B2498=""),"",CONCATENATE("https://matarstund.is/serfaedi?id=",LOWER(SUBSTITUTE(B2498," ","-"))))</f>
        <v/>
      </c>
    </row>
    <row r="2499" customFormat="false" ht="15" hidden="false" customHeight="true" outlineLevel="0" collapsed="false">
      <c r="A2499" s="9"/>
      <c r="B2499" s="9"/>
      <c r="C2499" s="9"/>
      <c r="D2499" s="9"/>
      <c r="E2499" s="9"/>
      <c r="F2499" s="9"/>
      <c r="G2499" s="9"/>
      <c r="H2499" s="64" t="str">
        <f aca="false">IF(OR(A2499="",B2499=""),"",CONCATENATE("https://matarstund.is/serfaedi?id=",LOWER(SUBSTITUTE(B2499," ","-"))))</f>
        <v/>
      </c>
    </row>
    <row r="2500" customFormat="false" ht="15" hidden="false" customHeight="true" outlineLevel="0" collapsed="false">
      <c r="A2500" s="68"/>
      <c r="B2500" s="68"/>
      <c r="C2500" s="68"/>
      <c r="D2500" s="68"/>
      <c r="E2500" s="68"/>
      <c r="F2500" s="68"/>
      <c r="G2500" s="68"/>
      <c r="H2500" s="64" t="str">
        <f aca="false">IF(OR(A2500="",B2500=""),"",CONCATENATE("https://matarstund.is/serfaedi?id=",LOWER(SUBSTITUTE(B2500," ","-"))))</f>
        <v/>
      </c>
    </row>
    <row r="2501" customFormat="false" ht="15" hidden="false" customHeight="true" outlineLevel="0" collapsed="false">
      <c r="A2501" s="9"/>
      <c r="B2501" s="9"/>
      <c r="C2501" s="9"/>
      <c r="D2501" s="9"/>
      <c r="E2501" s="9"/>
      <c r="F2501" s="9"/>
      <c r="G2501" s="9"/>
      <c r="H2501" s="64" t="str">
        <f aca="false">IF(OR(A2501="",B2501=""),"",CONCATENATE("https://matarstund.is/serfaedi?id=",LOWER(SUBSTITUTE(B2501," ","-"))))</f>
        <v/>
      </c>
    </row>
    <row r="2502" customFormat="false" ht="15" hidden="false" customHeight="true" outlineLevel="0" collapsed="false">
      <c r="A2502" s="68"/>
      <c r="B2502" s="68"/>
      <c r="C2502" s="68"/>
      <c r="D2502" s="68"/>
      <c r="E2502" s="68"/>
      <c r="F2502" s="68"/>
      <c r="G2502" s="68"/>
      <c r="H2502" s="64" t="str">
        <f aca="false">IF(OR(A2502="",B2502=""),"",CONCATENATE("https://matarstund.is/serfaedi?id=",LOWER(SUBSTITUTE(B2502," ","-"))))</f>
        <v/>
      </c>
    </row>
    <row r="2503" customFormat="false" ht="15" hidden="false" customHeight="true" outlineLevel="0" collapsed="false">
      <c r="A2503" s="9"/>
      <c r="B2503" s="9"/>
      <c r="C2503" s="9"/>
      <c r="D2503" s="9"/>
      <c r="E2503" s="9"/>
      <c r="F2503" s="9"/>
      <c r="G2503" s="9"/>
      <c r="H2503" s="64" t="str">
        <f aca="false">IF(OR(A2503="",B2503=""),"",CONCATENATE("https://matarstund.is/serfaedi?id=",LOWER(SUBSTITUTE(B2503," ","-"))))</f>
        <v/>
      </c>
    </row>
    <row r="2504" customFormat="false" ht="15" hidden="false" customHeight="true" outlineLevel="0" collapsed="false">
      <c r="A2504" s="68"/>
      <c r="B2504" s="68"/>
      <c r="C2504" s="68"/>
      <c r="D2504" s="68"/>
      <c r="E2504" s="68"/>
      <c r="F2504" s="68"/>
      <c r="G2504" s="68"/>
      <c r="H2504" s="64" t="str">
        <f aca="false">IF(OR(A2504="",B2504=""),"",CONCATENATE("https://matarstund.is/serfaedi?id=",LOWER(SUBSTITUTE(B2504," ","-"))))</f>
        <v/>
      </c>
    </row>
    <row r="2505" customFormat="false" ht="15" hidden="false" customHeight="true" outlineLevel="0" collapsed="false">
      <c r="A2505" s="9"/>
      <c r="B2505" s="9"/>
      <c r="C2505" s="9"/>
      <c r="D2505" s="9"/>
      <c r="E2505" s="9"/>
      <c r="F2505" s="9"/>
      <c r="G2505" s="9"/>
      <c r="H2505" s="64" t="str">
        <f aca="false">IF(OR(A2505="",B2505=""),"",CONCATENATE("https://matarstund.is/serfaedi?id=",LOWER(SUBSTITUTE(B2505," ","-"))))</f>
        <v/>
      </c>
    </row>
    <row r="2506" customFormat="false" ht="15" hidden="false" customHeight="true" outlineLevel="0" collapsed="false">
      <c r="A2506" s="68"/>
      <c r="B2506" s="68"/>
      <c r="C2506" s="68"/>
      <c r="D2506" s="68"/>
      <c r="E2506" s="68"/>
      <c r="F2506" s="68"/>
      <c r="G2506" s="68"/>
      <c r="H2506" s="64" t="str">
        <f aca="false">IF(OR(A2506="",B2506=""),"",CONCATENATE("https://matarstund.is/serfaedi?id=",LOWER(SUBSTITUTE(B2506," ","-"))))</f>
        <v/>
      </c>
    </row>
    <row r="2507" customFormat="false" ht="15" hidden="false" customHeight="true" outlineLevel="0" collapsed="false">
      <c r="A2507" s="9"/>
      <c r="B2507" s="9"/>
      <c r="C2507" s="9"/>
      <c r="D2507" s="9"/>
      <c r="E2507" s="9"/>
      <c r="F2507" s="9"/>
      <c r="G2507" s="9"/>
      <c r="H2507" s="64" t="str">
        <f aca="false">IF(OR(A2507="",B2507=""),"",CONCATENATE("https://matarstund.is/serfaedi?id=",LOWER(SUBSTITUTE(B2507," ","-"))))</f>
        <v/>
      </c>
    </row>
    <row r="2508" customFormat="false" ht="15" hidden="false" customHeight="true" outlineLevel="0" collapsed="false">
      <c r="A2508" s="68"/>
      <c r="B2508" s="68"/>
      <c r="C2508" s="68"/>
      <c r="D2508" s="68"/>
      <c r="E2508" s="68"/>
      <c r="F2508" s="68"/>
      <c r="G2508" s="68"/>
      <c r="H2508" s="64" t="str">
        <f aca="false">IF(OR(A2508="",B2508=""),"",CONCATENATE("https://matarstund.is/serfaedi?id=",LOWER(SUBSTITUTE(B2508," ","-"))))</f>
        <v/>
      </c>
    </row>
    <row r="2509" customFormat="false" ht="15" hidden="false" customHeight="true" outlineLevel="0" collapsed="false">
      <c r="A2509" s="9"/>
      <c r="B2509" s="9"/>
      <c r="C2509" s="9"/>
      <c r="D2509" s="9"/>
      <c r="E2509" s="9"/>
      <c r="F2509" s="9"/>
      <c r="G2509" s="9"/>
      <c r="H2509" s="64" t="str">
        <f aca="false">IF(OR(A2509="",B2509=""),"",CONCATENATE("https://matarstund.is/serfaedi?id=",LOWER(SUBSTITUTE(B2509," ","-"))))</f>
        <v/>
      </c>
    </row>
    <row r="2510" customFormat="false" ht="15" hidden="false" customHeight="true" outlineLevel="0" collapsed="false">
      <c r="A2510" s="68"/>
      <c r="B2510" s="68"/>
      <c r="C2510" s="68"/>
      <c r="D2510" s="68"/>
      <c r="E2510" s="68"/>
      <c r="F2510" s="68"/>
      <c r="G2510" s="68"/>
      <c r="H2510" s="64" t="str">
        <f aca="false">IF(OR(A2510="",B2510=""),"",CONCATENATE("https://matarstund.is/serfaedi?id=",LOWER(SUBSTITUTE(B2510," ","-"))))</f>
        <v/>
      </c>
    </row>
    <row r="2511" customFormat="false" ht="15" hidden="false" customHeight="true" outlineLevel="0" collapsed="false">
      <c r="A2511" s="9"/>
      <c r="B2511" s="9"/>
      <c r="C2511" s="9"/>
      <c r="D2511" s="9"/>
      <c r="E2511" s="9"/>
      <c r="F2511" s="9"/>
      <c r="G2511" s="9"/>
      <c r="H2511" s="64" t="str">
        <f aca="false">IF(OR(A2511="",B2511=""),"",CONCATENATE("https://matarstund.is/serfaedi?id=",LOWER(SUBSTITUTE(B2511," ","-"))))</f>
        <v/>
      </c>
    </row>
    <row r="2512" customFormat="false" ht="15" hidden="false" customHeight="true" outlineLevel="0" collapsed="false">
      <c r="A2512" s="68"/>
      <c r="B2512" s="68"/>
      <c r="C2512" s="68"/>
      <c r="D2512" s="68"/>
      <c r="E2512" s="68"/>
      <c r="F2512" s="68"/>
      <c r="G2512" s="68"/>
      <c r="H2512" s="64" t="str">
        <f aca="false">IF(OR(A2512="",B2512=""),"",CONCATENATE("https://matarstund.is/serfaedi?id=",LOWER(SUBSTITUTE(B2512," ","-"))))</f>
        <v/>
      </c>
    </row>
    <row r="2513" customFormat="false" ht="15" hidden="false" customHeight="true" outlineLevel="0" collapsed="false">
      <c r="A2513" s="9"/>
      <c r="B2513" s="9"/>
      <c r="C2513" s="9"/>
      <c r="D2513" s="9"/>
      <c r="E2513" s="9"/>
      <c r="F2513" s="9"/>
      <c r="G2513" s="9"/>
      <c r="H2513" s="64" t="str">
        <f aca="false">IF(OR(A2513="",B2513=""),"",CONCATENATE("https://matarstund.is/serfaedi?id=",LOWER(SUBSTITUTE(B2513," ","-"))))</f>
        <v/>
      </c>
    </row>
    <row r="2514" customFormat="false" ht="15" hidden="false" customHeight="true" outlineLevel="0" collapsed="false">
      <c r="A2514" s="68"/>
      <c r="B2514" s="68"/>
      <c r="C2514" s="68"/>
      <c r="D2514" s="68"/>
      <c r="E2514" s="68"/>
      <c r="F2514" s="68"/>
      <c r="G2514" s="68"/>
      <c r="H2514" s="64" t="str">
        <f aca="false">IF(OR(A2514="",B2514=""),"",CONCATENATE("https://matarstund.is/serfaedi?id=",LOWER(SUBSTITUTE(B2514," ","-"))))</f>
        <v/>
      </c>
    </row>
    <row r="2515" customFormat="false" ht="15" hidden="false" customHeight="true" outlineLevel="0" collapsed="false">
      <c r="A2515" s="9"/>
      <c r="B2515" s="9"/>
      <c r="C2515" s="9"/>
      <c r="D2515" s="9"/>
      <c r="E2515" s="9"/>
      <c r="F2515" s="9"/>
      <c r="G2515" s="9"/>
      <c r="H2515" s="64" t="str">
        <f aca="false">IF(OR(A2515="",B2515=""),"",CONCATENATE("https://matarstund.is/serfaedi?id=",LOWER(SUBSTITUTE(B2515," ","-"))))</f>
        <v/>
      </c>
    </row>
    <row r="2516" customFormat="false" ht="15" hidden="false" customHeight="true" outlineLevel="0" collapsed="false">
      <c r="A2516" s="68"/>
      <c r="B2516" s="68"/>
      <c r="C2516" s="68"/>
      <c r="D2516" s="68"/>
      <c r="E2516" s="68"/>
      <c r="F2516" s="68"/>
      <c r="G2516" s="68"/>
      <c r="H2516" s="64" t="str">
        <f aca="false">IF(OR(A2516="",B2516=""),"",CONCATENATE("https://matarstund.is/serfaedi?id=",LOWER(SUBSTITUTE(B2516," ","-"))))</f>
        <v/>
      </c>
    </row>
    <row r="2517" customFormat="false" ht="15" hidden="false" customHeight="true" outlineLevel="0" collapsed="false">
      <c r="A2517" s="9"/>
      <c r="B2517" s="9"/>
      <c r="C2517" s="9"/>
      <c r="D2517" s="9"/>
      <c r="E2517" s="9"/>
      <c r="F2517" s="9"/>
      <c r="G2517" s="9"/>
      <c r="H2517" s="64" t="str">
        <f aca="false">IF(OR(A2517="",B2517=""),"",CONCATENATE("https://matarstund.is/serfaedi?id=",LOWER(SUBSTITUTE(B2517," ","-"))))</f>
        <v/>
      </c>
    </row>
    <row r="2518" customFormat="false" ht="15" hidden="false" customHeight="true" outlineLevel="0" collapsed="false">
      <c r="A2518" s="68"/>
      <c r="B2518" s="68"/>
      <c r="C2518" s="68"/>
      <c r="D2518" s="68"/>
      <c r="E2518" s="68"/>
      <c r="F2518" s="68"/>
      <c r="G2518" s="68"/>
      <c r="H2518" s="64" t="str">
        <f aca="false">IF(OR(A2518="",B2518=""),"",CONCATENATE("https://matarstund.is/serfaedi?id=",LOWER(SUBSTITUTE(B2518," ","-"))))</f>
        <v/>
      </c>
    </row>
    <row r="2519" customFormat="false" ht="15" hidden="false" customHeight="true" outlineLevel="0" collapsed="false">
      <c r="A2519" s="9"/>
      <c r="B2519" s="9"/>
      <c r="C2519" s="9"/>
      <c r="D2519" s="9"/>
      <c r="E2519" s="9"/>
      <c r="F2519" s="9"/>
      <c r="G2519" s="9"/>
      <c r="H2519" s="64" t="str">
        <f aca="false">IF(OR(A2519="",B2519=""),"",CONCATENATE("https://matarstund.is/serfaedi?id=",LOWER(SUBSTITUTE(B2519," ","-"))))</f>
        <v/>
      </c>
    </row>
    <row r="2520" customFormat="false" ht="15" hidden="false" customHeight="true" outlineLevel="0" collapsed="false">
      <c r="A2520" s="68"/>
      <c r="B2520" s="68"/>
      <c r="C2520" s="68"/>
      <c r="D2520" s="68"/>
      <c r="E2520" s="68"/>
      <c r="F2520" s="68"/>
      <c r="G2520" s="68"/>
      <c r="H2520" s="64" t="str">
        <f aca="false">IF(OR(A2520="",B2520=""),"",CONCATENATE("https://matarstund.is/serfaedi?id=",LOWER(SUBSTITUTE(B2520," ","-"))))</f>
        <v/>
      </c>
    </row>
    <row r="2521" customFormat="false" ht="15" hidden="false" customHeight="true" outlineLevel="0" collapsed="false">
      <c r="A2521" s="9"/>
      <c r="B2521" s="9"/>
      <c r="C2521" s="9"/>
      <c r="D2521" s="9"/>
      <c r="E2521" s="9"/>
      <c r="F2521" s="9"/>
      <c r="G2521" s="9"/>
      <c r="H2521" s="64" t="str">
        <f aca="false">IF(OR(A2521="",B2521=""),"",CONCATENATE("https://matarstund.is/serfaedi?id=",LOWER(SUBSTITUTE(B2521," ","-"))))</f>
        <v/>
      </c>
    </row>
    <row r="2522" customFormat="false" ht="15" hidden="false" customHeight="true" outlineLevel="0" collapsed="false">
      <c r="A2522" s="68"/>
      <c r="B2522" s="68"/>
      <c r="C2522" s="68"/>
      <c r="D2522" s="68"/>
      <c r="E2522" s="68"/>
      <c r="F2522" s="68"/>
      <c r="G2522" s="68"/>
      <c r="H2522" s="64" t="str">
        <f aca="false">IF(OR(A2522="",B2522=""),"",CONCATENATE("https://matarstund.is/serfaedi?id=",LOWER(SUBSTITUTE(B2522," ","-"))))</f>
        <v/>
      </c>
    </row>
    <row r="2523" customFormat="false" ht="15" hidden="false" customHeight="true" outlineLevel="0" collapsed="false">
      <c r="A2523" s="9"/>
      <c r="B2523" s="9"/>
      <c r="C2523" s="9"/>
      <c r="D2523" s="9"/>
      <c r="E2523" s="9"/>
      <c r="F2523" s="9"/>
      <c r="G2523" s="9"/>
      <c r="H2523" s="64" t="str">
        <f aca="false">IF(OR(A2523="",B2523=""),"",CONCATENATE("https://matarstund.is/serfaedi?id=",LOWER(SUBSTITUTE(B2523," ","-"))))</f>
        <v/>
      </c>
    </row>
    <row r="2524" customFormat="false" ht="15" hidden="false" customHeight="true" outlineLevel="0" collapsed="false">
      <c r="A2524" s="68"/>
      <c r="B2524" s="68"/>
      <c r="C2524" s="68"/>
      <c r="D2524" s="68"/>
      <c r="E2524" s="68"/>
      <c r="F2524" s="68"/>
      <c r="G2524" s="68"/>
      <c r="H2524" s="64" t="str">
        <f aca="false">IF(OR(A2524="",B2524=""),"",CONCATENATE("https://matarstund.is/serfaedi?id=",LOWER(SUBSTITUTE(B2524," ","-"))))</f>
        <v/>
      </c>
    </row>
    <row r="2525" customFormat="false" ht="15" hidden="false" customHeight="true" outlineLevel="0" collapsed="false">
      <c r="A2525" s="9"/>
      <c r="B2525" s="9"/>
      <c r="C2525" s="9"/>
      <c r="D2525" s="9"/>
      <c r="E2525" s="9"/>
      <c r="F2525" s="9"/>
      <c r="G2525" s="9"/>
      <c r="H2525" s="64" t="str">
        <f aca="false">IF(OR(A2525="",B2525=""),"",CONCATENATE("https://matarstund.is/serfaedi?id=",LOWER(SUBSTITUTE(B2525," ","-"))))</f>
        <v/>
      </c>
    </row>
    <row r="2526" customFormat="false" ht="15" hidden="false" customHeight="true" outlineLevel="0" collapsed="false">
      <c r="A2526" s="68"/>
      <c r="B2526" s="68"/>
      <c r="C2526" s="68"/>
      <c r="D2526" s="68"/>
      <c r="E2526" s="68"/>
      <c r="F2526" s="68"/>
      <c r="G2526" s="68"/>
      <c r="H2526" s="64" t="str">
        <f aca="false">IF(OR(A2526="",B2526=""),"",CONCATENATE("https://matarstund.is/serfaedi?id=",LOWER(SUBSTITUTE(B2526," ","-"))))</f>
        <v/>
      </c>
    </row>
    <row r="2527" customFormat="false" ht="15" hidden="false" customHeight="true" outlineLevel="0" collapsed="false">
      <c r="A2527" s="9"/>
      <c r="B2527" s="9"/>
      <c r="C2527" s="9"/>
      <c r="D2527" s="9"/>
      <c r="E2527" s="9"/>
      <c r="F2527" s="9"/>
      <c r="G2527" s="9"/>
      <c r="H2527" s="64" t="str">
        <f aca="false">IF(OR(A2527="",B2527=""),"",CONCATENATE("https://matarstund.is/serfaedi?id=",LOWER(SUBSTITUTE(B2527," ","-"))))</f>
        <v/>
      </c>
    </row>
    <row r="2528" customFormat="false" ht="15" hidden="false" customHeight="true" outlineLevel="0" collapsed="false">
      <c r="A2528" s="68"/>
      <c r="B2528" s="68"/>
      <c r="C2528" s="68"/>
      <c r="D2528" s="68"/>
      <c r="E2528" s="68"/>
      <c r="F2528" s="68"/>
      <c r="G2528" s="68"/>
      <c r="H2528" s="64" t="str">
        <f aca="false">IF(OR(A2528="",B2528=""),"",CONCATENATE("https://matarstund.is/serfaedi?id=",LOWER(SUBSTITUTE(B2528," ","-"))))</f>
        <v/>
      </c>
    </row>
    <row r="2529" customFormat="false" ht="15" hidden="false" customHeight="true" outlineLevel="0" collapsed="false">
      <c r="A2529" s="9"/>
      <c r="B2529" s="9"/>
      <c r="C2529" s="9"/>
      <c r="D2529" s="9"/>
      <c r="E2529" s="9"/>
      <c r="F2529" s="9"/>
      <c r="G2529" s="9"/>
      <c r="H2529" s="64" t="str">
        <f aca="false">IF(OR(A2529="",B2529=""),"",CONCATENATE("https://matarstund.is/serfaedi?id=",LOWER(SUBSTITUTE(B2529," ","-"))))</f>
        <v/>
      </c>
    </row>
    <row r="2530" customFormat="false" ht="15" hidden="false" customHeight="true" outlineLevel="0" collapsed="false">
      <c r="A2530" s="68"/>
      <c r="B2530" s="68"/>
      <c r="C2530" s="68"/>
      <c r="D2530" s="68"/>
      <c r="E2530" s="68"/>
      <c r="F2530" s="68"/>
      <c r="G2530" s="68"/>
      <c r="H2530" s="64" t="str">
        <f aca="false">IF(OR(A2530="",B2530=""),"",CONCATENATE("https://matarstund.is/serfaedi?id=",LOWER(SUBSTITUTE(B2530," ","-"))))</f>
        <v/>
      </c>
    </row>
    <row r="2531" customFormat="false" ht="15" hidden="false" customHeight="true" outlineLevel="0" collapsed="false">
      <c r="A2531" s="9"/>
      <c r="B2531" s="9"/>
      <c r="C2531" s="9"/>
      <c r="D2531" s="9"/>
      <c r="E2531" s="9"/>
      <c r="F2531" s="9"/>
      <c r="G2531" s="9"/>
      <c r="H2531" s="64" t="str">
        <f aca="false">IF(OR(A2531="",B2531=""),"",CONCATENATE("https://matarstund.is/serfaedi?id=",LOWER(SUBSTITUTE(B2531," ","-"))))</f>
        <v/>
      </c>
    </row>
    <row r="2532" customFormat="false" ht="15" hidden="false" customHeight="true" outlineLevel="0" collapsed="false">
      <c r="A2532" s="68"/>
      <c r="B2532" s="68"/>
      <c r="C2532" s="68"/>
      <c r="D2532" s="68"/>
      <c r="E2532" s="68"/>
      <c r="F2532" s="68"/>
      <c r="G2532" s="68"/>
      <c r="H2532" s="64" t="str">
        <f aca="false">IF(OR(A2532="",B2532=""),"",CONCATENATE("https://matarstund.is/serfaedi?id=",LOWER(SUBSTITUTE(B2532," ","-"))))</f>
        <v/>
      </c>
    </row>
    <row r="2533" customFormat="false" ht="15" hidden="false" customHeight="true" outlineLevel="0" collapsed="false">
      <c r="A2533" s="9"/>
      <c r="B2533" s="9"/>
      <c r="C2533" s="9"/>
      <c r="D2533" s="9"/>
      <c r="E2533" s="9"/>
      <c r="F2533" s="9"/>
      <c r="G2533" s="9"/>
      <c r="H2533" s="64" t="str">
        <f aca="false">IF(OR(A2533="",B2533=""),"",CONCATENATE("https://matarstund.is/serfaedi?id=",LOWER(SUBSTITUTE(B2533," ","-"))))</f>
        <v/>
      </c>
    </row>
    <row r="2534" customFormat="false" ht="15" hidden="false" customHeight="true" outlineLevel="0" collapsed="false">
      <c r="A2534" s="68"/>
      <c r="B2534" s="68"/>
      <c r="C2534" s="68"/>
      <c r="D2534" s="68"/>
      <c r="E2534" s="68"/>
      <c r="F2534" s="68"/>
      <c r="G2534" s="68"/>
      <c r="H2534" s="64" t="str">
        <f aca="false">IF(OR(A2534="",B2534=""),"",CONCATENATE("https://matarstund.is/serfaedi?id=",LOWER(SUBSTITUTE(B2534," ","-"))))</f>
        <v/>
      </c>
    </row>
    <row r="2535" customFormat="false" ht="15" hidden="false" customHeight="true" outlineLevel="0" collapsed="false">
      <c r="A2535" s="9"/>
      <c r="B2535" s="9"/>
      <c r="C2535" s="9"/>
      <c r="D2535" s="9"/>
      <c r="E2535" s="9"/>
      <c r="F2535" s="9"/>
      <c r="G2535" s="9"/>
      <c r="H2535" s="64" t="str">
        <f aca="false">IF(OR(A2535="",B2535=""),"",CONCATENATE("https://matarstund.is/serfaedi?id=",LOWER(SUBSTITUTE(B2535," ","-"))))</f>
        <v/>
      </c>
    </row>
    <row r="2536" customFormat="false" ht="15" hidden="false" customHeight="true" outlineLevel="0" collapsed="false">
      <c r="A2536" s="68"/>
      <c r="B2536" s="68"/>
      <c r="C2536" s="68"/>
      <c r="D2536" s="68"/>
      <c r="E2536" s="68"/>
      <c r="F2536" s="68"/>
      <c r="G2536" s="68"/>
      <c r="H2536" s="64" t="str">
        <f aca="false">IF(OR(A2536="",B2536=""),"",CONCATENATE("https://matarstund.is/serfaedi?id=",LOWER(SUBSTITUTE(B2536," ","-"))))</f>
        <v/>
      </c>
    </row>
    <row r="2537" customFormat="false" ht="15" hidden="false" customHeight="true" outlineLevel="0" collapsed="false">
      <c r="A2537" s="9"/>
      <c r="B2537" s="9"/>
      <c r="C2537" s="9"/>
      <c r="D2537" s="9"/>
      <c r="E2537" s="9"/>
      <c r="F2537" s="9"/>
      <c r="G2537" s="9"/>
      <c r="H2537" s="64" t="str">
        <f aca="false">IF(OR(A2537="",B2537=""),"",CONCATENATE("https://matarstund.is/serfaedi?id=",LOWER(SUBSTITUTE(B2537," ","-"))))</f>
        <v/>
      </c>
    </row>
    <row r="2538" customFormat="false" ht="15" hidden="false" customHeight="true" outlineLevel="0" collapsed="false">
      <c r="A2538" s="68"/>
      <c r="B2538" s="68"/>
      <c r="C2538" s="68"/>
      <c r="D2538" s="68"/>
      <c r="E2538" s="68"/>
      <c r="F2538" s="68"/>
      <c r="G2538" s="68"/>
      <c r="H2538" s="64" t="str">
        <f aca="false">IF(OR(A2538="",B2538=""),"",CONCATENATE("https://matarstund.is/serfaedi?id=",LOWER(SUBSTITUTE(B2538," ","-"))))</f>
        <v/>
      </c>
    </row>
    <row r="2539" customFormat="false" ht="15" hidden="false" customHeight="true" outlineLevel="0" collapsed="false">
      <c r="A2539" s="9"/>
      <c r="B2539" s="9"/>
      <c r="C2539" s="9"/>
      <c r="D2539" s="9"/>
      <c r="E2539" s="9"/>
      <c r="F2539" s="9"/>
      <c r="G2539" s="9"/>
      <c r="H2539" s="64" t="str">
        <f aca="false">IF(OR(A2539="",B2539=""),"",CONCATENATE("https://matarstund.is/serfaedi?id=",LOWER(SUBSTITUTE(B2539," ","-"))))</f>
        <v/>
      </c>
    </row>
    <row r="2540" customFormat="false" ht="15" hidden="false" customHeight="true" outlineLevel="0" collapsed="false">
      <c r="A2540" s="68"/>
      <c r="B2540" s="68"/>
      <c r="C2540" s="68"/>
      <c r="D2540" s="68"/>
      <c r="E2540" s="68"/>
      <c r="F2540" s="68"/>
      <c r="G2540" s="68"/>
      <c r="H2540" s="64" t="str">
        <f aca="false">IF(OR(A2540="",B2540=""),"",CONCATENATE("https://matarstund.is/serfaedi?id=",LOWER(SUBSTITUTE(B2540," ","-"))))</f>
        <v/>
      </c>
    </row>
    <row r="2541" customFormat="false" ht="15" hidden="false" customHeight="true" outlineLevel="0" collapsed="false">
      <c r="A2541" s="9"/>
      <c r="B2541" s="9"/>
      <c r="C2541" s="9"/>
      <c r="D2541" s="9"/>
      <c r="E2541" s="9"/>
      <c r="F2541" s="9"/>
      <c r="G2541" s="9"/>
      <c r="H2541" s="64" t="str">
        <f aca="false">IF(OR(A2541="",B2541=""),"",CONCATENATE("https://matarstund.is/serfaedi?id=",LOWER(SUBSTITUTE(B2541," ","-"))))</f>
        <v/>
      </c>
    </row>
    <row r="2542" customFormat="false" ht="15" hidden="false" customHeight="true" outlineLevel="0" collapsed="false">
      <c r="A2542" s="68"/>
      <c r="B2542" s="68"/>
      <c r="C2542" s="68"/>
      <c r="D2542" s="68"/>
      <c r="E2542" s="68"/>
      <c r="F2542" s="68"/>
      <c r="G2542" s="68"/>
      <c r="H2542" s="64" t="str">
        <f aca="false">IF(OR(A2542="",B2542=""),"",CONCATENATE("https://matarstund.is/serfaedi?id=",LOWER(SUBSTITUTE(B2542," ","-"))))</f>
        <v/>
      </c>
    </row>
    <row r="2543" customFormat="false" ht="15" hidden="false" customHeight="true" outlineLevel="0" collapsed="false">
      <c r="A2543" s="9"/>
      <c r="B2543" s="9"/>
      <c r="C2543" s="9"/>
      <c r="D2543" s="9"/>
      <c r="E2543" s="9"/>
      <c r="F2543" s="9"/>
      <c r="G2543" s="9"/>
      <c r="H2543" s="64" t="str">
        <f aca="false">IF(OR(A2543="",B2543=""),"",CONCATENATE("https://matarstund.is/serfaedi?id=",LOWER(SUBSTITUTE(B2543," ","-"))))</f>
        <v/>
      </c>
    </row>
    <row r="2544" customFormat="false" ht="15" hidden="false" customHeight="true" outlineLevel="0" collapsed="false">
      <c r="A2544" s="68"/>
      <c r="B2544" s="68"/>
      <c r="C2544" s="68"/>
      <c r="D2544" s="68"/>
      <c r="E2544" s="68"/>
      <c r="F2544" s="68"/>
      <c r="G2544" s="68"/>
      <c r="H2544" s="64" t="str">
        <f aca="false">IF(OR(A2544="",B2544=""),"",CONCATENATE("https://matarstund.is/serfaedi?id=",LOWER(SUBSTITUTE(B2544," ","-"))))</f>
        <v/>
      </c>
    </row>
    <row r="2545" customFormat="false" ht="15" hidden="false" customHeight="true" outlineLevel="0" collapsed="false">
      <c r="A2545" s="9"/>
      <c r="B2545" s="9"/>
      <c r="C2545" s="9"/>
      <c r="D2545" s="9"/>
      <c r="E2545" s="9"/>
      <c r="F2545" s="9"/>
      <c r="G2545" s="9"/>
      <c r="H2545" s="64" t="str">
        <f aca="false">IF(OR(A2545="",B2545=""),"",CONCATENATE("https://matarstund.is/serfaedi?id=",LOWER(SUBSTITUTE(B2545," ","-"))))</f>
        <v/>
      </c>
    </row>
    <row r="2546" customFormat="false" ht="15" hidden="false" customHeight="true" outlineLevel="0" collapsed="false">
      <c r="A2546" s="68"/>
      <c r="B2546" s="68"/>
      <c r="C2546" s="68"/>
      <c r="D2546" s="68"/>
      <c r="E2546" s="68"/>
      <c r="F2546" s="68"/>
      <c r="G2546" s="68"/>
      <c r="H2546" s="64" t="str">
        <f aca="false">IF(OR(A2546="",B2546=""),"",CONCATENATE("https://matarstund.is/serfaedi?id=",LOWER(SUBSTITUTE(B2546," ","-"))))</f>
        <v/>
      </c>
    </row>
    <row r="2547" customFormat="false" ht="15" hidden="false" customHeight="true" outlineLevel="0" collapsed="false">
      <c r="A2547" s="9"/>
      <c r="B2547" s="9"/>
      <c r="C2547" s="9"/>
      <c r="D2547" s="9"/>
      <c r="E2547" s="9"/>
      <c r="F2547" s="9"/>
      <c r="G2547" s="9"/>
      <c r="H2547" s="64" t="str">
        <f aca="false">IF(OR(A2547="",B2547=""),"",CONCATENATE("https://matarstund.is/serfaedi?id=",LOWER(SUBSTITUTE(B2547," ","-"))))</f>
        <v/>
      </c>
    </row>
    <row r="2548" customFormat="false" ht="15" hidden="false" customHeight="true" outlineLevel="0" collapsed="false">
      <c r="A2548" s="68"/>
      <c r="B2548" s="68"/>
      <c r="C2548" s="68"/>
      <c r="D2548" s="68"/>
      <c r="E2548" s="68"/>
      <c r="F2548" s="68"/>
      <c r="G2548" s="68"/>
      <c r="H2548" s="64" t="str">
        <f aca="false">IF(OR(A2548="",B2548=""),"",CONCATENATE("https://matarstund.is/serfaedi?id=",LOWER(SUBSTITUTE(B2548," ","-"))))</f>
        <v/>
      </c>
    </row>
    <row r="2549" customFormat="false" ht="15" hidden="false" customHeight="true" outlineLevel="0" collapsed="false">
      <c r="A2549" s="9"/>
      <c r="B2549" s="9"/>
      <c r="C2549" s="9"/>
      <c r="D2549" s="9"/>
      <c r="E2549" s="9"/>
      <c r="F2549" s="9"/>
      <c r="G2549" s="9"/>
      <c r="H2549" s="64" t="str">
        <f aca="false">IF(OR(A2549="",B2549=""),"",CONCATENATE("https://matarstund.is/serfaedi?id=",LOWER(SUBSTITUTE(B2549," ","-"))))</f>
        <v/>
      </c>
    </row>
    <row r="2550" customFormat="false" ht="15" hidden="false" customHeight="true" outlineLevel="0" collapsed="false">
      <c r="A2550" s="68"/>
      <c r="B2550" s="68"/>
      <c r="C2550" s="68"/>
      <c r="D2550" s="68"/>
      <c r="E2550" s="68"/>
      <c r="F2550" s="68"/>
      <c r="G2550" s="68"/>
      <c r="H2550" s="64" t="str">
        <f aca="false">IF(OR(A2550="",B2550=""),"",CONCATENATE("https://matarstund.is/serfaedi?id=",LOWER(SUBSTITUTE(B2550," ","-"))))</f>
        <v/>
      </c>
    </row>
    <row r="2551" customFormat="false" ht="15" hidden="false" customHeight="true" outlineLevel="0" collapsed="false">
      <c r="A2551" s="9"/>
      <c r="B2551" s="9"/>
      <c r="C2551" s="9"/>
      <c r="D2551" s="9"/>
      <c r="E2551" s="9"/>
      <c r="F2551" s="9"/>
      <c r="G2551" s="9"/>
      <c r="H2551" s="64" t="str">
        <f aca="false">IF(OR(A2551="",B2551=""),"",CONCATENATE("https://matarstund.is/serfaedi?id=",LOWER(SUBSTITUTE(B2551," ","-"))))</f>
        <v/>
      </c>
    </row>
    <row r="2552" customFormat="false" ht="15" hidden="false" customHeight="true" outlineLevel="0" collapsed="false">
      <c r="A2552" s="68"/>
      <c r="B2552" s="68"/>
      <c r="C2552" s="68"/>
      <c r="D2552" s="68"/>
      <c r="E2552" s="68"/>
      <c r="F2552" s="68"/>
      <c r="G2552" s="68"/>
      <c r="H2552" s="64" t="str">
        <f aca="false">IF(OR(A2552="",B2552=""),"",CONCATENATE("https://matarstund.is/serfaedi?id=",LOWER(SUBSTITUTE(B2552," ","-"))))</f>
        <v/>
      </c>
    </row>
    <row r="2553" customFormat="false" ht="15" hidden="false" customHeight="true" outlineLevel="0" collapsed="false">
      <c r="A2553" s="9"/>
      <c r="B2553" s="9"/>
      <c r="C2553" s="9"/>
      <c r="D2553" s="9"/>
      <c r="E2553" s="9"/>
      <c r="F2553" s="9"/>
      <c r="G2553" s="9"/>
      <c r="H2553" s="64" t="str">
        <f aca="false">IF(OR(A2553="",B2553=""),"",CONCATENATE("https://matarstund.is/serfaedi?id=",LOWER(SUBSTITUTE(B2553," ","-"))))</f>
        <v/>
      </c>
    </row>
    <row r="2554" customFormat="false" ht="15" hidden="false" customHeight="true" outlineLevel="0" collapsed="false">
      <c r="A2554" s="68"/>
      <c r="B2554" s="68"/>
      <c r="C2554" s="68"/>
      <c r="D2554" s="68"/>
      <c r="E2554" s="68"/>
      <c r="F2554" s="68"/>
      <c r="G2554" s="68"/>
      <c r="H2554" s="64" t="str">
        <f aca="false">IF(OR(A2554="",B2554=""),"",CONCATENATE("https://matarstund.is/serfaedi?id=",LOWER(SUBSTITUTE(B2554," ","-"))))</f>
        <v/>
      </c>
    </row>
    <row r="2555" customFormat="false" ht="15" hidden="false" customHeight="true" outlineLevel="0" collapsed="false">
      <c r="A2555" s="9"/>
      <c r="B2555" s="9"/>
      <c r="C2555" s="9"/>
      <c r="D2555" s="9"/>
      <c r="E2555" s="9"/>
      <c r="F2555" s="9"/>
      <c r="G2555" s="9"/>
      <c r="H2555" s="64" t="str">
        <f aca="false">IF(OR(A2555="",B2555=""),"",CONCATENATE("https://matarstund.is/serfaedi?id=",LOWER(SUBSTITUTE(B2555," ","-"))))</f>
        <v/>
      </c>
    </row>
    <row r="2556" customFormat="false" ht="15" hidden="false" customHeight="true" outlineLevel="0" collapsed="false">
      <c r="A2556" s="68"/>
      <c r="B2556" s="68"/>
      <c r="C2556" s="68"/>
      <c r="D2556" s="68"/>
      <c r="E2556" s="68"/>
      <c r="F2556" s="68"/>
      <c r="G2556" s="68"/>
      <c r="H2556" s="64" t="str">
        <f aca="false">IF(OR(A2556="",B2556=""),"",CONCATENATE("https://matarstund.is/serfaedi?id=",LOWER(SUBSTITUTE(B2556," ","-"))))</f>
        <v/>
      </c>
    </row>
    <row r="2557" customFormat="false" ht="15" hidden="false" customHeight="true" outlineLevel="0" collapsed="false">
      <c r="A2557" s="9"/>
      <c r="B2557" s="9"/>
      <c r="C2557" s="9"/>
      <c r="D2557" s="9"/>
      <c r="E2557" s="9"/>
      <c r="F2557" s="9"/>
      <c r="G2557" s="9"/>
      <c r="H2557" s="64" t="str">
        <f aca="false">IF(OR(A2557="",B2557=""),"",CONCATENATE("https://matarstund.is/serfaedi?id=",LOWER(SUBSTITUTE(B2557," ","-"))))</f>
        <v/>
      </c>
    </row>
    <row r="2558" customFormat="false" ht="15" hidden="false" customHeight="true" outlineLevel="0" collapsed="false">
      <c r="A2558" s="68"/>
      <c r="B2558" s="68"/>
      <c r="C2558" s="68"/>
      <c r="D2558" s="68"/>
      <c r="E2558" s="68"/>
      <c r="F2558" s="68"/>
      <c r="G2558" s="68"/>
      <c r="H2558" s="64" t="str">
        <f aca="false">IF(OR(A2558="",B2558=""),"",CONCATENATE("https://matarstund.is/serfaedi?id=",LOWER(SUBSTITUTE(B2558," ","-"))))</f>
        <v/>
      </c>
    </row>
    <row r="2559" customFormat="false" ht="15" hidden="false" customHeight="true" outlineLevel="0" collapsed="false">
      <c r="A2559" s="9"/>
      <c r="B2559" s="9"/>
      <c r="C2559" s="9"/>
      <c r="D2559" s="9"/>
      <c r="E2559" s="9"/>
      <c r="F2559" s="9"/>
      <c r="G2559" s="9"/>
      <c r="H2559" s="64" t="str">
        <f aca="false">IF(OR(A2559="",B2559=""),"",CONCATENATE("https://matarstund.is/serfaedi?id=",LOWER(SUBSTITUTE(B2559," ","-"))))</f>
        <v/>
      </c>
    </row>
    <row r="2560" customFormat="false" ht="15" hidden="false" customHeight="true" outlineLevel="0" collapsed="false">
      <c r="A2560" s="68"/>
      <c r="B2560" s="68"/>
      <c r="C2560" s="68"/>
      <c r="D2560" s="68"/>
      <c r="E2560" s="68"/>
      <c r="F2560" s="68"/>
      <c r="G2560" s="68"/>
      <c r="H2560" s="64" t="str">
        <f aca="false">IF(OR(A2560="",B2560=""),"",CONCATENATE("https://matarstund.is/serfaedi?id=",LOWER(SUBSTITUTE(B2560," ","-"))))</f>
        <v/>
      </c>
    </row>
    <row r="2561" customFormat="false" ht="15" hidden="false" customHeight="true" outlineLevel="0" collapsed="false">
      <c r="A2561" s="9"/>
      <c r="B2561" s="9"/>
      <c r="C2561" s="9"/>
      <c r="D2561" s="9"/>
      <c r="E2561" s="9"/>
      <c r="F2561" s="9"/>
      <c r="G2561" s="9"/>
      <c r="H2561" s="64" t="str">
        <f aca="false">IF(OR(A2561="",B2561=""),"",CONCATENATE("https://matarstund.is/serfaedi?id=",LOWER(SUBSTITUTE(B2561," ","-"))))</f>
        <v/>
      </c>
    </row>
    <row r="2562" customFormat="false" ht="15" hidden="false" customHeight="true" outlineLevel="0" collapsed="false">
      <c r="A2562" s="68"/>
      <c r="B2562" s="68"/>
      <c r="C2562" s="68"/>
      <c r="D2562" s="68"/>
      <c r="E2562" s="68"/>
      <c r="F2562" s="68"/>
      <c r="G2562" s="68"/>
      <c r="H2562" s="64" t="str">
        <f aca="false">IF(OR(A2562="",B2562=""),"",CONCATENATE("https://matarstund.is/serfaedi?id=",LOWER(SUBSTITUTE(B2562," ","-"))))</f>
        <v/>
      </c>
    </row>
    <row r="2563" customFormat="false" ht="15" hidden="false" customHeight="true" outlineLevel="0" collapsed="false">
      <c r="A2563" s="9"/>
      <c r="B2563" s="9"/>
      <c r="C2563" s="9"/>
      <c r="D2563" s="9"/>
      <c r="E2563" s="9"/>
      <c r="F2563" s="9"/>
      <c r="G2563" s="9"/>
      <c r="H2563" s="64" t="str">
        <f aca="false">IF(OR(A2563="",B2563=""),"",CONCATENATE("https://matarstund.is/serfaedi?id=",LOWER(SUBSTITUTE(B2563," ","-"))))</f>
        <v/>
      </c>
    </row>
    <row r="2564" customFormat="false" ht="15" hidden="false" customHeight="true" outlineLevel="0" collapsed="false">
      <c r="A2564" s="68"/>
      <c r="B2564" s="68"/>
      <c r="C2564" s="68"/>
      <c r="D2564" s="68"/>
      <c r="E2564" s="68"/>
      <c r="F2564" s="68"/>
      <c r="G2564" s="68"/>
      <c r="H2564" s="64" t="str">
        <f aca="false">IF(OR(A2564="",B2564=""),"",CONCATENATE("https://matarstund.is/serfaedi?id=",LOWER(SUBSTITUTE(B2564," ","-"))))</f>
        <v/>
      </c>
    </row>
    <row r="2565" customFormat="false" ht="15" hidden="false" customHeight="true" outlineLevel="0" collapsed="false">
      <c r="A2565" s="9"/>
      <c r="B2565" s="9"/>
      <c r="C2565" s="9"/>
      <c r="D2565" s="9"/>
      <c r="E2565" s="9"/>
      <c r="F2565" s="9"/>
      <c r="G2565" s="9"/>
      <c r="H2565" s="64" t="str">
        <f aca="false">IF(OR(A2565="",B2565=""),"",CONCATENATE("https://matarstund.is/serfaedi?id=",LOWER(SUBSTITUTE(B2565," ","-"))))</f>
        <v/>
      </c>
    </row>
    <row r="2566" customFormat="false" ht="15" hidden="false" customHeight="true" outlineLevel="0" collapsed="false">
      <c r="A2566" s="68"/>
      <c r="B2566" s="68"/>
      <c r="C2566" s="68"/>
      <c r="D2566" s="68"/>
      <c r="E2566" s="68"/>
      <c r="F2566" s="68"/>
      <c r="G2566" s="68"/>
      <c r="H2566" s="64" t="str">
        <f aca="false">IF(OR(A2566="",B2566=""),"",CONCATENATE("https://matarstund.is/serfaedi?id=",LOWER(SUBSTITUTE(B2566," ","-"))))</f>
        <v/>
      </c>
    </row>
    <row r="2567" customFormat="false" ht="15" hidden="false" customHeight="true" outlineLevel="0" collapsed="false">
      <c r="A2567" s="9"/>
      <c r="B2567" s="9"/>
      <c r="C2567" s="9"/>
      <c r="D2567" s="9"/>
      <c r="E2567" s="9"/>
      <c r="F2567" s="9"/>
      <c r="G2567" s="9"/>
      <c r="H2567" s="64" t="str">
        <f aca="false">IF(OR(A2567="",B2567=""),"",CONCATENATE("https://matarstund.is/serfaedi?id=",LOWER(SUBSTITUTE(B2567," ","-"))))</f>
        <v/>
      </c>
    </row>
    <row r="2568" customFormat="false" ht="15" hidden="false" customHeight="true" outlineLevel="0" collapsed="false">
      <c r="A2568" s="68"/>
      <c r="B2568" s="68"/>
      <c r="C2568" s="68"/>
      <c r="D2568" s="68"/>
      <c r="E2568" s="68"/>
      <c r="F2568" s="68"/>
      <c r="G2568" s="68"/>
      <c r="H2568" s="64" t="str">
        <f aca="false">IF(OR(A2568="",B2568=""),"",CONCATENATE("https://matarstund.is/serfaedi?id=",LOWER(SUBSTITUTE(B2568," ","-"))))</f>
        <v/>
      </c>
    </row>
    <row r="2569" customFormat="false" ht="15" hidden="false" customHeight="true" outlineLevel="0" collapsed="false">
      <c r="A2569" s="9"/>
      <c r="B2569" s="9"/>
      <c r="C2569" s="9"/>
      <c r="D2569" s="9"/>
      <c r="E2569" s="9"/>
      <c r="F2569" s="9"/>
      <c r="G2569" s="9"/>
      <c r="H2569" s="64" t="str">
        <f aca="false">IF(OR(A2569="",B2569=""),"",CONCATENATE("https://matarstund.is/serfaedi?id=",LOWER(SUBSTITUTE(B2569," ","-"))))</f>
        <v/>
      </c>
    </row>
    <row r="2570" customFormat="false" ht="15" hidden="false" customHeight="true" outlineLevel="0" collapsed="false">
      <c r="A2570" s="68"/>
      <c r="B2570" s="68"/>
      <c r="C2570" s="68"/>
      <c r="D2570" s="68"/>
      <c r="E2570" s="68"/>
      <c r="F2570" s="68"/>
      <c r="G2570" s="68"/>
      <c r="H2570" s="64" t="str">
        <f aca="false">IF(OR(A2570="",B2570=""),"",CONCATENATE("https://matarstund.is/serfaedi?id=",LOWER(SUBSTITUTE(B2570," ","-"))))</f>
        <v/>
      </c>
    </row>
    <row r="2571" customFormat="false" ht="15" hidden="false" customHeight="true" outlineLevel="0" collapsed="false">
      <c r="A2571" s="9"/>
      <c r="B2571" s="9"/>
      <c r="C2571" s="9"/>
      <c r="D2571" s="9"/>
      <c r="E2571" s="9"/>
      <c r="F2571" s="9"/>
      <c r="G2571" s="9"/>
      <c r="H2571" s="64" t="str">
        <f aca="false">IF(OR(A2571="",B2571=""),"",CONCATENATE("https://matarstund.is/serfaedi?id=",LOWER(SUBSTITUTE(B2571," ","-"))))</f>
        <v/>
      </c>
    </row>
    <row r="2572" customFormat="false" ht="15" hidden="false" customHeight="true" outlineLevel="0" collapsed="false">
      <c r="A2572" s="68"/>
      <c r="B2572" s="68"/>
      <c r="C2572" s="68"/>
      <c r="D2572" s="68"/>
      <c r="E2572" s="68"/>
      <c r="F2572" s="68"/>
      <c r="G2572" s="68"/>
      <c r="H2572" s="64" t="str">
        <f aca="false">IF(OR(A2572="",B2572=""),"",CONCATENATE("https://matarstund.is/serfaedi?id=",LOWER(SUBSTITUTE(B2572," ","-"))))</f>
        <v/>
      </c>
    </row>
    <row r="2573" customFormat="false" ht="15" hidden="false" customHeight="true" outlineLevel="0" collapsed="false">
      <c r="A2573" s="9"/>
      <c r="B2573" s="9"/>
      <c r="C2573" s="9"/>
      <c r="D2573" s="9"/>
      <c r="E2573" s="9"/>
      <c r="F2573" s="9"/>
      <c r="G2573" s="9"/>
      <c r="H2573" s="64" t="str">
        <f aca="false">IF(OR(A2573="",B2573=""),"",CONCATENATE("https://matarstund.is/serfaedi?id=",LOWER(SUBSTITUTE(B2573," ","-"))))</f>
        <v/>
      </c>
    </row>
    <row r="2574" customFormat="false" ht="15" hidden="false" customHeight="true" outlineLevel="0" collapsed="false">
      <c r="A2574" s="68"/>
      <c r="B2574" s="68"/>
      <c r="C2574" s="68"/>
      <c r="D2574" s="68"/>
      <c r="E2574" s="68"/>
      <c r="F2574" s="68"/>
      <c r="G2574" s="68"/>
      <c r="H2574" s="64" t="str">
        <f aca="false">IF(OR(A2574="",B2574=""),"",CONCATENATE("https://matarstund.is/serfaedi?id=",LOWER(SUBSTITUTE(B2574," ","-"))))</f>
        <v/>
      </c>
    </row>
    <row r="2575" customFormat="false" ht="15" hidden="false" customHeight="true" outlineLevel="0" collapsed="false">
      <c r="A2575" s="9"/>
      <c r="B2575" s="9"/>
      <c r="C2575" s="9"/>
      <c r="D2575" s="9"/>
      <c r="E2575" s="9"/>
      <c r="F2575" s="9"/>
      <c r="G2575" s="9"/>
      <c r="H2575" s="64" t="str">
        <f aca="false">IF(OR(A2575="",B2575=""),"",CONCATENATE("https://matarstund.is/serfaedi?id=",LOWER(SUBSTITUTE(B2575," ","-"))))</f>
        <v/>
      </c>
    </row>
    <row r="2576" customFormat="false" ht="15" hidden="false" customHeight="true" outlineLevel="0" collapsed="false">
      <c r="A2576" s="68"/>
      <c r="B2576" s="68"/>
      <c r="C2576" s="68"/>
      <c r="D2576" s="68"/>
      <c r="E2576" s="68"/>
      <c r="F2576" s="68"/>
      <c r="G2576" s="68"/>
      <c r="H2576" s="64" t="str">
        <f aca="false">IF(OR(A2576="",B2576=""),"",CONCATENATE("https://matarstund.is/serfaedi?id=",LOWER(SUBSTITUTE(B2576," ","-"))))</f>
        <v/>
      </c>
    </row>
    <row r="2577" customFormat="false" ht="15" hidden="false" customHeight="true" outlineLevel="0" collapsed="false">
      <c r="A2577" s="9"/>
      <c r="B2577" s="9"/>
      <c r="C2577" s="9"/>
      <c r="D2577" s="9"/>
      <c r="E2577" s="9"/>
      <c r="F2577" s="9"/>
      <c r="G2577" s="9"/>
      <c r="H2577" s="64" t="str">
        <f aca="false">IF(OR(A2577="",B2577=""),"",CONCATENATE("https://matarstund.is/serfaedi?id=",LOWER(SUBSTITUTE(B2577," ","-"))))</f>
        <v/>
      </c>
    </row>
    <row r="2578" customFormat="false" ht="15" hidden="false" customHeight="true" outlineLevel="0" collapsed="false">
      <c r="A2578" s="68"/>
      <c r="B2578" s="68"/>
      <c r="C2578" s="68"/>
      <c r="D2578" s="68"/>
      <c r="E2578" s="68"/>
      <c r="F2578" s="68"/>
      <c r="G2578" s="68"/>
      <c r="H2578" s="64" t="str">
        <f aca="false">IF(OR(A2578="",B2578=""),"",CONCATENATE("https://matarstund.is/serfaedi?id=",LOWER(SUBSTITUTE(B2578," ","-"))))</f>
        <v/>
      </c>
    </row>
    <row r="2579" customFormat="false" ht="15" hidden="false" customHeight="true" outlineLevel="0" collapsed="false">
      <c r="A2579" s="9"/>
      <c r="B2579" s="9"/>
      <c r="C2579" s="9"/>
      <c r="D2579" s="9"/>
      <c r="E2579" s="9"/>
      <c r="F2579" s="9"/>
      <c r="G2579" s="9"/>
      <c r="H2579" s="64" t="str">
        <f aca="false">IF(OR(A2579="",B2579=""),"",CONCATENATE("https://matarstund.is/serfaedi?id=",LOWER(SUBSTITUTE(B2579," ","-"))))</f>
        <v/>
      </c>
    </row>
    <row r="2580" customFormat="false" ht="15" hidden="false" customHeight="true" outlineLevel="0" collapsed="false">
      <c r="A2580" s="68"/>
      <c r="B2580" s="68"/>
      <c r="C2580" s="68"/>
      <c r="D2580" s="68"/>
      <c r="E2580" s="68"/>
      <c r="F2580" s="68"/>
      <c r="G2580" s="68"/>
      <c r="H2580" s="64" t="str">
        <f aca="false">IF(OR(A2580="",B2580=""),"",CONCATENATE("https://matarstund.is/serfaedi?id=",LOWER(SUBSTITUTE(B2580," ","-"))))</f>
        <v/>
      </c>
    </row>
    <row r="2581" customFormat="false" ht="15" hidden="false" customHeight="true" outlineLevel="0" collapsed="false">
      <c r="A2581" s="9"/>
      <c r="B2581" s="9"/>
      <c r="C2581" s="9"/>
      <c r="D2581" s="9"/>
      <c r="E2581" s="9"/>
      <c r="F2581" s="9"/>
      <c r="G2581" s="9"/>
      <c r="H2581" s="64" t="str">
        <f aca="false">IF(OR(A2581="",B2581=""),"",CONCATENATE("https://matarstund.is/serfaedi?id=",LOWER(SUBSTITUTE(B2581," ","-"))))</f>
        <v/>
      </c>
    </row>
    <row r="2582" customFormat="false" ht="15" hidden="false" customHeight="true" outlineLevel="0" collapsed="false">
      <c r="A2582" s="68"/>
      <c r="B2582" s="68"/>
      <c r="C2582" s="68"/>
      <c r="D2582" s="68"/>
      <c r="E2582" s="68"/>
      <c r="F2582" s="68"/>
      <c r="G2582" s="68"/>
      <c r="H2582" s="64" t="str">
        <f aca="false">IF(OR(A2582="",B2582=""),"",CONCATENATE("https://matarstund.is/serfaedi?id=",LOWER(SUBSTITUTE(B2582," ","-"))))</f>
        <v/>
      </c>
    </row>
    <row r="2583" customFormat="false" ht="15" hidden="false" customHeight="true" outlineLevel="0" collapsed="false">
      <c r="A2583" s="9"/>
      <c r="B2583" s="9"/>
      <c r="C2583" s="9"/>
      <c r="D2583" s="9"/>
      <c r="E2583" s="9"/>
      <c r="F2583" s="9"/>
      <c r="G2583" s="9"/>
      <c r="H2583" s="64" t="str">
        <f aca="false">IF(OR(A2583="",B2583=""),"",CONCATENATE("https://matarstund.is/serfaedi?id=",LOWER(SUBSTITUTE(B2583," ","-"))))</f>
        <v/>
      </c>
    </row>
    <row r="2584" customFormat="false" ht="15" hidden="false" customHeight="true" outlineLevel="0" collapsed="false">
      <c r="A2584" s="68"/>
      <c r="B2584" s="68"/>
      <c r="C2584" s="68"/>
      <c r="D2584" s="68"/>
      <c r="E2584" s="68"/>
      <c r="F2584" s="68"/>
      <c r="G2584" s="68"/>
      <c r="H2584" s="64" t="str">
        <f aca="false">IF(OR(A2584="",B2584=""),"",CONCATENATE("https://matarstund.is/serfaedi?id=",LOWER(SUBSTITUTE(B2584," ","-"))))</f>
        <v/>
      </c>
    </row>
    <row r="2585" customFormat="false" ht="15" hidden="false" customHeight="true" outlineLevel="0" collapsed="false">
      <c r="A2585" s="9"/>
      <c r="B2585" s="9"/>
      <c r="C2585" s="9"/>
      <c r="D2585" s="9"/>
      <c r="E2585" s="9"/>
      <c r="F2585" s="9"/>
      <c r="G2585" s="9"/>
      <c r="H2585" s="64" t="str">
        <f aca="false">IF(OR(A2585="",B2585=""),"",CONCATENATE("https://matarstund.is/serfaedi?id=",LOWER(SUBSTITUTE(B2585," ","-"))))</f>
        <v/>
      </c>
    </row>
    <row r="2586" customFormat="false" ht="15" hidden="false" customHeight="true" outlineLevel="0" collapsed="false">
      <c r="A2586" s="68"/>
      <c r="B2586" s="68"/>
      <c r="C2586" s="68"/>
      <c r="D2586" s="68"/>
      <c r="E2586" s="68"/>
      <c r="F2586" s="68"/>
      <c r="G2586" s="68"/>
      <c r="H2586" s="64" t="str">
        <f aca="false">IF(OR(A2586="",B2586=""),"",CONCATENATE("https://matarstund.is/serfaedi?id=",LOWER(SUBSTITUTE(B2586," ","-"))))</f>
        <v/>
      </c>
    </row>
    <row r="2587" customFormat="false" ht="15" hidden="false" customHeight="true" outlineLevel="0" collapsed="false">
      <c r="A2587" s="9"/>
      <c r="B2587" s="9"/>
      <c r="C2587" s="9"/>
      <c r="D2587" s="9"/>
      <c r="E2587" s="9"/>
      <c r="F2587" s="9"/>
      <c r="G2587" s="9"/>
      <c r="H2587" s="64" t="str">
        <f aca="false">IF(OR(A2587="",B2587=""),"",CONCATENATE("https://matarstund.is/serfaedi?id=",LOWER(SUBSTITUTE(B2587," ","-"))))</f>
        <v/>
      </c>
    </row>
    <row r="2588" customFormat="false" ht="15" hidden="false" customHeight="true" outlineLevel="0" collapsed="false">
      <c r="A2588" s="68"/>
      <c r="B2588" s="68"/>
      <c r="C2588" s="68"/>
      <c r="D2588" s="68"/>
      <c r="E2588" s="68"/>
      <c r="F2588" s="68"/>
      <c r="G2588" s="68"/>
      <c r="H2588" s="64" t="str">
        <f aca="false">IF(OR(A2588="",B2588=""),"",CONCATENATE("https://matarstund.is/serfaedi?id=",LOWER(SUBSTITUTE(B2588," ","-"))))</f>
        <v/>
      </c>
    </row>
    <row r="2589" customFormat="false" ht="15" hidden="false" customHeight="true" outlineLevel="0" collapsed="false">
      <c r="A2589" s="9"/>
      <c r="B2589" s="9"/>
      <c r="C2589" s="9"/>
      <c r="D2589" s="9"/>
      <c r="E2589" s="9"/>
      <c r="F2589" s="9"/>
      <c r="G2589" s="9"/>
      <c r="H2589" s="64" t="str">
        <f aca="false">IF(OR(A2589="",B2589=""),"",CONCATENATE("https://matarstund.is/serfaedi?id=",LOWER(SUBSTITUTE(B2589," ","-"))))</f>
        <v/>
      </c>
    </row>
    <row r="2590" customFormat="false" ht="15" hidden="false" customHeight="true" outlineLevel="0" collapsed="false">
      <c r="A2590" s="68"/>
      <c r="B2590" s="68"/>
      <c r="C2590" s="68"/>
      <c r="D2590" s="68"/>
      <c r="E2590" s="68"/>
      <c r="F2590" s="68"/>
      <c r="G2590" s="68"/>
      <c r="H2590" s="64" t="str">
        <f aca="false">IF(OR(A2590="",B2590=""),"",CONCATENATE("https://matarstund.is/serfaedi?id=",LOWER(SUBSTITUTE(B2590," ","-"))))</f>
        <v/>
      </c>
    </row>
    <row r="2591" customFormat="false" ht="15" hidden="false" customHeight="true" outlineLevel="0" collapsed="false">
      <c r="A2591" s="9"/>
      <c r="B2591" s="9"/>
      <c r="C2591" s="9"/>
      <c r="D2591" s="9"/>
      <c r="E2591" s="9"/>
      <c r="F2591" s="9"/>
      <c r="G2591" s="9"/>
      <c r="H2591" s="64" t="str">
        <f aca="false">IF(OR(A2591="",B2591=""),"",CONCATENATE("https://matarstund.is/serfaedi?id=",LOWER(SUBSTITUTE(B2591," ","-"))))</f>
        <v/>
      </c>
    </row>
    <row r="2592" customFormat="false" ht="15" hidden="false" customHeight="true" outlineLevel="0" collapsed="false">
      <c r="A2592" s="68"/>
      <c r="B2592" s="68"/>
      <c r="C2592" s="68"/>
      <c r="D2592" s="68"/>
      <c r="E2592" s="68"/>
      <c r="F2592" s="68"/>
      <c r="G2592" s="68"/>
      <c r="H2592" s="64" t="str">
        <f aca="false">IF(OR(A2592="",B2592=""),"",CONCATENATE("https://matarstund.is/serfaedi?id=",LOWER(SUBSTITUTE(B2592," ","-"))))</f>
        <v/>
      </c>
    </row>
    <row r="2593" customFormat="false" ht="15" hidden="false" customHeight="true" outlineLevel="0" collapsed="false">
      <c r="A2593" s="9"/>
      <c r="B2593" s="9"/>
      <c r="C2593" s="9"/>
      <c r="D2593" s="9"/>
      <c r="E2593" s="9"/>
      <c r="F2593" s="9"/>
      <c r="G2593" s="9"/>
      <c r="H2593" s="64" t="str">
        <f aca="false">IF(OR(A2593="",B2593=""),"",CONCATENATE("https://matarstund.is/serfaedi?id=",LOWER(SUBSTITUTE(B2593," ","-"))))</f>
        <v/>
      </c>
    </row>
    <row r="2594" customFormat="false" ht="15" hidden="false" customHeight="true" outlineLevel="0" collapsed="false">
      <c r="A2594" s="68"/>
      <c r="B2594" s="68"/>
      <c r="C2594" s="68"/>
      <c r="D2594" s="68"/>
      <c r="E2594" s="68"/>
      <c r="F2594" s="68"/>
      <c r="G2594" s="68"/>
      <c r="H2594" s="64" t="str">
        <f aca="false">IF(OR(A2594="",B2594=""),"",CONCATENATE("https://matarstund.is/serfaedi?id=",LOWER(SUBSTITUTE(B2594," ","-"))))</f>
        <v/>
      </c>
    </row>
    <row r="2595" customFormat="false" ht="15" hidden="false" customHeight="true" outlineLevel="0" collapsed="false">
      <c r="A2595" s="9"/>
      <c r="B2595" s="9"/>
      <c r="C2595" s="9"/>
      <c r="D2595" s="9"/>
      <c r="E2595" s="9"/>
      <c r="F2595" s="9"/>
      <c r="G2595" s="9"/>
      <c r="H2595" s="64" t="str">
        <f aca="false">IF(OR(A2595="",B2595=""),"",CONCATENATE("https://matarstund.is/serfaedi?id=",LOWER(SUBSTITUTE(B2595," ","-"))))</f>
        <v/>
      </c>
    </row>
    <row r="2596" customFormat="false" ht="15" hidden="false" customHeight="true" outlineLevel="0" collapsed="false">
      <c r="A2596" s="68"/>
      <c r="B2596" s="68"/>
      <c r="C2596" s="68"/>
      <c r="D2596" s="68"/>
      <c r="E2596" s="68"/>
      <c r="F2596" s="68"/>
      <c r="G2596" s="68"/>
      <c r="H2596" s="64" t="str">
        <f aca="false">IF(OR(A2596="",B2596=""),"",CONCATENATE("https://matarstund.is/serfaedi?id=",LOWER(SUBSTITUTE(B2596," ","-"))))</f>
        <v/>
      </c>
    </row>
    <row r="2597" customFormat="false" ht="15" hidden="false" customHeight="true" outlineLevel="0" collapsed="false">
      <c r="A2597" s="9"/>
      <c r="B2597" s="9"/>
      <c r="C2597" s="9"/>
      <c r="D2597" s="9"/>
      <c r="E2597" s="9"/>
      <c r="F2597" s="9"/>
      <c r="G2597" s="9"/>
      <c r="H2597" s="64" t="str">
        <f aca="false">IF(OR(A2597="",B2597=""),"",CONCATENATE("https://matarstund.is/serfaedi?id=",LOWER(SUBSTITUTE(B2597," ","-"))))</f>
        <v/>
      </c>
    </row>
    <row r="2598" customFormat="false" ht="15" hidden="false" customHeight="true" outlineLevel="0" collapsed="false">
      <c r="A2598" s="68"/>
      <c r="B2598" s="68"/>
      <c r="C2598" s="68"/>
      <c r="D2598" s="68"/>
      <c r="E2598" s="68"/>
      <c r="F2598" s="68"/>
      <c r="G2598" s="68"/>
      <c r="H2598" s="64" t="str">
        <f aca="false">IF(OR(A2598="",B2598=""),"",CONCATENATE("https://matarstund.is/serfaedi?id=",LOWER(SUBSTITUTE(B2598," ","-"))))</f>
        <v/>
      </c>
    </row>
    <row r="2599" customFormat="false" ht="15" hidden="false" customHeight="true" outlineLevel="0" collapsed="false">
      <c r="A2599" s="9"/>
      <c r="B2599" s="9"/>
      <c r="C2599" s="9"/>
      <c r="D2599" s="9"/>
      <c r="E2599" s="9"/>
      <c r="F2599" s="9"/>
      <c r="G2599" s="9"/>
      <c r="H2599" s="64" t="str">
        <f aca="false">IF(OR(A2599="",B2599=""),"",CONCATENATE("https://matarstund.is/serfaedi?id=",LOWER(SUBSTITUTE(B2599," ","-"))))</f>
        <v/>
      </c>
    </row>
    <row r="2600" customFormat="false" ht="15" hidden="false" customHeight="true" outlineLevel="0" collapsed="false">
      <c r="A2600" s="68"/>
      <c r="B2600" s="68"/>
      <c r="C2600" s="68"/>
      <c r="D2600" s="68"/>
      <c r="E2600" s="68"/>
      <c r="F2600" s="68"/>
      <c r="G2600" s="68"/>
      <c r="H2600" s="64" t="str">
        <f aca="false">IF(OR(A2600="",B2600=""),"",CONCATENATE("https://matarstund.is/serfaedi?id=",LOWER(SUBSTITUTE(B2600," ","-"))))</f>
        <v/>
      </c>
    </row>
    <row r="2601" customFormat="false" ht="15" hidden="false" customHeight="true" outlineLevel="0" collapsed="false">
      <c r="A2601" s="9"/>
      <c r="B2601" s="9"/>
      <c r="C2601" s="9"/>
      <c r="D2601" s="9"/>
      <c r="E2601" s="9"/>
      <c r="F2601" s="9"/>
      <c r="G2601" s="9"/>
      <c r="H2601" s="64" t="str">
        <f aca="false">IF(OR(A2601="",B2601=""),"",CONCATENATE("https://matarstund.is/serfaedi?id=",LOWER(SUBSTITUTE(B2601," ","-"))))</f>
        <v/>
      </c>
    </row>
    <row r="2602" customFormat="false" ht="15" hidden="false" customHeight="true" outlineLevel="0" collapsed="false">
      <c r="A2602" s="68"/>
      <c r="B2602" s="68"/>
      <c r="C2602" s="68"/>
      <c r="D2602" s="68"/>
      <c r="E2602" s="68"/>
      <c r="F2602" s="68"/>
      <c r="G2602" s="68"/>
      <c r="H2602" s="64" t="str">
        <f aca="false">IF(OR(A2602="",B2602=""),"",CONCATENATE("https://matarstund.is/serfaedi?id=",LOWER(SUBSTITUTE(B2602," ","-"))))</f>
        <v/>
      </c>
    </row>
    <row r="2603" customFormat="false" ht="15" hidden="false" customHeight="true" outlineLevel="0" collapsed="false">
      <c r="A2603" s="9"/>
      <c r="B2603" s="9"/>
      <c r="C2603" s="9"/>
      <c r="D2603" s="9"/>
      <c r="E2603" s="9"/>
      <c r="F2603" s="9"/>
      <c r="G2603" s="9"/>
      <c r="H2603" s="64" t="str">
        <f aca="false">IF(OR(A2603="",B2603=""),"",CONCATENATE("https://matarstund.is/serfaedi?id=",LOWER(SUBSTITUTE(B2603," ","-"))))</f>
        <v/>
      </c>
    </row>
    <row r="2604" customFormat="false" ht="15" hidden="false" customHeight="true" outlineLevel="0" collapsed="false">
      <c r="A2604" s="68"/>
      <c r="B2604" s="68"/>
      <c r="C2604" s="68"/>
      <c r="D2604" s="68"/>
      <c r="E2604" s="68"/>
      <c r="F2604" s="68"/>
      <c r="G2604" s="68"/>
      <c r="H2604" s="64" t="str">
        <f aca="false">IF(OR(A2604="",B2604=""),"",CONCATENATE("https://matarstund.is/serfaedi?id=",LOWER(SUBSTITUTE(B2604," ","-"))))</f>
        <v/>
      </c>
    </row>
    <row r="2605" customFormat="false" ht="15" hidden="false" customHeight="true" outlineLevel="0" collapsed="false">
      <c r="A2605" s="9"/>
      <c r="B2605" s="9"/>
      <c r="C2605" s="9"/>
      <c r="D2605" s="9"/>
      <c r="E2605" s="9"/>
      <c r="F2605" s="9"/>
      <c r="G2605" s="9"/>
      <c r="H2605" s="64" t="str">
        <f aca="false">IF(OR(A2605="",B2605=""),"",CONCATENATE("https://matarstund.is/serfaedi?id=",LOWER(SUBSTITUTE(B2605," ","-"))))</f>
        <v/>
      </c>
    </row>
    <row r="2606" customFormat="false" ht="15" hidden="false" customHeight="true" outlineLevel="0" collapsed="false">
      <c r="A2606" s="68"/>
      <c r="B2606" s="68"/>
      <c r="C2606" s="68"/>
      <c r="D2606" s="68"/>
      <c r="E2606" s="68"/>
      <c r="F2606" s="68"/>
      <c r="G2606" s="68"/>
      <c r="H2606" s="64" t="str">
        <f aca="false">IF(OR(A2606="",B2606=""),"",CONCATENATE("https://matarstund.is/serfaedi?id=",LOWER(SUBSTITUTE(B2606," ","-"))))</f>
        <v/>
      </c>
    </row>
    <row r="2607" customFormat="false" ht="15" hidden="false" customHeight="true" outlineLevel="0" collapsed="false">
      <c r="A2607" s="9"/>
      <c r="B2607" s="9"/>
      <c r="C2607" s="9"/>
      <c r="D2607" s="9"/>
      <c r="E2607" s="9"/>
      <c r="F2607" s="9"/>
      <c r="G2607" s="9"/>
      <c r="H2607" s="64" t="str">
        <f aca="false">IF(OR(A2607="",B2607=""),"",CONCATENATE("https://matarstund.is/serfaedi?id=",LOWER(SUBSTITUTE(B2607," ","-"))))</f>
        <v/>
      </c>
    </row>
    <row r="2608" customFormat="false" ht="15" hidden="false" customHeight="true" outlineLevel="0" collapsed="false">
      <c r="A2608" s="68"/>
      <c r="B2608" s="68"/>
      <c r="C2608" s="68"/>
      <c r="D2608" s="68"/>
      <c r="E2608" s="68"/>
      <c r="F2608" s="68"/>
      <c r="G2608" s="68"/>
      <c r="H2608" s="64" t="str">
        <f aca="false">IF(OR(A2608="",B2608=""),"",CONCATENATE("https://matarstund.is/serfaedi?id=",LOWER(SUBSTITUTE(B2608," ","-"))))</f>
        <v/>
      </c>
    </row>
    <row r="2609" customFormat="false" ht="15" hidden="false" customHeight="true" outlineLevel="0" collapsed="false">
      <c r="A2609" s="9"/>
      <c r="B2609" s="9"/>
      <c r="C2609" s="9"/>
      <c r="D2609" s="9"/>
      <c r="E2609" s="9"/>
      <c r="F2609" s="9"/>
      <c r="G2609" s="9"/>
      <c r="H2609" s="64" t="str">
        <f aca="false">IF(OR(A2609="",B2609=""),"",CONCATENATE("https://matarstund.is/serfaedi?id=",LOWER(SUBSTITUTE(B2609," ","-"))))</f>
        <v/>
      </c>
    </row>
    <row r="2610" customFormat="false" ht="15" hidden="false" customHeight="true" outlineLevel="0" collapsed="false">
      <c r="A2610" s="68"/>
      <c r="B2610" s="68"/>
      <c r="C2610" s="68"/>
      <c r="D2610" s="68"/>
      <c r="E2610" s="68"/>
      <c r="F2610" s="68"/>
      <c r="G2610" s="68"/>
      <c r="H2610" s="64" t="str">
        <f aca="false">IF(OR(A2610="",B2610=""),"",CONCATENATE("https://matarstund.is/serfaedi?id=",LOWER(SUBSTITUTE(B2610," ","-"))))</f>
        <v/>
      </c>
    </row>
    <row r="2611" customFormat="false" ht="15" hidden="false" customHeight="true" outlineLevel="0" collapsed="false">
      <c r="A2611" s="9"/>
      <c r="B2611" s="9"/>
      <c r="C2611" s="9"/>
      <c r="D2611" s="9"/>
      <c r="E2611" s="9"/>
      <c r="F2611" s="9"/>
      <c r="G2611" s="9"/>
      <c r="H2611" s="64" t="str">
        <f aca="false">IF(OR(A2611="",B2611=""),"",CONCATENATE("https://matarstund.is/serfaedi?id=",LOWER(SUBSTITUTE(B2611," ","-"))))</f>
        <v/>
      </c>
    </row>
    <row r="2612" customFormat="false" ht="15" hidden="false" customHeight="true" outlineLevel="0" collapsed="false">
      <c r="A2612" s="68"/>
      <c r="B2612" s="68"/>
      <c r="C2612" s="68"/>
      <c r="D2612" s="68"/>
      <c r="E2612" s="68"/>
      <c r="F2612" s="68"/>
      <c r="G2612" s="68"/>
      <c r="H2612" s="64" t="str">
        <f aca="false">IF(OR(A2612="",B2612=""),"",CONCATENATE("https://matarstund.is/serfaedi?id=",LOWER(SUBSTITUTE(B2612," ","-"))))</f>
        <v/>
      </c>
    </row>
    <row r="2613" customFormat="false" ht="15" hidden="false" customHeight="true" outlineLevel="0" collapsed="false">
      <c r="A2613" s="9"/>
      <c r="B2613" s="9"/>
      <c r="C2613" s="9"/>
      <c r="D2613" s="9"/>
      <c r="E2613" s="9"/>
      <c r="F2613" s="9"/>
      <c r="G2613" s="9"/>
      <c r="H2613" s="64" t="str">
        <f aca="false">IF(OR(A2613="",B2613=""),"",CONCATENATE("https://matarstund.is/serfaedi?id=",LOWER(SUBSTITUTE(B2613," ","-"))))</f>
        <v/>
      </c>
    </row>
    <row r="2614" customFormat="false" ht="15" hidden="false" customHeight="true" outlineLevel="0" collapsed="false">
      <c r="A2614" s="68"/>
      <c r="B2614" s="68"/>
      <c r="C2614" s="68"/>
      <c r="D2614" s="68"/>
      <c r="E2614" s="68"/>
      <c r="F2614" s="68"/>
      <c r="G2614" s="68"/>
      <c r="H2614" s="64" t="str">
        <f aca="false">IF(OR(A2614="",B2614=""),"",CONCATENATE("https://matarstund.is/serfaedi?id=",LOWER(SUBSTITUTE(B2614," ","-"))))</f>
        <v/>
      </c>
    </row>
    <row r="2615" customFormat="false" ht="15" hidden="false" customHeight="true" outlineLevel="0" collapsed="false">
      <c r="A2615" s="9"/>
      <c r="B2615" s="9"/>
      <c r="C2615" s="9"/>
      <c r="D2615" s="9"/>
      <c r="E2615" s="9"/>
      <c r="F2615" s="9"/>
      <c r="G2615" s="9"/>
      <c r="H2615" s="64" t="str">
        <f aca="false">IF(OR(A2615="",B2615=""),"",CONCATENATE("https://matarstund.is/serfaedi?id=",LOWER(SUBSTITUTE(B2615," ","-"))))</f>
        <v/>
      </c>
    </row>
    <row r="2616" customFormat="false" ht="15" hidden="false" customHeight="true" outlineLevel="0" collapsed="false">
      <c r="A2616" s="68"/>
      <c r="B2616" s="68"/>
      <c r="C2616" s="68"/>
      <c r="D2616" s="68"/>
      <c r="E2616" s="68"/>
      <c r="F2616" s="68"/>
      <c r="G2616" s="68"/>
      <c r="H2616" s="64" t="str">
        <f aca="false">IF(OR(A2616="",B2616=""),"",CONCATENATE("https://matarstund.is/serfaedi?id=",LOWER(SUBSTITUTE(B2616," ","-"))))</f>
        <v/>
      </c>
    </row>
    <row r="2617" customFormat="false" ht="15" hidden="false" customHeight="true" outlineLevel="0" collapsed="false">
      <c r="A2617" s="9"/>
      <c r="B2617" s="9"/>
      <c r="C2617" s="9"/>
      <c r="D2617" s="9"/>
      <c r="E2617" s="9"/>
      <c r="F2617" s="9"/>
      <c r="G2617" s="9"/>
      <c r="H2617" s="64" t="str">
        <f aca="false">IF(OR(A2617="",B2617=""),"",CONCATENATE("https://matarstund.is/serfaedi?id=",LOWER(SUBSTITUTE(B2617," ","-"))))</f>
        <v/>
      </c>
    </row>
    <row r="2618" customFormat="false" ht="15" hidden="false" customHeight="true" outlineLevel="0" collapsed="false">
      <c r="A2618" s="68"/>
      <c r="B2618" s="68"/>
      <c r="C2618" s="68"/>
      <c r="D2618" s="68"/>
      <c r="E2618" s="68"/>
      <c r="F2618" s="68"/>
      <c r="G2618" s="68"/>
      <c r="H2618" s="64" t="str">
        <f aca="false">IF(OR(A2618="",B2618=""),"",CONCATENATE("https://matarstund.is/serfaedi?id=",LOWER(SUBSTITUTE(B2618," ","-"))))</f>
        <v/>
      </c>
    </row>
    <row r="2619" customFormat="false" ht="15" hidden="false" customHeight="true" outlineLevel="0" collapsed="false">
      <c r="A2619" s="9"/>
      <c r="B2619" s="9"/>
      <c r="C2619" s="9"/>
      <c r="D2619" s="9"/>
      <c r="E2619" s="9"/>
      <c r="F2619" s="9"/>
      <c r="G2619" s="9"/>
      <c r="H2619" s="64" t="str">
        <f aca="false">IF(OR(A2619="",B2619=""),"",CONCATENATE("https://matarstund.is/serfaedi?id=",LOWER(SUBSTITUTE(B2619," ","-"))))</f>
        <v/>
      </c>
    </row>
    <row r="2620" customFormat="false" ht="15" hidden="false" customHeight="true" outlineLevel="0" collapsed="false">
      <c r="A2620" s="68"/>
      <c r="B2620" s="68"/>
      <c r="C2620" s="68"/>
      <c r="D2620" s="68"/>
      <c r="E2620" s="68"/>
      <c r="F2620" s="68"/>
      <c r="G2620" s="68"/>
      <c r="H2620" s="64" t="str">
        <f aca="false">IF(OR(A2620="",B2620=""),"",CONCATENATE("https://matarstund.is/serfaedi?id=",LOWER(SUBSTITUTE(B2620," ","-"))))</f>
        <v/>
      </c>
    </row>
    <row r="2621" customFormat="false" ht="15" hidden="false" customHeight="true" outlineLevel="0" collapsed="false">
      <c r="A2621" s="9"/>
      <c r="B2621" s="9"/>
      <c r="C2621" s="9"/>
      <c r="D2621" s="9"/>
      <c r="E2621" s="9"/>
      <c r="F2621" s="9"/>
      <c r="G2621" s="9"/>
      <c r="H2621" s="64" t="str">
        <f aca="false">IF(OR(A2621="",B2621=""),"",CONCATENATE("https://matarstund.is/serfaedi?id=",LOWER(SUBSTITUTE(B2621," ","-"))))</f>
        <v/>
      </c>
    </row>
    <row r="2622" customFormat="false" ht="15" hidden="false" customHeight="true" outlineLevel="0" collapsed="false">
      <c r="A2622" s="68"/>
      <c r="B2622" s="68"/>
      <c r="C2622" s="68"/>
      <c r="D2622" s="68"/>
      <c r="E2622" s="68"/>
      <c r="F2622" s="68"/>
      <c r="G2622" s="68"/>
      <c r="H2622" s="64" t="str">
        <f aca="false">IF(OR(A2622="",B2622=""),"",CONCATENATE("https://matarstund.is/serfaedi?id=",LOWER(SUBSTITUTE(B2622," ","-"))))</f>
        <v/>
      </c>
    </row>
    <row r="2623" customFormat="false" ht="15" hidden="false" customHeight="true" outlineLevel="0" collapsed="false">
      <c r="A2623" s="9"/>
      <c r="B2623" s="9"/>
      <c r="C2623" s="9"/>
      <c r="D2623" s="9"/>
      <c r="E2623" s="9"/>
      <c r="F2623" s="9"/>
      <c r="G2623" s="9"/>
      <c r="H2623" s="64" t="str">
        <f aca="false">IF(OR(A2623="",B2623=""),"",CONCATENATE("https://matarstund.is/serfaedi?id=",LOWER(SUBSTITUTE(B2623," ","-"))))</f>
        <v/>
      </c>
    </row>
    <row r="2624" customFormat="false" ht="15" hidden="false" customHeight="true" outlineLevel="0" collapsed="false">
      <c r="A2624" s="68"/>
      <c r="B2624" s="68"/>
      <c r="C2624" s="68"/>
      <c r="D2624" s="68"/>
      <c r="E2624" s="68"/>
      <c r="F2624" s="68"/>
      <c r="G2624" s="68"/>
      <c r="H2624" s="64" t="str">
        <f aca="false">IF(OR(A2624="",B2624=""),"",CONCATENATE("https://matarstund.is/serfaedi?id=",LOWER(SUBSTITUTE(B2624," ","-"))))</f>
        <v/>
      </c>
    </row>
    <row r="2625" customFormat="false" ht="15" hidden="false" customHeight="true" outlineLevel="0" collapsed="false">
      <c r="A2625" s="9"/>
      <c r="B2625" s="9"/>
      <c r="C2625" s="9"/>
      <c r="D2625" s="9"/>
      <c r="E2625" s="9"/>
      <c r="F2625" s="9"/>
      <c r="G2625" s="9"/>
      <c r="H2625" s="64" t="str">
        <f aca="false">IF(OR(A2625="",B2625=""),"",CONCATENATE("https://matarstund.is/serfaedi?id=",LOWER(SUBSTITUTE(B2625," ","-"))))</f>
        <v/>
      </c>
    </row>
    <row r="2626" customFormat="false" ht="15" hidden="false" customHeight="true" outlineLevel="0" collapsed="false">
      <c r="A2626" s="68"/>
      <c r="B2626" s="68"/>
      <c r="C2626" s="68"/>
      <c r="D2626" s="68"/>
      <c r="E2626" s="68"/>
      <c r="F2626" s="68"/>
      <c r="G2626" s="68"/>
      <c r="H2626" s="64" t="str">
        <f aca="false">IF(OR(A2626="",B2626=""),"",CONCATENATE("https://matarstund.is/serfaedi?id=",LOWER(SUBSTITUTE(B2626," ","-"))))</f>
        <v/>
      </c>
    </row>
    <row r="2627" customFormat="false" ht="15" hidden="false" customHeight="true" outlineLevel="0" collapsed="false">
      <c r="A2627" s="9"/>
      <c r="B2627" s="9"/>
      <c r="C2627" s="9"/>
      <c r="D2627" s="9"/>
      <c r="E2627" s="9"/>
      <c r="F2627" s="9"/>
      <c r="G2627" s="9"/>
      <c r="H2627" s="64" t="str">
        <f aca="false">IF(OR(A2627="",B2627=""),"",CONCATENATE("https://matarstund.is/serfaedi?id=",LOWER(SUBSTITUTE(B2627," ","-"))))</f>
        <v/>
      </c>
    </row>
    <row r="2628" customFormat="false" ht="15" hidden="false" customHeight="true" outlineLevel="0" collapsed="false">
      <c r="A2628" s="68"/>
      <c r="B2628" s="68"/>
      <c r="C2628" s="68"/>
      <c r="D2628" s="68"/>
      <c r="E2628" s="68"/>
      <c r="F2628" s="68"/>
      <c r="G2628" s="68"/>
      <c r="H2628" s="64" t="str">
        <f aca="false">IF(OR(A2628="",B2628=""),"",CONCATENATE("https://matarstund.is/serfaedi?id=",LOWER(SUBSTITUTE(B2628," ","-"))))</f>
        <v/>
      </c>
    </row>
    <row r="2629" customFormat="false" ht="15" hidden="false" customHeight="true" outlineLevel="0" collapsed="false">
      <c r="A2629" s="9"/>
      <c r="B2629" s="9"/>
      <c r="C2629" s="9"/>
      <c r="D2629" s="9"/>
      <c r="E2629" s="9"/>
      <c r="F2629" s="9"/>
      <c r="G2629" s="9"/>
      <c r="H2629" s="64" t="str">
        <f aca="false">IF(OR(A2629="",B2629=""),"",CONCATENATE("https://matarstund.is/serfaedi?id=",LOWER(SUBSTITUTE(B2629," ","-"))))</f>
        <v/>
      </c>
    </row>
    <row r="2630" customFormat="false" ht="15" hidden="false" customHeight="true" outlineLevel="0" collapsed="false">
      <c r="A2630" s="68"/>
      <c r="B2630" s="68"/>
      <c r="C2630" s="68"/>
      <c r="D2630" s="68"/>
      <c r="E2630" s="68"/>
      <c r="F2630" s="68"/>
      <c r="G2630" s="68"/>
      <c r="H2630" s="64" t="str">
        <f aca="false">IF(OR(A2630="",B2630=""),"",CONCATENATE("https://matarstund.is/serfaedi?id=",LOWER(SUBSTITUTE(B2630," ","-"))))</f>
        <v/>
      </c>
    </row>
    <row r="2631" customFormat="false" ht="15" hidden="false" customHeight="true" outlineLevel="0" collapsed="false">
      <c r="A2631" s="9"/>
      <c r="B2631" s="9"/>
      <c r="C2631" s="9"/>
      <c r="D2631" s="9"/>
      <c r="E2631" s="9"/>
      <c r="F2631" s="9"/>
      <c r="G2631" s="9"/>
      <c r="H2631" s="64" t="str">
        <f aca="false">IF(OR(A2631="",B2631=""),"",CONCATENATE("https://matarstund.is/serfaedi?id=",LOWER(SUBSTITUTE(B2631," ","-"))))</f>
        <v/>
      </c>
    </row>
    <row r="2632" customFormat="false" ht="15" hidden="false" customHeight="true" outlineLevel="0" collapsed="false">
      <c r="A2632" s="68"/>
      <c r="B2632" s="68"/>
      <c r="C2632" s="68"/>
      <c r="D2632" s="68"/>
      <c r="E2632" s="68"/>
      <c r="F2632" s="68"/>
      <c r="G2632" s="68"/>
      <c r="H2632" s="64" t="str">
        <f aca="false">IF(OR(A2632="",B2632=""),"",CONCATENATE("https://matarstund.is/serfaedi?id=",LOWER(SUBSTITUTE(B2632," ","-"))))</f>
        <v/>
      </c>
    </row>
    <row r="2633" customFormat="false" ht="15" hidden="false" customHeight="true" outlineLevel="0" collapsed="false">
      <c r="A2633" s="9"/>
      <c r="B2633" s="9"/>
      <c r="C2633" s="9"/>
      <c r="D2633" s="9"/>
      <c r="E2633" s="9"/>
      <c r="F2633" s="9"/>
      <c r="G2633" s="9"/>
      <c r="H2633" s="64" t="str">
        <f aca="false">IF(OR(A2633="",B2633=""),"",CONCATENATE("https://matarstund.is/serfaedi?id=",LOWER(SUBSTITUTE(B2633," ","-"))))</f>
        <v/>
      </c>
    </row>
    <row r="2634" customFormat="false" ht="15" hidden="false" customHeight="true" outlineLevel="0" collapsed="false">
      <c r="A2634" s="68"/>
      <c r="B2634" s="68"/>
      <c r="C2634" s="68"/>
      <c r="D2634" s="68"/>
      <c r="E2634" s="68"/>
      <c r="F2634" s="68"/>
      <c r="G2634" s="68"/>
      <c r="H2634" s="64" t="str">
        <f aca="false">IF(OR(A2634="",B2634=""),"",CONCATENATE("https://matarstund.is/serfaedi?id=",LOWER(SUBSTITUTE(B2634," ","-"))))</f>
        <v/>
      </c>
    </row>
    <row r="2635" customFormat="false" ht="15" hidden="false" customHeight="true" outlineLevel="0" collapsed="false">
      <c r="A2635" s="9"/>
      <c r="B2635" s="9"/>
      <c r="C2635" s="9"/>
      <c r="D2635" s="9"/>
      <c r="E2635" s="9"/>
      <c r="F2635" s="9"/>
      <c r="G2635" s="9"/>
      <c r="H2635" s="64" t="str">
        <f aca="false">IF(OR(A2635="",B2635=""),"",CONCATENATE("https://matarstund.is/serfaedi?id=",LOWER(SUBSTITUTE(B2635," ","-"))))</f>
        <v/>
      </c>
    </row>
    <row r="2636" customFormat="false" ht="15" hidden="false" customHeight="true" outlineLevel="0" collapsed="false">
      <c r="A2636" s="68"/>
      <c r="B2636" s="68"/>
      <c r="C2636" s="68"/>
      <c r="D2636" s="68"/>
      <c r="E2636" s="68"/>
      <c r="F2636" s="68"/>
      <c r="G2636" s="68"/>
      <c r="H2636" s="64" t="str">
        <f aca="false">IF(OR(A2636="",B2636=""),"",CONCATENATE("https://matarstund.is/serfaedi?id=",LOWER(SUBSTITUTE(B2636," ","-"))))</f>
        <v/>
      </c>
    </row>
    <row r="2637" customFormat="false" ht="15" hidden="false" customHeight="true" outlineLevel="0" collapsed="false">
      <c r="A2637" s="9"/>
      <c r="B2637" s="9"/>
      <c r="C2637" s="9"/>
      <c r="D2637" s="9"/>
      <c r="E2637" s="9"/>
      <c r="F2637" s="9"/>
      <c r="G2637" s="9"/>
      <c r="H2637" s="64" t="str">
        <f aca="false">IF(OR(A2637="",B2637=""),"",CONCATENATE("https://matarstund.is/serfaedi?id=",LOWER(SUBSTITUTE(B2637," ","-"))))</f>
        <v/>
      </c>
    </row>
    <row r="2638" customFormat="false" ht="15" hidden="false" customHeight="true" outlineLevel="0" collapsed="false">
      <c r="A2638" s="68"/>
      <c r="B2638" s="68"/>
      <c r="C2638" s="68"/>
      <c r="D2638" s="68"/>
      <c r="E2638" s="68"/>
      <c r="F2638" s="68"/>
      <c r="G2638" s="68"/>
      <c r="H2638" s="64" t="str">
        <f aca="false">IF(OR(A2638="",B2638=""),"",CONCATENATE("https://matarstund.is/serfaedi?id=",LOWER(SUBSTITUTE(B2638," ","-"))))</f>
        <v/>
      </c>
    </row>
    <row r="2639" customFormat="false" ht="15" hidden="false" customHeight="true" outlineLevel="0" collapsed="false">
      <c r="A2639" s="9"/>
      <c r="B2639" s="9"/>
      <c r="C2639" s="9"/>
      <c r="D2639" s="9"/>
      <c r="E2639" s="9"/>
      <c r="F2639" s="9"/>
      <c r="G2639" s="9"/>
      <c r="H2639" s="64" t="str">
        <f aca="false">IF(OR(A2639="",B2639=""),"",CONCATENATE("https://matarstund.is/serfaedi?id=",LOWER(SUBSTITUTE(B2639," ","-"))))</f>
        <v/>
      </c>
    </row>
    <row r="2640" customFormat="false" ht="15" hidden="false" customHeight="true" outlineLevel="0" collapsed="false">
      <c r="A2640" s="68"/>
      <c r="B2640" s="68"/>
      <c r="C2640" s="68"/>
      <c r="D2640" s="68"/>
      <c r="E2640" s="68"/>
      <c r="F2640" s="68"/>
      <c r="G2640" s="68"/>
      <c r="H2640" s="64" t="str">
        <f aca="false">IF(OR(A2640="",B2640=""),"",CONCATENATE("https://matarstund.is/serfaedi?id=",LOWER(SUBSTITUTE(B2640," ","-"))))</f>
        <v/>
      </c>
    </row>
    <row r="2641" customFormat="false" ht="15" hidden="false" customHeight="true" outlineLevel="0" collapsed="false">
      <c r="A2641" s="9"/>
      <c r="B2641" s="9"/>
      <c r="C2641" s="9"/>
      <c r="D2641" s="9"/>
      <c r="E2641" s="9"/>
      <c r="F2641" s="9"/>
      <c r="G2641" s="9"/>
      <c r="H2641" s="64" t="str">
        <f aca="false">IF(OR(A2641="",B2641=""),"",CONCATENATE("https://matarstund.is/serfaedi?id=",LOWER(SUBSTITUTE(B2641," ","-"))))</f>
        <v/>
      </c>
    </row>
    <row r="2642" customFormat="false" ht="15" hidden="false" customHeight="true" outlineLevel="0" collapsed="false">
      <c r="A2642" s="68"/>
      <c r="B2642" s="68"/>
      <c r="C2642" s="68"/>
      <c r="D2642" s="68"/>
      <c r="E2642" s="68"/>
      <c r="F2642" s="68"/>
      <c r="G2642" s="68"/>
      <c r="H2642" s="64" t="str">
        <f aca="false">IF(OR(A2642="",B2642=""),"",CONCATENATE("https://matarstund.is/serfaedi?id=",LOWER(SUBSTITUTE(B2642," ","-"))))</f>
        <v/>
      </c>
    </row>
    <row r="2643" customFormat="false" ht="15" hidden="false" customHeight="true" outlineLevel="0" collapsed="false">
      <c r="A2643" s="9"/>
      <c r="B2643" s="9"/>
      <c r="C2643" s="9"/>
      <c r="D2643" s="9"/>
      <c r="E2643" s="9"/>
      <c r="F2643" s="9"/>
      <c r="G2643" s="9"/>
      <c r="H2643" s="64" t="str">
        <f aca="false">IF(OR(A2643="",B2643=""),"",CONCATENATE("https://matarstund.is/serfaedi?id=",LOWER(SUBSTITUTE(B2643," ","-"))))</f>
        <v/>
      </c>
    </row>
    <row r="2644" customFormat="false" ht="15" hidden="false" customHeight="true" outlineLevel="0" collapsed="false">
      <c r="A2644" s="68"/>
      <c r="B2644" s="68"/>
      <c r="C2644" s="68"/>
      <c r="D2644" s="68"/>
      <c r="E2644" s="68"/>
      <c r="F2644" s="68"/>
      <c r="G2644" s="68"/>
      <c r="H2644" s="64" t="str">
        <f aca="false">IF(OR(A2644="",B2644=""),"",CONCATENATE("https://matarstund.is/serfaedi?id=",LOWER(SUBSTITUTE(B2644," ","-"))))</f>
        <v/>
      </c>
    </row>
    <row r="2645" customFormat="false" ht="15" hidden="false" customHeight="true" outlineLevel="0" collapsed="false">
      <c r="A2645" s="9"/>
      <c r="B2645" s="9"/>
      <c r="C2645" s="9"/>
      <c r="D2645" s="9"/>
      <c r="E2645" s="9"/>
      <c r="F2645" s="9"/>
      <c r="G2645" s="9"/>
      <c r="H2645" s="64" t="str">
        <f aca="false">IF(OR(A2645="",B2645=""),"",CONCATENATE("https://matarstund.is/serfaedi?id=",LOWER(SUBSTITUTE(B2645," ","-"))))</f>
        <v/>
      </c>
    </row>
    <row r="2646" customFormat="false" ht="15" hidden="false" customHeight="true" outlineLevel="0" collapsed="false">
      <c r="A2646" s="68"/>
      <c r="B2646" s="68"/>
      <c r="C2646" s="68"/>
      <c r="D2646" s="68"/>
      <c r="E2646" s="68"/>
      <c r="F2646" s="68"/>
      <c r="G2646" s="68"/>
      <c r="H2646" s="64" t="str">
        <f aca="false">IF(OR(A2646="",B2646=""),"",CONCATENATE("https://matarstund.is/serfaedi?id=",LOWER(SUBSTITUTE(B2646," ","-"))))</f>
        <v/>
      </c>
    </row>
    <row r="2647" customFormat="false" ht="15" hidden="false" customHeight="true" outlineLevel="0" collapsed="false">
      <c r="A2647" s="9"/>
      <c r="B2647" s="9"/>
      <c r="C2647" s="9"/>
      <c r="D2647" s="9"/>
      <c r="E2647" s="9"/>
      <c r="F2647" s="9"/>
      <c r="G2647" s="9"/>
      <c r="H2647" s="64" t="str">
        <f aca="false">IF(OR(A2647="",B2647=""),"",CONCATENATE("https://matarstund.is/serfaedi?id=",LOWER(SUBSTITUTE(B2647," ","-"))))</f>
        <v/>
      </c>
    </row>
    <row r="2648" customFormat="false" ht="15" hidden="false" customHeight="true" outlineLevel="0" collapsed="false">
      <c r="A2648" s="68"/>
      <c r="B2648" s="68"/>
      <c r="C2648" s="68"/>
      <c r="D2648" s="68"/>
      <c r="E2648" s="68"/>
      <c r="F2648" s="68"/>
      <c r="G2648" s="68"/>
      <c r="H2648" s="64" t="str">
        <f aca="false">IF(OR(A2648="",B2648=""),"",CONCATENATE("https://matarstund.is/serfaedi?id=",LOWER(SUBSTITUTE(B2648," ","-"))))</f>
        <v/>
      </c>
    </row>
    <row r="2649" customFormat="false" ht="15" hidden="false" customHeight="true" outlineLevel="0" collapsed="false">
      <c r="A2649" s="9"/>
      <c r="B2649" s="9"/>
      <c r="C2649" s="9"/>
      <c r="D2649" s="9"/>
      <c r="E2649" s="9"/>
      <c r="F2649" s="9"/>
      <c r="G2649" s="9"/>
      <c r="H2649" s="64" t="str">
        <f aca="false">IF(OR(A2649="",B2649=""),"",CONCATENATE("https://matarstund.is/serfaedi?id=",LOWER(SUBSTITUTE(B2649," ","-"))))</f>
        <v/>
      </c>
    </row>
    <row r="2650" customFormat="false" ht="15" hidden="false" customHeight="true" outlineLevel="0" collapsed="false">
      <c r="A2650" s="68"/>
      <c r="B2650" s="68"/>
      <c r="C2650" s="68"/>
      <c r="D2650" s="68"/>
      <c r="E2650" s="68"/>
      <c r="F2650" s="68"/>
      <c r="G2650" s="68"/>
      <c r="H2650" s="64" t="str">
        <f aca="false">IF(OR(A2650="",B2650=""),"",CONCATENATE("https://matarstund.is/serfaedi?id=",LOWER(SUBSTITUTE(B2650," ","-"))))</f>
        <v/>
      </c>
    </row>
    <row r="2651" customFormat="false" ht="15" hidden="false" customHeight="true" outlineLevel="0" collapsed="false">
      <c r="A2651" s="9"/>
      <c r="B2651" s="9"/>
      <c r="C2651" s="9"/>
      <c r="D2651" s="9"/>
      <c r="E2651" s="9"/>
      <c r="F2651" s="9"/>
      <c r="G2651" s="9"/>
      <c r="H2651" s="64" t="str">
        <f aca="false">IF(OR(A2651="",B2651=""),"",CONCATENATE("https://matarstund.is/serfaedi?id=",LOWER(SUBSTITUTE(B2651," ","-"))))</f>
        <v/>
      </c>
    </row>
    <row r="2652" customFormat="false" ht="15" hidden="false" customHeight="true" outlineLevel="0" collapsed="false">
      <c r="A2652" s="68"/>
      <c r="B2652" s="68"/>
      <c r="C2652" s="68"/>
      <c r="D2652" s="68"/>
      <c r="E2652" s="68"/>
      <c r="F2652" s="68"/>
      <c r="G2652" s="68"/>
      <c r="H2652" s="64" t="str">
        <f aca="false">IF(OR(A2652="",B2652=""),"",CONCATENATE("https://matarstund.is/serfaedi?id=",LOWER(SUBSTITUTE(B2652," ","-"))))</f>
        <v/>
      </c>
    </row>
    <row r="2653" customFormat="false" ht="15" hidden="false" customHeight="true" outlineLevel="0" collapsed="false">
      <c r="A2653" s="9"/>
      <c r="B2653" s="9"/>
      <c r="C2653" s="9"/>
      <c r="D2653" s="9"/>
      <c r="E2653" s="9"/>
      <c r="F2653" s="9"/>
      <c r="G2653" s="9"/>
      <c r="H2653" s="64" t="str">
        <f aca="false">IF(OR(A2653="",B2653=""),"",CONCATENATE("https://matarstund.is/serfaedi?id=",LOWER(SUBSTITUTE(B2653," ","-"))))</f>
        <v/>
      </c>
    </row>
    <row r="2654" customFormat="false" ht="15" hidden="false" customHeight="true" outlineLevel="0" collapsed="false">
      <c r="A2654" s="68"/>
      <c r="B2654" s="68"/>
      <c r="C2654" s="68"/>
      <c r="D2654" s="68"/>
      <c r="E2654" s="68"/>
      <c r="F2654" s="68"/>
      <c r="G2654" s="68"/>
      <c r="H2654" s="64" t="str">
        <f aca="false">IF(OR(A2654="",B2654=""),"",CONCATENATE("https://matarstund.is/serfaedi?id=",LOWER(SUBSTITUTE(B2654," ","-"))))</f>
        <v/>
      </c>
    </row>
    <row r="2655" customFormat="false" ht="15" hidden="false" customHeight="true" outlineLevel="0" collapsed="false">
      <c r="A2655" s="9"/>
      <c r="B2655" s="9"/>
      <c r="C2655" s="9"/>
      <c r="D2655" s="9"/>
      <c r="E2655" s="9"/>
      <c r="F2655" s="9"/>
      <c r="G2655" s="9"/>
      <c r="H2655" s="64" t="str">
        <f aca="false">IF(OR(A2655="",B2655=""),"",CONCATENATE("https://matarstund.is/serfaedi?id=",LOWER(SUBSTITUTE(B2655," ","-"))))</f>
        <v/>
      </c>
    </row>
    <row r="2656" customFormat="false" ht="15" hidden="false" customHeight="true" outlineLevel="0" collapsed="false">
      <c r="A2656" s="68"/>
      <c r="B2656" s="68"/>
      <c r="C2656" s="68"/>
      <c r="D2656" s="68"/>
      <c r="E2656" s="68"/>
      <c r="F2656" s="68"/>
      <c r="G2656" s="68"/>
      <c r="H2656" s="64" t="str">
        <f aca="false">IF(OR(A2656="",B2656=""),"",CONCATENATE("https://matarstund.is/serfaedi?id=",LOWER(SUBSTITUTE(B2656," ","-"))))</f>
        <v/>
      </c>
    </row>
    <row r="2657" customFormat="false" ht="15" hidden="false" customHeight="true" outlineLevel="0" collapsed="false">
      <c r="A2657" s="9"/>
      <c r="B2657" s="9"/>
      <c r="C2657" s="9"/>
      <c r="D2657" s="9"/>
      <c r="E2657" s="9"/>
      <c r="F2657" s="9"/>
      <c r="G2657" s="9"/>
      <c r="H2657" s="64" t="str">
        <f aca="false">IF(OR(A2657="",B2657=""),"",CONCATENATE("https://matarstund.is/serfaedi?id=",LOWER(SUBSTITUTE(B2657," ","-"))))</f>
        <v/>
      </c>
    </row>
    <row r="2658" customFormat="false" ht="15" hidden="false" customHeight="true" outlineLevel="0" collapsed="false">
      <c r="A2658" s="68"/>
      <c r="B2658" s="68"/>
      <c r="C2658" s="68"/>
      <c r="D2658" s="68"/>
      <c r="E2658" s="68"/>
      <c r="F2658" s="68"/>
      <c r="G2658" s="68"/>
      <c r="H2658" s="64" t="str">
        <f aca="false">IF(OR(A2658="",B2658=""),"",CONCATENATE("https://matarstund.is/serfaedi?id=",LOWER(SUBSTITUTE(B2658," ","-"))))</f>
        <v/>
      </c>
    </row>
    <row r="2659" customFormat="false" ht="15" hidden="false" customHeight="true" outlineLevel="0" collapsed="false">
      <c r="A2659" s="9"/>
      <c r="B2659" s="9"/>
      <c r="C2659" s="9"/>
      <c r="D2659" s="9"/>
      <c r="E2659" s="9"/>
      <c r="F2659" s="9"/>
      <c r="G2659" s="9"/>
      <c r="H2659" s="64" t="str">
        <f aca="false">IF(OR(A2659="",B2659=""),"",CONCATENATE("https://matarstund.is/serfaedi?id=",LOWER(SUBSTITUTE(B2659," ","-"))))</f>
        <v/>
      </c>
    </row>
    <row r="2660" customFormat="false" ht="15" hidden="false" customHeight="true" outlineLevel="0" collapsed="false">
      <c r="A2660" s="68"/>
      <c r="B2660" s="68"/>
      <c r="C2660" s="68"/>
      <c r="D2660" s="68"/>
      <c r="E2660" s="68"/>
      <c r="F2660" s="68"/>
      <c r="G2660" s="68"/>
      <c r="H2660" s="64" t="str">
        <f aca="false">IF(OR(A2660="",B2660=""),"",CONCATENATE("https://matarstund.is/serfaedi?id=",LOWER(SUBSTITUTE(B2660," ","-"))))</f>
        <v/>
      </c>
    </row>
    <row r="2661" customFormat="false" ht="15" hidden="false" customHeight="true" outlineLevel="0" collapsed="false">
      <c r="A2661" s="9"/>
      <c r="B2661" s="9"/>
      <c r="C2661" s="9"/>
      <c r="D2661" s="9"/>
      <c r="E2661" s="9"/>
      <c r="F2661" s="9"/>
      <c r="G2661" s="9"/>
      <c r="H2661" s="64" t="str">
        <f aca="false">IF(OR(A2661="",B2661=""),"",CONCATENATE("https://matarstund.is/serfaedi?id=",LOWER(SUBSTITUTE(B2661," ","-"))))</f>
        <v/>
      </c>
    </row>
    <row r="2662" customFormat="false" ht="15" hidden="false" customHeight="true" outlineLevel="0" collapsed="false">
      <c r="A2662" s="68"/>
      <c r="B2662" s="68"/>
      <c r="C2662" s="68"/>
      <c r="D2662" s="68"/>
      <c r="E2662" s="68"/>
      <c r="F2662" s="68"/>
      <c r="G2662" s="68"/>
      <c r="H2662" s="64" t="str">
        <f aca="false">IF(OR(A2662="",B2662=""),"",CONCATENATE("https://matarstund.is/serfaedi?id=",LOWER(SUBSTITUTE(B2662," ","-"))))</f>
        <v/>
      </c>
    </row>
    <row r="2663" customFormat="false" ht="15" hidden="false" customHeight="true" outlineLevel="0" collapsed="false">
      <c r="A2663" s="9"/>
      <c r="B2663" s="9"/>
      <c r="C2663" s="9"/>
      <c r="D2663" s="9"/>
      <c r="E2663" s="9"/>
      <c r="F2663" s="9"/>
      <c r="G2663" s="9"/>
      <c r="H2663" s="64" t="str">
        <f aca="false">IF(OR(A2663="",B2663=""),"",CONCATENATE("https://matarstund.is/serfaedi?id=",LOWER(SUBSTITUTE(B2663," ","-"))))</f>
        <v/>
      </c>
    </row>
    <row r="2664" customFormat="false" ht="15" hidden="false" customHeight="true" outlineLevel="0" collapsed="false">
      <c r="A2664" s="68"/>
      <c r="B2664" s="68"/>
      <c r="C2664" s="68"/>
      <c r="D2664" s="68"/>
      <c r="E2664" s="68"/>
      <c r="F2664" s="68"/>
      <c r="G2664" s="68"/>
      <c r="H2664" s="64" t="str">
        <f aca="false">IF(OR(A2664="",B2664=""),"",CONCATENATE("https://matarstund.is/serfaedi?id=",LOWER(SUBSTITUTE(B2664," ","-"))))</f>
        <v/>
      </c>
    </row>
    <row r="2665" customFormat="false" ht="15" hidden="false" customHeight="true" outlineLevel="0" collapsed="false">
      <c r="A2665" s="9"/>
      <c r="B2665" s="9"/>
      <c r="C2665" s="9"/>
      <c r="D2665" s="9"/>
      <c r="E2665" s="9"/>
      <c r="F2665" s="9"/>
      <c r="G2665" s="9"/>
      <c r="H2665" s="64" t="str">
        <f aca="false">IF(OR(A2665="",B2665=""),"",CONCATENATE("https://matarstund.is/serfaedi?id=",LOWER(SUBSTITUTE(B2665," ","-"))))</f>
        <v/>
      </c>
    </row>
    <row r="2666" customFormat="false" ht="15" hidden="false" customHeight="true" outlineLevel="0" collapsed="false">
      <c r="A2666" s="68"/>
      <c r="B2666" s="68"/>
      <c r="C2666" s="68"/>
      <c r="D2666" s="68"/>
      <c r="E2666" s="68"/>
      <c r="F2666" s="68"/>
      <c r="G2666" s="68"/>
      <c r="H2666" s="64" t="str">
        <f aca="false">IF(OR(A2666="",B2666=""),"",CONCATENATE("https://matarstund.is/serfaedi?id=",LOWER(SUBSTITUTE(B2666," ","-"))))</f>
        <v/>
      </c>
    </row>
    <row r="2667" customFormat="false" ht="15" hidden="false" customHeight="true" outlineLevel="0" collapsed="false">
      <c r="A2667" s="9"/>
      <c r="B2667" s="9"/>
      <c r="C2667" s="9"/>
      <c r="D2667" s="9"/>
      <c r="E2667" s="9"/>
      <c r="F2667" s="9"/>
      <c r="G2667" s="9"/>
      <c r="H2667" s="64" t="str">
        <f aca="false">IF(OR(A2667="",B2667=""),"",CONCATENATE("https://matarstund.is/serfaedi?id=",LOWER(SUBSTITUTE(B2667," ","-"))))</f>
        <v/>
      </c>
    </row>
    <row r="2668" customFormat="false" ht="15" hidden="false" customHeight="true" outlineLevel="0" collapsed="false">
      <c r="A2668" s="68"/>
      <c r="B2668" s="68"/>
      <c r="C2668" s="68"/>
      <c r="D2668" s="68"/>
      <c r="E2668" s="68"/>
      <c r="F2668" s="68"/>
      <c r="G2668" s="68"/>
      <c r="H2668" s="64" t="str">
        <f aca="false">IF(OR(A2668="",B2668=""),"",CONCATENATE("https://matarstund.is/serfaedi?id=",LOWER(SUBSTITUTE(B2668," ","-"))))</f>
        <v/>
      </c>
    </row>
    <row r="2669" customFormat="false" ht="15" hidden="false" customHeight="true" outlineLevel="0" collapsed="false">
      <c r="A2669" s="9"/>
      <c r="B2669" s="9"/>
      <c r="C2669" s="9"/>
      <c r="D2669" s="9"/>
      <c r="E2669" s="9"/>
      <c r="F2669" s="9"/>
      <c r="G2669" s="9"/>
      <c r="H2669" s="64" t="str">
        <f aca="false">IF(OR(A2669="",B2669=""),"",CONCATENATE("https://matarstund.is/serfaedi?id=",LOWER(SUBSTITUTE(B2669," ","-"))))</f>
        <v/>
      </c>
    </row>
    <row r="2670" customFormat="false" ht="15" hidden="false" customHeight="true" outlineLevel="0" collapsed="false">
      <c r="A2670" s="68"/>
      <c r="B2670" s="68"/>
      <c r="C2670" s="68"/>
      <c r="D2670" s="68"/>
      <c r="E2670" s="68"/>
      <c r="F2670" s="68"/>
      <c r="G2670" s="68"/>
      <c r="H2670" s="64" t="str">
        <f aca="false">IF(OR(A2670="",B2670=""),"",CONCATENATE("https://matarstund.is/serfaedi?id=",LOWER(SUBSTITUTE(B2670," ","-"))))</f>
        <v/>
      </c>
    </row>
    <row r="2671" customFormat="false" ht="15" hidden="false" customHeight="true" outlineLevel="0" collapsed="false">
      <c r="A2671" s="9"/>
      <c r="B2671" s="9"/>
      <c r="C2671" s="9"/>
      <c r="D2671" s="9"/>
      <c r="E2671" s="9"/>
      <c r="F2671" s="9"/>
      <c r="G2671" s="9"/>
      <c r="H2671" s="64" t="str">
        <f aca="false">IF(OR(A2671="",B2671=""),"",CONCATENATE("https://matarstund.is/serfaedi?id=",LOWER(SUBSTITUTE(B2671," ","-"))))</f>
        <v/>
      </c>
    </row>
    <row r="2672" customFormat="false" ht="15" hidden="false" customHeight="true" outlineLevel="0" collapsed="false">
      <c r="A2672" s="68"/>
      <c r="B2672" s="68"/>
      <c r="C2672" s="68"/>
      <c r="D2672" s="68"/>
      <c r="E2672" s="68"/>
      <c r="F2672" s="68"/>
      <c r="G2672" s="68"/>
      <c r="H2672" s="64" t="str">
        <f aca="false">IF(OR(A2672="",B2672=""),"",CONCATENATE("https://matarstund.is/serfaedi?id=",LOWER(SUBSTITUTE(B2672," ","-"))))</f>
        <v/>
      </c>
    </row>
    <row r="2673" customFormat="false" ht="15" hidden="false" customHeight="true" outlineLevel="0" collapsed="false">
      <c r="A2673" s="9"/>
      <c r="B2673" s="9"/>
      <c r="C2673" s="9"/>
      <c r="D2673" s="9"/>
      <c r="E2673" s="9"/>
      <c r="F2673" s="9"/>
      <c r="G2673" s="9"/>
      <c r="H2673" s="64" t="str">
        <f aca="false">IF(OR(A2673="",B2673=""),"",CONCATENATE("https://matarstund.is/serfaedi?id=",LOWER(SUBSTITUTE(B2673," ","-"))))</f>
        <v/>
      </c>
    </row>
    <row r="2674" customFormat="false" ht="15" hidden="false" customHeight="true" outlineLevel="0" collapsed="false">
      <c r="A2674" s="68"/>
      <c r="B2674" s="68"/>
      <c r="C2674" s="68"/>
      <c r="D2674" s="68"/>
      <c r="E2674" s="68"/>
      <c r="F2674" s="68"/>
      <c r="G2674" s="68"/>
      <c r="H2674" s="64" t="str">
        <f aca="false">IF(OR(A2674="",B2674=""),"",CONCATENATE("https://matarstund.is/serfaedi?id=",LOWER(SUBSTITUTE(B2674," ","-"))))</f>
        <v/>
      </c>
    </row>
    <row r="2675" customFormat="false" ht="15" hidden="false" customHeight="true" outlineLevel="0" collapsed="false">
      <c r="A2675" s="9"/>
      <c r="B2675" s="9"/>
      <c r="C2675" s="9"/>
      <c r="D2675" s="9"/>
      <c r="E2675" s="9"/>
      <c r="F2675" s="9"/>
      <c r="G2675" s="9"/>
      <c r="H2675" s="64" t="str">
        <f aca="false">IF(OR(A2675="",B2675=""),"",CONCATENATE("https://matarstund.is/serfaedi?id=",LOWER(SUBSTITUTE(B2675," ","-"))))</f>
        <v/>
      </c>
    </row>
    <row r="2676" customFormat="false" ht="15" hidden="false" customHeight="true" outlineLevel="0" collapsed="false">
      <c r="A2676" s="68"/>
      <c r="B2676" s="68"/>
      <c r="C2676" s="68"/>
      <c r="D2676" s="68"/>
      <c r="E2676" s="68"/>
      <c r="F2676" s="68"/>
      <c r="G2676" s="68"/>
      <c r="H2676" s="64" t="str">
        <f aca="false">IF(OR(A2676="",B2676=""),"",CONCATENATE("https://matarstund.is/serfaedi?id=",LOWER(SUBSTITUTE(B2676," ","-"))))</f>
        <v/>
      </c>
    </row>
    <row r="2677" customFormat="false" ht="15" hidden="false" customHeight="true" outlineLevel="0" collapsed="false">
      <c r="A2677" s="9"/>
      <c r="B2677" s="9"/>
      <c r="C2677" s="9"/>
      <c r="D2677" s="9"/>
      <c r="E2677" s="9"/>
      <c r="F2677" s="9"/>
      <c r="G2677" s="9"/>
      <c r="H2677" s="64" t="str">
        <f aca="false">IF(OR(A2677="",B2677=""),"",CONCATENATE("https://matarstund.is/serfaedi?id=",LOWER(SUBSTITUTE(B2677," ","-"))))</f>
        <v/>
      </c>
    </row>
    <row r="2678" customFormat="false" ht="15" hidden="false" customHeight="true" outlineLevel="0" collapsed="false">
      <c r="A2678" s="68"/>
      <c r="B2678" s="68"/>
      <c r="C2678" s="68"/>
      <c r="D2678" s="68"/>
      <c r="E2678" s="68"/>
      <c r="F2678" s="68"/>
      <c r="G2678" s="68"/>
      <c r="H2678" s="64" t="str">
        <f aca="false">IF(OR(A2678="",B2678=""),"",CONCATENATE("https://matarstund.is/serfaedi?id=",LOWER(SUBSTITUTE(B2678," ","-"))))</f>
        <v/>
      </c>
    </row>
    <row r="2679" customFormat="false" ht="15" hidden="false" customHeight="true" outlineLevel="0" collapsed="false">
      <c r="A2679" s="9"/>
      <c r="B2679" s="9"/>
      <c r="C2679" s="9"/>
      <c r="D2679" s="9"/>
      <c r="E2679" s="9"/>
      <c r="F2679" s="9"/>
      <c r="G2679" s="9"/>
      <c r="H2679" s="64" t="str">
        <f aca="false">IF(OR(A2679="",B2679=""),"",CONCATENATE("https://matarstund.is/serfaedi?id=",LOWER(SUBSTITUTE(B2679," ","-"))))</f>
        <v/>
      </c>
    </row>
    <row r="2680" customFormat="false" ht="15" hidden="false" customHeight="true" outlineLevel="0" collapsed="false">
      <c r="A2680" s="68"/>
      <c r="B2680" s="68"/>
      <c r="C2680" s="68"/>
      <c r="D2680" s="68"/>
      <c r="E2680" s="68"/>
      <c r="F2680" s="68"/>
      <c r="G2680" s="68"/>
      <c r="H2680" s="64" t="str">
        <f aca="false">IF(OR(A2680="",B2680=""),"",CONCATENATE("https://matarstund.is/serfaedi?id=",LOWER(SUBSTITUTE(B2680," ","-"))))</f>
        <v/>
      </c>
    </row>
    <row r="2681" customFormat="false" ht="15" hidden="false" customHeight="true" outlineLevel="0" collapsed="false">
      <c r="A2681" s="9"/>
      <c r="B2681" s="9"/>
      <c r="C2681" s="9"/>
      <c r="D2681" s="9"/>
      <c r="E2681" s="9"/>
      <c r="F2681" s="9"/>
      <c r="G2681" s="9"/>
      <c r="H2681" s="64" t="str">
        <f aca="false">IF(OR(A2681="",B2681=""),"",CONCATENATE("https://matarstund.is/serfaedi?id=",LOWER(SUBSTITUTE(B2681," ","-"))))</f>
        <v/>
      </c>
    </row>
    <row r="2682" customFormat="false" ht="15" hidden="false" customHeight="true" outlineLevel="0" collapsed="false">
      <c r="A2682" s="68"/>
      <c r="B2682" s="68"/>
      <c r="C2682" s="68"/>
      <c r="D2682" s="68"/>
      <c r="E2682" s="68"/>
      <c r="F2682" s="68"/>
      <c r="G2682" s="68"/>
      <c r="H2682" s="64" t="str">
        <f aca="false">IF(OR(A2682="",B2682=""),"",CONCATENATE("https://matarstund.is/serfaedi?id=",LOWER(SUBSTITUTE(B2682," ","-"))))</f>
        <v/>
      </c>
    </row>
    <row r="2683" customFormat="false" ht="15" hidden="false" customHeight="true" outlineLevel="0" collapsed="false">
      <c r="A2683" s="9"/>
      <c r="B2683" s="9"/>
      <c r="C2683" s="9"/>
      <c r="D2683" s="9"/>
      <c r="E2683" s="9"/>
      <c r="F2683" s="9"/>
      <c r="G2683" s="9"/>
      <c r="H2683" s="64" t="str">
        <f aca="false">IF(OR(A2683="",B2683=""),"",CONCATENATE("https://matarstund.is/serfaedi?id=",LOWER(SUBSTITUTE(B2683," ","-"))))</f>
        <v/>
      </c>
    </row>
    <row r="2684" customFormat="false" ht="15" hidden="false" customHeight="true" outlineLevel="0" collapsed="false">
      <c r="A2684" s="68"/>
      <c r="B2684" s="68"/>
      <c r="C2684" s="68"/>
      <c r="D2684" s="68"/>
      <c r="E2684" s="68"/>
      <c r="F2684" s="68"/>
      <c r="G2684" s="68"/>
      <c r="H2684" s="64" t="str">
        <f aca="false">IF(OR(A2684="",B2684=""),"",CONCATENATE("https://matarstund.is/serfaedi?id=",LOWER(SUBSTITUTE(B2684," ","-"))))</f>
        <v/>
      </c>
    </row>
    <row r="2685" customFormat="false" ht="15" hidden="false" customHeight="true" outlineLevel="0" collapsed="false">
      <c r="A2685" s="9"/>
      <c r="B2685" s="9"/>
      <c r="C2685" s="9"/>
      <c r="D2685" s="9"/>
      <c r="E2685" s="9"/>
      <c r="F2685" s="9"/>
      <c r="G2685" s="9"/>
      <c r="H2685" s="64" t="str">
        <f aca="false">IF(OR(A2685="",B2685=""),"",CONCATENATE("https://matarstund.is/serfaedi?id=",LOWER(SUBSTITUTE(B2685," ","-"))))</f>
        <v/>
      </c>
    </row>
    <row r="2686" customFormat="false" ht="15" hidden="false" customHeight="true" outlineLevel="0" collapsed="false">
      <c r="A2686" s="68"/>
      <c r="B2686" s="68"/>
      <c r="C2686" s="68"/>
      <c r="D2686" s="68"/>
      <c r="E2686" s="68"/>
      <c r="F2686" s="68"/>
      <c r="G2686" s="68"/>
      <c r="H2686" s="64" t="str">
        <f aca="false">IF(OR(A2686="",B2686=""),"",CONCATENATE("https://matarstund.is/serfaedi?id=",LOWER(SUBSTITUTE(B2686," ","-"))))</f>
        <v/>
      </c>
    </row>
    <row r="2687" customFormat="false" ht="15" hidden="false" customHeight="true" outlineLevel="0" collapsed="false">
      <c r="A2687" s="9"/>
      <c r="B2687" s="9"/>
      <c r="C2687" s="9"/>
      <c r="D2687" s="9"/>
      <c r="E2687" s="9"/>
      <c r="F2687" s="9"/>
      <c r="G2687" s="9"/>
      <c r="H2687" s="64" t="str">
        <f aca="false">IF(OR(A2687="",B2687=""),"",CONCATENATE("https://matarstund.is/serfaedi?id=",LOWER(SUBSTITUTE(B2687," ","-"))))</f>
        <v/>
      </c>
    </row>
    <row r="2688" customFormat="false" ht="15" hidden="false" customHeight="true" outlineLevel="0" collapsed="false">
      <c r="A2688" s="68"/>
      <c r="B2688" s="68"/>
      <c r="C2688" s="68"/>
      <c r="D2688" s="68"/>
      <c r="E2688" s="68"/>
      <c r="F2688" s="68"/>
      <c r="G2688" s="68"/>
      <c r="H2688" s="64" t="str">
        <f aca="false">IF(OR(A2688="",B2688=""),"",CONCATENATE("https://matarstund.is/serfaedi?id=",LOWER(SUBSTITUTE(B2688," ","-"))))</f>
        <v/>
      </c>
    </row>
    <row r="2689" customFormat="false" ht="15" hidden="false" customHeight="true" outlineLevel="0" collapsed="false">
      <c r="A2689" s="9"/>
      <c r="B2689" s="9"/>
      <c r="C2689" s="9"/>
      <c r="D2689" s="9"/>
      <c r="E2689" s="9"/>
      <c r="F2689" s="9"/>
      <c r="G2689" s="9"/>
      <c r="H2689" s="64" t="str">
        <f aca="false">IF(OR(A2689="",B2689=""),"",CONCATENATE("https://matarstund.is/serfaedi?id=",LOWER(SUBSTITUTE(B2689," ","-"))))</f>
        <v/>
      </c>
    </row>
    <row r="2690" customFormat="false" ht="15" hidden="false" customHeight="true" outlineLevel="0" collapsed="false">
      <c r="A2690" s="68"/>
      <c r="B2690" s="68"/>
      <c r="C2690" s="68"/>
      <c r="D2690" s="68"/>
      <c r="E2690" s="68"/>
      <c r="F2690" s="68"/>
      <c r="G2690" s="68"/>
      <c r="H2690" s="64" t="str">
        <f aca="false">IF(OR(A2690="",B2690=""),"",CONCATENATE("https://matarstund.is/serfaedi?id=",LOWER(SUBSTITUTE(B2690," ","-"))))</f>
        <v/>
      </c>
    </row>
    <row r="2691" customFormat="false" ht="15" hidden="false" customHeight="true" outlineLevel="0" collapsed="false">
      <c r="A2691" s="9"/>
      <c r="B2691" s="9"/>
      <c r="C2691" s="9"/>
      <c r="D2691" s="9"/>
      <c r="E2691" s="9"/>
      <c r="F2691" s="9"/>
      <c r="G2691" s="9"/>
      <c r="H2691" s="64" t="str">
        <f aca="false">IF(OR(A2691="",B2691=""),"",CONCATENATE("https://matarstund.is/serfaedi?id=",LOWER(SUBSTITUTE(B2691," ","-"))))</f>
        <v/>
      </c>
    </row>
    <row r="2692" customFormat="false" ht="15" hidden="false" customHeight="true" outlineLevel="0" collapsed="false">
      <c r="A2692" s="68"/>
      <c r="B2692" s="68"/>
      <c r="C2692" s="68"/>
      <c r="D2692" s="68"/>
      <c r="E2692" s="68"/>
      <c r="F2692" s="68"/>
      <c r="G2692" s="68"/>
      <c r="H2692" s="64" t="str">
        <f aca="false">IF(OR(A2692="",B2692=""),"",CONCATENATE("https://matarstund.is/serfaedi?id=",LOWER(SUBSTITUTE(B2692," ","-"))))</f>
        <v/>
      </c>
    </row>
    <row r="2693" customFormat="false" ht="15" hidden="false" customHeight="true" outlineLevel="0" collapsed="false">
      <c r="A2693" s="9"/>
      <c r="B2693" s="9"/>
      <c r="C2693" s="9"/>
      <c r="D2693" s="9"/>
      <c r="E2693" s="9"/>
      <c r="F2693" s="9"/>
      <c r="G2693" s="9"/>
      <c r="H2693" s="64" t="str">
        <f aca="false">IF(OR(A2693="",B2693=""),"",CONCATENATE("https://matarstund.is/serfaedi?id=",LOWER(SUBSTITUTE(B2693," ","-"))))</f>
        <v/>
      </c>
    </row>
    <row r="2694" customFormat="false" ht="15" hidden="false" customHeight="true" outlineLevel="0" collapsed="false">
      <c r="A2694" s="68"/>
      <c r="B2694" s="68"/>
      <c r="C2694" s="68"/>
      <c r="D2694" s="68"/>
      <c r="E2694" s="68"/>
      <c r="F2694" s="68"/>
      <c r="G2694" s="68"/>
      <c r="H2694" s="64" t="str">
        <f aca="false">IF(OR(A2694="",B2694=""),"",CONCATENATE("https://matarstund.is/serfaedi?id=",LOWER(SUBSTITUTE(B2694," ","-"))))</f>
        <v/>
      </c>
    </row>
    <row r="2695" customFormat="false" ht="15" hidden="false" customHeight="true" outlineLevel="0" collapsed="false">
      <c r="A2695" s="9"/>
      <c r="B2695" s="9"/>
      <c r="C2695" s="9"/>
      <c r="D2695" s="9"/>
      <c r="E2695" s="9"/>
      <c r="F2695" s="9"/>
      <c r="G2695" s="9"/>
      <c r="H2695" s="64" t="str">
        <f aca="false">IF(OR(A2695="",B2695=""),"",CONCATENATE("https://matarstund.is/serfaedi?id=",LOWER(SUBSTITUTE(B2695," ","-"))))</f>
        <v/>
      </c>
    </row>
    <row r="2696" customFormat="false" ht="15" hidden="false" customHeight="true" outlineLevel="0" collapsed="false">
      <c r="A2696" s="68"/>
      <c r="B2696" s="68"/>
      <c r="C2696" s="68"/>
      <c r="D2696" s="68"/>
      <c r="E2696" s="68"/>
      <c r="F2696" s="68"/>
      <c r="G2696" s="68"/>
      <c r="H2696" s="64" t="str">
        <f aca="false">IF(OR(A2696="",B2696=""),"",CONCATENATE("https://matarstund.is/serfaedi?id=",LOWER(SUBSTITUTE(B2696," ","-"))))</f>
        <v/>
      </c>
    </row>
    <row r="2697" customFormat="false" ht="15" hidden="false" customHeight="true" outlineLevel="0" collapsed="false">
      <c r="A2697" s="9"/>
      <c r="B2697" s="9"/>
      <c r="C2697" s="9"/>
      <c r="D2697" s="9"/>
      <c r="E2697" s="9"/>
      <c r="F2697" s="9"/>
      <c r="G2697" s="9"/>
      <c r="H2697" s="64" t="str">
        <f aca="false">IF(OR(A2697="",B2697=""),"",CONCATENATE("https://matarstund.is/serfaedi?id=",LOWER(SUBSTITUTE(B2697," ","-"))))</f>
        <v/>
      </c>
    </row>
    <row r="2698" customFormat="false" ht="15" hidden="false" customHeight="true" outlineLevel="0" collapsed="false">
      <c r="A2698" s="68"/>
      <c r="B2698" s="68"/>
      <c r="C2698" s="68"/>
      <c r="D2698" s="68"/>
      <c r="E2698" s="68"/>
      <c r="F2698" s="68"/>
      <c r="G2698" s="68"/>
      <c r="H2698" s="64" t="str">
        <f aca="false">IF(OR(A2698="",B2698=""),"",CONCATENATE("https://matarstund.is/serfaedi?id=",LOWER(SUBSTITUTE(B2698," ","-"))))</f>
        <v/>
      </c>
    </row>
    <row r="2699" customFormat="false" ht="15" hidden="false" customHeight="true" outlineLevel="0" collapsed="false">
      <c r="A2699" s="9"/>
      <c r="B2699" s="9"/>
      <c r="C2699" s="9"/>
      <c r="D2699" s="9"/>
      <c r="E2699" s="9"/>
      <c r="F2699" s="9"/>
      <c r="G2699" s="9"/>
      <c r="H2699" s="64" t="str">
        <f aca="false">IF(OR(A2699="",B2699=""),"",CONCATENATE("https://matarstund.is/serfaedi?id=",LOWER(SUBSTITUTE(B2699," ","-"))))</f>
        <v/>
      </c>
    </row>
    <row r="2700" customFormat="false" ht="15" hidden="false" customHeight="true" outlineLevel="0" collapsed="false">
      <c r="A2700" s="68"/>
      <c r="B2700" s="68"/>
      <c r="C2700" s="68"/>
      <c r="D2700" s="68"/>
      <c r="E2700" s="68"/>
      <c r="F2700" s="68"/>
      <c r="G2700" s="68"/>
      <c r="H2700" s="64" t="str">
        <f aca="false">IF(OR(A2700="",B2700=""),"",CONCATENATE("https://matarstund.is/serfaedi?id=",LOWER(SUBSTITUTE(B2700," ","-"))))</f>
        <v/>
      </c>
    </row>
    <row r="2701" customFormat="false" ht="15" hidden="false" customHeight="true" outlineLevel="0" collapsed="false">
      <c r="A2701" s="9"/>
      <c r="B2701" s="9"/>
      <c r="C2701" s="9"/>
      <c r="D2701" s="9"/>
      <c r="E2701" s="9"/>
      <c r="F2701" s="9"/>
      <c r="G2701" s="9"/>
      <c r="H2701" s="64" t="str">
        <f aca="false">IF(OR(A2701="",B2701=""),"",CONCATENATE("https://matarstund.is/serfaedi?id=",LOWER(SUBSTITUTE(B2701," ","-"))))</f>
        <v/>
      </c>
    </row>
    <row r="2702" customFormat="false" ht="15" hidden="false" customHeight="true" outlineLevel="0" collapsed="false">
      <c r="A2702" s="68"/>
      <c r="B2702" s="68"/>
      <c r="C2702" s="68"/>
      <c r="D2702" s="68"/>
      <c r="E2702" s="68"/>
      <c r="F2702" s="68"/>
      <c r="G2702" s="68"/>
      <c r="H2702" s="64" t="str">
        <f aca="false">IF(OR(A2702="",B2702=""),"",CONCATENATE("https://matarstund.is/serfaedi?id=",LOWER(SUBSTITUTE(B2702," ","-"))))</f>
        <v/>
      </c>
    </row>
    <row r="2703" customFormat="false" ht="15" hidden="false" customHeight="true" outlineLevel="0" collapsed="false">
      <c r="A2703" s="9"/>
      <c r="B2703" s="9"/>
      <c r="C2703" s="9"/>
      <c r="D2703" s="9"/>
      <c r="E2703" s="9"/>
      <c r="F2703" s="9"/>
      <c r="G2703" s="9"/>
      <c r="H2703" s="64" t="str">
        <f aca="false">IF(OR(A2703="",B2703=""),"",CONCATENATE("https://matarstund.is/serfaedi?id=",LOWER(SUBSTITUTE(B2703," ","-"))))</f>
        <v/>
      </c>
    </row>
    <row r="2704" customFormat="false" ht="15" hidden="false" customHeight="true" outlineLevel="0" collapsed="false">
      <c r="A2704" s="68"/>
      <c r="B2704" s="68"/>
      <c r="C2704" s="68"/>
      <c r="D2704" s="68"/>
      <c r="E2704" s="68"/>
      <c r="F2704" s="68"/>
      <c r="G2704" s="68"/>
      <c r="H2704" s="64" t="str">
        <f aca="false">IF(OR(A2704="",B2704=""),"",CONCATENATE("https://matarstund.is/serfaedi?id=",LOWER(SUBSTITUTE(B2704," ","-"))))</f>
        <v/>
      </c>
    </row>
    <row r="2705" customFormat="false" ht="15" hidden="false" customHeight="true" outlineLevel="0" collapsed="false">
      <c r="A2705" s="9"/>
      <c r="B2705" s="9"/>
      <c r="C2705" s="9"/>
      <c r="D2705" s="9"/>
      <c r="E2705" s="9"/>
      <c r="F2705" s="9"/>
      <c r="G2705" s="9"/>
      <c r="H2705" s="64" t="str">
        <f aca="false">IF(OR(A2705="",B2705=""),"",CONCATENATE("https://matarstund.is/serfaedi?id=",LOWER(SUBSTITUTE(B2705," ","-"))))</f>
        <v/>
      </c>
    </row>
    <row r="2706" customFormat="false" ht="15" hidden="false" customHeight="true" outlineLevel="0" collapsed="false">
      <c r="A2706" s="68"/>
      <c r="B2706" s="68"/>
      <c r="C2706" s="68"/>
      <c r="D2706" s="68"/>
      <c r="E2706" s="68"/>
      <c r="F2706" s="68"/>
      <c r="G2706" s="68"/>
      <c r="H2706" s="64" t="str">
        <f aca="false">IF(OR(A2706="",B2706=""),"",CONCATENATE("https://matarstund.is/serfaedi?id=",LOWER(SUBSTITUTE(B2706," ","-"))))</f>
        <v/>
      </c>
    </row>
    <row r="2707" customFormat="false" ht="15" hidden="false" customHeight="true" outlineLevel="0" collapsed="false">
      <c r="A2707" s="9"/>
      <c r="B2707" s="9"/>
      <c r="C2707" s="9"/>
      <c r="D2707" s="9"/>
      <c r="E2707" s="9"/>
      <c r="F2707" s="9"/>
      <c r="G2707" s="9"/>
      <c r="H2707" s="64" t="str">
        <f aca="false">IF(OR(A2707="",B2707=""),"",CONCATENATE("https://matarstund.is/serfaedi?id=",LOWER(SUBSTITUTE(B2707," ","-"))))</f>
        <v/>
      </c>
    </row>
    <row r="2708" customFormat="false" ht="15" hidden="false" customHeight="true" outlineLevel="0" collapsed="false">
      <c r="A2708" s="68"/>
      <c r="B2708" s="68"/>
      <c r="C2708" s="68"/>
      <c r="D2708" s="68"/>
      <c r="E2708" s="68"/>
      <c r="F2708" s="68"/>
      <c r="G2708" s="68"/>
      <c r="H2708" s="64" t="str">
        <f aca="false">IF(OR(A2708="",B2708=""),"",CONCATENATE("https://matarstund.is/serfaedi?id=",LOWER(SUBSTITUTE(B2708," ","-"))))</f>
        <v/>
      </c>
    </row>
    <row r="2709" customFormat="false" ht="15" hidden="false" customHeight="true" outlineLevel="0" collapsed="false">
      <c r="A2709" s="9"/>
      <c r="B2709" s="9"/>
      <c r="C2709" s="9"/>
      <c r="D2709" s="9"/>
      <c r="E2709" s="9"/>
      <c r="F2709" s="9"/>
      <c r="G2709" s="9"/>
      <c r="H2709" s="64" t="str">
        <f aca="false">IF(OR(A2709="",B2709=""),"",CONCATENATE("https://matarstund.is/serfaedi?id=",LOWER(SUBSTITUTE(B2709," ","-"))))</f>
        <v/>
      </c>
    </row>
    <row r="2710" customFormat="false" ht="15" hidden="false" customHeight="true" outlineLevel="0" collapsed="false">
      <c r="A2710" s="68"/>
      <c r="B2710" s="68"/>
      <c r="C2710" s="68"/>
      <c r="D2710" s="68"/>
      <c r="E2710" s="68"/>
      <c r="F2710" s="68"/>
      <c r="G2710" s="68"/>
      <c r="H2710" s="64" t="str">
        <f aca="false">IF(OR(A2710="",B2710=""),"",CONCATENATE("https://matarstund.is/serfaedi?id=",LOWER(SUBSTITUTE(B2710," ","-"))))</f>
        <v/>
      </c>
    </row>
    <row r="2711" customFormat="false" ht="15" hidden="false" customHeight="true" outlineLevel="0" collapsed="false">
      <c r="A2711" s="9"/>
      <c r="B2711" s="9"/>
      <c r="C2711" s="9"/>
      <c r="D2711" s="9"/>
      <c r="E2711" s="9"/>
      <c r="F2711" s="9"/>
      <c r="G2711" s="9"/>
      <c r="H2711" s="64" t="str">
        <f aca="false">IF(OR(A2711="",B2711=""),"",CONCATENATE("https://matarstund.is/serfaedi?id=",LOWER(SUBSTITUTE(B2711," ","-"))))</f>
        <v/>
      </c>
    </row>
    <row r="2712" customFormat="false" ht="15" hidden="false" customHeight="true" outlineLevel="0" collapsed="false">
      <c r="A2712" s="68"/>
      <c r="B2712" s="68"/>
      <c r="C2712" s="68"/>
      <c r="D2712" s="68"/>
      <c r="E2712" s="68"/>
      <c r="F2712" s="68"/>
      <c r="G2712" s="68"/>
      <c r="H2712" s="64" t="str">
        <f aca="false">IF(OR(A2712="",B2712=""),"",CONCATENATE("https://matarstund.is/serfaedi?id=",LOWER(SUBSTITUTE(B2712," ","-"))))</f>
        <v/>
      </c>
    </row>
    <row r="2713" customFormat="false" ht="15" hidden="false" customHeight="true" outlineLevel="0" collapsed="false">
      <c r="A2713" s="9"/>
      <c r="B2713" s="9"/>
      <c r="C2713" s="9"/>
      <c r="D2713" s="9"/>
      <c r="E2713" s="9"/>
      <c r="F2713" s="9"/>
      <c r="G2713" s="9"/>
      <c r="H2713" s="64" t="str">
        <f aca="false">IF(OR(A2713="",B2713=""),"",CONCATENATE("https://matarstund.is/serfaedi?id=",LOWER(SUBSTITUTE(B2713," ","-"))))</f>
        <v/>
      </c>
    </row>
    <row r="2714" customFormat="false" ht="15" hidden="false" customHeight="true" outlineLevel="0" collapsed="false">
      <c r="A2714" s="68"/>
      <c r="B2714" s="68"/>
      <c r="C2714" s="68"/>
      <c r="D2714" s="68"/>
      <c r="E2714" s="68"/>
      <c r="F2714" s="68"/>
      <c r="G2714" s="68"/>
      <c r="H2714" s="64" t="str">
        <f aca="false">IF(OR(A2714="",B2714=""),"",CONCATENATE("https://matarstund.is/serfaedi?id=",LOWER(SUBSTITUTE(B2714," ","-"))))</f>
        <v/>
      </c>
    </row>
    <row r="2715" customFormat="false" ht="15" hidden="false" customHeight="true" outlineLevel="0" collapsed="false">
      <c r="A2715" s="9"/>
      <c r="B2715" s="9"/>
      <c r="C2715" s="9"/>
      <c r="D2715" s="9"/>
      <c r="E2715" s="9"/>
      <c r="F2715" s="9"/>
      <c r="G2715" s="9"/>
      <c r="H2715" s="64" t="str">
        <f aca="false">IF(OR(A2715="",B2715=""),"",CONCATENATE("https://matarstund.is/serfaedi?id=",LOWER(SUBSTITUTE(B2715," ","-"))))</f>
        <v/>
      </c>
    </row>
    <row r="2716" customFormat="false" ht="15" hidden="false" customHeight="true" outlineLevel="0" collapsed="false">
      <c r="A2716" s="68"/>
      <c r="B2716" s="68"/>
      <c r="C2716" s="68"/>
      <c r="D2716" s="68"/>
      <c r="E2716" s="68"/>
      <c r="F2716" s="68"/>
      <c r="G2716" s="68"/>
      <c r="H2716" s="64" t="str">
        <f aca="false">IF(OR(A2716="",B2716=""),"",CONCATENATE("https://matarstund.is/serfaedi?id=",LOWER(SUBSTITUTE(B2716," ","-"))))</f>
        <v/>
      </c>
    </row>
    <row r="2717" customFormat="false" ht="15" hidden="false" customHeight="true" outlineLevel="0" collapsed="false">
      <c r="A2717" s="9"/>
      <c r="B2717" s="9"/>
      <c r="C2717" s="9"/>
      <c r="D2717" s="9"/>
      <c r="E2717" s="9"/>
      <c r="F2717" s="9"/>
      <c r="G2717" s="9"/>
      <c r="H2717" s="64" t="str">
        <f aca="false">IF(OR(A2717="",B2717=""),"",CONCATENATE("https://matarstund.is/serfaedi?id=",LOWER(SUBSTITUTE(B2717," ","-"))))</f>
        <v/>
      </c>
    </row>
    <row r="2718" customFormat="false" ht="15" hidden="false" customHeight="true" outlineLevel="0" collapsed="false">
      <c r="A2718" s="68"/>
      <c r="B2718" s="68"/>
      <c r="C2718" s="68"/>
      <c r="D2718" s="68"/>
      <c r="E2718" s="68"/>
      <c r="F2718" s="68"/>
      <c r="G2718" s="68"/>
      <c r="H2718" s="64" t="str">
        <f aca="false">IF(OR(A2718="",B2718=""),"",CONCATENATE("https://matarstund.is/serfaedi?id=",LOWER(SUBSTITUTE(B2718," ","-"))))</f>
        <v/>
      </c>
    </row>
    <row r="2719" customFormat="false" ht="15" hidden="false" customHeight="true" outlineLevel="0" collapsed="false">
      <c r="A2719" s="9"/>
      <c r="B2719" s="9"/>
      <c r="C2719" s="9"/>
      <c r="D2719" s="9"/>
      <c r="E2719" s="9"/>
      <c r="F2719" s="9"/>
      <c r="G2719" s="9"/>
      <c r="H2719" s="64" t="str">
        <f aca="false">IF(OR(A2719="",B2719=""),"",CONCATENATE("https://matarstund.is/serfaedi?id=",LOWER(SUBSTITUTE(B2719," ","-"))))</f>
        <v/>
      </c>
    </row>
    <row r="2720" customFormat="false" ht="15" hidden="false" customHeight="true" outlineLevel="0" collapsed="false">
      <c r="A2720" s="68"/>
      <c r="B2720" s="68"/>
      <c r="C2720" s="68"/>
      <c r="D2720" s="68"/>
      <c r="E2720" s="68"/>
      <c r="F2720" s="68"/>
      <c r="G2720" s="68"/>
      <c r="H2720" s="64" t="str">
        <f aca="false">IF(OR(A2720="",B2720=""),"",CONCATENATE("https://matarstund.is/serfaedi?id=",LOWER(SUBSTITUTE(B2720," ","-"))))</f>
        <v/>
      </c>
    </row>
    <row r="2721" customFormat="false" ht="15" hidden="false" customHeight="true" outlineLevel="0" collapsed="false">
      <c r="A2721" s="9"/>
      <c r="B2721" s="9"/>
      <c r="C2721" s="9"/>
      <c r="D2721" s="9"/>
      <c r="E2721" s="9"/>
      <c r="F2721" s="9"/>
      <c r="G2721" s="9"/>
      <c r="H2721" s="64" t="str">
        <f aca="false">IF(OR(A2721="",B2721=""),"",CONCATENATE("https://matarstund.is/serfaedi?id=",LOWER(SUBSTITUTE(B2721," ","-"))))</f>
        <v/>
      </c>
    </row>
    <row r="2722" customFormat="false" ht="15" hidden="false" customHeight="true" outlineLevel="0" collapsed="false">
      <c r="A2722" s="68"/>
      <c r="B2722" s="68"/>
      <c r="C2722" s="68"/>
      <c r="D2722" s="68"/>
      <c r="E2722" s="68"/>
      <c r="F2722" s="68"/>
      <c r="G2722" s="68"/>
      <c r="H2722" s="64" t="str">
        <f aca="false">IF(OR(A2722="",B2722=""),"",CONCATENATE("https://matarstund.is/serfaedi?id=",LOWER(SUBSTITUTE(B2722," ","-"))))</f>
        <v/>
      </c>
    </row>
    <row r="2723" customFormat="false" ht="15" hidden="false" customHeight="true" outlineLevel="0" collapsed="false">
      <c r="A2723" s="9"/>
      <c r="B2723" s="9"/>
      <c r="C2723" s="9"/>
      <c r="D2723" s="9"/>
      <c r="E2723" s="9"/>
      <c r="F2723" s="9"/>
      <c r="G2723" s="9"/>
      <c r="H2723" s="64" t="str">
        <f aca="false">IF(OR(A2723="",B2723=""),"",CONCATENATE("https://matarstund.is/serfaedi?id=",LOWER(SUBSTITUTE(B2723," ","-"))))</f>
        <v/>
      </c>
    </row>
    <row r="2724" customFormat="false" ht="15" hidden="false" customHeight="true" outlineLevel="0" collapsed="false">
      <c r="A2724" s="68"/>
      <c r="B2724" s="68"/>
      <c r="C2724" s="68"/>
      <c r="D2724" s="68"/>
      <c r="E2724" s="68"/>
      <c r="F2724" s="68"/>
      <c r="G2724" s="68"/>
      <c r="H2724" s="64" t="str">
        <f aca="false">IF(OR(A2724="",B2724=""),"",CONCATENATE("https://matarstund.is/serfaedi?id=",LOWER(SUBSTITUTE(B2724," ","-"))))</f>
        <v/>
      </c>
    </row>
    <row r="2725" customFormat="false" ht="15" hidden="false" customHeight="true" outlineLevel="0" collapsed="false">
      <c r="A2725" s="9"/>
      <c r="B2725" s="9"/>
      <c r="C2725" s="9"/>
      <c r="D2725" s="9"/>
      <c r="E2725" s="9"/>
      <c r="F2725" s="9"/>
      <c r="G2725" s="9"/>
      <c r="H2725" s="64" t="str">
        <f aca="false">IF(OR(A2725="",B2725=""),"",CONCATENATE("https://matarstund.is/serfaedi?id=",LOWER(SUBSTITUTE(B2725," ","-"))))</f>
        <v/>
      </c>
    </row>
    <row r="2726" customFormat="false" ht="15" hidden="false" customHeight="true" outlineLevel="0" collapsed="false">
      <c r="A2726" s="68"/>
      <c r="B2726" s="68"/>
      <c r="C2726" s="68"/>
      <c r="D2726" s="68"/>
      <c r="E2726" s="68"/>
      <c r="F2726" s="68"/>
      <c r="G2726" s="68"/>
      <c r="H2726" s="64" t="str">
        <f aca="false">IF(OR(A2726="",B2726=""),"",CONCATENATE("https://matarstund.is/serfaedi?id=",LOWER(SUBSTITUTE(B2726," ","-"))))</f>
        <v/>
      </c>
    </row>
    <row r="2727" customFormat="false" ht="15" hidden="false" customHeight="true" outlineLevel="0" collapsed="false">
      <c r="A2727" s="9"/>
      <c r="B2727" s="9"/>
      <c r="C2727" s="9"/>
      <c r="D2727" s="9"/>
      <c r="E2727" s="9"/>
      <c r="F2727" s="9"/>
      <c r="G2727" s="9"/>
      <c r="H2727" s="64" t="str">
        <f aca="false">IF(OR(A2727="",B2727=""),"",CONCATENATE("https://matarstund.is/serfaedi?id=",LOWER(SUBSTITUTE(B2727," ","-"))))</f>
        <v/>
      </c>
    </row>
    <row r="2728" customFormat="false" ht="15" hidden="false" customHeight="true" outlineLevel="0" collapsed="false">
      <c r="A2728" s="68"/>
      <c r="B2728" s="68"/>
      <c r="C2728" s="68"/>
      <c r="D2728" s="68"/>
      <c r="E2728" s="68"/>
      <c r="F2728" s="68"/>
      <c r="G2728" s="68"/>
      <c r="H2728" s="64" t="str">
        <f aca="false">IF(OR(A2728="",B2728=""),"",CONCATENATE("https://matarstund.is/serfaedi?id=",LOWER(SUBSTITUTE(B2728," ","-"))))</f>
        <v/>
      </c>
    </row>
    <row r="2729" customFormat="false" ht="15" hidden="false" customHeight="true" outlineLevel="0" collapsed="false">
      <c r="A2729" s="9"/>
      <c r="B2729" s="9"/>
      <c r="C2729" s="9"/>
      <c r="D2729" s="9"/>
      <c r="E2729" s="9"/>
      <c r="F2729" s="9"/>
      <c r="G2729" s="9"/>
      <c r="H2729" s="64" t="str">
        <f aca="false">IF(OR(A2729="",B2729=""),"",CONCATENATE("https://matarstund.is/serfaedi?id=",LOWER(SUBSTITUTE(B2729," ","-"))))</f>
        <v/>
      </c>
    </row>
    <row r="2730" customFormat="false" ht="15" hidden="false" customHeight="true" outlineLevel="0" collapsed="false">
      <c r="A2730" s="68"/>
      <c r="B2730" s="68"/>
      <c r="C2730" s="68"/>
      <c r="D2730" s="68"/>
      <c r="E2730" s="68"/>
      <c r="F2730" s="68"/>
      <c r="G2730" s="68"/>
      <c r="H2730" s="64" t="str">
        <f aca="false">IF(OR(A2730="",B2730=""),"",CONCATENATE("https://matarstund.is/serfaedi?id=",LOWER(SUBSTITUTE(B2730," ","-"))))</f>
        <v/>
      </c>
    </row>
    <row r="2731" customFormat="false" ht="15" hidden="false" customHeight="true" outlineLevel="0" collapsed="false">
      <c r="A2731" s="9"/>
      <c r="B2731" s="9"/>
      <c r="C2731" s="9"/>
      <c r="D2731" s="9"/>
      <c r="E2731" s="9"/>
      <c r="F2731" s="9"/>
      <c r="G2731" s="9"/>
      <c r="H2731" s="64" t="str">
        <f aca="false">IF(OR(A2731="",B2731=""),"",CONCATENATE("https://matarstund.is/serfaedi?id=",LOWER(SUBSTITUTE(B2731," ","-"))))</f>
        <v/>
      </c>
    </row>
    <row r="2732" customFormat="false" ht="15" hidden="false" customHeight="true" outlineLevel="0" collapsed="false">
      <c r="A2732" s="68"/>
      <c r="B2732" s="68"/>
      <c r="C2732" s="68"/>
      <c r="D2732" s="68"/>
      <c r="E2732" s="68"/>
      <c r="F2732" s="68"/>
      <c r="G2732" s="68"/>
      <c r="H2732" s="64" t="str">
        <f aca="false">IF(OR(A2732="",B2732=""),"",CONCATENATE("https://matarstund.is/serfaedi?id=",LOWER(SUBSTITUTE(B2732," ","-"))))</f>
        <v/>
      </c>
    </row>
    <row r="2733" customFormat="false" ht="15" hidden="false" customHeight="true" outlineLevel="0" collapsed="false">
      <c r="A2733" s="9"/>
      <c r="B2733" s="9"/>
      <c r="C2733" s="9"/>
      <c r="D2733" s="9"/>
      <c r="E2733" s="9"/>
      <c r="F2733" s="9"/>
      <c r="G2733" s="9"/>
      <c r="H2733" s="64" t="str">
        <f aca="false">IF(OR(A2733="",B2733=""),"",CONCATENATE("https://matarstund.is/serfaedi?id=",LOWER(SUBSTITUTE(B2733," ","-"))))</f>
        <v/>
      </c>
    </row>
    <row r="2734" customFormat="false" ht="15" hidden="false" customHeight="true" outlineLevel="0" collapsed="false">
      <c r="A2734" s="68"/>
      <c r="B2734" s="68"/>
      <c r="C2734" s="68"/>
      <c r="D2734" s="68"/>
      <c r="E2734" s="68"/>
      <c r="F2734" s="68"/>
      <c r="G2734" s="68"/>
      <c r="H2734" s="64" t="str">
        <f aca="false">IF(OR(A2734="",B2734=""),"",CONCATENATE("https://matarstund.is/serfaedi?id=",LOWER(SUBSTITUTE(B2734," ","-"))))</f>
        <v/>
      </c>
    </row>
    <row r="2735" customFormat="false" ht="15" hidden="false" customHeight="true" outlineLevel="0" collapsed="false">
      <c r="A2735" s="9"/>
      <c r="B2735" s="9"/>
      <c r="C2735" s="9"/>
      <c r="D2735" s="9"/>
      <c r="E2735" s="9"/>
      <c r="F2735" s="9"/>
      <c r="G2735" s="9"/>
      <c r="H2735" s="64" t="str">
        <f aca="false">IF(OR(A2735="",B2735=""),"",CONCATENATE("https://matarstund.is/serfaedi?id=",LOWER(SUBSTITUTE(B2735," ","-"))))</f>
        <v/>
      </c>
    </row>
    <row r="2736" customFormat="false" ht="15" hidden="false" customHeight="true" outlineLevel="0" collapsed="false">
      <c r="A2736" s="68"/>
      <c r="B2736" s="68"/>
      <c r="C2736" s="68"/>
      <c r="D2736" s="68"/>
      <c r="E2736" s="68"/>
      <c r="F2736" s="68"/>
      <c r="G2736" s="68"/>
      <c r="H2736" s="64" t="str">
        <f aca="false">IF(OR(A2736="",B2736=""),"",CONCATENATE("https://matarstund.is/serfaedi?id=",LOWER(SUBSTITUTE(B2736," ","-"))))</f>
        <v/>
      </c>
    </row>
    <row r="2737" customFormat="false" ht="15" hidden="false" customHeight="true" outlineLevel="0" collapsed="false">
      <c r="A2737" s="9"/>
      <c r="B2737" s="9"/>
      <c r="C2737" s="9"/>
      <c r="D2737" s="9"/>
      <c r="E2737" s="9"/>
      <c r="F2737" s="9"/>
      <c r="G2737" s="9"/>
      <c r="H2737" s="64" t="str">
        <f aca="false">IF(OR(A2737="",B2737=""),"",CONCATENATE("https://matarstund.is/serfaedi?id=",LOWER(SUBSTITUTE(B2737," ","-"))))</f>
        <v/>
      </c>
    </row>
    <row r="2738" customFormat="false" ht="15" hidden="false" customHeight="true" outlineLevel="0" collapsed="false">
      <c r="A2738" s="68"/>
      <c r="B2738" s="68"/>
      <c r="C2738" s="68"/>
      <c r="D2738" s="68"/>
      <c r="E2738" s="68"/>
      <c r="F2738" s="68"/>
      <c r="G2738" s="68"/>
      <c r="H2738" s="64" t="str">
        <f aca="false">IF(OR(A2738="",B2738=""),"",CONCATENATE("https://matarstund.is/serfaedi?id=",LOWER(SUBSTITUTE(B2738," ","-"))))</f>
        <v/>
      </c>
    </row>
    <row r="2739" customFormat="false" ht="15" hidden="false" customHeight="true" outlineLevel="0" collapsed="false">
      <c r="A2739" s="9"/>
      <c r="B2739" s="9"/>
      <c r="C2739" s="9"/>
      <c r="D2739" s="9"/>
      <c r="E2739" s="9"/>
      <c r="F2739" s="9"/>
      <c r="G2739" s="9"/>
      <c r="H2739" s="64" t="str">
        <f aca="false">IF(OR(A2739="",B2739=""),"",CONCATENATE("https://matarstund.is/serfaedi?id=",LOWER(SUBSTITUTE(B2739," ","-"))))</f>
        <v/>
      </c>
    </row>
    <row r="2740" customFormat="false" ht="15" hidden="false" customHeight="true" outlineLevel="0" collapsed="false">
      <c r="A2740" s="68"/>
      <c r="B2740" s="68"/>
      <c r="C2740" s="68"/>
      <c r="D2740" s="68"/>
      <c r="E2740" s="68"/>
      <c r="F2740" s="68"/>
      <c r="G2740" s="68"/>
      <c r="H2740" s="64" t="str">
        <f aca="false">IF(OR(A2740="",B2740=""),"",CONCATENATE("https://matarstund.is/serfaedi?id=",LOWER(SUBSTITUTE(B2740," ","-"))))</f>
        <v/>
      </c>
    </row>
    <row r="2741" customFormat="false" ht="15" hidden="false" customHeight="true" outlineLevel="0" collapsed="false">
      <c r="A2741" s="9"/>
      <c r="B2741" s="9"/>
      <c r="C2741" s="9"/>
      <c r="D2741" s="9"/>
      <c r="E2741" s="9"/>
      <c r="F2741" s="9"/>
      <c r="G2741" s="9"/>
      <c r="H2741" s="64" t="str">
        <f aca="false">IF(OR(A2741="",B2741=""),"",CONCATENATE("https://matarstund.is/serfaedi?id=",LOWER(SUBSTITUTE(B2741," ","-"))))</f>
        <v/>
      </c>
    </row>
    <row r="2742" customFormat="false" ht="15" hidden="false" customHeight="true" outlineLevel="0" collapsed="false">
      <c r="A2742" s="68"/>
      <c r="B2742" s="68"/>
      <c r="C2742" s="68"/>
      <c r="D2742" s="68"/>
      <c r="E2742" s="68"/>
      <c r="F2742" s="68"/>
      <c r="G2742" s="68"/>
      <c r="H2742" s="64" t="str">
        <f aca="false">IF(OR(A2742="",B2742=""),"",CONCATENATE("https://matarstund.is/serfaedi?id=",LOWER(SUBSTITUTE(B2742," ","-"))))</f>
        <v/>
      </c>
    </row>
    <row r="2743" customFormat="false" ht="15" hidden="false" customHeight="true" outlineLevel="0" collapsed="false">
      <c r="A2743" s="9"/>
      <c r="B2743" s="9"/>
      <c r="C2743" s="9"/>
      <c r="D2743" s="9"/>
      <c r="E2743" s="9"/>
      <c r="F2743" s="9"/>
      <c r="G2743" s="9"/>
      <c r="H2743" s="64" t="str">
        <f aca="false">IF(OR(A2743="",B2743=""),"",CONCATENATE("https://matarstund.is/serfaedi?id=",LOWER(SUBSTITUTE(B2743," ","-"))))</f>
        <v/>
      </c>
    </row>
    <row r="2744" customFormat="false" ht="15" hidden="false" customHeight="true" outlineLevel="0" collapsed="false">
      <c r="A2744" s="68"/>
      <c r="B2744" s="68"/>
      <c r="C2744" s="68"/>
      <c r="D2744" s="68"/>
      <c r="E2744" s="68"/>
      <c r="F2744" s="68"/>
      <c r="G2744" s="68"/>
      <c r="H2744" s="64" t="str">
        <f aca="false">IF(OR(A2744="",B2744=""),"",CONCATENATE("https://matarstund.is/serfaedi?id=",LOWER(SUBSTITUTE(B2744," ","-"))))</f>
        <v/>
      </c>
    </row>
    <row r="2745" customFormat="false" ht="15" hidden="false" customHeight="true" outlineLevel="0" collapsed="false">
      <c r="A2745" s="9"/>
      <c r="B2745" s="9"/>
      <c r="C2745" s="9"/>
      <c r="D2745" s="9"/>
      <c r="E2745" s="9"/>
      <c r="F2745" s="9"/>
      <c r="G2745" s="9"/>
      <c r="H2745" s="64" t="str">
        <f aca="false">IF(OR(A2745="",B2745=""),"",CONCATENATE("https://matarstund.is/serfaedi?id=",LOWER(SUBSTITUTE(B2745," ","-"))))</f>
        <v/>
      </c>
    </row>
    <row r="2746" customFormat="false" ht="15" hidden="false" customHeight="true" outlineLevel="0" collapsed="false">
      <c r="A2746" s="68"/>
      <c r="B2746" s="68"/>
      <c r="C2746" s="68"/>
      <c r="D2746" s="68"/>
      <c r="E2746" s="68"/>
      <c r="F2746" s="68"/>
      <c r="G2746" s="68"/>
      <c r="H2746" s="64" t="str">
        <f aca="false">IF(OR(A2746="",B2746=""),"",CONCATENATE("https://matarstund.is/serfaedi?id=",LOWER(SUBSTITUTE(B2746," ","-"))))</f>
        <v/>
      </c>
    </row>
    <row r="2747" customFormat="false" ht="15" hidden="false" customHeight="true" outlineLevel="0" collapsed="false">
      <c r="A2747" s="9"/>
      <c r="B2747" s="9"/>
      <c r="C2747" s="9"/>
      <c r="D2747" s="9"/>
      <c r="E2747" s="9"/>
      <c r="F2747" s="9"/>
      <c r="G2747" s="9"/>
      <c r="H2747" s="64" t="str">
        <f aca="false">IF(OR(A2747="",B2747=""),"",CONCATENATE("https://matarstund.is/serfaedi?id=",LOWER(SUBSTITUTE(B2747," ","-"))))</f>
        <v/>
      </c>
    </row>
    <row r="2748" customFormat="false" ht="15" hidden="false" customHeight="true" outlineLevel="0" collapsed="false">
      <c r="A2748" s="68"/>
      <c r="B2748" s="68"/>
      <c r="C2748" s="68"/>
      <c r="D2748" s="68"/>
      <c r="E2748" s="68"/>
      <c r="F2748" s="68"/>
      <c r="G2748" s="68"/>
      <c r="H2748" s="64" t="str">
        <f aca="false">IF(OR(A2748="",B2748=""),"",CONCATENATE("https://matarstund.is/serfaedi?id=",LOWER(SUBSTITUTE(B2748," ","-"))))</f>
        <v/>
      </c>
    </row>
    <row r="2749" customFormat="false" ht="15" hidden="false" customHeight="true" outlineLevel="0" collapsed="false">
      <c r="A2749" s="9"/>
      <c r="B2749" s="9"/>
      <c r="C2749" s="9"/>
      <c r="D2749" s="9"/>
      <c r="E2749" s="9"/>
      <c r="F2749" s="9"/>
      <c r="G2749" s="9"/>
      <c r="H2749" s="64" t="str">
        <f aca="false">IF(OR(A2749="",B2749=""),"",CONCATENATE("https://matarstund.is/serfaedi?id=",LOWER(SUBSTITUTE(B2749," ","-"))))</f>
        <v/>
      </c>
    </row>
    <row r="2750" customFormat="false" ht="15" hidden="false" customHeight="true" outlineLevel="0" collapsed="false">
      <c r="A2750" s="68"/>
      <c r="B2750" s="68"/>
      <c r="C2750" s="68"/>
      <c r="D2750" s="68"/>
      <c r="E2750" s="68"/>
      <c r="F2750" s="68"/>
      <c r="G2750" s="68"/>
      <c r="H2750" s="64" t="str">
        <f aca="false">IF(OR(A2750="",B2750=""),"",CONCATENATE("https://matarstund.is/serfaedi?id=",LOWER(SUBSTITUTE(B2750," ","-"))))</f>
        <v/>
      </c>
    </row>
    <row r="2751" customFormat="false" ht="15" hidden="false" customHeight="true" outlineLevel="0" collapsed="false">
      <c r="A2751" s="9"/>
      <c r="B2751" s="9"/>
      <c r="C2751" s="9"/>
      <c r="D2751" s="9"/>
      <c r="E2751" s="9"/>
      <c r="F2751" s="9"/>
      <c r="G2751" s="9"/>
      <c r="H2751" s="64" t="str">
        <f aca="false">IF(OR(A2751="",B2751=""),"",CONCATENATE("https://matarstund.is/serfaedi?id=",LOWER(SUBSTITUTE(B2751," ","-"))))</f>
        <v/>
      </c>
    </row>
    <row r="2752" customFormat="false" ht="15" hidden="false" customHeight="true" outlineLevel="0" collapsed="false">
      <c r="A2752" s="68"/>
      <c r="B2752" s="68"/>
      <c r="C2752" s="68"/>
      <c r="D2752" s="68"/>
      <c r="E2752" s="68"/>
      <c r="F2752" s="68"/>
      <c r="G2752" s="68"/>
      <c r="H2752" s="64" t="str">
        <f aca="false">IF(OR(A2752="",B2752=""),"",CONCATENATE("https://matarstund.is/serfaedi?id=",LOWER(SUBSTITUTE(B2752," ","-"))))</f>
        <v/>
      </c>
    </row>
    <row r="2753" customFormat="false" ht="15" hidden="false" customHeight="true" outlineLevel="0" collapsed="false">
      <c r="A2753" s="9"/>
      <c r="B2753" s="9"/>
      <c r="C2753" s="9"/>
      <c r="D2753" s="9"/>
      <c r="E2753" s="9"/>
      <c r="F2753" s="9"/>
      <c r="G2753" s="9"/>
      <c r="H2753" s="64" t="str">
        <f aca="false">IF(OR(A2753="",B2753=""),"",CONCATENATE("https://matarstund.is/serfaedi?id=",LOWER(SUBSTITUTE(B2753," ","-"))))</f>
        <v/>
      </c>
    </row>
    <row r="2754" customFormat="false" ht="15" hidden="false" customHeight="true" outlineLevel="0" collapsed="false">
      <c r="A2754" s="68"/>
      <c r="B2754" s="68"/>
      <c r="C2754" s="68"/>
      <c r="D2754" s="68"/>
      <c r="E2754" s="68"/>
      <c r="F2754" s="68"/>
      <c r="G2754" s="68"/>
      <c r="H2754" s="64" t="str">
        <f aca="false">IF(OR(A2754="",B2754=""),"",CONCATENATE("https://matarstund.is/serfaedi?id=",LOWER(SUBSTITUTE(B2754," ","-"))))</f>
        <v/>
      </c>
    </row>
    <row r="2755" customFormat="false" ht="15" hidden="false" customHeight="true" outlineLevel="0" collapsed="false">
      <c r="A2755" s="9"/>
      <c r="B2755" s="9"/>
      <c r="C2755" s="9"/>
      <c r="D2755" s="9"/>
      <c r="E2755" s="9"/>
      <c r="F2755" s="9"/>
      <c r="G2755" s="9"/>
      <c r="H2755" s="64" t="str">
        <f aca="false">IF(OR(A2755="",B2755=""),"",CONCATENATE("https://matarstund.is/serfaedi?id=",LOWER(SUBSTITUTE(B2755," ","-"))))</f>
        <v/>
      </c>
    </row>
    <row r="2756" customFormat="false" ht="15" hidden="false" customHeight="true" outlineLevel="0" collapsed="false">
      <c r="A2756" s="68"/>
      <c r="B2756" s="68"/>
      <c r="C2756" s="68"/>
      <c r="D2756" s="68"/>
      <c r="E2756" s="68"/>
      <c r="F2756" s="68"/>
      <c r="G2756" s="68"/>
      <c r="H2756" s="64" t="str">
        <f aca="false">IF(OR(A2756="",B2756=""),"",CONCATENATE("https://matarstund.is/serfaedi?id=",LOWER(SUBSTITUTE(B2756," ","-"))))</f>
        <v/>
      </c>
    </row>
    <row r="2757" customFormat="false" ht="15" hidden="false" customHeight="true" outlineLevel="0" collapsed="false">
      <c r="A2757" s="9"/>
      <c r="B2757" s="9"/>
      <c r="C2757" s="9"/>
      <c r="D2757" s="9"/>
      <c r="E2757" s="9"/>
      <c r="F2757" s="9"/>
      <c r="G2757" s="9"/>
      <c r="H2757" s="64" t="str">
        <f aca="false">IF(OR(A2757="",B2757=""),"",CONCATENATE("https://matarstund.is/serfaedi?id=",LOWER(SUBSTITUTE(B2757," ","-"))))</f>
        <v/>
      </c>
    </row>
    <row r="2758" customFormat="false" ht="15" hidden="false" customHeight="true" outlineLevel="0" collapsed="false">
      <c r="A2758" s="68"/>
      <c r="B2758" s="68"/>
      <c r="C2758" s="68"/>
      <c r="D2758" s="68"/>
      <c r="E2758" s="68"/>
      <c r="F2758" s="68"/>
      <c r="G2758" s="68"/>
      <c r="H2758" s="64" t="str">
        <f aca="false">IF(OR(A2758="",B2758=""),"",CONCATENATE("https://matarstund.is/serfaedi?id=",LOWER(SUBSTITUTE(B2758," ","-"))))</f>
        <v/>
      </c>
    </row>
    <row r="2759" customFormat="false" ht="15" hidden="false" customHeight="true" outlineLevel="0" collapsed="false">
      <c r="A2759" s="9"/>
      <c r="B2759" s="9"/>
      <c r="C2759" s="9"/>
      <c r="D2759" s="9"/>
      <c r="E2759" s="9"/>
      <c r="F2759" s="9"/>
      <c r="G2759" s="9"/>
      <c r="H2759" s="64" t="str">
        <f aca="false">IF(OR(A2759="",B2759=""),"",CONCATENATE("https://matarstund.is/serfaedi?id=",LOWER(SUBSTITUTE(B2759," ","-"))))</f>
        <v/>
      </c>
    </row>
    <row r="2760" customFormat="false" ht="15" hidden="false" customHeight="true" outlineLevel="0" collapsed="false">
      <c r="A2760" s="68"/>
      <c r="B2760" s="68"/>
      <c r="C2760" s="68"/>
      <c r="D2760" s="68"/>
      <c r="E2760" s="68"/>
      <c r="F2760" s="68"/>
      <c r="G2760" s="68"/>
      <c r="H2760" s="64" t="str">
        <f aca="false">IF(OR(A2760="",B2760=""),"",CONCATENATE("https://matarstund.is/serfaedi?id=",LOWER(SUBSTITUTE(B2760," ","-"))))</f>
        <v/>
      </c>
    </row>
    <row r="2761" customFormat="false" ht="15" hidden="false" customHeight="true" outlineLevel="0" collapsed="false">
      <c r="A2761" s="9"/>
      <c r="B2761" s="9"/>
      <c r="C2761" s="9"/>
      <c r="D2761" s="9"/>
      <c r="E2761" s="9"/>
      <c r="F2761" s="9"/>
      <c r="G2761" s="9"/>
      <c r="H2761" s="64" t="str">
        <f aca="false">IF(OR(A2761="",B2761=""),"",CONCATENATE("https://matarstund.is/serfaedi?id=",LOWER(SUBSTITUTE(B2761," ","-"))))</f>
        <v/>
      </c>
    </row>
    <row r="2762" customFormat="false" ht="15" hidden="false" customHeight="true" outlineLevel="0" collapsed="false">
      <c r="A2762" s="68"/>
      <c r="B2762" s="68"/>
      <c r="C2762" s="68"/>
      <c r="D2762" s="68"/>
      <c r="E2762" s="68"/>
      <c r="F2762" s="68"/>
      <c r="G2762" s="68"/>
      <c r="H2762" s="64" t="str">
        <f aca="false">IF(OR(A2762="",B2762=""),"",CONCATENATE("https://matarstund.is/serfaedi?id=",LOWER(SUBSTITUTE(B2762," ","-"))))</f>
        <v/>
      </c>
    </row>
    <row r="2763" customFormat="false" ht="15" hidden="false" customHeight="true" outlineLevel="0" collapsed="false">
      <c r="A2763" s="9"/>
      <c r="B2763" s="9"/>
      <c r="C2763" s="9"/>
      <c r="D2763" s="9"/>
      <c r="E2763" s="9"/>
      <c r="F2763" s="9"/>
      <c r="G2763" s="9"/>
      <c r="H2763" s="64" t="str">
        <f aca="false">IF(OR(A2763="",B2763=""),"",CONCATENATE("https://matarstund.is/serfaedi?id=",LOWER(SUBSTITUTE(B2763," ","-"))))</f>
        <v/>
      </c>
    </row>
    <row r="2764" customFormat="false" ht="15" hidden="false" customHeight="true" outlineLevel="0" collapsed="false">
      <c r="A2764" s="68"/>
      <c r="B2764" s="68"/>
      <c r="C2764" s="68"/>
      <c r="D2764" s="68"/>
      <c r="E2764" s="68"/>
      <c r="F2764" s="68"/>
      <c r="G2764" s="68"/>
      <c r="H2764" s="64" t="str">
        <f aca="false">IF(OR(A2764="",B2764=""),"",CONCATENATE("https://matarstund.is/serfaedi?id=",LOWER(SUBSTITUTE(B2764," ","-"))))</f>
        <v/>
      </c>
    </row>
    <row r="2765" customFormat="false" ht="15" hidden="false" customHeight="true" outlineLevel="0" collapsed="false">
      <c r="A2765" s="9"/>
      <c r="B2765" s="9"/>
      <c r="C2765" s="9"/>
      <c r="D2765" s="9"/>
      <c r="E2765" s="9"/>
      <c r="F2765" s="9"/>
      <c r="G2765" s="9"/>
      <c r="H2765" s="64" t="str">
        <f aca="false">IF(OR(A2765="",B2765=""),"",CONCATENATE("https://matarstund.is/serfaedi?id=",LOWER(SUBSTITUTE(B2765," ","-"))))</f>
        <v/>
      </c>
    </row>
    <row r="2766" customFormat="false" ht="15" hidden="false" customHeight="true" outlineLevel="0" collapsed="false">
      <c r="A2766" s="68"/>
      <c r="B2766" s="68"/>
      <c r="C2766" s="68"/>
      <c r="D2766" s="68"/>
      <c r="E2766" s="68"/>
      <c r="F2766" s="68"/>
      <c r="G2766" s="68"/>
      <c r="H2766" s="64" t="str">
        <f aca="false">IF(OR(A2766="",B2766=""),"",CONCATENATE("https://matarstund.is/serfaedi?id=",LOWER(SUBSTITUTE(B2766," ","-"))))</f>
        <v/>
      </c>
    </row>
    <row r="2767" customFormat="false" ht="15" hidden="false" customHeight="true" outlineLevel="0" collapsed="false">
      <c r="A2767" s="9"/>
      <c r="B2767" s="9"/>
      <c r="C2767" s="9"/>
      <c r="D2767" s="9"/>
      <c r="E2767" s="9"/>
      <c r="F2767" s="9"/>
      <c r="G2767" s="9"/>
      <c r="H2767" s="64" t="str">
        <f aca="false">IF(OR(A2767="",B2767=""),"",CONCATENATE("https://matarstund.is/serfaedi?id=",LOWER(SUBSTITUTE(B2767," ","-"))))</f>
        <v/>
      </c>
    </row>
    <row r="2768" customFormat="false" ht="15" hidden="false" customHeight="true" outlineLevel="0" collapsed="false">
      <c r="A2768" s="68"/>
      <c r="B2768" s="68"/>
      <c r="C2768" s="68"/>
      <c r="D2768" s="68"/>
      <c r="E2768" s="68"/>
      <c r="F2768" s="68"/>
      <c r="G2768" s="68"/>
      <c r="H2768" s="64" t="str">
        <f aca="false">IF(OR(A2768="",B2768=""),"",CONCATENATE("https://matarstund.is/serfaedi?id=",LOWER(SUBSTITUTE(B2768," ","-"))))</f>
        <v/>
      </c>
    </row>
    <row r="2769" customFormat="false" ht="15" hidden="false" customHeight="true" outlineLevel="0" collapsed="false">
      <c r="A2769" s="9"/>
      <c r="B2769" s="9"/>
      <c r="C2769" s="9"/>
      <c r="D2769" s="9"/>
      <c r="E2769" s="9"/>
      <c r="F2769" s="9"/>
      <c r="G2769" s="9"/>
      <c r="H2769" s="64" t="str">
        <f aca="false">IF(OR(A2769="",B2769=""),"",CONCATENATE("https://matarstund.is/serfaedi?id=",LOWER(SUBSTITUTE(B2769," ","-"))))</f>
        <v/>
      </c>
    </row>
    <row r="2770" customFormat="false" ht="15" hidden="false" customHeight="true" outlineLevel="0" collapsed="false">
      <c r="A2770" s="68"/>
      <c r="B2770" s="68"/>
      <c r="C2770" s="68"/>
      <c r="D2770" s="68"/>
      <c r="E2770" s="68"/>
      <c r="F2770" s="68"/>
      <c r="G2770" s="68"/>
      <c r="H2770" s="64" t="str">
        <f aca="false">IF(OR(A2770="",B2770=""),"",CONCATENATE("https://matarstund.is/serfaedi?id=",LOWER(SUBSTITUTE(B2770," ","-"))))</f>
        <v/>
      </c>
    </row>
    <row r="2771" customFormat="false" ht="15" hidden="false" customHeight="true" outlineLevel="0" collapsed="false">
      <c r="A2771" s="9"/>
      <c r="B2771" s="9"/>
      <c r="C2771" s="9"/>
      <c r="D2771" s="9"/>
      <c r="E2771" s="9"/>
      <c r="F2771" s="9"/>
      <c r="G2771" s="9"/>
      <c r="H2771" s="64" t="str">
        <f aca="false">IF(OR(A2771="",B2771=""),"",CONCATENATE("https://matarstund.is/serfaedi?id=",LOWER(SUBSTITUTE(B2771," ","-"))))</f>
        <v/>
      </c>
    </row>
    <row r="2772" customFormat="false" ht="15" hidden="false" customHeight="true" outlineLevel="0" collapsed="false">
      <c r="A2772" s="68"/>
      <c r="B2772" s="68"/>
      <c r="C2772" s="68"/>
      <c r="D2772" s="68"/>
      <c r="E2772" s="68"/>
      <c r="F2772" s="68"/>
      <c r="G2772" s="68"/>
      <c r="H2772" s="64" t="str">
        <f aca="false">IF(OR(A2772="",B2772=""),"",CONCATENATE("https://matarstund.is/serfaedi?id=",LOWER(SUBSTITUTE(B2772," ","-"))))</f>
        <v/>
      </c>
    </row>
    <row r="2773" customFormat="false" ht="15" hidden="false" customHeight="true" outlineLevel="0" collapsed="false">
      <c r="A2773" s="9"/>
      <c r="B2773" s="9"/>
      <c r="C2773" s="9"/>
      <c r="D2773" s="9"/>
      <c r="E2773" s="9"/>
      <c r="F2773" s="9"/>
      <c r="G2773" s="9"/>
      <c r="H2773" s="64" t="str">
        <f aca="false">IF(OR(A2773="",B2773=""),"",CONCATENATE("https://matarstund.is/serfaedi?id=",LOWER(SUBSTITUTE(B2773," ","-"))))</f>
        <v/>
      </c>
    </row>
    <row r="2774" customFormat="false" ht="15" hidden="false" customHeight="true" outlineLevel="0" collapsed="false">
      <c r="A2774" s="68"/>
      <c r="B2774" s="68"/>
      <c r="C2774" s="68"/>
      <c r="D2774" s="68"/>
      <c r="E2774" s="68"/>
      <c r="F2774" s="68"/>
      <c r="G2774" s="68"/>
      <c r="H2774" s="64" t="str">
        <f aca="false">IF(OR(A2774="",B2774=""),"",CONCATENATE("https://matarstund.is/serfaedi?id=",LOWER(SUBSTITUTE(B2774," ","-"))))</f>
        <v/>
      </c>
    </row>
    <row r="2775" customFormat="false" ht="15" hidden="false" customHeight="true" outlineLevel="0" collapsed="false">
      <c r="A2775" s="9"/>
      <c r="B2775" s="9"/>
      <c r="C2775" s="9"/>
      <c r="D2775" s="9"/>
      <c r="E2775" s="9"/>
      <c r="F2775" s="9"/>
      <c r="G2775" s="9"/>
      <c r="H2775" s="64" t="str">
        <f aca="false">IF(OR(A2775="",B2775=""),"",CONCATENATE("https://matarstund.is/serfaedi?id=",LOWER(SUBSTITUTE(B2775," ","-"))))</f>
        <v/>
      </c>
    </row>
    <row r="2776" customFormat="false" ht="15" hidden="false" customHeight="true" outlineLevel="0" collapsed="false">
      <c r="A2776" s="68"/>
      <c r="B2776" s="68"/>
      <c r="C2776" s="68"/>
      <c r="D2776" s="68"/>
      <c r="E2776" s="68"/>
      <c r="F2776" s="68"/>
      <c r="G2776" s="68"/>
      <c r="H2776" s="64" t="str">
        <f aca="false">IF(OR(A2776="",B2776=""),"",CONCATENATE("https://matarstund.is/serfaedi?id=",LOWER(SUBSTITUTE(B2776," ","-"))))</f>
        <v/>
      </c>
    </row>
    <row r="2777" customFormat="false" ht="15" hidden="false" customHeight="true" outlineLevel="0" collapsed="false">
      <c r="A2777" s="9"/>
      <c r="B2777" s="9"/>
      <c r="C2777" s="9"/>
      <c r="D2777" s="9"/>
      <c r="E2777" s="9"/>
      <c r="F2777" s="9"/>
      <c r="G2777" s="9"/>
      <c r="H2777" s="64" t="str">
        <f aca="false">IF(OR(A2777="",B2777=""),"",CONCATENATE("https://matarstund.is/serfaedi?id=",LOWER(SUBSTITUTE(B2777," ","-"))))</f>
        <v/>
      </c>
    </row>
    <row r="2778" customFormat="false" ht="15" hidden="false" customHeight="true" outlineLevel="0" collapsed="false">
      <c r="A2778" s="68"/>
      <c r="B2778" s="68"/>
      <c r="C2778" s="68"/>
      <c r="D2778" s="68"/>
      <c r="E2778" s="68"/>
      <c r="F2778" s="68"/>
      <c r="G2778" s="68"/>
      <c r="H2778" s="64" t="str">
        <f aca="false">IF(OR(A2778="",B2778=""),"",CONCATENATE("https://matarstund.is/serfaedi?id=",LOWER(SUBSTITUTE(B2778," ","-"))))</f>
        <v/>
      </c>
    </row>
    <row r="2779" customFormat="false" ht="15" hidden="false" customHeight="true" outlineLevel="0" collapsed="false">
      <c r="A2779" s="9"/>
      <c r="B2779" s="9"/>
      <c r="C2779" s="9"/>
      <c r="D2779" s="9"/>
      <c r="E2779" s="9"/>
      <c r="F2779" s="9"/>
      <c r="G2779" s="9"/>
      <c r="H2779" s="64" t="str">
        <f aca="false">IF(OR(A2779="",B2779=""),"",CONCATENATE("https://matarstund.is/serfaedi?id=",LOWER(SUBSTITUTE(B2779," ","-"))))</f>
        <v/>
      </c>
    </row>
    <row r="2780" customFormat="false" ht="15" hidden="false" customHeight="true" outlineLevel="0" collapsed="false">
      <c r="A2780" s="68"/>
      <c r="B2780" s="68"/>
      <c r="C2780" s="68"/>
      <c r="D2780" s="68"/>
      <c r="E2780" s="68"/>
      <c r="F2780" s="68"/>
      <c r="G2780" s="68"/>
      <c r="H2780" s="64" t="str">
        <f aca="false">IF(OR(A2780="",B2780=""),"",CONCATENATE("https://matarstund.is/serfaedi?id=",LOWER(SUBSTITUTE(B2780," ","-"))))</f>
        <v/>
      </c>
    </row>
    <row r="2781" customFormat="false" ht="15" hidden="false" customHeight="true" outlineLevel="0" collapsed="false">
      <c r="A2781" s="9"/>
      <c r="B2781" s="9"/>
      <c r="C2781" s="9"/>
      <c r="D2781" s="9"/>
      <c r="E2781" s="9"/>
      <c r="F2781" s="9"/>
      <c r="G2781" s="9"/>
      <c r="H2781" s="64" t="str">
        <f aca="false">IF(OR(A2781="",B2781=""),"",CONCATENATE("https://matarstund.is/serfaedi?id=",LOWER(SUBSTITUTE(B2781," ","-"))))</f>
        <v/>
      </c>
    </row>
    <row r="2782" customFormat="false" ht="15" hidden="false" customHeight="true" outlineLevel="0" collapsed="false">
      <c r="A2782" s="68"/>
      <c r="B2782" s="68"/>
      <c r="C2782" s="68"/>
      <c r="D2782" s="68"/>
      <c r="E2782" s="68"/>
      <c r="F2782" s="68"/>
      <c r="G2782" s="68"/>
      <c r="H2782" s="64" t="str">
        <f aca="false">IF(OR(A2782="",B2782=""),"",CONCATENATE("https://matarstund.is/serfaedi?id=",LOWER(SUBSTITUTE(B2782," ","-"))))</f>
        <v/>
      </c>
    </row>
    <row r="2783" customFormat="false" ht="15" hidden="false" customHeight="true" outlineLevel="0" collapsed="false">
      <c r="A2783" s="9"/>
      <c r="B2783" s="9"/>
      <c r="C2783" s="9"/>
      <c r="D2783" s="9"/>
      <c r="E2783" s="9"/>
      <c r="F2783" s="9"/>
      <c r="G2783" s="9"/>
      <c r="H2783" s="64" t="str">
        <f aca="false">IF(OR(A2783="",B2783=""),"",CONCATENATE("https://matarstund.is/serfaedi?id=",LOWER(SUBSTITUTE(B2783," ","-"))))</f>
        <v/>
      </c>
    </row>
    <row r="2784" customFormat="false" ht="15" hidden="false" customHeight="true" outlineLevel="0" collapsed="false">
      <c r="A2784" s="68"/>
      <c r="B2784" s="68"/>
      <c r="C2784" s="68"/>
      <c r="D2784" s="68"/>
      <c r="E2784" s="68"/>
      <c r="F2784" s="68"/>
      <c r="G2784" s="68"/>
      <c r="H2784" s="64" t="str">
        <f aca="false">IF(OR(A2784="",B2784=""),"",CONCATENATE("https://matarstund.is/serfaedi?id=",LOWER(SUBSTITUTE(B2784," ","-"))))</f>
        <v/>
      </c>
    </row>
    <row r="2785" customFormat="false" ht="15" hidden="false" customHeight="true" outlineLevel="0" collapsed="false">
      <c r="A2785" s="9"/>
      <c r="B2785" s="9"/>
      <c r="C2785" s="9"/>
      <c r="D2785" s="9"/>
      <c r="E2785" s="9"/>
      <c r="F2785" s="9"/>
      <c r="G2785" s="9"/>
      <c r="H2785" s="64" t="str">
        <f aca="false">IF(OR(A2785="",B2785=""),"",CONCATENATE("https://matarstund.is/serfaedi?id=",LOWER(SUBSTITUTE(B2785," ","-"))))</f>
        <v/>
      </c>
    </row>
    <row r="2786" customFormat="false" ht="15" hidden="false" customHeight="true" outlineLevel="0" collapsed="false">
      <c r="A2786" s="68"/>
      <c r="B2786" s="68"/>
      <c r="C2786" s="68"/>
      <c r="D2786" s="68"/>
      <c r="E2786" s="68"/>
      <c r="F2786" s="68"/>
      <c r="G2786" s="68"/>
      <c r="H2786" s="64" t="str">
        <f aca="false">IF(OR(A2786="",B2786=""),"",CONCATENATE("https://matarstund.is/serfaedi?id=",LOWER(SUBSTITUTE(B2786," ","-"))))</f>
        <v/>
      </c>
    </row>
    <row r="2787" customFormat="false" ht="15" hidden="false" customHeight="true" outlineLevel="0" collapsed="false">
      <c r="A2787" s="9"/>
      <c r="B2787" s="9"/>
      <c r="C2787" s="9"/>
      <c r="D2787" s="9"/>
      <c r="E2787" s="9"/>
      <c r="F2787" s="9"/>
      <c r="G2787" s="9"/>
      <c r="H2787" s="64" t="str">
        <f aca="false">IF(OR(A2787="",B2787=""),"",CONCATENATE("https://matarstund.is/serfaedi?id=",LOWER(SUBSTITUTE(B2787," ","-"))))</f>
        <v/>
      </c>
    </row>
    <row r="2788" customFormat="false" ht="15" hidden="false" customHeight="true" outlineLevel="0" collapsed="false">
      <c r="A2788" s="68"/>
      <c r="B2788" s="68"/>
      <c r="C2788" s="68"/>
      <c r="D2788" s="68"/>
      <c r="E2788" s="68"/>
      <c r="F2788" s="68"/>
      <c r="G2788" s="68"/>
      <c r="H2788" s="64" t="str">
        <f aca="false">IF(OR(A2788="",B2788=""),"",CONCATENATE("https://matarstund.is/serfaedi?id=",LOWER(SUBSTITUTE(B2788," ","-"))))</f>
        <v/>
      </c>
    </row>
    <row r="2789" customFormat="false" ht="15" hidden="false" customHeight="true" outlineLevel="0" collapsed="false">
      <c r="A2789" s="9"/>
      <c r="B2789" s="9"/>
      <c r="C2789" s="9"/>
      <c r="D2789" s="9"/>
      <c r="E2789" s="9"/>
      <c r="F2789" s="9"/>
      <c r="G2789" s="9"/>
      <c r="H2789" s="64" t="str">
        <f aca="false">IF(OR(A2789="",B2789=""),"",CONCATENATE("https://matarstund.is/serfaedi?id=",LOWER(SUBSTITUTE(B2789," ","-"))))</f>
        <v/>
      </c>
    </row>
    <row r="2790" customFormat="false" ht="15" hidden="false" customHeight="true" outlineLevel="0" collapsed="false">
      <c r="A2790" s="68"/>
      <c r="B2790" s="68"/>
      <c r="C2790" s="68"/>
      <c r="D2790" s="68"/>
      <c r="E2790" s="68"/>
      <c r="F2790" s="68"/>
      <c r="G2790" s="68"/>
      <c r="H2790" s="64" t="str">
        <f aca="false">IF(OR(A2790="",B2790=""),"",CONCATENATE("https://matarstund.is/serfaedi?id=",LOWER(SUBSTITUTE(B2790," ","-"))))</f>
        <v/>
      </c>
    </row>
    <row r="2791" customFormat="false" ht="15" hidden="false" customHeight="true" outlineLevel="0" collapsed="false">
      <c r="A2791" s="9"/>
      <c r="B2791" s="9"/>
      <c r="C2791" s="9"/>
      <c r="D2791" s="9"/>
      <c r="E2791" s="9"/>
      <c r="F2791" s="9"/>
      <c r="G2791" s="9"/>
      <c r="H2791" s="64" t="str">
        <f aca="false">IF(OR(A2791="",B2791=""),"",CONCATENATE("https://matarstund.is/serfaedi?id=",LOWER(SUBSTITUTE(B2791," ","-"))))</f>
        <v/>
      </c>
    </row>
    <row r="2792" customFormat="false" ht="15" hidden="false" customHeight="true" outlineLevel="0" collapsed="false">
      <c r="A2792" s="68"/>
      <c r="B2792" s="68"/>
      <c r="C2792" s="68"/>
      <c r="D2792" s="68"/>
      <c r="E2792" s="68"/>
      <c r="F2792" s="68"/>
      <c r="G2792" s="68"/>
      <c r="H2792" s="64" t="str">
        <f aca="false">IF(OR(A2792="",B2792=""),"",CONCATENATE("https://matarstund.is/serfaedi?id=",LOWER(SUBSTITUTE(B2792," ","-"))))</f>
        <v/>
      </c>
    </row>
    <row r="2793" customFormat="false" ht="15" hidden="false" customHeight="true" outlineLevel="0" collapsed="false">
      <c r="A2793" s="9"/>
      <c r="B2793" s="9"/>
      <c r="C2793" s="9"/>
      <c r="D2793" s="9"/>
      <c r="E2793" s="9"/>
      <c r="F2793" s="9"/>
      <c r="G2793" s="9"/>
      <c r="H2793" s="64" t="str">
        <f aca="false">IF(OR(A2793="",B2793=""),"",CONCATENATE("https://matarstund.is/serfaedi?id=",LOWER(SUBSTITUTE(B2793," ","-"))))</f>
        <v/>
      </c>
    </row>
    <row r="2794" customFormat="false" ht="15" hidden="false" customHeight="true" outlineLevel="0" collapsed="false">
      <c r="A2794" s="68"/>
      <c r="B2794" s="68"/>
      <c r="C2794" s="68"/>
      <c r="D2794" s="68"/>
      <c r="E2794" s="68"/>
      <c r="F2794" s="68"/>
      <c r="G2794" s="68"/>
      <c r="H2794" s="64" t="str">
        <f aca="false">IF(OR(A2794="",B2794=""),"",CONCATENATE("https://matarstund.is/serfaedi?id=",LOWER(SUBSTITUTE(B2794," ","-"))))</f>
        <v/>
      </c>
    </row>
    <row r="2795" customFormat="false" ht="15" hidden="false" customHeight="true" outlineLevel="0" collapsed="false">
      <c r="A2795" s="9"/>
      <c r="B2795" s="9"/>
      <c r="C2795" s="9"/>
      <c r="D2795" s="9"/>
      <c r="E2795" s="9"/>
      <c r="F2795" s="9"/>
      <c r="G2795" s="9"/>
      <c r="H2795" s="64" t="str">
        <f aca="false">IF(OR(A2795="",B2795=""),"",CONCATENATE("https://matarstund.is/serfaedi?id=",LOWER(SUBSTITUTE(B2795," ","-"))))</f>
        <v/>
      </c>
    </row>
    <row r="2796" customFormat="false" ht="15" hidden="false" customHeight="true" outlineLevel="0" collapsed="false">
      <c r="A2796" s="68"/>
      <c r="B2796" s="68"/>
      <c r="C2796" s="68"/>
      <c r="D2796" s="68"/>
      <c r="E2796" s="68"/>
      <c r="F2796" s="68"/>
      <c r="G2796" s="68"/>
      <c r="H2796" s="64" t="str">
        <f aca="false">IF(OR(A2796="",B2796=""),"",CONCATENATE("https://matarstund.is/serfaedi?id=",LOWER(SUBSTITUTE(B2796," ","-"))))</f>
        <v/>
      </c>
    </row>
    <row r="2797" customFormat="false" ht="15" hidden="false" customHeight="true" outlineLevel="0" collapsed="false">
      <c r="A2797" s="9"/>
      <c r="B2797" s="9"/>
      <c r="C2797" s="9"/>
      <c r="D2797" s="9"/>
      <c r="E2797" s="9"/>
      <c r="F2797" s="9"/>
      <c r="G2797" s="9"/>
      <c r="H2797" s="64" t="str">
        <f aca="false">IF(OR(A2797="",B2797=""),"",CONCATENATE("https://matarstund.is/serfaedi?id=",LOWER(SUBSTITUTE(B2797," ","-"))))</f>
        <v/>
      </c>
    </row>
    <row r="2798" customFormat="false" ht="15" hidden="false" customHeight="true" outlineLevel="0" collapsed="false">
      <c r="A2798" s="68"/>
      <c r="B2798" s="68"/>
      <c r="C2798" s="68"/>
      <c r="D2798" s="68"/>
      <c r="E2798" s="68"/>
      <c r="F2798" s="68"/>
      <c r="G2798" s="68"/>
      <c r="H2798" s="64" t="str">
        <f aca="false">IF(OR(A2798="",B2798=""),"",CONCATENATE("https://matarstund.is/serfaedi?id=",LOWER(SUBSTITUTE(B2798," ","-"))))</f>
        <v/>
      </c>
    </row>
    <row r="2799" customFormat="false" ht="15" hidden="false" customHeight="true" outlineLevel="0" collapsed="false">
      <c r="A2799" s="9"/>
      <c r="B2799" s="9"/>
      <c r="C2799" s="9"/>
      <c r="D2799" s="9"/>
      <c r="E2799" s="9"/>
      <c r="F2799" s="9"/>
      <c r="G2799" s="9"/>
      <c r="H2799" s="64" t="str">
        <f aca="false">IF(OR(A2799="",B2799=""),"",CONCATENATE("https://matarstund.is/serfaedi?id=",LOWER(SUBSTITUTE(B2799," ","-"))))</f>
        <v/>
      </c>
    </row>
    <row r="2800" customFormat="false" ht="15" hidden="false" customHeight="true" outlineLevel="0" collapsed="false">
      <c r="A2800" s="68"/>
      <c r="B2800" s="68"/>
      <c r="C2800" s="68"/>
      <c r="D2800" s="68"/>
      <c r="E2800" s="68"/>
      <c r="F2800" s="68"/>
      <c r="G2800" s="68"/>
      <c r="H2800" s="64" t="str">
        <f aca="false">IF(OR(A2800="",B2800=""),"",CONCATENATE("https://matarstund.is/serfaedi?id=",LOWER(SUBSTITUTE(B2800," ","-"))))</f>
        <v/>
      </c>
    </row>
    <row r="2801" customFormat="false" ht="15" hidden="false" customHeight="true" outlineLevel="0" collapsed="false">
      <c r="A2801" s="9"/>
      <c r="B2801" s="9"/>
      <c r="C2801" s="9"/>
      <c r="D2801" s="9"/>
      <c r="E2801" s="9"/>
      <c r="F2801" s="9"/>
      <c r="G2801" s="9"/>
      <c r="H2801" s="64" t="str">
        <f aca="false">IF(OR(A2801="",B2801=""),"",CONCATENATE("https://matarstund.is/serfaedi?id=",LOWER(SUBSTITUTE(B2801," ","-"))))</f>
        <v/>
      </c>
    </row>
    <row r="2802" customFormat="false" ht="15" hidden="false" customHeight="true" outlineLevel="0" collapsed="false">
      <c r="A2802" s="68"/>
      <c r="B2802" s="68"/>
      <c r="C2802" s="68"/>
      <c r="D2802" s="68"/>
      <c r="E2802" s="68"/>
      <c r="F2802" s="68"/>
      <c r="G2802" s="68"/>
      <c r="H2802" s="64" t="str">
        <f aca="false">IF(OR(A2802="",B2802=""),"",CONCATENATE("https://matarstund.is/serfaedi?id=",LOWER(SUBSTITUTE(B2802," ","-"))))</f>
        <v/>
      </c>
    </row>
    <row r="2803" customFormat="false" ht="15" hidden="false" customHeight="true" outlineLevel="0" collapsed="false">
      <c r="A2803" s="9"/>
      <c r="B2803" s="9"/>
      <c r="C2803" s="9"/>
      <c r="D2803" s="9"/>
      <c r="E2803" s="9"/>
      <c r="F2803" s="9"/>
      <c r="G2803" s="9"/>
      <c r="H2803" s="64" t="str">
        <f aca="false">IF(OR(A2803="",B2803=""),"",CONCATENATE("https://matarstund.is/serfaedi?id=",LOWER(SUBSTITUTE(B2803," ","-"))))</f>
        <v/>
      </c>
    </row>
    <row r="2804" customFormat="false" ht="15" hidden="false" customHeight="true" outlineLevel="0" collapsed="false">
      <c r="A2804" s="68"/>
      <c r="B2804" s="68"/>
      <c r="C2804" s="68"/>
      <c r="D2804" s="68"/>
      <c r="E2804" s="68"/>
      <c r="F2804" s="68"/>
      <c r="G2804" s="68"/>
      <c r="H2804" s="64" t="str">
        <f aca="false">IF(OR(A2804="",B2804=""),"",CONCATENATE("https://matarstund.is/serfaedi?id=",LOWER(SUBSTITUTE(B2804," ","-"))))</f>
        <v/>
      </c>
    </row>
    <row r="2805" customFormat="false" ht="15" hidden="false" customHeight="true" outlineLevel="0" collapsed="false">
      <c r="A2805" s="9"/>
      <c r="B2805" s="9"/>
      <c r="C2805" s="9"/>
      <c r="D2805" s="9"/>
      <c r="E2805" s="9"/>
      <c r="F2805" s="9"/>
      <c r="G2805" s="9"/>
      <c r="H2805" s="64" t="str">
        <f aca="false">IF(OR(A2805="",B2805=""),"",CONCATENATE("https://matarstund.is/serfaedi?id=",LOWER(SUBSTITUTE(B2805," ","-"))))</f>
        <v/>
      </c>
    </row>
    <row r="2806" customFormat="false" ht="15" hidden="false" customHeight="true" outlineLevel="0" collapsed="false">
      <c r="A2806" s="68"/>
      <c r="B2806" s="68"/>
      <c r="C2806" s="68"/>
      <c r="D2806" s="68"/>
      <c r="E2806" s="68"/>
      <c r="F2806" s="68"/>
      <c r="G2806" s="68"/>
      <c r="H2806" s="64" t="str">
        <f aca="false">IF(OR(A2806="",B2806=""),"",CONCATENATE("https://matarstund.is/serfaedi?id=",LOWER(SUBSTITUTE(B2806," ","-"))))</f>
        <v/>
      </c>
    </row>
    <row r="2807" customFormat="false" ht="15" hidden="false" customHeight="true" outlineLevel="0" collapsed="false">
      <c r="A2807" s="9"/>
      <c r="B2807" s="9"/>
      <c r="C2807" s="9"/>
      <c r="D2807" s="9"/>
      <c r="E2807" s="9"/>
      <c r="F2807" s="9"/>
      <c r="G2807" s="9"/>
      <c r="H2807" s="64" t="str">
        <f aca="false">IF(OR(A2807="",B2807=""),"",CONCATENATE("https://matarstund.is/serfaedi?id=",LOWER(SUBSTITUTE(B2807," ","-"))))</f>
        <v/>
      </c>
    </row>
    <row r="2808" customFormat="false" ht="15" hidden="false" customHeight="true" outlineLevel="0" collapsed="false">
      <c r="A2808" s="68"/>
      <c r="B2808" s="68"/>
      <c r="C2808" s="68"/>
      <c r="D2808" s="68"/>
      <c r="E2808" s="68"/>
      <c r="F2808" s="68"/>
      <c r="G2808" s="68"/>
      <c r="H2808" s="64" t="str">
        <f aca="false">IF(OR(A2808="",B2808=""),"",CONCATENATE("https://matarstund.is/serfaedi?id=",LOWER(SUBSTITUTE(B2808," ","-"))))</f>
        <v/>
      </c>
    </row>
    <row r="2809" customFormat="false" ht="15" hidden="false" customHeight="true" outlineLevel="0" collapsed="false">
      <c r="A2809" s="9"/>
      <c r="B2809" s="9"/>
      <c r="C2809" s="9"/>
      <c r="D2809" s="9"/>
      <c r="E2809" s="9"/>
      <c r="F2809" s="9"/>
      <c r="G2809" s="9"/>
      <c r="H2809" s="64" t="str">
        <f aca="false">IF(OR(A2809="",B2809=""),"",CONCATENATE("https://matarstund.is/serfaedi?id=",LOWER(SUBSTITUTE(B2809," ","-"))))</f>
        <v/>
      </c>
    </row>
    <row r="2810" customFormat="false" ht="15" hidden="false" customHeight="true" outlineLevel="0" collapsed="false">
      <c r="A2810" s="68"/>
      <c r="B2810" s="68"/>
      <c r="C2810" s="68"/>
      <c r="D2810" s="68"/>
      <c r="E2810" s="68"/>
      <c r="F2810" s="68"/>
      <c r="G2810" s="68"/>
      <c r="H2810" s="64" t="str">
        <f aca="false">IF(OR(A2810="",B2810=""),"",CONCATENATE("https://matarstund.is/serfaedi?id=",LOWER(SUBSTITUTE(B2810," ","-"))))</f>
        <v/>
      </c>
    </row>
    <row r="2811" customFormat="false" ht="15" hidden="false" customHeight="true" outlineLevel="0" collapsed="false">
      <c r="A2811" s="9"/>
      <c r="B2811" s="9"/>
      <c r="C2811" s="9"/>
      <c r="D2811" s="9"/>
      <c r="E2811" s="9"/>
      <c r="F2811" s="9"/>
      <c r="G2811" s="9"/>
      <c r="H2811" s="64" t="str">
        <f aca="false">IF(OR(A2811="",B2811=""),"",CONCATENATE("https://matarstund.is/serfaedi?id=",LOWER(SUBSTITUTE(B2811," ","-"))))</f>
        <v/>
      </c>
    </row>
    <row r="2812" customFormat="false" ht="15" hidden="false" customHeight="true" outlineLevel="0" collapsed="false">
      <c r="A2812" s="68"/>
      <c r="B2812" s="68"/>
      <c r="C2812" s="68"/>
      <c r="D2812" s="68"/>
      <c r="E2812" s="68"/>
      <c r="F2812" s="68"/>
      <c r="G2812" s="68"/>
      <c r="H2812" s="64" t="str">
        <f aca="false">IF(OR(A2812="",B2812=""),"",CONCATENATE("https://matarstund.is/serfaedi?id=",LOWER(SUBSTITUTE(B2812," ","-"))))</f>
        <v/>
      </c>
    </row>
    <row r="2813" customFormat="false" ht="15" hidden="false" customHeight="true" outlineLevel="0" collapsed="false">
      <c r="A2813" s="9"/>
      <c r="B2813" s="9"/>
      <c r="C2813" s="9"/>
      <c r="D2813" s="9"/>
      <c r="E2813" s="9"/>
      <c r="F2813" s="9"/>
      <c r="G2813" s="9"/>
      <c r="H2813" s="64" t="str">
        <f aca="false">IF(OR(A2813="",B2813=""),"",CONCATENATE("https://matarstund.is/serfaedi?id=",LOWER(SUBSTITUTE(B2813," ","-"))))</f>
        <v/>
      </c>
    </row>
    <row r="2814" customFormat="false" ht="15" hidden="false" customHeight="true" outlineLevel="0" collapsed="false">
      <c r="A2814" s="68"/>
      <c r="B2814" s="68"/>
      <c r="C2814" s="68"/>
      <c r="D2814" s="68"/>
      <c r="E2814" s="68"/>
      <c r="F2814" s="68"/>
      <c r="G2814" s="68"/>
      <c r="H2814" s="64" t="str">
        <f aca="false">IF(OR(A2814="",B2814=""),"",CONCATENATE("https://matarstund.is/serfaedi?id=",LOWER(SUBSTITUTE(B2814," ","-"))))</f>
        <v/>
      </c>
    </row>
    <row r="2815" customFormat="false" ht="15" hidden="false" customHeight="true" outlineLevel="0" collapsed="false">
      <c r="A2815" s="9"/>
      <c r="B2815" s="9"/>
      <c r="C2815" s="9"/>
      <c r="D2815" s="9"/>
      <c r="E2815" s="9"/>
      <c r="F2815" s="9"/>
      <c r="G2815" s="9"/>
      <c r="H2815" s="64" t="str">
        <f aca="false">IF(OR(A2815="",B2815=""),"",CONCATENATE("https://matarstund.is/serfaedi?id=",LOWER(SUBSTITUTE(B2815," ","-"))))</f>
        <v/>
      </c>
    </row>
    <row r="2816" customFormat="false" ht="15" hidden="false" customHeight="true" outlineLevel="0" collapsed="false">
      <c r="A2816" s="68"/>
      <c r="B2816" s="68"/>
      <c r="C2816" s="68"/>
      <c r="D2816" s="68"/>
      <c r="E2816" s="68"/>
      <c r="F2816" s="68"/>
      <c r="G2816" s="68"/>
      <c r="H2816" s="64" t="str">
        <f aca="false">IF(OR(A2816="",B2816=""),"",CONCATENATE("https://matarstund.is/serfaedi?id=",LOWER(SUBSTITUTE(B2816," ","-"))))</f>
        <v/>
      </c>
    </row>
    <row r="2817" customFormat="false" ht="15" hidden="false" customHeight="true" outlineLevel="0" collapsed="false">
      <c r="A2817" s="9"/>
      <c r="B2817" s="9"/>
      <c r="C2817" s="9"/>
      <c r="D2817" s="9"/>
      <c r="E2817" s="9"/>
      <c r="F2817" s="9"/>
      <c r="G2817" s="9"/>
      <c r="H2817" s="64" t="str">
        <f aca="false">IF(OR(A2817="",B2817=""),"",CONCATENATE("https://matarstund.is/serfaedi?id=",LOWER(SUBSTITUTE(B2817," ","-"))))</f>
        <v/>
      </c>
    </row>
    <row r="2818" customFormat="false" ht="15" hidden="false" customHeight="true" outlineLevel="0" collapsed="false">
      <c r="A2818" s="68"/>
      <c r="B2818" s="68"/>
      <c r="C2818" s="68"/>
      <c r="D2818" s="68"/>
      <c r="E2818" s="68"/>
      <c r="F2818" s="68"/>
      <c r="G2818" s="68"/>
      <c r="H2818" s="64" t="str">
        <f aca="false">IF(OR(A2818="",B2818=""),"",CONCATENATE("https://matarstund.is/serfaedi?id=",LOWER(SUBSTITUTE(B2818," ","-"))))</f>
        <v/>
      </c>
    </row>
    <row r="2819" customFormat="false" ht="15" hidden="false" customHeight="true" outlineLevel="0" collapsed="false">
      <c r="A2819" s="9"/>
      <c r="B2819" s="9"/>
      <c r="C2819" s="9"/>
      <c r="D2819" s="9"/>
      <c r="E2819" s="9"/>
      <c r="F2819" s="9"/>
      <c r="G2819" s="9"/>
      <c r="H2819" s="64" t="str">
        <f aca="false">IF(OR(A2819="",B2819=""),"",CONCATENATE("https://matarstund.is/serfaedi?id=",LOWER(SUBSTITUTE(B2819," ","-"))))</f>
        <v/>
      </c>
    </row>
    <row r="2820" customFormat="false" ht="15" hidden="false" customHeight="true" outlineLevel="0" collapsed="false">
      <c r="A2820" s="68"/>
      <c r="B2820" s="68"/>
      <c r="C2820" s="68"/>
      <c r="D2820" s="68"/>
      <c r="E2820" s="68"/>
      <c r="F2820" s="68"/>
      <c r="G2820" s="68"/>
      <c r="H2820" s="64" t="str">
        <f aca="false">IF(OR(A2820="",B2820=""),"",CONCATENATE("https://matarstund.is/serfaedi?id=",LOWER(SUBSTITUTE(B2820," ","-"))))</f>
        <v/>
      </c>
    </row>
    <row r="2821" customFormat="false" ht="15" hidden="false" customHeight="true" outlineLevel="0" collapsed="false">
      <c r="A2821" s="9"/>
      <c r="B2821" s="9"/>
      <c r="C2821" s="9"/>
      <c r="D2821" s="9"/>
      <c r="E2821" s="9"/>
      <c r="F2821" s="9"/>
      <c r="G2821" s="9"/>
      <c r="H2821" s="64" t="str">
        <f aca="false">IF(OR(A2821="",B2821=""),"",CONCATENATE("https://matarstund.is/serfaedi?id=",LOWER(SUBSTITUTE(B2821," ","-"))))</f>
        <v/>
      </c>
    </row>
    <row r="2822" customFormat="false" ht="15" hidden="false" customHeight="true" outlineLevel="0" collapsed="false">
      <c r="A2822" s="68"/>
      <c r="B2822" s="68"/>
      <c r="C2822" s="68"/>
      <c r="D2822" s="68"/>
      <c r="E2822" s="68"/>
      <c r="F2822" s="68"/>
      <c r="G2822" s="68"/>
      <c r="H2822" s="64" t="str">
        <f aca="false">IF(OR(A2822="",B2822=""),"",CONCATENATE("https://matarstund.is/serfaedi?id=",LOWER(SUBSTITUTE(B2822," ","-"))))</f>
        <v/>
      </c>
    </row>
    <row r="2823" customFormat="false" ht="15" hidden="false" customHeight="true" outlineLevel="0" collapsed="false">
      <c r="A2823" s="9"/>
      <c r="B2823" s="9"/>
      <c r="C2823" s="9"/>
      <c r="D2823" s="9"/>
      <c r="E2823" s="9"/>
      <c r="F2823" s="9"/>
      <c r="G2823" s="9"/>
      <c r="H2823" s="64" t="str">
        <f aca="false">IF(OR(A2823="",B2823=""),"",CONCATENATE("https://matarstund.is/serfaedi?id=",LOWER(SUBSTITUTE(B2823," ","-"))))</f>
        <v/>
      </c>
    </row>
    <row r="2824" customFormat="false" ht="15" hidden="false" customHeight="true" outlineLevel="0" collapsed="false">
      <c r="A2824" s="68"/>
      <c r="B2824" s="68"/>
      <c r="C2824" s="68"/>
      <c r="D2824" s="68"/>
      <c r="E2824" s="68"/>
      <c r="F2824" s="68"/>
      <c r="G2824" s="68"/>
      <c r="H2824" s="64" t="str">
        <f aca="false">IF(OR(A2824="",B2824=""),"",CONCATENATE("https://matarstund.is/serfaedi?id=",LOWER(SUBSTITUTE(B2824," ","-"))))</f>
        <v/>
      </c>
    </row>
    <row r="2825" customFormat="false" ht="15" hidden="false" customHeight="true" outlineLevel="0" collapsed="false">
      <c r="A2825" s="9"/>
      <c r="B2825" s="9"/>
      <c r="C2825" s="9"/>
      <c r="D2825" s="9"/>
      <c r="E2825" s="9"/>
      <c r="F2825" s="9"/>
      <c r="G2825" s="9"/>
      <c r="H2825" s="64" t="str">
        <f aca="false">IF(OR(A2825="",B2825=""),"",CONCATENATE("https://matarstund.is/serfaedi?id=",LOWER(SUBSTITUTE(B2825," ","-"))))</f>
        <v/>
      </c>
    </row>
    <row r="2826" customFormat="false" ht="15" hidden="false" customHeight="true" outlineLevel="0" collapsed="false">
      <c r="A2826" s="68"/>
      <c r="B2826" s="68"/>
      <c r="C2826" s="68"/>
      <c r="D2826" s="68"/>
      <c r="E2826" s="68"/>
      <c r="F2826" s="68"/>
      <c r="G2826" s="68"/>
      <c r="H2826" s="64" t="str">
        <f aca="false">IF(OR(A2826="",B2826=""),"",CONCATENATE("https://matarstund.is/serfaedi?id=",LOWER(SUBSTITUTE(B2826," ","-"))))</f>
        <v/>
      </c>
    </row>
    <row r="2827" customFormat="false" ht="15" hidden="false" customHeight="true" outlineLevel="0" collapsed="false">
      <c r="A2827" s="9"/>
      <c r="B2827" s="9"/>
      <c r="C2827" s="9"/>
      <c r="D2827" s="9"/>
      <c r="E2827" s="9"/>
      <c r="F2827" s="9"/>
      <c r="G2827" s="9"/>
      <c r="H2827" s="64" t="str">
        <f aca="false">IF(OR(A2827="",B2827=""),"",CONCATENATE("https://matarstund.is/serfaedi?id=",LOWER(SUBSTITUTE(B2827," ","-"))))</f>
        <v/>
      </c>
    </row>
    <row r="2828" customFormat="false" ht="15" hidden="false" customHeight="true" outlineLevel="0" collapsed="false">
      <c r="A2828" s="68"/>
      <c r="B2828" s="68"/>
      <c r="C2828" s="68"/>
      <c r="D2828" s="68"/>
      <c r="E2828" s="68"/>
      <c r="F2828" s="68"/>
      <c r="G2828" s="68"/>
      <c r="H2828" s="64" t="str">
        <f aca="false">IF(OR(A2828="",B2828=""),"",CONCATENATE("https://matarstund.is/serfaedi?id=",LOWER(SUBSTITUTE(B2828," ","-"))))</f>
        <v/>
      </c>
    </row>
    <row r="2829" customFormat="false" ht="15" hidden="false" customHeight="true" outlineLevel="0" collapsed="false">
      <c r="A2829" s="9"/>
      <c r="B2829" s="9"/>
      <c r="C2829" s="9"/>
      <c r="D2829" s="9"/>
      <c r="E2829" s="9"/>
      <c r="F2829" s="9"/>
      <c r="G2829" s="9"/>
      <c r="H2829" s="64" t="str">
        <f aca="false">IF(OR(A2829="",B2829=""),"",CONCATENATE("https://matarstund.is/serfaedi?id=",LOWER(SUBSTITUTE(B2829," ","-"))))</f>
        <v/>
      </c>
    </row>
    <row r="2830" customFormat="false" ht="15" hidden="false" customHeight="true" outlineLevel="0" collapsed="false">
      <c r="A2830" s="68"/>
      <c r="B2830" s="68"/>
      <c r="C2830" s="68"/>
      <c r="D2830" s="68"/>
      <c r="E2830" s="68"/>
      <c r="F2830" s="68"/>
      <c r="G2830" s="68"/>
      <c r="H2830" s="64" t="str">
        <f aca="false">IF(OR(A2830="",B2830=""),"",CONCATENATE("https://matarstund.is/serfaedi?id=",LOWER(SUBSTITUTE(B2830," ","-"))))</f>
        <v/>
      </c>
    </row>
    <row r="2831" customFormat="false" ht="15" hidden="false" customHeight="true" outlineLevel="0" collapsed="false">
      <c r="A2831" s="9"/>
      <c r="B2831" s="9"/>
      <c r="C2831" s="9"/>
      <c r="D2831" s="9"/>
      <c r="E2831" s="9"/>
      <c r="F2831" s="9"/>
      <c r="G2831" s="9"/>
      <c r="H2831" s="64" t="str">
        <f aca="false">IF(OR(A2831="",B2831=""),"",CONCATENATE("https://matarstund.is/serfaedi?id=",LOWER(SUBSTITUTE(B2831," ","-"))))</f>
        <v/>
      </c>
    </row>
    <row r="2832" customFormat="false" ht="15" hidden="false" customHeight="true" outlineLevel="0" collapsed="false">
      <c r="A2832" s="68"/>
      <c r="B2832" s="68"/>
      <c r="C2832" s="68"/>
      <c r="D2832" s="68"/>
      <c r="E2832" s="68"/>
      <c r="F2832" s="68"/>
      <c r="G2832" s="68"/>
      <c r="H2832" s="64" t="str">
        <f aca="false">IF(OR(A2832="",B2832=""),"",CONCATENATE("https://matarstund.is/serfaedi?id=",LOWER(SUBSTITUTE(B2832," ","-"))))</f>
        <v/>
      </c>
    </row>
    <row r="2833" customFormat="false" ht="15" hidden="false" customHeight="true" outlineLevel="0" collapsed="false">
      <c r="A2833" s="9"/>
      <c r="B2833" s="9"/>
      <c r="C2833" s="9"/>
      <c r="D2833" s="9"/>
      <c r="E2833" s="9"/>
      <c r="F2833" s="9"/>
      <c r="G2833" s="9"/>
      <c r="H2833" s="64" t="str">
        <f aca="false">IF(OR(A2833="",B2833=""),"",CONCATENATE("https://matarstund.is/serfaedi?id=",LOWER(SUBSTITUTE(B2833," ","-"))))</f>
        <v/>
      </c>
    </row>
    <row r="2834" customFormat="false" ht="15" hidden="false" customHeight="true" outlineLevel="0" collapsed="false">
      <c r="A2834" s="68"/>
      <c r="B2834" s="68"/>
      <c r="C2834" s="68"/>
      <c r="D2834" s="68"/>
      <c r="E2834" s="68"/>
      <c r="F2834" s="68"/>
      <c r="G2834" s="68"/>
      <c r="H2834" s="64" t="str">
        <f aca="false">IF(OR(A2834="",B2834=""),"",CONCATENATE("https://matarstund.is/serfaedi?id=",LOWER(SUBSTITUTE(B2834," ","-"))))</f>
        <v/>
      </c>
    </row>
    <row r="2835" customFormat="false" ht="15" hidden="false" customHeight="true" outlineLevel="0" collapsed="false">
      <c r="A2835" s="9"/>
      <c r="B2835" s="9"/>
      <c r="C2835" s="9"/>
      <c r="D2835" s="9"/>
      <c r="E2835" s="9"/>
      <c r="F2835" s="9"/>
      <c r="G2835" s="9"/>
      <c r="H2835" s="64" t="str">
        <f aca="false">IF(OR(A2835="",B2835=""),"",CONCATENATE("https://matarstund.is/serfaedi?id=",LOWER(SUBSTITUTE(B2835," ","-"))))</f>
        <v/>
      </c>
    </row>
    <row r="2836" customFormat="false" ht="15" hidden="false" customHeight="true" outlineLevel="0" collapsed="false">
      <c r="A2836" s="68"/>
      <c r="B2836" s="68"/>
      <c r="C2836" s="68"/>
      <c r="D2836" s="68"/>
      <c r="E2836" s="68"/>
      <c r="F2836" s="68"/>
      <c r="G2836" s="68"/>
      <c r="H2836" s="64" t="str">
        <f aca="false">IF(OR(A2836="",B2836=""),"",CONCATENATE("https://matarstund.is/serfaedi?id=",LOWER(SUBSTITUTE(B2836," ","-"))))</f>
        <v/>
      </c>
    </row>
    <row r="2837" customFormat="false" ht="15" hidden="false" customHeight="true" outlineLevel="0" collapsed="false">
      <c r="A2837" s="9"/>
      <c r="B2837" s="9"/>
      <c r="C2837" s="9"/>
      <c r="D2837" s="9"/>
      <c r="E2837" s="9"/>
      <c r="F2837" s="9"/>
      <c r="G2837" s="9"/>
      <c r="H2837" s="64" t="str">
        <f aca="false">IF(OR(A2837="",B2837=""),"",CONCATENATE("https://matarstund.is/serfaedi?id=",LOWER(SUBSTITUTE(B2837," ","-"))))</f>
        <v/>
      </c>
    </row>
    <row r="2838" customFormat="false" ht="15" hidden="false" customHeight="true" outlineLevel="0" collapsed="false">
      <c r="A2838" s="68"/>
      <c r="B2838" s="68"/>
      <c r="C2838" s="68"/>
      <c r="D2838" s="68"/>
      <c r="E2838" s="68"/>
      <c r="F2838" s="68"/>
      <c r="G2838" s="68"/>
      <c r="H2838" s="64" t="str">
        <f aca="false">IF(OR(A2838="",B2838=""),"",CONCATENATE("https://matarstund.is/serfaedi?id=",LOWER(SUBSTITUTE(B2838," ","-"))))</f>
        <v/>
      </c>
    </row>
    <row r="2839" customFormat="false" ht="15" hidden="false" customHeight="true" outlineLevel="0" collapsed="false">
      <c r="A2839" s="9"/>
      <c r="B2839" s="9"/>
      <c r="C2839" s="9"/>
      <c r="D2839" s="9"/>
      <c r="E2839" s="9"/>
      <c r="F2839" s="9"/>
      <c r="G2839" s="9"/>
      <c r="H2839" s="64" t="str">
        <f aca="false">IF(OR(A2839="",B2839=""),"",CONCATENATE("https://matarstund.is/serfaedi?id=",LOWER(SUBSTITUTE(B2839," ","-"))))</f>
        <v/>
      </c>
    </row>
    <row r="2840" customFormat="false" ht="15" hidden="false" customHeight="true" outlineLevel="0" collapsed="false">
      <c r="A2840" s="68"/>
      <c r="B2840" s="68"/>
      <c r="C2840" s="68"/>
      <c r="D2840" s="68"/>
      <c r="E2840" s="68"/>
      <c r="F2840" s="68"/>
      <c r="G2840" s="68"/>
      <c r="H2840" s="64" t="str">
        <f aca="false">IF(OR(A2840="",B2840=""),"",CONCATENATE("https://matarstund.is/serfaedi?id=",LOWER(SUBSTITUTE(B2840," ","-"))))</f>
        <v/>
      </c>
    </row>
    <row r="2841" customFormat="false" ht="15" hidden="false" customHeight="true" outlineLevel="0" collapsed="false">
      <c r="A2841" s="9"/>
      <c r="B2841" s="9"/>
      <c r="C2841" s="9"/>
      <c r="D2841" s="9"/>
      <c r="E2841" s="9"/>
      <c r="F2841" s="9"/>
      <c r="G2841" s="9"/>
      <c r="H2841" s="64" t="str">
        <f aca="false">IF(OR(A2841="",B2841=""),"",CONCATENATE("https://matarstund.is/serfaedi?id=",LOWER(SUBSTITUTE(B2841," ","-"))))</f>
        <v/>
      </c>
    </row>
    <row r="2842" customFormat="false" ht="15" hidden="false" customHeight="true" outlineLevel="0" collapsed="false">
      <c r="A2842" s="68"/>
      <c r="B2842" s="68"/>
      <c r="C2842" s="68"/>
      <c r="D2842" s="68"/>
      <c r="E2842" s="68"/>
      <c r="F2842" s="68"/>
      <c r="G2842" s="68"/>
      <c r="H2842" s="64" t="str">
        <f aca="false">IF(OR(A2842="",B2842=""),"",CONCATENATE("https://matarstund.is/serfaedi?id=",LOWER(SUBSTITUTE(B2842," ","-"))))</f>
        <v/>
      </c>
    </row>
    <row r="2843" customFormat="false" ht="15" hidden="false" customHeight="true" outlineLevel="0" collapsed="false">
      <c r="A2843" s="9"/>
      <c r="B2843" s="9"/>
      <c r="C2843" s="9"/>
      <c r="D2843" s="9"/>
      <c r="E2843" s="9"/>
      <c r="F2843" s="9"/>
      <c r="G2843" s="9"/>
      <c r="H2843" s="64" t="str">
        <f aca="false">IF(OR(A2843="",B2843=""),"",CONCATENATE("https://matarstund.is/serfaedi?id=",LOWER(SUBSTITUTE(B2843," ","-"))))</f>
        <v/>
      </c>
    </row>
    <row r="2844" customFormat="false" ht="15" hidden="false" customHeight="true" outlineLevel="0" collapsed="false">
      <c r="A2844" s="68"/>
      <c r="B2844" s="68"/>
      <c r="C2844" s="68"/>
      <c r="D2844" s="68"/>
      <c r="E2844" s="68"/>
      <c r="F2844" s="68"/>
      <c r="G2844" s="68"/>
      <c r="H2844" s="64" t="str">
        <f aca="false">IF(OR(A2844="",B2844=""),"",CONCATENATE("https://matarstund.is/serfaedi?id=",LOWER(SUBSTITUTE(B2844," ","-"))))</f>
        <v/>
      </c>
    </row>
    <row r="2845" customFormat="false" ht="15" hidden="false" customHeight="true" outlineLevel="0" collapsed="false">
      <c r="A2845" s="9"/>
      <c r="B2845" s="9"/>
      <c r="C2845" s="9"/>
      <c r="D2845" s="9"/>
      <c r="E2845" s="9"/>
      <c r="F2845" s="9"/>
      <c r="G2845" s="9"/>
      <c r="H2845" s="64" t="str">
        <f aca="false">IF(OR(A2845="",B2845=""),"",CONCATENATE("https://matarstund.is/serfaedi?id=",LOWER(SUBSTITUTE(B2845," ","-"))))</f>
        <v/>
      </c>
    </row>
    <row r="2846" customFormat="false" ht="15" hidden="false" customHeight="true" outlineLevel="0" collapsed="false">
      <c r="A2846" s="68"/>
      <c r="B2846" s="68"/>
      <c r="C2846" s="68"/>
      <c r="D2846" s="68"/>
      <c r="E2846" s="68"/>
      <c r="F2846" s="68"/>
      <c r="G2846" s="68"/>
      <c r="H2846" s="64" t="str">
        <f aca="false">IF(OR(A2846="",B2846=""),"",CONCATENATE("https://matarstund.is/serfaedi?id=",LOWER(SUBSTITUTE(B2846," ","-"))))</f>
        <v/>
      </c>
    </row>
    <row r="2847" customFormat="false" ht="15" hidden="false" customHeight="true" outlineLevel="0" collapsed="false">
      <c r="A2847" s="9"/>
      <c r="B2847" s="9"/>
      <c r="C2847" s="9"/>
      <c r="D2847" s="9"/>
      <c r="E2847" s="9"/>
      <c r="F2847" s="9"/>
      <c r="G2847" s="9"/>
      <c r="H2847" s="64" t="str">
        <f aca="false">IF(OR(A2847="",B2847=""),"",CONCATENATE("https://matarstund.is/serfaedi?id=",LOWER(SUBSTITUTE(B2847," ","-"))))</f>
        <v/>
      </c>
    </row>
    <row r="2848" customFormat="false" ht="15" hidden="false" customHeight="true" outlineLevel="0" collapsed="false">
      <c r="A2848" s="68"/>
      <c r="B2848" s="68"/>
      <c r="C2848" s="68"/>
      <c r="D2848" s="68"/>
      <c r="E2848" s="68"/>
      <c r="F2848" s="68"/>
      <c r="G2848" s="68"/>
      <c r="H2848" s="64" t="str">
        <f aca="false">IF(OR(A2848="",B2848=""),"",CONCATENATE("https://matarstund.is/serfaedi?id=",LOWER(SUBSTITUTE(B2848," ","-"))))</f>
        <v/>
      </c>
    </row>
    <row r="2849" customFormat="false" ht="15" hidden="false" customHeight="true" outlineLevel="0" collapsed="false">
      <c r="A2849" s="9"/>
      <c r="B2849" s="9"/>
      <c r="C2849" s="9"/>
      <c r="D2849" s="9"/>
      <c r="E2849" s="9"/>
      <c r="F2849" s="9"/>
      <c r="G2849" s="9"/>
      <c r="H2849" s="64" t="str">
        <f aca="false">IF(OR(A2849="",B2849=""),"",CONCATENATE("https://matarstund.is/serfaedi?id=",LOWER(SUBSTITUTE(B2849," ","-"))))</f>
        <v/>
      </c>
    </row>
    <row r="2850" customFormat="false" ht="15" hidden="false" customHeight="true" outlineLevel="0" collapsed="false">
      <c r="A2850" s="68"/>
      <c r="B2850" s="68"/>
      <c r="C2850" s="68"/>
      <c r="D2850" s="68"/>
      <c r="E2850" s="68"/>
      <c r="F2850" s="68"/>
      <c r="G2850" s="68"/>
      <c r="H2850" s="64" t="str">
        <f aca="false">IF(OR(A2850="",B2850=""),"",CONCATENATE("https://matarstund.is/serfaedi?id=",LOWER(SUBSTITUTE(B2850," ","-"))))</f>
        <v/>
      </c>
    </row>
    <row r="2851" customFormat="false" ht="15" hidden="false" customHeight="true" outlineLevel="0" collapsed="false">
      <c r="A2851" s="9"/>
      <c r="B2851" s="9"/>
      <c r="C2851" s="9"/>
      <c r="D2851" s="9"/>
      <c r="E2851" s="9"/>
      <c r="F2851" s="9"/>
      <c r="G2851" s="9"/>
      <c r="H2851" s="64" t="str">
        <f aca="false">IF(OR(A2851="",B2851=""),"",CONCATENATE("https://matarstund.is/serfaedi?id=",LOWER(SUBSTITUTE(B2851," ","-"))))</f>
        <v/>
      </c>
    </row>
    <row r="2852" customFormat="false" ht="15" hidden="false" customHeight="true" outlineLevel="0" collapsed="false">
      <c r="A2852" s="68"/>
      <c r="B2852" s="68"/>
      <c r="C2852" s="68"/>
      <c r="D2852" s="68"/>
      <c r="E2852" s="68"/>
      <c r="F2852" s="68"/>
      <c r="G2852" s="68"/>
      <c r="H2852" s="64" t="str">
        <f aca="false">IF(OR(A2852="",B2852=""),"",CONCATENATE("https://matarstund.is/serfaedi?id=",LOWER(SUBSTITUTE(B2852," ","-"))))</f>
        <v/>
      </c>
    </row>
    <row r="2853" customFormat="false" ht="15" hidden="false" customHeight="true" outlineLevel="0" collapsed="false">
      <c r="A2853" s="9"/>
      <c r="B2853" s="9"/>
      <c r="C2853" s="9"/>
      <c r="D2853" s="9"/>
      <c r="E2853" s="9"/>
      <c r="F2853" s="9"/>
      <c r="G2853" s="9"/>
      <c r="H2853" s="64" t="str">
        <f aca="false">IF(OR(A2853="",B2853=""),"",CONCATENATE("https://matarstund.is/serfaedi?id=",LOWER(SUBSTITUTE(B2853," ","-"))))</f>
        <v/>
      </c>
    </row>
    <row r="2854" customFormat="false" ht="15" hidden="false" customHeight="true" outlineLevel="0" collapsed="false">
      <c r="A2854" s="68"/>
      <c r="B2854" s="68"/>
      <c r="C2854" s="68"/>
      <c r="D2854" s="68"/>
      <c r="E2854" s="68"/>
      <c r="F2854" s="68"/>
      <c r="G2854" s="68"/>
      <c r="H2854" s="64" t="str">
        <f aca="false">IF(OR(A2854="",B2854=""),"",CONCATENATE("https://matarstund.is/serfaedi?id=",LOWER(SUBSTITUTE(B2854," ","-"))))</f>
        <v/>
      </c>
    </row>
    <row r="2855" customFormat="false" ht="15" hidden="false" customHeight="true" outlineLevel="0" collapsed="false">
      <c r="A2855" s="9"/>
      <c r="B2855" s="9"/>
      <c r="C2855" s="9"/>
      <c r="D2855" s="9"/>
      <c r="E2855" s="9"/>
      <c r="F2855" s="9"/>
      <c r="G2855" s="9"/>
      <c r="H2855" s="64" t="str">
        <f aca="false">IF(OR(A2855="",B2855=""),"",CONCATENATE("https://matarstund.is/serfaedi?id=",LOWER(SUBSTITUTE(B2855," ","-"))))</f>
        <v/>
      </c>
    </row>
    <row r="2856" customFormat="false" ht="15" hidden="false" customHeight="true" outlineLevel="0" collapsed="false">
      <c r="A2856" s="68"/>
      <c r="B2856" s="68"/>
      <c r="C2856" s="68"/>
      <c r="D2856" s="68"/>
      <c r="E2856" s="68"/>
      <c r="F2856" s="68"/>
      <c r="G2856" s="68"/>
      <c r="H2856" s="64" t="str">
        <f aca="false">IF(OR(A2856="",B2856=""),"",CONCATENATE("https://matarstund.is/serfaedi?id=",LOWER(SUBSTITUTE(B2856," ","-"))))</f>
        <v/>
      </c>
    </row>
    <row r="2857" customFormat="false" ht="15" hidden="false" customHeight="true" outlineLevel="0" collapsed="false">
      <c r="A2857" s="9"/>
      <c r="B2857" s="9"/>
      <c r="C2857" s="9"/>
      <c r="D2857" s="9"/>
      <c r="E2857" s="9"/>
      <c r="F2857" s="9"/>
      <c r="G2857" s="9"/>
      <c r="H2857" s="64" t="str">
        <f aca="false">IF(OR(A2857="",B2857=""),"",CONCATENATE("https://matarstund.is/serfaedi?id=",LOWER(SUBSTITUTE(B2857," ","-"))))</f>
        <v/>
      </c>
    </row>
    <row r="2858" customFormat="false" ht="15" hidden="false" customHeight="true" outlineLevel="0" collapsed="false">
      <c r="A2858" s="68"/>
      <c r="B2858" s="68"/>
      <c r="C2858" s="68"/>
      <c r="D2858" s="68"/>
      <c r="E2858" s="68"/>
      <c r="F2858" s="68"/>
      <c r="G2858" s="68"/>
      <c r="H2858" s="64" t="str">
        <f aca="false">IF(OR(A2858="",B2858=""),"",CONCATENATE("https://matarstund.is/serfaedi?id=",LOWER(SUBSTITUTE(B2858," ","-"))))</f>
        <v/>
      </c>
    </row>
    <row r="2859" customFormat="false" ht="15" hidden="false" customHeight="true" outlineLevel="0" collapsed="false">
      <c r="A2859" s="9"/>
      <c r="B2859" s="9"/>
      <c r="C2859" s="9"/>
      <c r="D2859" s="9"/>
      <c r="E2859" s="9"/>
      <c r="F2859" s="9"/>
      <c r="G2859" s="9"/>
      <c r="H2859" s="64" t="str">
        <f aca="false">IF(OR(A2859="",B2859=""),"",CONCATENATE("https://matarstund.is/serfaedi?id=",LOWER(SUBSTITUTE(B2859," ","-"))))</f>
        <v/>
      </c>
    </row>
    <row r="2860" customFormat="false" ht="15" hidden="false" customHeight="true" outlineLevel="0" collapsed="false">
      <c r="A2860" s="68"/>
      <c r="B2860" s="68"/>
      <c r="C2860" s="68"/>
      <c r="D2860" s="68"/>
      <c r="E2860" s="68"/>
      <c r="F2860" s="68"/>
      <c r="G2860" s="68"/>
      <c r="H2860" s="64" t="str">
        <f aca="false">IF(OR(A2860="",B2860=""),"",CONCATENATE("https://matarstund.is/serfaedi?id=",LOWER(SUBSTITUTE(B2860," ","-"))))</f>
        <v/>
      </c>
    </row>
    <row r="2861" customFormat="false" ht="15" hidden="false" customHeight="true" outlineLevel="0" collapsed="false">
      <c r="A2861" s="9"/>
      <c r="B2861" s="9"/>
      <c r="C2861" s="9"/>
      <c r="D2861" s="9"/>
      <c r="E2861" s="9"/>
      <c r="F2861" s="9"/>
      <c r="G2861" s="9"/>
      <c r="H2861" s="64" t="str">
        <f aca="false">IF(OR(A2861="",B2861=""),"",CONCATENATE("https://matarstund.is/serfaedi?id=",LOWER(SUBSTITUTE(B2861," ","-"))))</f>
        <v/>
      </c>
    </row>
    <row r="2862" customFormat="false" ht="15" hidden="false" customHeight="true" outlineLevel="0" collapsed="false">
      <c r="A2862" s="68"/>
      <c r="B2862" s="68"/>
      <c r="C2862" s="68"/>
      <c r="D2862" s="68"/>
      <c r="E2862" s="68"/>
      <c r="F2862" s="68"/>
      <c r="G2862" s="68"/>
      <c r="H2862" s="64" t="str">
        <f aca="false">IF(OR(A2862="",B2862=""),"",CONCATENATE("https://matarstund.is/serfaedi?id=",LOWER(SUBSTITUTE(B2862," ","-"))))</f>
        <v/>
      </c>
    </row>
    <row r="2863" customFormat="false" ht="15" hidden="false" customHeight="true" outlineLevel="0" collapsed="false">
      <c r="A2863" s="9"/>
      <c r="B2863" s="9"/>
      <c r="C2863" s="9"/>
      <c r="D2863" s="9"/>
      <c r="E2863" s="9"/>
      <c r="F2863" s="9"/>
      <c r="G2863" s="9"/>
      <c r="H2863" s="64" t="str">
        <f aca="false">IF(OR(A2863="",B2863=""),"",CONCATENATE("https://matarstund.is/serfaedi?id=",LOWER(SUBSTITUTE(B2863," ","-"))))</f>
        <v/>
      </c>
    </row>
    <row r="2864" customFormat="false" ht="15" hidden="false" customHeight="true" outlineLevel="0" collapsed="false">
      <c r="A2864" s="68"/>
      <c r="B2864" s="68"/>
      <c r="C2864" s="68"/>
      <c r="D2864" s="68"/>
      <c r="E2864" s="68"/>
      <c r="F2864" s="68"/>
      <c r="G2864" s="68"/>
      <c r="H2864" s="64" t="str">
        <f aca="false">IF(OR(A2864="",B2864=""),"",CONCATENATE("https://matarstund.is/serfaedi?id=",LOWER(SUBSTITUTE(B2864," ","-"))))</f>
        <v/>
      </c>
    </row>
    <row r="2865" customFormat="false" ht="15" hidden="false" customHeight="true" outlineLevel="0" collapsed="false">
      <c r="A2865" s="9"/>
      <c r="B2865" s="9"/>
      <c r="C2865" s="9"/>
      <c r="D2865" s="9"/>
      <c r="E2865" s="9"/>
      <c r="F2865" s="9"/>
      <c r="G2865" s="9"/>
      <c r="H2865" s="64" t="str">
        <f aca="false">IF(OR(A2865="",B2865=""),"",CONCATENATE("https://matarstund.is/serfaedi?id=",LOWER(SUBSTITUTE(B2865," ","-"))))</f>
        <v/>
      </c>
    </row>
    <row r="2866" customFormat="false" ht="15" hidden="false" customHeight="true" outlineLevel="0" collapsed="false">
      <c r="A2866" s="68"/>
      <c r="B2866" s="68"/>
      <c r="C2866" s="68"/>
      <c r="D2866" s="68"/>
      <c r="E2866" s="68"/>
      <c r="F2866" s="68"/>
      <c r="G2866" s="68"/>
      <c r="H2866" s="64" t="str">
        <f aca="false">IF(OR(A2866="",B2866=""),"",CONCATENATE("https://matarstund.is/serfaedi?id=",LOWER(SUBSTITUTE(B2866," ","-"))))</f>
        <v/>
      </c>
    </row>
    <row r="2867" customFormat="false" ht="15" hidden="false" customHeight="true" outlineLevel="0" collapsed="false">
      <c r="A2867" s="9"/>
      <c r="B2867" s="9"/>
      <c r="C2867" s="9"/>
      <c r="D2867" s="9"/>
      <c r="E2867" s="9"/>
      <c r="F2867" s="9"/>
      <c r="G2867" s="9"/>
      <c r="H2867" s="64" t="str">
        <f aca="false">IF(OR(A2867="",B2867=""),"",CONCATENATE("https://matarstund.is/serfaedi?id=",LOWER(SUBSTITUTE(B2867," ","-"))))</f>
        <v/>
      </c>
    </row>
    <row r="2868" customFormat="false" ht="15" hidden="false" customHeight="true" outlineLevel="0" collapsed="false">
      <c r="A2868" s="68"/>
      <c r="B2868" s="68"/>
      <c r="C2868" s="68"/>
      <c r="D2868" s="68"/>
      <c r="E2868" s="68"/>
      <c r="F2868" s="68"/>
      <c r="G2868" s="68"/>
      <c r="H2868" s="64" t="str">
        <f aca="false">IF(OR(A2868="",B2868=""),"",CONCATENATE("https://matarstund.is/serfaedi?id=",LOWER(SUBSTITUTE(B2868," ","-"))))</f>
        <v/>
      </c>
    </row>
    <row r="2869" customFormat="false" ht="15" hidden="false" customHeight="true" outlineLevel="0" collapsed="false">
      <c r="A2869" s="9"/>
      <c r="B2869" s="9"/>
      <c r="C2869" s="9"/>
      <c r="D2869" s="9"/>
      <c r="E2869" s="9"/>
      <c r="F2869" s="9"/>
      <c r="G2869" s="9"/>
      <c r="H2869" s="64" t="str">
        <f aca="false">IF(OR(A2869="",B2869=""),"",CONCATENATE("https://matarstund.is/serfaedi?id=",LOWER(SUBSTITUTE(B2869," ","-"))))</f>
        <v/>
      </c>
    </row>
    <row r="2870" customFormat="false" ht="15" hidden="false" customHeight="true" outlineLevel="0" collapsed="false">
      <c r="A2870" s="68"/>
      <c r="B2870" s="68"/>
      <c r="C2870" s="68"/>
      <c r="D2870" s="68"/>
      <c r="E2870" s="68"/>
      <c r="F2870" s="68"/>
      <c r="G2870" s="68"/>
      <c r="H2870" s="64" t="str">
        <f aca="false">IF(OR(A2870="",B2870=""),"",CONCATENATE("https://matarstund.is/serfaedi?id=",LOWER(SUBSTITUTE(B2870," ","-"))))</f>
        <v/>
      </c>
    </row>
    <row r="2871" customFormat="false" ht="15" hidden="false" customHeight="true" outlineLevel="0" collapsed="false">
      <c r="A2871" s="9"/>
      <c r="B2871" s="9"/>
      <c r="C2871" s="9"/>
      <c r="D2871" s="9"/>
      <c r="E2871" s="9"/>
      <c r="F2871" s="9"/>
      <c r="G2871" s="9"/>
      <c r="H2871" s="64" t="str">
        <f aca="false">IF(OR(A2871="",B2871=""),"",CONCATENATE("https://matarstund.is/serfaedi?id=",LOWER(SUBSTITUTE(B2871," ","-"))))</f>
        <v/>
      </c>
    </row>
    <row r="2872" customFormat="false" ht="15" hidden="false" customHeight="true" outlineLevel="0" collapsed="false">
      <c r="A2872" s="68"/>
      <c r="B2872" s="68"/>
      <c r="C2872" s="68"/>
      <c r="D2872" s="68"/>
      <c r="E2872" s="68"/>
      <c r="F2872" s="68"/>
      <c r="G2872" s="68"/>
      <c r="H2872" s="64" t="str">
        <f aca="false">IF(OR(A2872="",B2872=""),"",CONCATENATE("https://matarstund.is/serfaedi?id=",LOWER(SUBSTITUTE(B2872," ","-"))))</f>
        <v/>
      </c>
    </row>
    <row r="2873" customFormat="false" ht="15" hidden="false" customHeight="true" outlineLevel="0" collapsed="false">
      <c r="A2873" s="9"/>
      <c r="B2873" s="9"/>
      <c r="C2873" s="9"/>
      <c r="D2873" s="9"/>
      <c r="E2873" s="9"/>
      <c r="F2873" s="9"/>
      <c r="G2873" s="9"/>
      <c r="H2873" s="64" t="str">
        <f aca="false">IF(OR(A2873="",B2873=""),"",CONCATENATE("https://matarstund.is/serfaedi?id=",LOWER(SUBSTITUTE(B2873," ","-"))))</f>
        <v/>
      </c>
    </row>
    <row r="2874" customFormat="false" ht="15" hidden="false" customHeight="true" outlineLevel="0" collapsed="false">
      <c r="A2874" s="68"/>
      <c r="B2874" s="68"/>
      <c r="C2874" s="68"/>
      <c r="D2874" s="68"/>
      <c r="E2874" s="68"/>
      <c r="F2874" s="68"/>
      <c r="G2874" s="68"/>
      <c r="H2874" s="64" t="str">
        <f aca="false">IF(OR(A2874="",B2874=""),"",CONCATENATE("https://matarstund.is/serfaedi?id=",LOWER(SUBSTITUTE(B2874," ","-"))))</f>
        <v/>
      </c>
    </row>
    <row r="2875" customFormat="false" ht="15" hidden="false" customHeight="true" outlineLevel="0" collapsed="false">
      <c r="A2875" s="9"/>
      <c r="B2875" s="9"/>
      <c r="C2875" s="9"/>
      <c r="D2875" s="9"/>
      <c r="E2875" s="9"/>
      <c r="F2875" s="9"/>
      <c r="G2875" s="9"/>
      <c r="H2875" s="64" t="str">
        <f aca="false">IF(OR(A2875="",B2875=""),"",CONCATENATE("https://matarstund.is/serfaedi?id=",LOWER(SUBSTITUTE(B2875," ","-"))))</f>
        <v/>
      </c>
    </row>
    <row r="2876" customFormat="false" ht="15" hidden="false" customHeight="true" outlineLevel="0" collapsed="false">
      <c r="A2876" s="68"/>
      <c r="B2876" s="68"/>
      <c r="C2876" s="68"/>
      <c r="D2876" s="68"/>
      <c r="E2876" s="68"/>
      <c r="F2876" s="68"/>
      <c r="G2876" s="68"/>
      <c r="H2876" s="64" t="str">
        <f aca="false">IF(OR(A2876="",B2876=""),"",CONCATENATE("https://matarstund.is/serfaedi?id=",LOWER(SUBSTITUTE(B2876," ","-"))))</f>
        <v/>
      </c>
    </row>
    <row r="2877" customFormat="false" ht="15" hidden="false" customHeight="true" outlineLevel="0" collapsed="false">
      <c r="A2877" s="9"/>
      <c r="B2877" s="9"/>
      <c r="C2877" s="9"/>
      <c r="D2877" s="9"/>
      <c r="E2877" s="9"/>
      <c r="F2877" s="9"/>
      <c r="G2877" s="9"/>
      <c r="H2877" s="64" t="str">
        <f aca="false">IF(OR(A2877="",B2877=""),"",CONCATENATE("https://matarstund.is/serfaedi?id=",LOWER(SUBSTITUTE(B2877," ","-"))))</f>
        <v/>
      </c>
    </row>
    <row r="2878" customFormat="false" ht="15" hidden="false" customHeight="true" outlineLevel="0" collapsed="false">
      <c r="A2878" s="68"/>
      <c r="B2878" s="68"/>
      <c r="C2878" s="68"/>
      <c r="D2878" s="68"/>
      <c r="E2878" s="68"/>
      <c r="F2878" s="68"/>
      <c r="G2878" s="68"/>
      <c r="H2878" s="64" t="str">
        <f aca="false">IF(OR(A2878="",B2878=""),"",CONCATENATE("https://matarstund.is/serfaedi?id=",LOWER(SUBSTITUTE(B2878," ","-"))))</f>
        <v/>
      </c>
    </row>
    <row r="2879" customFormat="false" ht="15" hidden="false" customHeight="true" outlineLevel="0" collapsed="false">
      <c r="A2879" s="9"/>
      <c r="B2879" s="9"/>
      <c r="C2879" s="9"/>
      <c r="D2879" s="9"/>
      <c r="E2879" s="9"/>
      <c r="F2879" s="9"/>
      <c r="G2879" s="9"/>
      <c r="H2879" s="64" t="str">
        <f aca="false">IF(OR(A2879="",B2879=""),"",CONCATENATE("https://matarstund.is/serfaedi?id=",LOWER(SUBSTITUTE(B2879," ","-"))))</f>
        <v/>
      </c>
    </row>
    <row r="2880" customFormat="false" ht="15" hidden="false" customHeight="true" outlineLevel="0" collapsed="false">
      <c r="A2880" s="68"/>
      <c r="B2880" s="68"/>
      <c r="C2880" s="68"/>
      <c r="D2880" s="68"/>
      <c r="E2880" s="68"/>
      <c r="F2880" s="68"/>
      <c r="G2880" s="68"/>
      <c r="H2880" s="64" t="str">
        <f aca="false">IF(OR(A2880="",B2880=""),"",CONCATENATE("https://matarstund.is/serfaedi?id=",LOWER(SUBSTITUTE(B2880," ","-"))))</f>
        <v/>
      </c>
    </row>
    <row r="2881" customFormat="false" ht="15" hidden="false" customHeight="true" outlineLevel="0" collapsed="false">
      <c r="A2881" s="9"/>
      <c r="B2881" s="9"/>
      <c r="C2881" s="9"/>
      <c r="D2881" s="9"/>
      <c r="E2881" s="9"/>
      <c r="F2881" s="9"/>
      <c r="G2881" s="9"/>
      <c r="H2881" s="64" t="str">
        <f aca="false">IF(OR(A2881="",B2881=""),"",CONCATENATE("https://matarstund.is/serfaedi?id=",LOWER(SUBSTITUTE(B2881," ","-"))))</f>
        <v/>
      </c>
    </row>
    <row r="2882" customFormat="false" ht="15" hidden="false" customHeight="true" outlineLevel="0" collapsed="false">
      <c r="A2882" s="68"/>
      <c r="B2882" s="68"/>
      <c r="C2882" s="68"/>
      <c r="D2882" s="68"/>
      <c r="E2882" s="68"/>
      <c r="F2882" s="68"/>
      <c r="G2882" s="68"/>
      <c r="H2882" s="64" t="str">
        <f aca="false">IF(OR(A2882="",B2882=""),"",CONCATENATE("https://matarstund.is/serfaedi?id=",LOWER(SUBSTITUTE(B2882," ","-"))))</f>
        <v/>
      </c>
    </row>
    <row r="2883" customFormat="false" ht="15" hidden="false" customHeight="true" outlineLevel="0" collapsed="false">
      <c r="A2883" s="9"/>
      <c r="B2883" s="9"/>
      <c r="C2883" s="9"/>
      <c r="D2883" s="9"/>
      <c r="E2883" s="9"/>
      <c r="F2883" s="9"/>
      <c r="G2883" s="9"/>
      <c r="H2883" s="64" t="str">
        <f aca="false">IF(OR(A2883="",B2883=""),"",CONCATENATE("https://matarstund.is/serfaedi?id=",LOWER(SUBSTITUTE(B2883," ","-"))))</f>
        <v/>
      </c>
    </row>
    <row r="2884" customFormat="false" ht="15" hidden="false" customHeight="true" outlineLevel="0" collapsed="false">
      <c r="A2884" s="68"/>
      <c r="B2884" s="68"/>
      <c r="C2884" s="68"/>
      <c r="D2884" s="68"/>
      <c r="E2884" s="68"/>
      <c r="F2884" s="68"/>
      <c r="G2884" s="68"/>
      <c r="H2884" s="64" t="str">
        <f aca="false">IF(OR(A2884="",B2884=""),"",CONCATENATE("https://matarstund.is/serfaedi?id=",LOWER(SUBSTITUTE(B2884," ","-"))))</f>
        <v/>
      </c>
    </row>
    <row r="2885" customFormat="false" ht="15" hidden="false" customHeight="true" outlineLevel="0" collapsed="false">
      <c r="A2885" s="9"/>
      <c r="B2885" s="9"/>
      <c r="C2885" s="9"/>
      <c r="D2885" s="9"/>
      <c r="E2885" s="9"/>
      <c r="F2885" s="9"/>
      <c r="G2885" s="9"/>
      <c r="H2885" s="64" t="str">
        <f aca="false">IF(OR(A2885="",B2885=""),"",CONCATENATE("https://matarstund.is/serfaedi?id=",LOWER(SUBSTITUTE(B2885," ","-"))))</f>
        <v/>
      </c>
    </row>
    <row r="2886" customFormat="false" ht="15" hidden="false" customHeight="true" outlineLevel="0" collapsed="false">
      <c r="A2886" s="68"/>
      <c r="B2886" s="68"/>
      <c r="C2886" s="68"/>
      <c r="D2886" s="68"/>
      <c r="E2886" s="68"/>
      <c r="F2886" s="68"/>
      <c r="G2886" s="68"/>
      <c r="H2886" s="64" t="str">
        <f aca="false">IF(OR(A2886="",B2886=""),"",CONCATENATE("https://matarstund.is/serfaedi?id=",LOWER(SUBSTITUTE(B2886," ","-"))))</f>
        <v/>
      </c>
    </row>
    <row r="2887" customFormat="false" ht="15" hidden="false" customHeight="true" outlineLevel="0" collapsed="false">
      <c r="A2887" s="9"/>
      <c r="B2887" s="9"/>
      <c r="C2887" s="9"/>
      <c r="D2887" s="9"/>
      <c r="E2887" s="9"/>
      <c r="F2887" s="9"/>
      <c r="G2887" s="9"/>
      <c r="H2887" s="64" t="str">
        <f aca="false">IF(OR(A2887="",B2887=""),"",CONCATENATE("https://matarstund.is/serfaedi?id=",LOWER(SUBSTITUTE(B2887," ","-"))))</f>
        <v/>
      </c>
    </row>
    <row r="2888" customFormat="false" ht="15" hidden="false" customHeight="true" outlineLevel="0" collapsed="false">
      <c r="A2888" s="68"/>
      <c r="B2888" s="68"/>
      <c r="C2888" s="68"/>
      <c r="D2888" s="68"/>
      <c r="E2888" s="68"/>
      <c r="F2888" s="68"/>
      <c r="G2888" s="68"/>
      <c r="H2888" s="64" t="str">
        <f aca="false">IF(OR(A2888="",B2888=""),"",CONCATENATE("https://matarstund.is/serfaedi?id=",LOWER(SUBSTITUTE(B2888," ","-"))))</f>
        <v/>
      </c>
    </row>
    <row r="2889" customFormat="false" ht="15" hidden="false" customHeight="true" outlineLevel="0" collapsed="false">
      <c r="A2889" s="9"/>
      <c r="B2889" s="9"/>
      <c r="C2889" s="9"/>
      <c r="D2889" s="9"/>
      <c r="E2889" s="9"/>
      <c r="F2889" s="9"/>
      <c r="G2889" s="9"/>
      <c r="H2889" s="64" t="str">
        <f aca="false">IF(OR(A2889="",B2889=""),"",CONCATENATE("https://matarstund.is/serfaedi?id=",LOWER(SUBSTITUTE(B2889," ","-"))))</f>
        <v/>
      </c>
    </row>
    <row r="2890" customFormat="false" ht="15" hidden="false" customHeight="true" outlineLevel="0" collapsed="false">
      <c r="A2890" s="68"/>
      <c r="B2890" s="68"/>
      <c r="C2890" s="68"/>
      <c r="D2890" s="68"/>
      <c r="E2890" s="68"/>
      <c r="F2890" s="68"/>
      <c r="G2890" s="68"/>
      <c r="H2890" s="64" t="str">
        <f aca="false">IF(OR(A2890="",B2890=""),"",CONCATENATE("https://matarstund.is/serfaedi?id=",LOWER(SUBSTITUTE(B2890," ","-"))))</f>
        <v/>
      </c>
    </row>
    <row r="2891" customFormat="false" ht="15" hidden="false" customHeight="true" outlineLevel="0" collapsed="false">
      <c r="A2891" s="9"/>
      <c r="B2891" s="9"/>
      <c r="C2891" s="9"/>
      <c r="D2891" s="9"/>
      <c r="E2891" s="9"/>
      <c r="F2891" s="9"/>
      <c r="G2891" s="9"/>
      <c r="H2891" s="64" t="str">
        <f aca="false">IF(OR(A2891="",B2891=""),"",CONCATENATE("https://matarstund.is/serfaedi?id=",LOWER(SUBSTITUTE(B2891," ","-"))))</f>
        <v/>
      </c>
    </row>
    <row r="2892" customFormat="false" ht="15" hidden="false" customHeight="true" outlineLevel="0" collapsed="false">
      <c r="A2892" s="68"/>
      <c r="B2892" s="68"/>
      <c r="C2892" s="68"/>
      <c r="D2892" s="68"/>
      <c r="E2892" s="68"/>
      <c r="F2892" s="68"/>
      <c r="G2892" s="68"/>
      <c r="H2892" s="64" t="str">
        <f aca="false">IF(OR(A2892="",B2892=""),"",CONCATENATE("https://matarstund.is/serfaedi?id=",LOWER(SUBSTITUTE(B2892," ","-"))))</f>
        <v/>
      </c>
    </row>
    <row r="2893" customFormat="false" ht="15" hidden="false" customHeight="true" outlineLevel="0" collapsed="false">
      <c r="A2893" s="9"/>
      <c r="B2893" s="9"/>
      <c r="C2893" s="9"/>
      <c r="D2893" s="9"/>
      <c r="E2893" s="9"/>
      <c r="F2893" s="9"/>
      <c r="G2893" s="9"/>
      <c r="H2893" s="64" t="str">
        <f aca="false">IF(OR(A2893="",B2893=""),"",CONCATENATE("https://matarstund.is/serfaedi?id=",LOWER(SUBSTITUTE(B2893," ","-"))))</f>
        <v/>
      </c>
    </row>
    <row r="2894" customFormat="false" ht="15" hidden="false" customHeight="true" outlineLevel="0" collapsed="false">
      <c r="A2894" s="68"/>
      <c r="B2894" s="68"/>
      <c r="C2894" s="68"/>
      <c r="D2894" s="68"/>
      <c r="E2894" s="68"/>
      <c r="F2894" s="68"/>
      <c r="G2894" s="68"/>
      <c r="H2894" s="64" t="str">
        <f aca="false">IF(OR(A2894="",B2894=""),"",CONCATENATE("https://matarstund.is/serfaedi?id=",LOWER(SUBSTITUTE(B2894," ","-"))))</f>
        <v/>
      </c>
    </row>
    <row r="2895" customFormat="false" ht="15" hidden="false" customHeight="true" outlineLevel="0" collapsed="false">
      <c r="A2895" s="9"/>
      <c r="B2895" s="9"/>
      <c r="C2895" s="9"/>
      <c r="D2895" s="9"/>
      <c r="E2895" s="9"/>
      <c r="F2895" s="9"/>
      <c r="G2895" s="9"/>
      <c r="H2895" s="64" t="str">
        <f aca="false">IF(OR(A2895="",B2895=""),"",CONCATENATE("https://matarstund.is/serfaedi?id=",LOWER(SUBSTITUTE(B2895," ","-"))))</f>
        <v/>
      </c>
    </row>
    <row r="2896" customFormat="false" ht="15" hidden="false" customHeight="true" outlineLevel="0" collapsed="false">
      <c r="A2896" s="68"/>
      <c r="B2896" s="68"/>
      <c r="C2896" s="68"/>
      <c r="D2896" s="68"/>
      <c r="E2896" s="68"/>
      <c r="F2896" s="68"/>
      <c r="G2896" s="68"/>
      <c r="H2896" s="64" t="str">
        <f aca="false">IF(OR(A2896="",B2896=""),"",CONCATENATE("https://matarstund.is/serfaedi?id=",LOWER(SUBSTITUTE(B2896," ","-"))))</f>
        <v/>
      </c>
    </row>
    <row r="2897" customFormat="false" ht="15" hidden="false" customHeight="true" outlineLevel="0" collapsed="false">
      <c r="A2897" s="9"/>
      <c r="B2897" s="9"/>
      <c r="C2897" s="9"/>
      <c r="D2897" s="9"/>
      <c r="E2897" s="9"/>
      <c r="F2897" s="9"/>
      <c r="G2897" s="9"/>
      <c r="H2897" s="64" t="str">
        <f aca="false">IF(OR(A2897="",B2897=""),"",CONCATENATE("https://matarstund.is/serfaedi?id=",LOWER(SUBSTITUTE(B2897," ","-"))))</f>
        <v/>
      </c>
    </row>
    <row r="2898" customFormat="false" ht="15" hidden="false" customHeight="true" outlineLevel="0" collapsed="false">
      <c r="A2898" s="68"/>
      <c r="B2898" s="68"/>
      <c r="C2898" s="68"/>
      <c r="D2898" s="68"/>
      <c r="E2898" s="68"/>
      <c r="F2898" s="68"/>
      <c r="G2898" s="68"/>
      <c r="H2898" s="64" t="str">
        <f aca="false">IF(OR(A2898="",B2898=""),"",CONCATENATE("https://matarstund.is/serfaedi?id=",LOWER(SUBSTITUTE(B2898," ","-"))))</f>
        <v/>
      </c>
    </row>
    <row r="2899" customFormat="false" ht="15" hidden="false" customHeight="true" outlineLevel="0" collapsed="false">
      <c r="A2899" s="9"/>
      <c r="B2899" s="9"/>
      <c r="C2899" s="9"/>
      <c r="D2899" s="9"/>
      <c r="E2899" s="9"/>
      <c r="F2899" s="9"/>
      <c r="G2899" s="9"/>
      <c r="H2899" s="64" t="str">
        <f aca="false">IF(OR(A2899="",B2899=""),"",CONCATENATE("https://matarstund.is/serfaedi?id=",LOWER(SUBSTITUTE(B2899," ","-"))))</f>
        <v/>
      </c>
    </row>
    <row r="2900" customFormat="false" ht="15" hidden="false" customHeight="true" outlineLevel="0" collapsed="false">
      <c r="A2900" s="68"/>
      <c r="B2900" s="68"/>
      <c r="C2900" s="68"/>
      <c r="D2900" s="68"/>
      <c r="E2900" s="68"/>
      <c r="F2900" s="68"/>
      <c r="G2900" s="68"/>
      <c r="H2900" s="64" t="str">
        <f aca="false">IF(OR(A2900="",B2900=""),"",CONCATENATE("https://matarstund.is/serfaedi?id=",LOWER(SUBSTITUTE(B2900," ","-"))))</f>
        <v/>
      </c>
    </row>
    <row r="2901" customFormat="false" ht="15" hidden="false" customHeight="true" outlineLevel="0" collapsed="false">
      <c r="A2901" s="9"/>
      <c r="B2901" s="9"/>
      <c r="C2901" s="9"/>
      <c r="D2901" s="9"/>
      <c r="E2901" s="9"/>
      <c r="F2901" s="9"/>
      <c r="G2901" s="9"/>
      <c r="H2901" s="64" t="str">
        <f aca="false">IF(OR(A2901="",B2901=""),"",CONCATENATE("https://matarstund.is/serfaedi?id=",LOWER(SUBSTITUTE(B2901," ","-"))))</f>
        <v/>
      </c>
    </row>
    <row r="2902" customFormat="false" ht="15" hidden="false" customHeight="true" outlineLevel="0" collapsed="false">
      <c r="A2902" s="68"/>
      <c r="B2902" s="68"/>
      <c r="C2902" s="68"/>
      <c r="D2902" s="68"/>
      <c r="E2902" s="68"/>
      <c r="F2902" s="68"/>
      <c r="G2902" s="68"/>
      <c r="H2902" s="64" t="str">
        <f aca="false">IF(OR(A2902="",B2902=""),"",CONCATENATE("https://matarstund.is/serfaedi?id=",LOWER(SUBSTITUTE(B2902," ","-"))))</f>
        <v/>
      </c>
    </row>
    <row r="2903" customFormat="false" ht="15" hidden="false" customHeight="true" outlineLevel="0" collapsed="false">
      <c r="A2903" s="9"/>
      <c r="B2903" s="9"/>
      <c r="C2903" s="9"/>
      <c r="D2903" s="9"/>
      <c r="E2903" s="9"/>
      <c r="F2903" s="9"/>
      <c r="G2903" s="9"/>
      <c r="H2903" s="64" t="str">
        <f aca="false">IF(OR(A2903="",B2903=""),"",CONCATENATE("https://matarstund.is/serfaedi?id=",LOWER(SUBSTITUTE(B2903," ","-"))))</f>
        <v/>
      </c>
    </row>
    <row r="2904" customFormat="false" ht="15" hidden="false" customHeight="true" outlineLevel="0" collapsed="false">
      <c r="A2904" s="68"/>
      <c r="B2904" s="68"/>
      <c r="C2904" s="68"/>
      <c r="D2904" s="68"/>
      <c r="E2904" s="68"/>
      <c r="F2904" s="68"/>
      <c r="G2904" s="68"/>
      <c r="H2904" s="64" t="str">
        <f aca="false">IF(OR(A2904="",B2904=""),"",CONCATENATE("https://matarstund.is/serfaedi?id=",LOWER(SUBSTITUTE(B2904," ","-"))))</f>
        <v/>
      </c>
    </row>
    <row r="2905" customFormat="false" ht="15" hidden="false" customHeight="true" outlineLevel="0" collapsed="false">
      <c r="A2905" s="9"/>
      <c r="B2905" s="9"/>
      <c r="C2905" s="9"/>
      <c r="D2905" s="9"/>
      <c r="E2905" s="9"/>
      <c r="F2905" s="9"/>
      <c r="G2905" s="9"/>
      <c r="H2905" s="64" t="str">
        <f aca="false">IF(OR(A2905="",B2905=""),"",CONCATENATE("https://matarstund.is/serfaedi?id=",LOWER(SUBSTITUTE(B2905," ","-"))))</f>
        <v/>
      </c>
    </row>
    <row r="2906" customFormat="false" ht="15" hidden="false" customHeight="true" outlineLevel="0" collapsed="false">
      <c r="A2906" s="68"/>
      <c r="B2906" s="68"/>
      <c r="C2906" s="68"/>
      <c r="D2906" s="68"/>
      <c r="E2906" s="68"/>
      <c r="F2906" s="68"/>
      <c r="G2906" s="68"/>
      <c r="H2906" s="64" t="str">
        <f aca="false">IF(OR(A2906="",B2906=""),"",CONCATENATE("https://matarstund.is/serfaedi?id=",LOWER(SUBSTITUTE(B2906," ","-"))))</f>
        <v/>
      </c>
    </row>
    <row r="2907" customFormat="false" ht="15" hidden="false" customHeight="true" outlineLevel="0" collapsed="false">
      <c r="A2907" s="9"/>
      <c r="B2907" s="9"/>
      <c r="C2907" s="9"/>
      <c r="D2907" s="9"/>
      <c r="E2907" s="9"/>
      <c r="F2907" s="9"/>
      <c r="G2907" s="9"/>
      <c r="H2907" s="64" t="str">
        <f aca="false">IF(OR(A2907="",B2907=""),"",CONCATENATE("https://matarstund.is/serfaedi?id=",LOWER(SUBSTITUTE(B2907," ","-"))))</f>
        <v/>
      </c>
    </row>
    <row r="2908" customFormat="false" ht="15" hidden="false" customHeight="true" outlineLevel="0" collapsed="false">
      <c r="A2908" s="68"/>
      <c r="B2908" s="68"/>
      <c r="C2908" s="68"/>
      <c r="D2908" s="68"/>
      <c r="E2908" s="68"/>
      <c r="F2908" s="68"/>
      <c r="G2908" s="68"/>
      <c r="H2908" s="64" t="str">
        <f aca="false">IF(OR(A2908="",B2908=""),"",CONCATENATE("https://matarstund.is/serfaedi?id=",LOWER(SUBSTITUTE(B2908," ","-"))))</f>
        <v/>
      </c>
    </row>
    <row r="2909" customFormat="false" ht="15" hidden="false" customHeight="true" outlineLevel="0" collapsed="false">
      <c r="A2909" s="9"/>
      <c r="B2909" s="9"/>
      <c r="C2909" s="9"/>
      <c r="D2909" s="9"/>
      <c r="E2909" s="9"/>
      <c r="F2909" s="9"/>
      <c r="G2909" s="9"/>
      <c r="H2909" s="64" t="str">
        <f aca="false">IF(OR(A2909="",B2909=""),"",CONCATENATE("https://matarstund.is/serfaedi?id=",LOWER(SUBSTITUTE(B2909," ","-"))))</f>
        <v/>
      </c>
    </row>
    <row r="2910" customFormat="false" ht="15" hidden="false" customHeight="true" outlineLevel="0" collapsed="false">
      <c r="A2910" s="68"/>
      <c r="B2910" s="68"/>
      <c r="C2910" s="68"/>
      <c r="D2910" s="68"/>
      <c r="E2910" s="68"/>
      <c r="F2910" s="68"/>
      <c r="G2910" s="68"/>
      <c r="H2910" s="64" t="str">
        <f aca="false">IF(OR(A2910="",B2910=""),"",CONCATENATE("https://matarstund.is/serfaedi?id=",LOWER(SUBSTITUTE(B2910," ","-"))))</f>
        <v/>
      </c>
    </row>
    <row r="2911" customFormat="false" ht="15" hidden="false" customHeight="true" outlineLevel="0" collapsed="false">
      <c r="A2911" s="9"/>
      <c r="B2911" s="9"/>
      <c r="C2911" s="9"/>
      <c r="D2911" s="9"/>
      <c r="E2911" s="9"/>
      <c r="F2911" s="9"/>
      <c r="G2911" s="9"/>
      <c r="H2911" s="64" t="str">
        <f aca="false">IF(OR(A2911="",B2911=""),"",CONCATENATE("https://matarstund.is/serfaedi?id=",LOWER(SUBSTITUTE(B2911," ","-"))))</f>
        <v/>
      </c>
    </row>
    <row r="2912" customFormat="false" ht="15" hidden="false" customHeight="true" outlineLevel="0" collapsed="false">
      <c r="A2912" s="68"/>
      <c r="B2912" s="68"/>
      <c r="C2912" s="68"/>
      <c r="D2912" s="68"/>
      <c r="E2912" s="68"/>
      <c r="F2912" s="68"/>
      <c r="G2912" s="68"/>
      <c r="H2912" s="64" t="str">
        <f aca="false">IF(OR(A2912="",B2912=""),"",CONCATENATE("https://matarstund.is/serfaedi?id=",LOWER(SUBSTITUTE(B2912," ","-"))))</f>
        <v/>
      </c>
    </row>
    <row r="2913" customFormat="false" ht="15" hidden="false" customHeight="true" outlineLevel="0" collapsed="false">
      <c r="A2913" s="9"/>
      <c r="B2913" s="9"/>
      <c r="C2913" s="9"/>
      <c r="D2913" s="9"/>
      <c r="E2913" s="9"/>
      <c r="F2913" s="9"/>
      <c r="G2913" s="9"/>
      <c r="H2913" s="64" t="str">
        <f aca="false">IF(OR(A2913="",B2913=""),"",CONCATENATE("https://matarstund.is/serfaedi?id=",LOWER(SUBSTITUTE(B2913," ","-"))))</f>
        <v/>
      </c>
    </row>
    <row r="2914" customFormat="false" ht="15" hidden="false" customHeight="true" outlineLevel="0" collapsed="false">
      <c r="A2914" s="68"/>
      <c r="B2914" s="68"/>
      <c r="C2914" s="68"/>
      <c r="D2914" s="68"/>
      <c r="E2914" s="68"/>
      <c r="F2914" s="68"/>
      <c r="G2914" s="68"/>
      <c r="H2914" s="64" t="str">
        <f aca="false">IF(OR(A2914="",B2914=""),"",CONCATENATE("https://matarstund.is/serfaedi?id=",LOWER(SUBSTITUTE(B2914," ","-"))))</f>
        <v/>
      </c>
    </row>
    <row r="2915" customFormat="false" ht="15" hidden="false" customHeight="true" outlineLevel="0" collapsed="false">
      <c r="A2915" s="9"/>
      <c r="B2915" s="9"/>
      <c r="C2915" s="9"/>
      <c r="D2915" s="9"/>
      <c r="E2915" s="9"/>
      <c r="F2915" s="9"/>
      <c r="G2915" s="9"/>
      <c r="H2915" s="64" t="str">
        <f aca="false">IF(OR(A2915="",B2915=""),"",CONCATENATE("https://matarstund.is/serfaedi?id=",LOWER(SUBSTITUTE(B2915," ","-"))))</f>
        <v/>
      </c>
    </row>
    <row r="2916" customFormat="false" ht="15" hidden="false" customHeight="true" outlineLevel="0" collapsed="false">
      <c r="A2916" s="68"/>
      <c r="B2916" s="68"/>
      <c r="C2916" s="68"/>
      <c r="D2916" s="68"/>
      <c r="E2916" s="68"/>
      <c r="F2916" s="68"/>
      <c r="G2916" s="68"/>
      <c r="H2916" s="64" t="str">
        <f aca="false">IF(OR(A2916="",B2916=""),"",CONCATENATE("https://matarstund.is/serfaedi?id=",LOWER(SUBSTITUTE(B2916," ","-"))))</f>
        <v/>
      </c>
    </row>
    <row r="2917" customFormat="false" ht="15" hidden="false" customHeight="true" outlineLevel="0" collapsed="false">
      <c r="A2917" s="9"/>
      <c r="B2917" s="9"/>
      <c r="C2917" s="9"/>
      <c r="D2917" s="9"/>
      <c r="E2917" s="9"/>
      <c r="F2917" s="9"/>
      <c r="G2917" s="9"/>
      <c r="H2917" s="64" t="str">
        <f aca="false">IF(OR(A2917="",B2917=""),"",CONCATENATE("https://matarstund.is/serfaedi?id=",LOWER(SUBSTITUTE(B2917," ","-"))))</f>
        <v/>
      </c>
    </row>
    <row r="2918" customFormat="false" ht="15" hidden="false" customHeight="true" outlineLevel="0" collapsed="false">
      <c r="A2918" s="68"/>
      <c r="B2918" s="68"/>
      <c r="C2918" s="68"/>
      <c r="D2918" s="68"/>
      <c r="E2918" s="68"/>
      <c r="F2918" s="68"/>
      <c r="G2918" s="68"/>
      <c r="H2918" s="64" t="str">
        <f aca="false">IF(OR(A2918="",B2918=""),"",CONCATENATE("https://matarstund.is/serfaedi?id=",LOWER(SUBSTITUTE(B2918," ","-"))))</f>
        <v/>
      </c>
    </row>
    <row r="2919" customFormat="false" ht="15" hidden="false" customHeight="true" outlineLevel="0" collapsed="false">
      <c r="A2919" s="9"/>
      <c r="B2919" s="9"/>
      <c r="C2919" s="9"/>
      <c r="D2919" s="9"/>
      <c r="E2919" s="9"/>
      <c r="F2919" s="9"/>
      <c r="G2919" s="9"/>
      <c r="H2919" s="64" t="str">
        <f aca="false">IF(OR(A2919="",B2919=""),"",CONCATENATE("https://matarstund.is/serfaedi?id=",LOWER(SUBSTITUTE(B2919," ","-"))))</f>
        <v/>
      </c>
    </row>
    <row r="2920" customFormat="false" ht="15" hidden="false" customHeight="true" outlineLevel="0" collapsed="false">
      <c r="A2920" s="68"/>
      <c r="B2920" s="68"/>
      <c r="C2920" s="68"/>
      <c r="D2920" s="68"/>
      <c r="E2920" s="68"/>
      <c r="F2920" s="68"/>
      <c r="G2920" s="68"/>
      <c r="H2920" s="64" t="str">
        <f aca="false">IF(OR(A2920="",B2920=""),"",CONCATENATE("https://matarstund.is/serfaedi?id=",LOWER(SUBSTITUTE(B2920," ","-"))))</f>
        <v/>
      </c>
    </row>
    <row r="2921" customFormat="false" ht="15" hidden="false" customHeight="true" outlineLevel="0" collapsed="false">
      <c r="A2921" s="9"/>
      <c r="B2921" s="9"/>
      <c r="C2921" s="9"/>
      <c r="D2921" s="9"/>
      <c r="E2921" s="9"/>
      <c r="F2921" s="9"/>
      <c r="G2921" s="9"/>
      <c r="H2921" s="64" t="str">
        <f aca="false">IF(OR(A2921="",B2921=""),"",CONCATENATE("https://matarstund.is/serfaedi?id=",LOWER(SUBSTITUTE(B2921," ","-"))))</f>
        <v/>
      </c>
    </row>
    <row r="2922" customFormat="false" ht="15" hidden="false" customHeight="true" outlineLevel="0" collapsed="false">
      <c r="A2922" s="68"/>
      <c r="B2922" s="68"/>
      <c r="C2922" s="68"/>
      <c r="D2922" s="68"/>
      <c r="E2922" s="68"/>
      <c r="F2922" s="68"/>
      <c r="G2922" s="68"/>
      <c r="H2922" s="64" t="str">
        <f aca="false">IF(OR(A2922="",B2922=""),"",CONCATENATE("https://matarstund.is/serfaedi?id=",LOWER(SUBSTITUTE(B2922," ","-"))))</f>
        <v/>
      </c>
    </row>
    <row r="2923" customFormat="false" ht="15" hidden="false" customHeight="true" outlineLevel="0" collapsed="false">
      <c r="A2923" s="9"/>
      <c r="B2923" s="9"/>
      <c r="C2923" s="9"/>
      <c r="D2923" s="9"/>
      <c r="E2923" s="9"/>
      <c r="F2923" s="9"/>
      <c r="G2923" s="9"/>
      <c r="H2923" s="64" t="str">
        <f aca="false">IF(OR(A2923="",B2923=""),"",CONCATENATE("https://matarstund.is/serfaedi?id=",LOWER(SUBSTITUTE(B2923," ","-"))))</f>
        <v/>
      </c>
    </row>
    <row r="2924" customFormat="false" ht="15" hidden="false" customHeight="true" outlineLevel="0" collapsed="false">
      <c r="A2924" s="68"/>
      <c r="B2924" s="68"/>
      <c r="C2924" s="68"/>
      <c r="D2924" s="68"/>
      <c r="E2924" s="68"/>
      <c r="F2924" s="68"/>
      <c r="G2924" s="68"/>
      <c r="H2924" s="64" t="str">
        <f aca="false">IF(OR(A2924="",B2924=""),"",CONCATENATE("https://matarstund.is/serfaedi?id=",LOWER(SUBSTITUTE(B2924," ","-"))))</f>
        <v/>
      </c>
    </row>
    <row r="2925" customFormat="false" ht="15" hidden="false" customHeight="true" outlineLevel="0" collapsed="false">
      <c r="A2925" s="9"/>
      <c r="B2925" s="9"/>
      <c r="C2925" s="9"/>
      <c r="D2925" s="9"/>
      <c r="E2925" s="9"/>
      <c r="F2925" s="9"/>
      <c r="G2925" s="9"/>
      <c r="H2925" s="64" t="str">
        <f aca="false">IF(OR(A2925="",B2925=""),"",CONCATENATE("https://matarstund.is/serfaedi?id=",LOWER(SUBSTITUTE(B2925," ","-"))))</f>
        <v/>
      </c>
    </row>
    <row r="2926" customFormat="false" ht="15" hidden="false" customHeight="true" outlineLevel="0" collapsed="false">
      <c r="A2926" s="68"/>
      <c r="B2926" s="68"/>
      <c r="C2926" s="68"/>
      <c r="D2926" s="68"/>
      <c r="E2926" s="68"/>
      <c r="F2926" s="68"/>
      <c r="G2926" s="68"/>
      <c r="H2926" s="64" t="str">
        <f aca="false">IF(OR(A2926="",B2926=""),"",CONCATENATE("https://matarstund.is/serfaedi?id=",LOWER(SUBSTITUTE(B2926," ","-"))))</f>
        <v/>
      </c>
    </row>
    <row r="2927" customFormat="false" ht="15" hidden="false" customHeight="true" outlineLevel="0" collapsed="false">
      <c r="A2927" s="9"/>
      <c r="B2927" s="9"/>
      <c r="C2927" s="9"/>
      <c r="D2927" s="9"/>
      <c r="E2927" s="9"/>
      <c r="F2927" s="9"/>
      <c r="G2927" s="9"/>
      <c r="H2927" s="64" t="str">
        <f aca="false">IF(OR(A2927="",B2927=""),"",CONCATENATE("https://matarstund.is/serfaedi?id=",LOWER(SUBSTITUTE(B2927," ","-"))))</f>
        <v/>
      </c>
    </row>
    <row r="2928" customFormat="false" ht="15" hidden="false" customHeight="true" outlineLevel="0" collapsed="false">
      <c r="A2928" s="68"/>
      <c r="B2928" s="68"/>
      <c r="C2928" s="68"/>
      <c r="D2928" s="68"/>
      <c r="E2928" s="68"/>
      <c r="F2928" s="68"/>
      <c r="G2928" s="68"/>
      <c r="H2928" s="64" t="str">
        <f aca="false">IF(OR(A2928="",B2928=""),"",CONCATENATE("https://matarstund.is/serfaedi?id=",LOWER(SUBSTITUTE(B2928," ","-"))))</f>
        <v/>
      </c>
    </row>
    <row r="2929" customFormat="false" ht="15" hidden="false" customHeight="true" outlineLevel="0" collapsed="false">
      <c r="A2929" s="9"/>
      <c r="B2929" s="9"/>
      <c r="C2929" s="9"/>
      <c r="D2929" s="9"/>
      <c r="E2929" s="9"/>
      <c r="F2929" s="9"/>
      <c r="G2929" s="9"/>
      <c r="H2929" s="64" t="str">
        <f aca="false">IF(OR(A2929="",B2929=""),"",CONCATENATE("https://matarstund.is/serfaedi?id=",LOWER(SUBSTITUTE(B2929," ","-"))))</f>
        <v/>
      </c>
    </row>
    <row r="2930" customFormat="false" ht="15" hidden="false" customHeight="true" outlineLevel="0" collapsed="false">
      <c r="A2930" s="68"/>
      <c r="B2930" s="68"/>
      <c r="C2930" s="68"/>
      <c r="D2930" s="68"/>
      <c r="E2930" s="68"/>
      <c r="F2930" s="68"/>
      <c r="G2930" s="68"/>
      <c r="H2930" s="64" t="str">
        <f aca="false">IF(OR(A2930="",B2930=""),"",CONCATENATE("https://matarstund.is/serfaedi?id=",LOWER(SUBSTITUTE(B2930," ","-"))))</f>
        <v/>
      </c>
    </row>
    <row r="2931" customFormat="false" ht="15" hidden="false" customHeight="true" outlineLevel="0" collapsed="false">
      <c r="A2931" s="9"/>
      <c r="B2931" s="9"/>
      <c r="C2931" s="9"/>
      <c r="D2931" s="9"/>
      <c r="E2931" s="9"/>
      <c r="F2931" s="9"/>
      <c r="G2931" s="9"/>
      <c r="H2931" s="64" t="str">
        <f aca="false">IF(OR(A2931="",B2931=""),"",CONCATENATE("https://matarstund.is/serfaedi?id=",LOWER(SUBSTITUTE(B2931," ","-"))))</f>
        <v/>
      </c>
    </row>
    <row r="2932" customFormat="false" ht="15" hidden="false" customHeight="true" outlineLevel="0" collapsed="false">
      <c r="A2932" s="68"/>
      <c r="B2932" s="68"/>
      <c r="C2932" s="68"/>
      <c r="D2932" s="68"/>
      <c r="E2932" s="68"/>
      <c r="F2932" s="68"/>
      <c r="G2932" s="68"/>
      <c r="H2932" s="64" t="str">
        <f aca="false">IF(OR(A2932="",B2932=""),"",CONCATENATE("https://matarstund.is/serfaedi?id=",LOWER(SUBSTITUTE(B2932," ","-"))))</f>
        <v/>
      </c>
    </row>
    <row r="2933" customFormat="false" ht="15" hidden="false" customHeight="true" outlineLevel="0" collapsed="false">
      <c r="A2933" s="9"/>
      <c r="B2933" s="9"/>
      <c r="C2933" s="9"/>
      <c r="D2933" s="9"/>
      <c r="E2933" s="9"/>
      <c r="F2933" s="9"/>
      <c r="G2933" s="9"/>
      <c r="H2933" s="64" t="str">
        <f aca="false">IF(OR(A2933="",B2933=""),"",CONCATENATE("https://matarstund.is/serfaedi?id=",LOWER(SUBSTITUTE(B2933," ","-"))))</f>
        <v/>
      </c>
    </row>
    <row r="2934" customFormat="false" ht="15" hidden="false" customHeight="true" outlineLevel="0" collapsed="false">
      <c r="A2934" s="68"/>
      <c r="B2934" s="68"/>
      <c r="C2934" s="68"/>
      <c r="D2934" s="68"/>
      <c r="E2934" s="68"/>
      <c r="F2934" s="68"/>
      <c r="G2934" s="68"/>
      <c r="H2934" s="64" t="str">
        <f aca="false">IF(OR(A2934="",B2934=""),"",CONCATENATE("https://matarstund.is/serfaedi?id=",LOWER(SUBSTITUTE(B2934," ","-"))))</f>
        <v/>
      </c>
    </row>
    <row r="2935" customFormat="false" ht="15" hidden="false" customHeight="true" outlineLevel="0" collapsed="false">
      <c r="A2935" s="9"/>
      <c r="B2935" s="9"/>
      <c r="C2935" s="9"/>
      <c r="D2935" s="9"/>
      <c r="E2935" s="9"/>
      <c r="F2935" s="9"/>
      <c r="G2935" s="9"/>
      <c r="H2935" s="64" t="str">
        <f aca="false">IF(OR(A2935="",B2935=""),"",CONCATENATE("https://matarstund.is/serfaedi?id=",LOWER(SUBSTITUTE(B2935," ","-"))))</f>
        <v/>
      </c>
    </row>
    <row r="2936" customFormat="false" ht="15" hidden="false" customHeight="true" outlineLevel="0" collapsed="false">
      <c r="A2936" s="68"/>
      <c r="B2936" s="68"/>
      <c r="C2936" s="68"/>
      <c r="D2936" s="68"/>
      <c r="E2936" s="68"/>
      <c r="F2936" s="68"/>
      <c r="G2936" s="68"/>
      <c r="H2936" s="64" t="str">
        <f aca="false">IF(OR(A2936="",B2936=""),"",CONCATENATE("https://matarstund.is/serfaedi?id=",LOWER(SUBSTITUTE(B2936," ","-"))))</f>
        <v/>
      </c>
    </row>
    <row r="2937" customFormat="false" ht="15" hidden="false" customHeight="true" outlineLevel="0" collapsed="false">
      <c r="A2937" s="9"/>
      <c r="B2937" s="9"/>
      <c r="C2937" s="9"/>
      <c r="D2937" s="9"/>
      <c r="E2937" s="9"/>
      <c r="F2937" s="9"/>
      <c r="G2937" s="9"/>
      <c r="H2937" s="64" t="str">
        <f aca="false">IF(OR(A2937="",B2937=""),"",CONCATENATE("https://matarstund.is/serfaedi?id=",LOWER(SUBSTITUTE(B2937," ","-"))))</f>
        <v/>
      </c>
    </row>
    <row r="2938" customFormat="false" ht="15" hidden="false" customHeight="true" outlineLevel="0" collapsed="false">
      <c r="A2938" s="68"/>
      <c r="B2938" s="68"/>
      <c r="C2938" s="68"/>
      <c r="D2938" s="68"/>
      <c r="E2938" s="68"/>
      <c r="F2938" s="68"/>
      <c r="G2938" s="68"/>
      <c r="H2938" s="64" t="str">
        <f aca="false">IF(OR(A2938="",B2938=""),"",CONCATENATE("https://matarstund.is/serfaedi?id=",LOWER(SUBSTITUTE(B2938," ","-"))))</f>
        <v/>
      </c>
    </row>
    <row r="2939" customFormat="false" ht="15" hidden="false" customHeight="true" outlineLevel="0" collapsed="false">
      <c r="A2939" s="9"/>
      <c r="B2939" s="9"/>
      <c r="C2939" s="9"/>
      <c r="D2939" s="9"/>
      <c r="E2939" s="9"/>
      <c r="F2939" s="9"/>
      <c r="G2939" s="9"/>
      <c r="H2939" s="64" t="str">
        <f aca="false">IF(OR(A2939="",B2939=""),"",CONCATENATE("https://matarstund.is/serfaedi?id=",LOWER(SUBSTITUTE(B2939," ","-"))))</f>
        <v/>
      </c>
    </row>
    <row r="2940" customFormat="false" ht="15" hidden="false" customHeight="true" outlineLevel="0" collapsed="false">
      <c r="A2940" s="68"/>
      <c r="B2940" s="68"/>
      <c r="C2940" s="68"/>
      <c r="D2940" s="68"/>
      <c r="E2940" s="68"/>
      <c r="F2940" s="68"/>
      <c r="G2940" s="68"/>
      <c r="H2940" s="64" t="str">
        <f aca="false">IF(OR(A2940="",B2940=""),"",CONCATENATE("https://matarstund.is/serfaedi?id=",LOWER(SUBSTITUTE(B2940," ","-"))))</f>
        <v/>
      </c>
    </row>
    <row r="2941" customFormat="false" ht="15" hidden="false" customHeight="true" outlineLevel="0" collapsed="false">
      <c r="A2941" s="9"/>
      <c r="B2941" s="9"/>
      <c r="C2941" s="9"/>
      <c r="D2941" s="9"/>
      <c r="E2941" s="9"/>
      <c r="F2941" s="9"/>
      <c r="G2941" s="9"/>
      <c r="H2941" s="64" t="str">
        <f aca="false">IF(OR(A2941="",B2941=""),"",CONCATENATE("https://matarstund.is/serfaedi?id=",LOWER(SUBSTITUTE(B2941," ","-"))))</f>
        <v/>
      </c>
    </row>
    <row r="2942" customFormat="false" ht="15" hidden="false" customHeight="true" outlineLevel="0" collapsed="false">
      <c r="A2942" s="68"/>
      <c r="B2942" s="68"/>
      <c r="C2942" s="68"/>
      <c r="D2942" s="68"/>
      <c r="E2942" s="68"/>
      <c r="F2942" s="68"/>
      <c r="G2942" s="68"/>
      <c r="H2942" s="64" t="str">
        <f aca="false">IF(OR(A2942="",B2942=""),"",CONCATENATE("https://matarstund.is/serfaedi?id=",LOWER(SUBSTITUTE(B2942," ","-"))))</f>
        <v/>
      </c>
    </row>
    <row r="2943" customFormat="false" ht="15" hidden="false" customHeight="true" outlineLevel="0" collapsed="false">
      <c r="A2943" s="9"/>
      <c r="B2943" s="9"/>
      <c r="C2943" s="9"/>
      <c r="D2943" s="9"/>
      <c r="E2943" s="9"/>
      <c r="F2943" s="9"/>
      <c r="G2943" s="9"/>
      <c r="H2943" s="64" t="str">
        <f aca="false">IF(OR(A2943="",B2943=""),"",CONCATENATE("https://matarstund.is/serfaedi?id=",LOWER(SUBSTITUTE(B2943," ","-"))))</f>
        <v/>
      </c>
    </row>
    <row r="2944" customFormat="false" ht="15" hidden="false" customHeight="true" outlineLevel="0" collapsed="false">
      <c r="A2944" s="68"/>
      <c r="B2944" s="68"/>
      <c r="C2944" s="68"/>
      <c r="D2944" s="68"/>
      <c r="E2944" s="68"/>
      <c r="F2944" s="68"/>
      <c r="G2944" s="68"/>
      <c r="H2944" s="64" t="str">
        <f aca="false">IF(OR(A2944="",B2944=""),"",CONCATENATE("https://matarstund.is/serfaedi?id=",LOWER(SUBSTITUTE(B2944," ","-"))))</f>
        <v/>
      </c>
    </row>
    <row r="2945" customFormat="false" ht="15" hidden="false" customHeight="true" outlineLevel="0" collapsed="false">
      <c r="A2945" s="9"/>
      <c r="B2945" s="9"/>
      <c r="C2945" s="9"/>
      <c r="D2945" s="9"/>
      <c r="E2945" s="9"/>
      <c r="F2945" s="9"/>
      <c r="G2945" s="9"/>
      <c r="H2945" s="64" t="str">
        <f aca="false">IF(OR(A2945="",B2945=""),"",CONCATENATE("https://matarstund.is/serfaedi?id=",LOWER(SUBSTITUTE(B2945," ","-"))))</f>
        <v/>
      </c>
    </row>
    <row r="2946" customFormat="false" ht="15" hidden="false" customHeight="true" outlineLevel="0" collapsed="false">
      <c r="A2946" s="68"/>
      <c r="B2946" s="68"/>
      <c r="C2946" s="68"/>
      <c r="D2946" s="68"/>
      <c r="E2946" s="68"/>
      <c r="F2946" s="68"/>
      <c r="G2946" s="68"/>
      <c r="H2946" s="64" t="str">
        <f aca="false">IF(OR(A2946="",B2946=""),"",CONCATENATE("https://matarstund.is/serfaedi?id=",LOWER(SUBSTITUTE(B2946," ","-"))))</f>
        <v/>
      </c>
    </row>
    <row r="2947" customFormat="false" ht="15" hidden="false" customHeight="true" outlineLevel="0" collapsed="false">
      <c r="A2947" s="9"/>
      <c r="B2947" s="9"/>
      <c r="C2947" s="9"/>
      <c r="D2947" s="9"/>
      <c r="E2947" s="9"/>
      <c r="F2947" s="9"/>
      <c r="G2947" s="9"/>
      <c r="H2947" s="64" t="str">
        <f aca="false">IF(OR(A2947="",B2947=""),"",CONCATENATE("https://matarstund.is/serfaedi?id=",LOWER(SUBSTITUTE(B2947," ","-"))))</f>
        <v/>
      </c>
    </row>
    <row r="2948" customFormat="false" ht="15" hidden="false" customHeight="true" outlineLevel="0" collapsed="false">
      <c r="A2948" s="68"/>
      <c r="B2948" s="68"/>
      <c r="C2948" s="68"/>
      <c r="D2948" s="68"/>
      <c r="E2948" s="68"/>
      <c r="F2948" s="68"/>
      <c r="G2948" s="68"/>
      <c r="H2948" s="64" t="str">
        <f aca="false">IF(OR(A2948="",B2948=""),"",CONCATENATE("https://matarstund.is/serfaedi?id=",LOWER(SUBSTITUTE(B2948," ","-"))))</f>
        <v/>
      </c>
    </row>
    <row r="2949" customFormat="false" ht="15" hidden="false" customHeight="true" outlineLevel="0" collapsed="false">
      <c r="A2949" s="9"/>
      <c r="B2949" s="9"/>
      <c r="C2949" s="9"/>
      <c r="D2949" s="9"/>
      <c r="E2949" s="9"/>
      <c r="F2949" s="9"/>
      <c r="G2949" s="9"/>
      <c r="H2949" s="64" t="str">
        <f aca="false">IF(OR(A2949="",B2949=""),"",CONCATENATE("https://matarstund.is/serfaedi?id=",LOWER(SUBSTITUTE(B2949," ","-"))))</f>
        <v/>
      </c>
    </row>
    <row r="2950" customFormat="false" ht="15" hidden="false" customHeight="true" outlineLevel="0" collapsed="false">
      <c r="A2950" s="68"/>
      <c r="B2950" s="68"/>
      <c r="C2950" s="68"/>
      <c r="D2950" s="68"/>
      <c r="E2950" s="68"/>
      <c r="F2950" s="68"/>
      <c r="G2950" s="68"/>
      <c r="H2950" s="64" t="str">
        <f aca="false">IF(OR(A2950="",B2950=""),"",CONCATENATE("https://matarstund.is/serfaedi?id=",LOWER(SUBSTITUTE(B2950," ","-"))))</f>
        <v/>
      </c>
    </row>
    <row r="2951" customFormat="false" ht="15" hidden="false" customHeight="true" outlineLevel="0" collapsed="false">
      <c r="A2951" s="9"/>
      <c r="B2951" s="9"/>
      <c r="C2951" s="9"/>
      <c r="D2951" s="9"/>
      <c r="E2951" s="9"/>
      <c r="F2951" s="9"/>
      <c r="G2951" s="9"/>
      <c r="H2951" s="64" t="str">
        <f aca="false">IF(OR(A2951="",B2951=""),"",CONCATENATE("https://matarstund.is/serfaedi?id=",LOWER(SUBSTITUTE(B2951," ","-"))))</f>
        <v/>
      </c>
    </row>
    <row r="2952" customFormat="false" ht="15" hidden="false" customHeight="true" outlineLevel="0" collapsed="false">
      <c r="A2952" s="68"/>
      <c r="B2952" s="68"/>
      <c r="C2952" s="68"/>
      <c r="D2952" s="68"/>
      <c r="E2952" s="68"/>
      <c r="F2952" s="68"/>
      <c r="G2952" s="68"/>
      <c r="H2952" s="64" t="str">
        <f aca="false">IF(OR(A2952="",B2952=""),"",CONCATENATE("https://matarstund.is/serfaedi?id=",LOWER(SUBSTITUTE(B2952," ","-"))))</f>
        <v/>
      </c>
    </row>
    <row r="2953" customFormat="false" ht="15" hidden="false" customHeight="true" outlineLevel="0" collapsed="false">
      <c r="A2953" s="9"/>
      <c r="B2953" s="9"/>
      <c r="C2953" s="9"/>
      <c r="D2953" s="9"/>
      <c r="E2953" s="9"/>
      <c r="F2953" s="9"/>
      <c r="G2953" s="9"/>
      <c r="H2953" s="64" t="str">
        <f aca="false">IF(OR(A2953="",B2953=""),"",CONCATENATE("https://matarstund.is/serfaedi?id=",LOWER(SUBSTITUTE(B2953," ","-"))))</f>
        <v/>
      </c>
    </row>
    <row r="2954" customFormat="false" ht="15" hidden="false" customHeight="true" outlineLevel="0" collapsed="false">
      <c r="A2954" s="68"/>
      <c r="B2954" s="68"/>
      <c r="C2954" s="68"/>
      <c r="D2954" s="68"/>
      <c r="E2954" s="68"/>
      <c r="F2954" s="68"/>
      <c r="G2954" s="68"/>
      <c r="H2954" s="64" t="str">
        <f aca="false">IF(OR(A2954="",B2954=""),"",CONCATENATE("https://matarstund.is/serfaedi?id=",LOWER(SUBSTITUTE(B2954," ","-"))))</f>
        <v/>
      </c>
    </row>
    <row r="2955" customFormat="false" ht="15" hidden="false" customHeight="true" outlineLevel="0" collapsed="false">
      <c r="A2955" s="9"/>
      <c r="B2955" s="9"/>
      <c r="C2955" s="9"/>
      <c r="D2955" s="9"/>
      <c r="E2955" s="9"/>
      <c r="F2955" s="9"/>
      <c r="G2955" s="9"/>
      <c r="H2955" s="64" t="str">
        <f aca="false">IF(OR(A2955="",B2955=""),"",CONCATENATE("https://matarstund.is/serfaedi?id=",LOWER(SUBSTITUTE(B2955," ","-"))))</f>
        <v/>
      </c>
    </row>
    <row r="2956" customFormat="false" ht="15" hidden="false" customHeight="true" outlineLevel="0" collapsed="false">
      <c r="A2956" s="68"/>
      <c r="B2956" s="68"/>
      <c r="C2956" s="68"/>
      <c r="D2956" s="68"/>
      <c r="E2956" s="68"/>
      <c r="F2956" s="68"/>
      <c r="G2956" s="68"/>
      <c r="H2956" s="64" t="str">
        <f aca="false">IF(OR(A2956="",B2956=""),"",CONCATENATE("https://matarstund.is/serfaedi?id=",LOWER(SUBSTITUTE(B2956," ","-"))))</f>
        <v/>
      </c>
    </row>
    <row r="2957" customFormat="false" ht="15" hidden="false" customHeight="true" outlineLevel="0" collapsed="false">
      <c r="A2957" s="9"/>
      <c r="B2957" s="9"/>
      <c r="C2957" s="9"/>
      <c r="D2957" s="9"/>
      <c r="E2957" s="9"/>
      <c r="F2957" s="9"/>
      <c r="G2957" s="9"/>
      <c r="H2957" s="64" t="str">
        <f aca="false">IF(OR(A2957="",B2957=""),"",CONCATENATE("https://matarstund.is/serfaedi?id=",LOWER(SUBSTITUTE(B2957," ","-"))))</f>
        <v/>
      </c>
    </row>
    <row r="2958" customFormat="false" ht="15" hidden="false" customHeight="true" outlineLevel="0" collapsed="false">
      <c r="A2958" s="68"/>
      <c r="B2958" s="68"/>
      <c r="C2958" s="68"/>
      <c r="D2958" s="68"/>
      <c r="E2958" s="68"/>
      <c r="F2958" s="68"/>
      <c r="G2958" s="68"/>
      <c r="H2958" s="64" t="str">
        <f aca="false">IF(OR(A2958="",B2958=""),"",CONCATENATE("https://matarstund.is/serfaedi?id=",LOWER(SUBSTITUTE(B2958," ","-"))))</f>
        <v/>
      </c>
    </row>
    <row r="2959" customFormat="false" ht="15" hidden="false" customHeight="true" outlineLevel="0" collapsed="false">
      <c r="A2959" s="9"/>
      <c r="B2959" s="9"/>
      <c r="C2959" s="9"/>
      <c r="D2959" s="9"/>
      <c r="E2959" s="9"/>
      <c r="F2959" s="9"/>
      <c r="G2959" s="9"/>
      <c r="H2959" s="64" t="str">
        <f aca="false">IF(OR(A2959="",B2959=""),"",CONCATENATE("https://matarstund.is/serfaedi?id=",LOWER(SUBSTITUTE(B2959," ","-"))))</f>
        <v/>
      </c>
    </row>
    <row r="2960" customFormat="false" ht="15" hidden="false" customHeight="true" outlineLevel="0" collapsed="false">
      <c r="A2960" s="68"/>
      <c r="B2960" s="68"/>
      <c r="C2960" s="68"/>
      <c r="D2960" s="68"/>
      <c r="E2960" s="68"/>
      <c r="F2960" s="68"/>
      <c r="G2960" s="68"/>
      <c r="H2960" s="64" t="str">
        <f aca="false">IF(OR(A2960="",B2960=""),"",CONCATENATE("https://matarstund.is/serfaedi?id=",LOWER(SUBSTITUTE(B2960," ","-"))))</f>
        <v/>
      </c>
    </row>
    <row r="2961" customFormat="false" ht="15" hidden="false" customHeight="true" outlineLevel="0" collapsed="false">
      <c r="A2961" s="9"/>
      <c r="B2961" s="9"/>
      <c r="C2961" s="9"/>
      <c r="D2961" s="9"/>
      <c r="E2961" s="9"/>
      <c r="F2961" s="9"/>
      <c r="G2961" s="9"/>
      <c r="H2961" s="64" t="str">
        <f aca="false">IF(OR(A2961="",B2961=""),"",CONCATENATE("https://matarstund.is/serfaedi?id=",LOWER(SUBSTITUTE(B2961," ","-"))))</f>
        <v/>
      </c>
    </row>
    <row r="2962" customFormat="false" ht="15" hidden="false" customHeight="true" outlineLevel="0" collapsed="false">
      <c r="A2962" s="68"/>
      <c r="B2962" s="68"/>
      <c r="C2962" s="68"/>
      <c r="D2962" s="68"/>
      <c r="E2962" s="68"/>
      <c r="F2962" s="68"/>
      <c r="G2962" s="68"/>
      <c r="H2962" s="64" t="str">
        <f aca="false">IF(OR(A2962="",B2962=""),"",CONCATENATE("https://matarstund.is/serfaedi?id=",LOWER(SUBSTITUTE(B2962," ","-"))))</f>
        <v/>
      </c>
    </row>
    <row r="2963" customFormat="false" ht="15" hidden="false" customHeight="true" outlineLevel="0" collapsed="false">
      <c r="A2963" s="9"/>
      <c r="B2963" s="9"/>
      <c r="C2963" s="9"/>
      <c r="D2963" s="9"/>
      <c r="E2963" s="9"/>
      <c r="F2963" s="9"/>
      <c r="G2963" s="9"/>
      <c r="H2963" s="64" t="str">
        <f aca="false">IF(OR(A2963="",B2963=""),"",CONCATENATE("https://matarstund.is/serfaedi?id=",LOWER(SUBSTITUTE(B2963," ","-"))))</f>
        <v/>
      </c>
    </row>
    <row r="2964" customFormat="false" ht="15" hidden="false" customHeight="true" outlineLevel="0" collapsed="false">
      <c r="A2964" s="68"/>
      <c r="B2964" s="68"/>
      <c r="C2964" s="68"/>
      <c r="D2964" s="68"/>
      <c r="E2964" s="68"/>
      <c r="F2964" s="68"/>
      <c r="G2964" s="68"/>
      <c r="H2964" s="64" t="str">
        <f aca="false">IF(OR(A2964="",B2964=""),"",CONCATENATE("https://matarstund.is/serfaedi?id=",LOWER(SUBSTITUTE(B2964," ","-"))))</f>
        <v/>
      </c>
    </row>
    <row r="2965" customFormat="false" ht="15" hidden="false" customHeight="true" outlineLevel="0" collapsed="false">
      <c r="A2965" s="9"/>
      <c r="B2965" s="9"/>
      <c r="C2965" s="9"/>
      <c r="D2965" s="9"/>
      <c r="E2965" s="9"/>
      <c r="F2965" s="9"/>
      <c r="G2965" s="9"/>
      <c r="H2965" s="64" t="str">
        <f aca="false">IF(OR(A2965="",B2965=""),"",CONCATENATE("https://matarstund.is/serfaedi?id=",LOWER(SUBSTITUTE(B2965," ","-"))))</f>
        <v/>
      </c>
    </row>
    <row r="2966" customFormat="false" ht="15" hidden="false" customHeight="true" outlineLevel="0" collapsed="false">
      <c r="A2966" s="68"/>
      <c r="B2966" s="68"/>
      <c r="C2966" s="68"/>
      <c r="D2966" s="68"/>
      <c r="E2966" s="68"/>
      <c r="F2966" s="68"/>
      <c r="G2966" s="68"/>
      <c r="H2966" s="64" t="str">
        <f aca="false">IF(OR(A2966="",B2966=""),"",CONCATENATE("https://matarstund.is/serfaedi?id=",LOWER(SUBSTITUTE(B2966," ","-"))))</f>
        <v/>
      </c>
    </row>
    <row r="2967" customFormat="false" ht="15" hidden="false" customHeight="true" outlineLevel="0" collapsed="false">
      <c r="A2967" s="9"/>
      <c r="B2967" s="9"/>
      <c r="C2967" s="9"/>
      <c r="D2967" s="9"/>
      <c r="E2967" s="9"/>
      <c r="F2967" s="9"/>
      <c r="G2967" s="9"/>
      <c r="H2967" s="64" t="str">
        <f aca="false">IF(OR(A2967="",B2967=""),"",CONCATENATE("https://matarstund.is/serfaedi?id=",LOWER(SUBSTITUTE(B2967," ","-"))))</f>
        <v/>
      </c>
    </row>
    <row r="2968" customFormat="false" ht="15" hidden="false" customHeight="true" outlineLevel="0" collapsed="false">
      <c r="A2968" s="68"/>
      <c r="B2968" s="68"/>
      <c r="C2968" s="68"/>
      <c r="D2968" s="68"/>
      <c r="E2968" s="68"/>
      <c r="F2968" s="68"/>
      <c r="G2968" s="68"/>
      <c r="H2968" s="64" t="str">
        <f aca="false">IF(OR(A2968="",B2968=""),"",CONCATENATE("https://matarstund.is/serfaedi?id=",LOWER(SUBSTITUTE(B2968," ","-"))))</f>
        <v/>
      </c>
    </row>
    <row r="2969" customFormat="false" ht="15" hidden="false" customHeight="true" outlineLevel="0" collapsed="false">
      <c r="A2969" s="9"/>
      <c r="B2969" s="9"/>
      <c r="C2969" s="9"/>
      <c r="D2969" s="9"/>
      <c r="E2969" s="9"/>
      <c r="F2969" s="9"/>
      <c r="G2969" s="9"/>
      <c r="H2969" s="64" t="str">
        <f aca="false">IF(OR(A2969="",B2969=""),"",CONCATENATE("https://matarstund.is/serfaedi?id=",LOWER(SUBSTITUTE(B2969," ","-"))))</f>
        <v/>
      </c>
    </row>
    <row r="2970" customFormat="false" ht="15" hidden="false" customHeight="true" outlineLevel="0" collapsed="false">
      <c r="A2970" s="68"/>
      <c r="B2970" s="68"/>
      <c r="C2970" s="68"/>
      <c r="D2970" s="68"/>
      <c r="E2970" s="68"/>
      <c r="F2970" s="68"/>
      <c r="G2970" s="68"/>
      <c r="H2970" s="64" t="str">
        <f aca="false">IF(OR(A2970="",B2970=""),"",CONCATENATE("https://matarstund.is/serfaedi?id=",LOWER(SUBSTITUTE(B2970," ","-"))))</f>
        <v/>
      </c>
    </row>
    <row r="2971" customFormat="false" ht="15" hidden="false" customHeight="true" outlineLevel="0" collapsed="false">
      <c r="A2971" s="9"/>
      <c r="B2971" s="9"/>
      <c r="C2971" s="9"/>
      <c r="D2971" s="9"/>
      <c r="E2971" s="9"/>
      <c r="F2971" s="9"/>
      <c r="G2971" s="9"/>
      <c r="H2971" s="64" t="str">
        <f aca="false">IF(OR(A2971="",B2971=""),"",CONCATENATE("https://matarstund.is/serfaedi?id=",LOWER(SUBSTITUTE(B2971," ","-"))))</f>
        <v/>
      </c>
    </row>
    <row r="2972" customFormat="false" ht="15" hidden="false" customHeight="true" outlineLevel="0" collapsed="false">
      <c r="A2972" s="68"/>
      <c r="B2972" s="68"/>
      <c r="C2972" s="68"/>
      <c r="D2972" s="68"/>
      <c r="E2972" s="68"/>
      <c r="F2972" s="68"/>
      <c r="G2972" s="68"/>
      <c r="H2972" s="64" t="str">
        <f aca="false">IF(OR(A2972="",B2972=""),"",CONCATENATE("https://matarstund.is/serfaedi?id=",LOWER(SUBSTITUTE(B2972," ","-"))))</f>
        <v/>
      </c>
    </row>
    <row r="2973" customFormat="false" ht="15" hidden="false" customHeight="true" outlineLevel="0" collapsed="false">
      <c r="A2973" s="9"/>
      <c r="B2973" s="9"/>
      <c r="C2973" s="9"/>
      <c r="D2973" s="9"/>
      <c r="E2973" s="9"/>
      <c r="F2973" s="9"/>
      <c r="G2973" s="9"/>
      <c r="H2973" s="64" t="str">
        <f aca="false">IF(OR(A2973="",B2973=""),"",CONCATENATE("https://matarstund.is/serfaedi?id=",LOWER(SUBSTITUTE(B2973," ","-"))))</f>
        <v/>
      </c>
    </row>
    <row r="2974" customFormat="false" ht="15" hidden="false" customHeight="true" outlineLevel="0" collapsed="false">
      <c r="A2974" s="68"/>
      <c r="B2974" s="68"/>
      <c r="C2974" s="68"/>
      <c r="D2974" s="68"/>
      <c r="E2974" s="68"/>
      <c r="F2974" s="68"/>
      <c r="G2974" s="68"/>
      <c r="H2974" s="64" t="str">
        <f aca="false">IF(OR(A2974="",B2974=""),"",CONCATENATE("https://matarstund.is/serfaedi?id=",LOWER(SUBSTITUTE(B2974," ","-"))))</f>
        <v/>
      </c>
    </row>
    <row r="2975" customFormat="false" ht="15" hidden="false" customHeight="true" outlineLevel="0" collapsed="false">
      <c r="A2975" s="9"/>
      <c r="B2975" s="9"/>
      <c r="C2975" s="9"/>
      <c r="D2975" s="9"/>
      <c r="E2975" s="9"/>
      <c r="F2975" s="9"/>
      <c r="G2975" s="9"/>
      <c r="H2975" s="64" t="str">
        <f aca="false">IF(OR(A2975="",B2975=""),"",CONCATENATE("https://matarstund.is/serfaedi?id=",LOWER(SUBSTITUTE(B2975," ","-"))))</f>
        <v/>
      </c>
    </row>
    <row r="2976" customFormat="false" ht="15" hidden="false" customHeight="true" outlineLevel="0" collapsed="false">
      <c r="A2976" s="68"/>
      <c r="B2976" s="68"/>
      <c r="C2976" s="68"/>
      <c r="D2976" s="68"/>
      <c r="E2976" s="68"/>
      <c r="F2976" s="68"/>
      <c r="G2976" s="68"/>
      <c r="H2976" s="64" t="str">
        <f aca="false">IF(OR(A2976="",B2976=""),"",CONCATENATE("https://matarstund.is/serfaedi?id=",LOWER(SUBSTITUTE(B2976," ","-"))))</f>
        <v/>
      </c>
    </row>
    <row r="2977" customFormat="false" ht="15" hidden="false" customHeight="true" outlineLevel="0" collapsed="false">
      <c r="A2977" s="9"/>
      <c r="B2977" s="9"/>
      <c r="C2977" s="9"/>
      <c r="D2977" s="9"/>
      <c r="E2977" s="9"/>
      <c r="F2977" s="9"/>
      <c r="G2977" s="9"/>
      <c r="H2977" s="64" t="str">
        <f aca="false">IF(OR(A2977="",B2977=""),"",CONCATENATE("https://matarstund.is/serfaedi?id=",LOWER(SUBSTITUTE(B2977," ","-"))))</f>
        <v/>
      </c>
    </row>
    <row r="2978" customFormat="false" ht="15" hidden="false" customHeight="true" outlineLevel="0" collapsed="false">
      <c r="A2978" s="68"/>
      <c r="B2978" s="68"/>
      <c r="C2978" s="68"/>
      <c r="D2978" s="68"/>
      <c r="E2978" s="68"/>
      <c r="F2978" s="68"/>
      <c r="G2978" s="68"/>
      <c r="H2978" s="64" t="str">
        <f aca="false">IF(OR(A2978="",B2978=""),"",CONCATENATE("https://matarstund.is/serfaedi?id=",LOWER(SUBSTITUTE(B2978," ","-"))))</f>
        <v/>
      </c>
    </row>
    <row r="2979" customFormat="false" ht="15" hidden="false" customHeight="true" outlineLevel="0" collapsed="false">
      <c r="A2979" s="9"/>
      <c r="B2979" s="9"/>
      <c r="C2979" s="9"/>
      <c r="D2979" s="9"/>
      <c r="E2979" s="9"/>
      <c r="F2979" s="9"/>
      <c r="G2979" s="9"/>
      <c r="H2979" s="64" t="str">
        <f aca="false">IF(OR(A2979="",B2979=""),"",CONCATENATE("https://matarstund.is/serfaedi?id=",LOWER(SUBSTITUTE(B2979," ","-"))))</f>
        <v/>
      </c>
    </row>
    <row r="2980" customFormat="false" ht="15" hidden="false" customHeight="true" outlineLevel="0" collapsed="false">
      <c r="A2980" s="68"/>
      <c r="B2980" s="68"/>
      <c r="C2980" s="68"/>
      <c r="D2980" s="68"/>
      <c r="E2980" s="68"/>
      <c r="F2980" s="68"/>
      <c r="G2980" s="68"/>
      <c r="H2980" s="64" t="str">
        <f aca="false">IF(OR(A2980="",B2980=""),"",CONCATENATE("https://matarstund.is/serfaedi?id=",LOWER(SUBSTITUTE(B2980," ","-"))))</f>
        <v/>
      </c>
    </row>
    <row r="2981" customFormat="false" ht="15" hidden="false" customHeight="true" outlineLevel="0" collapsed="false">
      <c r="A2981" s="9"/>
      <c r="B2981" s="9"/>
      <c r="C2981" s="9"/>
      <c r="D2981" s="9"/>
      <c r="E2981" s="9"/>
      <c r="F2981" s="9"/>
      <c r="G2981" s="9"/>
      <c r="H2981" s="64" t="str">
        <f aca="false">IF(OR(A2981="",B2981=""),"",CONCATENATE("https://matarstund.is/serfaedi?id=",LOWER(SUBSTITUTE(B2981," ","-"))))</f>
        <v/>
      </c>
    </row>
    <row r="2982" customFormat="false" ht="15" hidden="false" customHeight="true" outlineLevel="0" collapsed="false">
      <c r="A2982" s="68"/>
      <c r="B2982" s="68"/>
      <c r="C2982" s="68"/>
      <c r="D2982" s="68"/>
      <c r="E2982" s="68"/>
      <c r="F2982" s="68"/>
      <c r="G2982" s="68"/>
      <c r="H2982" s="64" t="str">
        <f aca="false">IF(OR(A2982="",B2982=""),"",CONCATENATE("https://matarstund.is/serfaedi?id=",LOWER(SUBSTITUTE(B2982," ","-"))))</f>
        <v/>
      </c>
    </row>
    <row r="2983" customFormat="false" ht="15" hidden="false" customHeight="true" outlineLevel="0" collapsed="false">
      <c r="A2983" s="9"/>
      <c r="B2983" s="9"/>
      <c r="C2983" s="9"/>
      <c r="D2983" s="9"/>
      <c r="E2983" s="9"/>
      <c r="F2983" s="9"/>
      <c r="G2983" s="9"/>
      <c r="H2983" s="64" t="str">
        <f aca="false">IF(OR(A2983="",B2983=""),"",CONCATENATE("https://matarstund.is/serfaedi?id=",LOWER(SUBSTITUTE(B2983," ","-"))))</f>
        <v/>
      </c>
    </row>
    <row r="2984" customFormat="false" ht="15" hidden="false" customHeight="true" outlineLevel="0" collapsed="false">
      <c r="A2984" s="68"/>
      <c r="B2984" s="68"/>
      <c r="C2984" s="68"/>
      <c r="D2984" s="68"/>
      <c r="E2984" s="68"/>
      <c r="F2984" s="68"/>
      <c r="G2984" s="68"/>
      <c r="H2984" s="64" t="str">
        <f aca="false">IF(OR(A2984="",B2984=""),"",CONCATENATE("https://matarstund.is/serfaedi?id=",LOWER(SUBSTITUTE(B2984," ","-"))))</f>
        <v/>
      </c>
    </row>
    <row r="2985" customFormat="false" ht="15" hidden="false" customHeight="true" outlineLevel="0" collapsed="false">
      <c r="A2985" s="9"/>
      <c r="B2985" s="9"/>
      <c r="C2985" s="9"/>
      <c r="D2985" s="9"/>
      <c r="E2985" s="9"/>
      <c r="F2985" s="9"/>
      <c r="G2985" s="9"/>
      <c r="H2985" s="64" t="str">
        <f aca="false">IF(OR(A2985="",B2985=""),"",CONCATENATE("https://matarstund.is/serfaedi?id=",LOWER(SUBSTITUTE(B2985," ","-"))))</f>
        <v/>
      </c>
    </row>
    <row r="2986" customFormat="false" ht="15" hidden="false" customHeight="true" outlineLevel="0" collapsed="false">
      <c r="A2986" s="68"/>
      <c r="B2986" s="68"/>
      <c r="C2986" s="68"/>
      <c r="D2986" s="68"/>
      <c r="E2986" s="68"/>
      <c r="F2986" s="68"/>
      <c r="G2986" s="68"/>
      <c r="H2986" s="64" t="str">
        <f aca="false">IF(OR(A2986="",B2986=""),"",CONCATENATE("https://matarstund.is/serfaedi?id=",LOWER(SUBSTITUTE(B2986," ","-"))))</f>
        <v/>
      </c>
    </row>
    <row r="2987" customFormat="false" ht="15" hidden="false" customHeight="true" outlineLevel="0" collapsed="false">
      <c r="A2987" s="9"/>
      <c r="B2987" s="9"/>
      <c r="C2987" s="9"/>
      <c r="D2987" s="9"/>
      <c r="E2987" s="9"/>
      <c r="F2987" s="9"/>
      <c r="G2987" s="9"/>
      <c r="H2987" s="64" t="str">
        <f aca="false">IF(OR(A2987="",B2987=""),"",CONCATENATE("https://matarstund.is/serfaedi?id=",LOWER(SUBSTITUTE(B2987," ","-"))))</f>
        <v/>
      </c>
    </row>
    <row r="2988" customFormat="false" ht="15" hidden="false" customHeight="true" outlineLevel="0" collapsed="false">
      <c r="A2988" s="68"/>
      <c r="B2988" s="68"/>
      <c r="C2988" s="68"/>
      <c r="D2988" s="68"/>
      <c r="E2988" s="68"/>
      <c r="F2988" s="68"/>
      <c r="G2988" s="68"/>
      <c r="H2988" s="64" t="str">
        <f aca="false">IF(OR(A2988="",B2988=""),"",CONCATENATE("https://matarstund.is/serfaedi?id=",LOWER(SUBSTITUTE(B2988," ","-"))))</f>
        <v/>
      </c>
    </row>
    <row r="2989" customFormat="false" ht="15" hidden="false" customHeight="true" outlineLevel="0" collapsed="false">
      <c r="A2989" s="9"/>
      <c r="B2989" s="9"/>
      <c r="C2989" s="9"/>
      <c r="D2989" s="9"/>
      <c r="E2989" s="9"/>
      <c r="F2989" s="9"/>
      <c r="G2989" s="9"/>
      <c r="H2989" s="64" t="str">
        <f aca="false">IF(OR(A2989="",B2989=""),"",CONCATENATE("https://matarstund.is/serfaedi?id=",LOWER(SUBSTITUTE(B2989," ","-"))))</f>
        <v/>
      </c>
    </row>
    <row r="2990" customFormat="false" ht="15" hidden="false" customHeight="true" outlineLevel="0" collapsed="false">
      <c r="A2990" s="68"/>
      <c r="B2990" s="68"/>
      <c r="C2990" s="68"/>
      <c r="D2990" s="68"/>
      <c r="E2990" s="68"/>
      <c r="F2990" s="68"/>
      <c r="G2990" s="68"/>
      <c r="H2990" s="64" t="str">
        <f aca="false">IF(OR(A2990="",B2990=""),"",CONCATENATE("https://matarstund.is/serfaedi?id=",LOWER(SUBSTITUTE(B2990," ","-"))))</f>
        <v/>
      </c>
    </row>
    <row r="2991" customFormat="false" ht="15" hidden="false" customHeight="true" outlineLevel="0" collapsed="false">
      <c r="A2991" s="9"/>
      <c r="B2991" s="9"/>
      <c r="C2991" s="9"/>
      <c r="D2991" s="9"/>
      <c r="E2991" s="9"/>
      <c r="F2991" s="9"/>
      <c r="G2991" s="9"/>
      <c r="H2991" s="64" t="str">
        <f aca="false">IF(OR(A2991="",B2991=""),"",CONCATENATE("https://matarstund.is/serfaedi?id=",LOWER(SUBSTITUTE(B2991," ","-"))))</f>
        <v/>
      </c>
    </row>
    <row r="2992" customFormat="false" ht="15" hidden="false" customHeight="true" outlineLevel="0" collapsed="false">
      <c r="A2992" s="68"/>
      <c r="B2992" s="68"/>
      <c r="C2992" s="68"/>
      <c r="D2992" s="68"/>
      <c r="E2992" s="68"/>
      <c r="F2992" s="68"/>
      <c r="G2992" s="68"/>
      <c r="H2992" s="64" t="str">
        <f aca="false">IF(OR(A2992="",B2992=""),"",CONCATENATE("https://matarstund.is/serfaedi?id=",LOWER(SUBSTITUTE(B2992," ","-"))))</f>
        <v/>
      </c>
    </row>
    <row r="2993" customFormat="false" ht="15" hidden="false" customHeight="true" outlineLevel="0" collapsed="false">
      <c r="A2993" s="9"/>
      <c r="B2993" s="9"/>
      <c r="C2993" s="9"/>
      <c r="D2993" s="9"/>
      <c r="E2993" s="9"/>
      <c r="F2993" s="9"/>
      <c r="G2993" s="9"/>
      <c r="H2993" s="64" t="str">
        <f aca="false">IF(OR(A2993="",B2993=""),"",CONCATENATE("https://matarstund.is/serfaedi?id=",LOWER(SUBSTITUTE(B2993," ","-"))))</f>
        <v/>
      </c>
    </row>
    <row r="2994" customFormat="false" ht="15" hidden="false" customHeight="true" outlineLevel="0" collapsed="false">
      <c r="A2994" s="68"/>
      <c r="B2994" s="68"/>
      <c r="C2994" s="68"/>
      <c r="D2994" s="68"/>
      <c r="E2994" s="68"/>
      <c r="F2994" s="68"/>
      <c r="G2994" s="68"/>
      <c r="H2994" s="64" t="str">
        <f aca="false">IF(OR(A2994="",B2994=""),"",CONCATENATE("https://matarstund.is/serfaedi?id=",LOWER(SUBSTITUTE(B2994," ","-"))))</f>
        <v/>
      </c>
    </row>
    <row r="2995" customFormat="false" ht="15" hidden="false" customHeight="true" outlineLevel="0" collapsed="false">
      <c r="A2995" s="9"/>
      <c r="B2995" s="9"/>
      <c r="C2995" s="9"/>
      <c r="D2995" s="9"/>
      <c r="E2995" s="9"/>
      <c r="F2995" s="9"/>
      <c r="G2995" s="9"/>
      <c r="H2995" s="64" t="str">
        <f aca="false">IF(OR(A2995="",B2995=""),"",CONCATENATE("https://matarstund.is/serfaedi?id=",LOWER(SUBSTITUTE(B2995," ","-"))))</f>
        <v/>
      </c>
    </row>
    <row r="2996" customFormat="false" ht="15" hidden="false" customHeight="true" outlineLevel="0" collapsed="false">
      <c r="A2996" s="68"/>
      <c r="B2996" s="68"/>
      <c r="C2996" s="68"/>
      <c r="D2996" s="68"/>
      <c r="E2996" s="68"/>
      <c r="F2996" s="68"/>
      <c r="G2996" s="68"/>
      <c r="H2996" s="64" t="str">
        <f aca="false">IF(OR(A2996="",B2996=""),"",CONCATENATE("https://matarstund.is/serfaedi?id=",LOWER(SUBSTITUTE(B2996," ","-"))))</f>
        <v/>
      </c>
    </row>
    <row r="2997" customFormat="false" ht="15" hidden="false" customHeight="true" outlineLevel="0" collapsed="false">
      <c r="A2997" s="9"/>
      <c r="B2997" s="9"/>
      <c r="C2997" s="9"/>
      <c r="D2997" s="9"/>
      <c r="E2997" s="9"/>
      <c r="F2997" s="9"/>
      <c r="G2997" s="9"/>
      <c r="H2997" s="64" t="str">
        <f aca="false">IF(OR(A2997="",B2997=""),"",CONCATENATE("https://matarstund.is/serfaedi?id=",LOWER(SUBSTITUTE(B2997," ","-"))))</f>
        <v/>
      </c>
    </row>
    <row r="2998" customFormat="false" ht="15" hidden="false" customHeight="true" outlineLevel="0" collapsed="false">
      <c r="A2998" s="68"/>
      <c r="B2998" s="68"/>
      <c r="C2998" s="68"/>
      <c r="D2998" s="68"/>
      <c r="E2998" s="68"/>
      <c r="F2998" s="68"/>
      <c r="G2998" s="68"/>
      <c r="H2998" s="64" t="str">
        <f aca="false">IF(OR(A2998="",B2998=""),"",CONCATENATE("https://matarstund.is/serfaedi?id=",LOWER(SUBSTITUTE(B2998," ","-"))))</f>
        <v/>
      </c>
    </row>
    <row r="2999" customFormat="false" ht="15" hidden="false" customHeight="true" outlineLevel="0" collapsed="false">
      <c r="A2999" s="9"/>
      <c r="B2999" s="9"/>
      <c r="C2999" s="9"/>
      <c r="D2999" s="9"/>
      <c r="E2999" s="9"/>
      <c r="F2999" s="9"/>
      <c r="G2999" s="9"/>
      <c r="H2999" s="64" t="str">
        <f aca="false">IF(OR(A2999="",B2999=""),"",CONCATENATE("https://matarstund.is/serfaedi?id=",LOWER(SUBSTITUTE(B2999," ","-"))))</f>
        <v/>
      </c>
    </row>
    <row r="3000" customFormat="false" ht="15" hidden="false" customHeight="true" outlineLevel="0" collapsed="false">
      <c r="A3000" s="68"/>
      <c r="B3000" s="68"/>
      <c r="C3000" s="68"/>
      <c r="D3000" s="68"/>
      <c r="E3000" s="68"/>
      <c r="F3000" s="68"/>
      <c r="G3000" s="68"/>
      <c r="H3000" s="64"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9" t="s">
        <v>2291</v>
      </c>
      <c r="B1" s="69"/>
      <c r="C1" s="69"/>
      <c r="D1" s="69"/>
      <c r="E1" s="69"/>
      <c r="F1" s="69"/>
      <c r="G1" s="69"/>
      <c r="H1" s="69"/>
      <c r="I1" s="69"/>
    </row>
    <row r="2" customFormat="false" ht="43.5" hidden="false" customHeight="true" outlineLevel="0" collapsed="false">
      <c r="A2" s="58" t="s">
        <v>2292</v>
      </c>
      <c r="B2" s="58"/>
      <c r="C2" s="58"/>
      <c r="D2" s="58"/>
      <c r="E2" s="58"/>
      <c r="F2" s="58"/>
      <c r="G2" s="58"/>
      <c r="H2" s="58"/>
      <c r="I2" s="58"/>
      <c r="J2" s="58"/>
      <c r="K2" s="58"/>
    </row>
    <row r="3" customFormat="false" ht="27.75" hidden="false" customHeight="true" outlineLevel="0" collapsed="false">
      <c r="A3" s="60" t="s">
        <v>872</v>
      </c>
      <c r="B3" s="60"/>
      <c r="C3" s="60"/>
      <c r="D3" s="60"/>
      <c r="E3" s="60"/>
      <c r="F3" s="60"/>
      <c r="G3" s="60"/>
      <c r="H3" s="60"/>
      <c r="I3" s="60"/>
      <c r="J3" s="19" t="s">
        <v>769</v>
      </c>
      <c r="K3" s="19" t="s">
        <v>2293</v>
      </c>
    </row>
    <row r="4" customFormat="false" ht="15" hidden="false" customHeight="true" outlineLevel="0" collapsed="false">
      <c r="A4" s="70" t="s">
        <v>2294</v>
      </c>
      <c r="B4" s="71"/>
      <c r="C4" s="71"/>
      <c r="D4" s="71"/>
      <c r="E4" s="71"/>
      <c r="F4" s="71"/>
      <c r="G4" s="71"/>
      <c r="H4" s="71"/>
      <c r="I4" s="72"/>
    </row>
    <row r="5" customFormat="false" ht="15" hidden="false" customHeight="true" outlineLevel="0" collapsed="false">
      <c r="A5" s="73" t="s">
        <v>2295</v>
      </c>
      <c r="B5" s="74" t="n">
        <v>46216</v>
      </c>
      <c r="C5" s="74" t="n">
        <v>46237</v>
      </c>
      <c r="D5" s="73" t="s">
        <v>2296</v>
      </c>
      <c r="E5" s="73"/>
      <c r="F5" s="73" t="s">
        <v>2297</v>
      </c>
      <c r="G5" s="75"/>
      <c r="H5" s="75"/>
      <c r="I5" s="73" t="s">
        <v>2298</v>
      </c>
      <c r="J5" s="31"/>
      <c r="K5" s="32"/>
    </row>
    <row r="6" customFormat="false" ht="15" hidden="false" customHeight="true" outlineLevel="0" collapsed="false">
      <c r="A6" s="9" t="s">
        <v>1673</v>
      </c>
      <c r="B6" s="76" t="n">
        <v>46216</v>
      </c>
      <c r="C6" s="76" t="n">
        <v>46222</v>
      </c>
      <c r="D6" s="9" t="s">
        <v>2299</v>
      </c>
      <c r="E6" s="9"/>
      <c r="F6" s="9" t="s">
        <v>2300</v>
      </c>
      <c r="G6" s="33"/>
      <c r="H6" s="33"/>
      <c r="I6" s="9" t="s">
        <v>2301</v>
      </c>
      <c r="J6" s="33"/>
      <c r="K6" s="9"/>
    </row>
    <row r="7" customFormat="false" ht="15" hidden="false" customHeight="true" outlineLevel="0" collapsed="false">
      <c r="A7" s="73" t="s">
        <v>2302</v>
      </c>
      <c r="B7" s="74" t="n">
        <v>46187</v>
      </c>
      <c r="C7" s="74" t="n">
        <v>46259</v>
      </c>
      <c r="D7" s="73" t="s">
        <v>2296</v>
      </c>
      <c r="E7" s="73"/>
      <c r="F7" s="73" t="s">
        <v>2303</v>
      </c>
      <c r="G7" s="75"/>
      <c r="H7" s="75"/>
      <c r="I7" s="73" t="s">
        <v>2304</v>
      </c>
      <c r="J7" s="31"/>
      <c r="K7" s="32"/>
    </row>
    <row r="8" customFormat="false" ht="15" hidden="false" customHeight="true" outlineLevel="0" collapsed="false">
      <c r="A8" s="9"/>
      <c r="B8" s="76"/>
      <c r="C8" s="76"/>
      <c r="D8" s="9"/>
      <c r="E8" s="9"/>
      <c r="F8" s="9"/>
      <c r="G8" s="33"/>
      <c r="H8" s="33"/>
      <c r="I8" s="9"/>
      <c r="J8" s="33"/>
      <c r="K8" s="9"/>
    </row>
    <row r="9" customFormat="false" ht="15" hidden="false" customHeight="true" outlineLevel="0" collapsed="false">
      <c r="A9" s="73"/>
      <c r="B9" s="74"/>
      <c r="C9" s="74"/>
      <c r="D9" s="73"/>
      <c r="E9" s="73"/>
      <c r="F9" s="73"/>
      <c r="G9" s="75"/>
      <c r="H9" s="75"/>
      <c r="I9" s="73"/>
      <c r="J9" s="31"/>
      <c r="K9" s="32"/>
    </row>
    <row r="10" customFormat="false" ht="15" hidden="false" customHeight="true" outlineLevel="0" collapsed="false">
      <c r="A10" s="9"/>
      <c r="B10" s="76"/>
      <c r="C10" s="76"/>
      <c r="D10" s="9"/>
      <c r="E10" s="9"/>
      <c r="F10" s="9"/>
      <c r="G10" s="33"/>
      <c r="H10" s="33"/>
      <c r="I10" s="9"/>
      <c r="J10" s="33"/>
      <c r="K10" s="9"/>
    </row>
    <row r="11" customFormat="false" ht="15" hidden="false" customHeight="true" outlineLevel="0" collapsed="false">
      <c r="A11" s="73"/>
      <c r="B11" s="74"/>
      <c r="C11" s="74"/>
      <c r="D11" s="73"/>
      <c r="E11" s="73"/>
      <c r="F11" s="73"/>
      <c r="G11" s="75"/>
      <c r="H11" s="75"/>
      <c r="I11" s="73"/>
      <c r="J11" s="31"/>
      <c r="K11" s="32"/>
    </row>
    <row r="12" customFormat="false" ht="15" hidden="false" customHeight="true" outlineLevel="0" collapsed="false">
      <c r="A12" s="9"/>
      <c r="B12" s="76"/>
      <c r="C12" s="76"/>
      <c r="D12" s="9"/>
      <c r="E12" s="9"/>
      <c r="F12" s="9"/>
      <c r="G12" s="33"/>
      <c r="H12" s="33"/>
      <c r="I12" s="9"/>
      <c r="J12" s="33"/>
      <c r="K12" s="9"/>
    </row>
    <row r="13" customFormat="false" ht="15" hidden="false" customHeight="true" outlineLevel="0" collapsed="false">
      <c r="A13" s="73"/>
      <c r="B13" s="74"/>
      <c r="C13" s="74"/>
      <c r="D13" s="73"/>
      <c r="E13" s="73"/>
      <c r="F13" s="73"/>
      <c r="G13" s="75"/>
      <c r="H13" s="75"/>
      <c r="I13" s="73"/>
      <c r="J13" s="31"/>
      <c r="K13" s="32"/>
    </row>
    <row r="14" customFormat="false" ht="15" hidden="false" customHeight="true" outlineLevel="0" collapsed="false">
      <c r="A14" s="9"/>
      <c r="B14" s="76"/>
      <c r="C14" s="76"/>
      <c r="D14" s="9"/>
      <c r="E14" s="9"/>
      <c r="F14" s="9"/>
      <c r="G14" s="33"/>
      <c r="H14" s="33"/>
      <c r="I14" s="9"/>
      <c r="J14" s="33"/>
      <c r="K14" s="9"/>
    </row>
    <row r="15" customFormat="false" ht="15" hidden="false" customHeight="true" outlineLevel="0" collapsed="false">
      <c r="A15" s="73"/>
      <c r="B15" s="74"/>
      <c r="C15" s="74"/>
      <c r="D15" s="73"/>
      <c r="E15" s="73"/>
      <c r="F15" s="73"/>
      <c r="G15" s="75"/>
      <c r="H15" s="75"/>
      <c r="I15" s="73"/>
      <c r="J15" s="31"/>
      <c r="K15" s="32"/>
    </row>
    <row r="16" customFormat="false" ht="15" hidden="false" customHeight="true" outlineLevel="0" collapsed="false">
      <c r="A16" s="9"/>
      <c r="B16" s="76"/>
      <c r="C16" s="76"/>
      <c r="D16" s="9"/>
      <c r="E16" s="9"/>
      <c r="F16" s="9"/>
      <c r="G16" s="33"/>
      <c r="H16" s="33"/>
      <c r="I16" s="9"/>
      <c r="J16" s="33"/>
      <c r="K16" s="9"/>
    </row>
    <row r="17" customFormat="false" ht="15" hidden="false" customHeight="true" outlineLevel="0" collapsed="false">
      <c r="A17" s="73"/>
      <c r="B17" s="74"/>
      <c r="C17" s="74"/>
      <c r="D17" s="73"/>
      <c r="E17" s="73"/>
      <c r="F17" s="73"/>
      <c r="G17" s="75"/>
      <c r="H17" s="75"/>
      <c r="I17" s="73"/>
      <c r="J17" s="31"/>
      <c r="K17" s="32"/>
    </row>
    <row r="18" customFormat="false" ht="15" hidden="false" customHeight="true" outlineLevel="0" collapsed="false">
      <c r="A18" s="9"/>
      <c r="B18" s="76"/>
      <c r="C18" s="76"/>
      <c r="D18" s="9"/>
      <c r="E18" s="9"/>
      <c r="F18" s="9"/>
      <c r="G18" s="33"/>
      <c r="H18" s="33"/>
      <c r="I18" s="9"/>
      <c r="J18" s="33"/>
      <c r="K18" s="9"/>
    </row>
    <row r="19" customFormat="false" ht="15" hidden="false" customHeight="true" outlineLevel="0" collapsed="false">
      <c r="A19" s="73"/>
      <c r="B19" s="74"/>
      <c r="C19" s="74"/>
      <c r="D19" s="73"/>
      <c r="E19" s="73"/>
      <c r="F19" s="73"/>
      <c r="G19" s="75"/>
      <c r="H19" s="75"/>
      <c r="I19" s="73"/>
      <c r="J19" s="31"/>
      <c r="K19" s="32"/>
    </row>
    <row r="20" customFormat="false" ht="15" hidden="false" customHeight="true" outlineLevel="0" collapsed="false">
      <c r="A20" s="9"/>
      <c r="B20" s="76"/>
      <c r="C20" s="76"/>
      <c r="D20" s="9"/>
      <c r="E20" s="9"/>
      <c r="F20" s="9"/>
      <c r="G20" s="33"/>
      <c r="H20" s="33"/>
      <c r="I20" s="9"/>
      <c r="J20" s="33"/>
      <c r="K20" s="9"/>
    </row>
    <row r="21" customFormat="false" ht="15" hidden="false" customHeight="true" outlineLevel="0" collapsed="false">
      <c r="A21" s="73"/>
      <c r="B21" s="74"/>
      <c r="C21" s="74"/>
      <c r="D21" s="73"/>
      <c r="E21" s="73"/>
      <c r="F21" s="73"/>
      <c r="G21" s="75"/>
      <c r="H21" s="75"/>
      <c r="I21" s="73"/>
      <c r="J21" s="31"/>
      <c r="K21" s="32"/>
    </row>
    <row r="22" customFormat="false" ht="15" hidden="false" customHeight="true" outlineLevel="0" collapsed="false">
      <c r="A22" s="9"/>
      <c r="B22" s="76"/>
      <c r="C22" s="76"/>
      <c r="D22" s="9"/>
      <c r="E22" s="9"/>
      <c r="F22" s="9"/>
      <c r="G22" s="33"/>
      <c r="H22" s="33"/>
      <c r="I22" s="9"/>
      <c r="J22" s="33"/>
      <c r="K22" s="9"/>
    </row>
    <row r="23" customFormat="false" ht="15" hidden="false" customHeight="true" outlineLevel="0" collapsed="false">
      <c r="A23" s="73"/>
      <c r="B23" s="74"/>
      <c r="C23" s="74"/>
      <c r="D23" s="73"/>
      <c r="E23" s="73"/>
      <c r="F23" s="73"/>
      <c r="G23" s="75"/>
      <c r="H23" s="75"/>
      <c r="I23" s="73"/>
      <c r="J23" s="31"/>
      <c r="K23" s="32"/>
    </row>
    <row r="24" customFormat="false" ht="15" hidden="false" customHeight="true" outlineLevel="0" collapsed="false">
      <c r="A24" s="9"/>
      <c r="B24" s="76"/>
      <c r="C24" s="76"/>
      <c r="D24" s="9"/>
      <c r="E24" s="9"/>
      <c r="F24" s="9"/>
      <c r="G24" s="33"/>
      <c r="H24" s="33"/>
      <c r="I24" s="9"/>
      <c r="J24" s="33"/>
      <c r="K24" s="9"/>
    </row>
    <row r="25" customFormat="false" ht="15" hidden="false" customHeight="true" outlineLevel="0" collapsed="false">
      <c r="A25" s="73"/>
      <c r="B25" s="74"/>
      <c r="C25" s="74"/>
      <c r="D25" s="73"/>
      <c r="E25" s="73"/>
      <c r="F25" s="73"/>
      <c r="G25" s="75"/>
      <c r="H25" s="75"/>
      <c r="I25" s="73"/>
      <c r="J25" s="31"/>
      <c r="K25" s="32"/>
    </row>
    <row r="26" customFormat="false" ht="15" hidden="false" customHeight="true" outlineLevel="0" collapsed="false">
      <c r="A26" s="9"/>
      <c r="B26" s="76"/>
      <c r="C26" s="76"/>
      <c r="D26" s="9"/>
      <c r="E26" s="9"/>
      <c r="F26" s="9"/>
      <c r="G26" s="33"/>
      <c r="H26" s="33"/>
      <c r="I26" s="9"/>
      <c r="J26" s="33"/>
      <c r="K26" s="9"/>
    </row>
    <row r="27" customFormat="false" ht="15" hidden="false" customHeight="true" outlineLevel="0" collapsed="false">
      <c r="A27" s="73"/>
      <c r="B27" s="74"/>
      <c r="C27" s="74"/>
      <c r="D27" s="73"/>
      <c r="E27" s="73"/>
      <c r="F27" s="73"/>
      <c r="G27" s="75"/>
      <c r="H27" s="75"/>
      <c r="I27" s="73"/>
      <c r="J27" s="31"/>
      <c r="K27" s="32"/>
    </row>
    <row r="28" customFormat="false" ht="15" hidden="false" customHeight="true" outlineLevel="0" collapsed="false">
      <c r="A28" s="9"/>
      <c r="B28" s="76"/>
      <c r="C28" s="76"/>
      <c r="D28" s="9"/>
      <c r="E28" s="9"/>
      <c r="F28" s="9"/>
      <c r="G28" s="33"/>
      <c r="H28" s="33"/>
      <c r="I28" s="9"/>
      <c r="J28" s="33"/>
      <c r="K28" s="9"/>
    </row>
    <row r="29" customFormat="false" ht="15" hidden="false" customHeight="true" outlineLevel="0" collapsed="false">
      <c r="A29" s="73"/>
      <c r="B29" s="74"/>
      <c r="C29" s="74"/>
      <c r="D29" s="73"/>
      <c r="E29" s="73"/>
      <c r="F29" s="73"/>
      <c r="G29" s="75"/>
      <c r="H29" s="75"/>
      <c r="I29" s="73"/>
      <c r="J29" s="31"/>
      <c r="K29" s="32"/>
    </row>
    <row r="30" customFormat="false" ht="15" hidden="false" customHeight="true" outlineLevel="0" collapsed="false">
      <c r="A30" s="9"/>
      <c r="B30" s="76"/>
      <c r="C30" s="76"/>
      <c r="D30" s="9"/>
      <c r="E30" s="9"/>
      <c r="F30" s="9"/>
      <c r="G30" s="33"/>
      <c r="H30" s="33"/>
      <c r="I30" s="9"/>
      <c r="J30" s="33"/>
      <c r="K30" s="9"/>
    </row>
    <row r="31" customFormat="false" ht="15" hidden="false" customHeight="true" outlineLevel="0" collapsed="false">
      <c r="A31" s="73"/>
      <c r="B31" s="74"/>
      <c r="C31" s="74"/>
      <c r="D31" s="73"/>
      <c r="E31" s="73"/>
      <c r="F31" s="73"/>
      <c r="G31" s="75"/>
      <c r="H31" s="75"/>
      <c r="I31" s="73"/>
      <c r="J31" s="31"/>
      <c r="K31" s="32"/>
    </row>
    <row r="32" customFormat="false" ht="15" hidden="false" customHeight="true" outlineLevel="0" collapsed="false">
      <c r="A32" s="9"/>
      <c r="B32" s="76"/>
      <c r="C32" s="76"/>
      <c r="D32" s="9"/>
      <c r="E32" s="9"/>
      <c r="F32" s="9"/>
      <c r="G32" s="33"/>
      <c r="H32" s="33"/>
      <c r="I32" s="9"/>
      <c r="J32" s="33"/>
      <c r="K32" s="9"/>
    </row>
    <row r="33" customFormat="false" ht="15" hidden="false" customHeight="true" outlineLevel="0" collapsed="false">
      <c r="A33" s="73"/>
      <c r="B33" s="74"/>
      <c r="C33" s="74"/>
      <c r="D33" s="73"/>
      <c r="E33" s="73"/>
      <c r="F33" s="73"/>
      <c r="G33" s="75"/>
      <c r="H33" s="75"/>
      <c r="I33" s="73"/>
      <c r="J33" s="31"/>
      <c r="K33" s="32"/>
    </row>
    <row r="34" customFormat="false" ht="15" hidden="false" customHeight="true" outlineLevel="0" collapsed="false">
      <c r="A34" s="9"/>
      <c r="B34" s="76"/>
      <c r="C34" s="76"/>
      <c r="D34" s="9"/>
      <c r="E34" s="9"/>
      <c r="F34" s="9"/>
      <c r="G34" s="33"/>
      <c r="H34" s="33"/>
      <c r="I34" s="9"/>
      <c r="J34" s="33"/>
      <c r="K34" s="9"/>
    </row>
    <row r="35" customFormat="false" ht="15" hidden="false" customHeight="true" outlineLevel="0" collapsed="false">
      <c r="A35" s="73"/>
      <c r="B35" s="74"/>
      <c r="C35" s="74"/>
      <c r="D35" s="73"/>
      <c r="E35" s="73"/>
      <c r="F35" s="73"/>
      <c r="G35" s="75"/>
      <c r="H35" s="75"/>
      <c r="I35" s="73"/>
      <c r="J35" s="31"/>
      <c r="K35" s="32"/>
    </row>
    <row r="36" customFormat="false" ht="15" hidden="false" customHeight="true" outlineLevel="0" collapsed="false">
      <c r="A36" s="9"/>
      <c r="B36" s="76"/>
      <c r="C36" s="76"/>
      <c r="D36" s="9"/>
      <c r="E36" s="9"/>
      <c r="F36" s="9"/>
      <c r="G36" s="33"/>
      <c r="H36" s="33"/>
      <c r="I36" s="9"/>
      <c r="J36" s="33"/>
      <c r="K36" s="9"/>
    </row>
    <row r="37" customFormat="false" ht="15" hidden="false" customHeight="true" outlineLevel="0" collapsed="false">
      <c r="A37" s="73"/>
      <c r="B37" s="74"/>
      <c r="C37" s="74"/>
      <c r="D37" s="73"/>
      <c r="E37" s="73"/>
      <c r="F37" s="73"/>
      <c r="G37" s="75"/>
      <c r="H37" s="75"/>
      <c r="I37" s="73"/>
      <c r="J37" s="31"/>
      <c r="K37" s="32"/>
    </row>
    <row r="38" customFormat="false" ht="15" hidden="false" customHeight="true" outlineLevel="0" collapsed="false">
      <c r="A38" s="9"/>
      <c r="B38" s="76"/>
      <c r="C38" s="76"/>
      <c r="D38" s="9"/>
      <c r="E38" s="9"/>
      <c r="F38" s="9"/>
      <c r="G38" s="33"/>
      <c r="H38" s="33"/>
      <c r="I38" s="9"/>
      <c r="J38" s="33"/>
      <c r="K38" s="9"/>
    </row>
    <row r="39" customFormat="false" ht="15" hidden="false" customHeight="true" outlineLevel="0" collapsed="false">
      <c r="A39" s="73"/>
      <c r="B39" s="74"/>
      <c r="C39" s="74"/>
      <c r="D39" s="73"/>
      <c r="E39" s="73"/>
      <c r="F39" s="73"/>
      <c r="G39" s="75"/>
      <c r="H39" s="75"/>
      <c r="I39" s="73"/>
      <c r="J39" s="31"/>
      <c r="K39" s="32"/>
    </row>
    <row r="40" customFormat="false" ht="15" hidden="false" customHeight="true" outlineLevel="0" collapsed="false">
      <c r="A40" s="9"/>
      <c r="B40" s="76"/>
      <c r="C40" s="76"/>
      <c r="D40" s="9"/>
      <c r="E40" s="9"/>
      <c r="F40" s="9"/>
      <c r="G40" s="33"/>
      <c r="H40" s="33"/>
      <c r="I40" s="9"/>
      <c r="J40" s="33"/>
      <c r="K40" s="9"/>
    </row>
    <row r="41" customFormat="false" ht="15" hidden="false" customHeight="true" outlineLevel="0" collapsed="false">
      <c r="A41" s="73"/>
      <c r="B41" s="74"/>
      <c r="C41" s="74"/>
      <c r="D41" s="73"/>
      <c r="E41" s="73"/>
      <c r="F41" s="73"/>
      <c r="G41" s="75"/>
      <c r="H41" s="75"/>
      <c r="I41" s="73"/>
      <c r="J41" s="31"/>
      <c r="K41" s="32"/>
    </row>
    <row r="42" customFormat="false" ht="15" hidden="false" customHeight="true" outlineLevel="0" collapsed="false">
      <c r="A42" s="9"/>
      <c r="B42" s="76"/>
      <c r="C42" s="76"/>
      <c r="D42" s="9"/>
      <c r="E42" s="9"/>
      <c r="F42" s="9"/>
      <c r="G42" s="33"/>
      <c r="H42" s="33"/>
      <c r="I42" s="9"/>
      <c r="J42" s="33"/>
      <c r="K42" s="9"/>
    </row>
    <row r="43" customFormat="false" ht="15" hidden="false" customHeight="true" outlineLevel="0" collapsed="false">
      <c r="A43" s="73"/>
      <c r="B43" s="74"/>
      <c r="C43" s="74"/>
      <c r="D43" s="73"/>
      <c r="E43" s="73"/>
      <c r="F43" s="73"/>
      <c r="G43" s="75"/>
      <c r="H43" s="75"/>
      <c r="I43" s="73"/>
      <c r="J43" s="31"/>
      <c r="K43" s="32"/>
    </row>
    <row r="44" customFormat="false" ht="15" hidden="false" customHeight="true" outlineLevel="0" collapsed="false">
      <c r="A44" s="9"/>
      <c r="B44" s="76"/>
      <c r="C44" s="76"/>
      <c r="D44" s="9"/>
      <c r="E44" s="9"/>
      <c r="F44" s="9"/>
      <c r="G44" s="33"/>
      <c r="H44" s="33"/>
      <c r="I44" s="9"/>
      <c r="J44" s="33"/>
      <c r="K44" s="9"/>
    </row>
    <row r="45" customFormat="false" ht="15" hidden="false" customHeight="true" outlineLevel="0" collapsed="false">
      <c r="A45" s="73"/>
      <c r="B45" s="74"/>
      <c r="C45" s="74"/>
      <c r="D45" s="73"/>
      <c r="E45" s="73"/>
      <c r="F45" s="73"/>
      <c r="G45" s="75"/>
      <c r="H45" s="75"/>
      <c r="I45" s="73"/>
      <c r="J45" s="31"/>
      <c r="K45" s="32"/>
    </row>
    <row r="46" customFormat="false" ht="15" hidden="false" customHeight="true" outlineLevel="0" collapsed="false">
      <c r="A46" s="9"/>
      <c r="B46" s="76"/>
      <c r="C46" s="76"/>
      <c r="D46" s="9"/>
      <c r="E46" s="9"/>
      <c r="F46" s="9"/>
      <c r="G46" s="33"/>
      <c r="H46" s="33"/>
      <c r="I46" s="9"/>
      <c r="J46" s="33"/>
      <c r="K46" s="9"/>
    </row>
    <row r="47" customFormat="false" ht="15" hidden="false" customHeight="true" outlineLevel="0" collapsed="false">
      <c r="A47" s="73"/>
      <c r="B47" s="74"/>
      <c r="C47" s="74"/>
      <c r="D47" s="73"/>
      <c r="E47" s="73"/>
      <c r="F47" s="73"/>
      <c r="G47" s="75"/>
      <c r="H47" s="75"/>
      <c r="I47" s="73"/>
      <c r="J47" s="31"/>
      <c r="K47" s="32"/>
    </row>
    <row r="48" customFormat="false" ht="15" hidden="false" customHeight="true" outlineLevel="0" collapsed="false">
      <c r="A48" s="9"/>
      <c r="B48" s="76"/>
      <c r="C48" s="76"/>
      <c r="D48" s="9"/>
      <c r="E48" s="9"/>
      <c r="F48" s="9"/>
      <c r="G48" s="33"/>
      <c r="H48" s="33"/>
      <c r="I48" s="9"/>
      <c r="J48" s="33"/>
      <c r="K48" s="9"/>
    </row>
    <row r="49" customFormat="false" ht="15" hidden="false" customHeight="true" outlineLevel="0" collapsed="false">
      <c r="A49" s="73"/>
      <c r="B49" s="74"/>
      <c r="C49" s="74"/>
      <c r="D49" s="73"/>
      <c r="E49" s="73"/>
      <c r="F49" s="73"/>
      <c r="G49" s="75"/>
      <c r="H49" s="75"/>
      <c r="I49" s="73"/>
      <c r="J49" s="31"/>
      <c r="K49" s="32"/>
    </row>
    <row r="50" customFormat="false" ht="15" hidden="false" customHeight="true" outlineLevel="0" collapsed="false">
      <c r="A50" s="9"/>
      <c r="B50" s="76"/>
      <c r="C50" s="76"/>
      <c r="D50" s="9"/>
      <c r="E50" s="9"/>
      <c r="F50" s="9"/>
      <c r="G50" s="33"/>
      <c r="H50" s="33"/>
      <c r="I50" s="9"/>
      <c r="J50" s="33"/>
      <c r="K50" s="9"/>
    </row>
    <row r="51" customFormat="false" ht="15" hidden="false" customHeight="true" outlineLevel="0" collapsed="false">
      <c r="A51" s="73"/>
      <c r="B51" s="74"/>
      <c r="C51" s="74"/>
      <c r="D51" s="73"/>
      <c r="E51" s="73"/>
      <c r="F51" s="73"/>
      <c r="G51" s="75"/>
      <c r="H51" s="75"/>
      <c r="I51" s="73"/>
      <c r="J51" s="31"/>
      <c r="K51" s="32"/>
    </row>
    <row r="52" customFormat="false" ht="15" hidden="false" customHeight="true" outlineLevel="0" collapsed="false">
      <c r="A52" s="9"/>
      <c r="B52" s="76"/>
      <c r="C52" s="76"/>
      <c r="D52" s="9"/>
      <c r="E52" s="9"/>
      <c r="F52" s="9"/>
      <c r="G52" s="33"/>
      <c r="H52" s="33"/>
      <c r="I52" s="9"/>
      <c r="J52" s="33"/>
      <c r="K52" s="9"/>
    </row>
    <row r="53" customFormat="false" ht="15" hidden="false" customHeight="true" outlineLevel="0" collapsed="false">
      <c r="A53" s="73"/>
      <c r="B53" s="74"/>
      <c r="C53" s="74"/>
      <c r="D53" s="73"/>
      <c r="E53" s="73"/>
      <c r="F53" s="73"/>
      <c r="G53" s="75"/>
      <c r="H53" s="75"/>
      <c r="I53" s="73"/>
      <c r="J53" s="31"/>
      <c r="K53" s="32"/>
    </row>
    <row r="54" customFormat="false" ht="15" hidden="false" customHeight="true" outlineLevel="0" collapsed="false">
      <c r="A54" s="9"/>
      <c r="B54" s="76"/>
      <c r="C54" s="76"/>
      <c r="D54" s="9"/>
      <c r="E54" s="9"/>
      <c r="F54" s="9"/>
      <c r="G54" s="33"/>
      <c r="H54" s="33"/>
      <c r="I54" s="9"/>
      <c r="J54" s="33"/>
      <c r="K54" s="9"/>
    </row>
    <row r="55" customFormat="false" ht="15" hidden="false" customHeight="true" outlineLevel="0" collapsed="false">
      <c r="A55" s="73"/>
      <c r="B55" s="74"/>
      <c r="C55" s="74"/>
      <c r="D55" s="73"/>
      <c r="E55" s="73"/>
      <c r="F55" s="73"/>
      <c r="G55" s="75"/>
      <c r="H55" s="75"/>
      <c r="I55" s="73"/>
      <c r="J55" s="31"/>
      <c r="K55" s="32"/>
    </row>
    <row r="56" customFormat="false" ht="15" hidden="false" customHeight="true" outlineLevel="0" collapsed="false">
      <c r="A56" s="9"/>
      <c r="B56" s="76"/>
      <c r="C56" s="76"/>
      <c r="D56" s="9"/>
      <c r="E56" s="9"/>
      <c r="F56" s="9"/>
      <c r="G56" s="33"/>
      <c r="H56" s="33"/>
      <c r="I56" s="9"/>
      <c r="J56" s="33"/>
      <c r="K56" s="9"/>
    </row>
    <row r="57" customFormat="false" ht="15" hidden="false" customHeight="true" outlineLevel="0" collapsed="false">
      <c r="A57" s="73"/>
      <c r="B57" s="74"/>
      <c r="C57" s="74"/>
      <c r="D57" s="73"/>
      <c r="E57" s="73"/>
      <c r="F57" s="73"/>
      <c r="G57" s="75"/>
      <c r="H57" s="75"/>
      <c r="I57" s="73"/>
      <c r="J57" s="31"/>
      <c r="K57" s="32"/>
    </row>
    <row r="58" customFormat="false" ht="15" hidden="false" customHeight="true" outlineLevel="0" collapsed="false">
      <c r="A58" s="9"/>
      <c r="B58" s="76"/>
      <c r="C58" s="76"/>
      <c r="D58" s="9"/>
      <c r="E58" s="9"/>
      <c r="F58" s="9"/>
      <c r="G58" s="33"/>
      <c r="H58" s="33"/>
      <c r="I58" s="9"/>
      <c r="J58" s="33"/>
      <c r="K58" s="9"/>
    </row>
    <row r="59" customFormat="false" ht="15" hidden="false" customHeight="true" outlineLevel="0" collapsed="false">
      <c r="A59" s="73"/>
      <c r="B59" s="74"/>
      <c r="C59" s="74"/>
      <c r="D59" s="73"/>
      <c r="E59" s="73"/>
      <c r="F59" s="73"/>
      <c r="G59" s="75"/>
      <c r="H59" s="75"/>
      <c r="I59" s="73"/>
      <c r="J59" s="31"/>
      <c r="K59" s="32"/>
    </row>
    <row r="60" customFormat="false" ht="15" hidden="false" customHeight="true" outlineLevel="0" collapsed="false">
      <c r="A60" s="9"/>
      <c r="B60" s="76"/>
      <c r="C60" s="76"/>
      <c r="D60" s="9"/>
      <c r="E60" s="9"/>
      <c r="F60" s="9"/>
      <c r="G60" s="33"/>
      <c r="H60" s="33"/>
      <c r="I60" s="9"/>
      <c r="J60" s="33"/>
      <c r="K60" s="9"/>
    </row>
    <row r="61" customFormat="false" ht="15" hidden="false" customHeight="true" outlineLevel="0" collapsed="false">
      <c r="A61" s="73"/>
      <c r="B61" s="74"/>
      <c r="C61" s="74"/>
      <c r="D61" s="73"/>
      <c r="E61" s="73"/>
      <c r="F61" s="73"/>
      <c r="G61" s="75"/>
      <c r="H61" s="75"/>
      <c r="I61" s="73"/>
      <c r="J61" s="31"/>
      <c r="K61" s="32"/>
    </row>
    <row r="62" customFormat="false" ht="15" hidden="false" customHeight="true" outlineLevel="0" collapsed="false">
      <c r="A62" s="9"/>
      <c r="B62" s="76"/>
      <c r="C62" s="76"/>
      <c r="D62" s="9"/>
      <c r="E62" s="9"/>
      <c r="F62" s="9"/>
      <c r="G62" s="33"/>
      <c r="H62" s="33"/>
      <c r="I62" s="9"/>
      <c r="J62" s="33"/>
      <c r="K62" s="9"/>
    </row>
    <row r="63" customFormat="false" ht="15" hidden="false" customHeight="true" outlineLevel="0" collapsed="false">
      <c r="A63" s="73"/>
      <c r="B63" s="74"/>
      <c r="C63" s="74"/>
      <c r="D63" s="73"/>
      <c r="E63" s="73"/>
      <c r="F63" s="73"/>
      <c r="G63" s="75"/>
      <c r="H63" s="75"/>
      <c r="I63" s="73"/>
      <c r="J63" s="31"/>
      <c r="K63" s="32"/>
    </row>
    <row r="64" customFormat="false" ht="15" hidden="false" customHeight="true" outlineLevel="0" collapsed="false">
      <c r="A64" s="9"/>
      <c r="B64" s="76"/>
      <c r="C64" s="76"/>
      <c r="D64" s="9"/>
      <c r="E64" s="9"/>
      <c r="F64" s="9"/>
      <c r="G64" s="33"/>
      <c r="H64" s="33"/>
      <c r="I64" s="9"/>
      <c r="J64" s="33"/>
      <c r="K64" s="9"/>
    </row>
    <row r="65" customFormat="false" ht="15" hidden="false" customHeight="true" outlineLevel="0" collapsed="false">
      <c r="A65" s="73"/>
      <c r="B65" s="74"/>
      <c r="C65" s="74"/>
      <c r="D65" s="73"/>
      <c r="E65" s="73"/>
      <c r="F65" s="73"/>
      <c r="G65" s="75"/>
      <c r="H65" s="75"/>
      <c r="I65" s="73"/>
      <c r="J65" s="31"/>
      <c r="K65" s="32"/>
    </row>
    <row r="66" customFormat="false" ht="15" hidden="false" customHeight="true" outlineLevel="0" collapsed="false">
      <c r="A66" s="9"/>
      <c r="B66" s="76"/>
      <c r="C66" s="76"/>
      <c r="D66" s="9"/>
      <c r="E66" s="9"/>
      <c r="F66" s="9"/>
      <c r="G66" s="33"/>
      <c r="H66" s="33"/>
      <c r="I66" s="9"/>
      <c r="J66" s="33"/>
      <c r="K66" s="9"/>
    </row>
    <row r="67" customFormat="false" ht="15" hidden="false" customHeight="true" outlineLevel="0" collapsed="false">
      <c r="A67" s="73"/>
      <c r="B67" s="74"/>
      <c r="C67" s="74"/>
      <c r="D67" s="73"/>
      <c r="E67" s="73"/>
      <c r="F67" s="73"/>
      <c r="G67" s="75"/>
      <c r="H67" s="75"/>
      <c r="I67" s="73"/>
      <c r="J67" s="31"/>
      <c r="K67" s="32"/>
    </row>
    <row r="68" customFormat="false" ht="15" hidden="false" customHeight="true" outlineLevel="0" collapsed="false">
      <c r="A68" s="9"/>
      <c r="B68" s="76"/>
      <c r="C68" s="76"/>
      <c r="D68" s="9"/>
      <c r="E68" s="9"/>
      <c r="F68" s="9"/>
      <c r="G68" s="33"/>
      <c r="H68" s="33"/>
      <c r="I68" s="9"/>
      <c r="J68" s="33"/>
      <c r="K68" s="9"/>
    </row>
    <row r="69" customFormat="false" ht="15" hidden="false" customHeight="true" outlineLevel="0" collapsed="false">
      <c r="A69" s="73"/>
      <c r="B69" s="74"/>
      <c r="C69" s="74"/>
      <c r="D69" s="73"/>
      <c r="E69" s="73"/>
      <c r="F69" s="73"/>
      <c r="G69" s="75"/>
      <c r="H69" s="75"/>
      <c r="I69" s="73"/>
      <c r="J69" s="31"/>
      <c r="K69" s="32"/>
    </row>
    <row r="70" customFormat="false" ht="15" hidden="false" customHeight="true" outlineLevel="0" collapsed="false">
      <c r="A70" s="9"/>
      <c r="B70" s="76"/>
      <c r="C70" s="76"/>
      <c r="D70" s="9"/>
      <c r="E70" s="9"/>
      <c r="F70" s="9"/>
      <c r="G70" s="33"/>
      <c r="H70" s="33"/>
      <c r="I70" s="9"/>
      <c r="J70" s="33"/>
      <c r="K70" s="9"/>
    </row>
    <row r="71" customFormat="false" ht="15" hidden="false" customHeight="true" outlineLevel="0" collapsed="false">
      <c r="A71" s="73"/>
      <c r="B71" s="74"/>
      <c r="C71" s="74"/>
      <c r="D71" s="73"/>
      <c r="E71" s="73"/>
      <c r="F71" s="73"/>
      <c r="G71" s="75"/>
      <c r="H71" s="75"/>
      <c r="I71" s="73"/>
      <c r="J71" s="31"/>
      <c r="K71" s="32"/>
    </row>
    <row r="72" customFormat="false" ht="15" hidden="false" customHeight="true" outlineLevel="0" collapsed="false">
      <c r="A72" s="9"/>
      <c r="B72" s="76"/>
      <c r="C72" s="76"/>
      <c r="D72" s="9"/>
      <c r="E72" s="9"/>
      <c r="F72" s="9"/>
      <c r="G72" s="33"/>
      <c r="H72" s="33"/>
      <c r="I72" s="9"/>
      <c r="J72" s="33"/>
      <c r="K72" s="9"/>
    </row>
    <row r="73" customFormat="false" ht="15" hidden="false" customHeight="true" outlineLevel="0" collapsed="false">
      <c r="A73" s="73"/>
      <c r="B73" s="74"/>
      <c r="C73" s="74"/>
      <c r="D73" s="73"/>
      <c r="E73" s="73"/>
      <c r="F73" s="73"/>
      <c r="G73" s="75"/>
      <c r="H73" s="75"/>
      <c r="I73" s="73"/>
      <c r="J73" s="31"/>
      <c r="K73" s="32"/>
    </row>
    <row r="74" customFormat="false" ht="15" hidden="false" customHeight="true" outlineLevel="0" collapsed="false">
      <c r="A74" s="9"/>
      <c r="B74" s="76"/>
      <c r="C74" s="76"/>
      <c r="D74" s="9"/>
      <c r="E74" s="9"/>
      <c r="F74" s="9"/>
      <c r="G74" s="33"/>
      <c r="H74" s="33"/>
      <c r="I74" s="9"/>
      <c r="J74" s="33"/>
      <c r="K74" s="9"/>
    </row>
    <row r="75" customFormat="false" ht="15" hidden="false" customHeight="true" outlineLevel="0" collapsed="false">
      <c r="A75" s="73"/>
      <c r="B75" s="74"/>
      <c r="C75" s="74"/>
      <c r="D75" s="73"/>
      <c r="E75" s="73"/>
      <c r="F75" s="73"/>
      <c r="G75" s="75"/>
      <c r="H75" s="75"/>
      <c r="I75" s="73"/>
      <c r="J75" s="31"/>
      <c r="K75" s="32"/>
    </row>
    <row r="76" customFormat="false" ht="15" hidden="false" customHeight="true" outlineLevel="0" collapsed="false">
      <c r="A76" s="9"/>
      <c r="B76" s="76"/>
      <c r="C76" s="76"/>
      <c r="D76" s="9"/>
      <c r="E76" s="9"/>
      <c r="F76" s="9"/>
      <c r="G76" s="33"/>
      <c r="H76" s="33"/>
      <c r="I76" s="9"/>
      <c r="J76" s="33"/>
      <c r="K76" s="9"/>
    </row>
    <row r="77" customFormat="false" ht="15" hidden="false" customHeight="true" outlineLevel="0" collapsed="false">
      <c r="A77" s="73"/>
      <c r="B77" s="74"/>
      <c r="C77" s="74"/>
      <c r="D77" s="73"/>
      <c r="E77" s="73"/>
      <c r="F77" s="73"/>
      <c r="G77" s="75"/>
      <c r="H77" s="75"/>
      <c r="I77" s="73"/>
      <c r="J77" s="31"/>
      <c r="K77" s="32"/>
    </row>
    <row r="78" customFormat="false" ht="15" hidden="false" customHeight="true" outlineLevel="0" collapsed="false">
      <c r="A78" s="9"/>
      <c r="B78" s="76"/>
      <c r="C78" s="76"/>
      <c r="D78" s="9"/>
      <c r="E78" s="9"/>
      <c r="F78" s="9"/>
      <c r="G78" s="33"/>
      <c r="H78" s="33"/>
      <c r="I78" s="9"/>
      <c r="J78" s="33"/>
      <c r="K78" s="9"/>
    </row>
    <row r="79" customFormat="false" ht="15" hidden="false" customHeight="true" outlineLevel="0" collapsed="false">
      <c r="A79" s="73"/>
      <c r="B79" s="74"/>
      <c r="C79" s="74"/>
      <c r="D79" s="73"/>
      <c r="E79" s="73"/>
      <c r="F79" s="73"/>
      <c r="G79" s="75"/>
      <c r="H79" s="75"/>
      <c r="I79" s="73"/>
      <c r="J79" s="31"/>
      <c r="K79" s="32"/>
    </row>
    <row r="80" customFormat="false" ht="15" hidden="false" customHeight="true" outlineLevel="0" collapsed="false">
      <c r="A80" s="9"/>
      <c r="B80" s="76"/>
      <c r="C80" s="76"/>
      <c r="D80" s="9"/>
      <c r="E80" s="9"/>
      <c r="F80" s="9"/>
      <c r="G80" s="33"/>
      <c r="H80" s="33"/>
      <c r="I80" s="9"/>
      <c r="J80" s="33"/>
      <c r="K80" s="9"/>
    </row>
    <row r="81" customFormat="false" ht="15" hidden="false" customHeight="true" outlineLevel="0" collapsed="false">
      <c r="A81" s="73"/>
      <c r="B81" s="74"/>
      <c r="C81" s="74"/>
      <c r="D81" s="73"/>
      <c r="E81" s="73"/>
      <c r="F81" s="73"/>
      <c r="G81" s="75"/>
      <c r="H81" s="75"/>
      <c r="I81" s="73"/>
      <c r="J81" s="31"/>
      <c r="K81" s="32"/>
    </row>
    <row r="82" customFormat="false" ht="15" hidden="false" customHeight="true" outlineLevel="0" collapsed="false">
      <c r="A82" s="9"/>
      <c r="B82" s="76"/>
      <c r="C82" s="76"/>
      <c r="D82" s="9"/>
      <c r="E82" s="9"/>
      <c r="F82" s="9"/>
      <c r="G82" s="33"/>
      <c r="H82" s="33"/>
      <c r="I82" s="9"/>
      <c r="J82" s="33"/>
      <c r="K82" s="9"/>
    </row>
    <row r="83" customFormat="false" ht="15" hidden="false" customHeight="true" outlineLevel="0" collapsed="false">
      <c r="A83" s="73"/>
      <c r="B83" s="74"/>
      <c r="C83" s="74"/>
      <c r="D83" s="73"/>
      <c r="E83" s="73"/>
      <c r="F83" s="73"/>
      <c r="G83" s="75"/>
      <c r="H83" s="75"/>
      <c r="I83" s="73"/>
      <c r="J83" s="31"/>
      <c r="K83" s="32"/>
    </row>
    <row r="84" customFormat="false" ht="15" hidden="false" customHeight="true" outlineLevel="0" collapsed="false">
      <c r="A84" s="9"/>
      <c r="B84" s="76"/>
      <c r="C84" s="76"/>
      <c r="D84" s="9"/>
      <c r="E84" s="9"/>
      <c r="F84" s="9"/>
      <c r="G84" s="33"/>
      <c r="H84" s="33"/>
      <c r="I84" s="9"/>
      <c r="J84" s="33"/>
      <c r="K84" s="9"/>
    </row>
    <row r="85" customFormat="false" ht="15" hidden="false" customHeight="true" outlineLevel="0" collapsed="false">
      <c r="A85" s="73"/>
      <c r="B85" s="74"/>
      <c r="C85" s="74"/>
      <c r="D85" s="73"/>
      <c r="E85" s="73"/>
      <c r="F85" s="73"/>
      <c r="G85" s="75"/>
      <c r="H85" s="75"/>
      <c r="I85" s="73"/>
      <c r="J85" s="31"/>
      <c r="K85" s="32"/>
    </row>
    <row r="86" customFormat="false" ht="15" hidden="false" customHeight="true" outlineLevel="0" collapsed="false">
      <c r="A86" s="9"/>
      <c r="B86" s="76"/>
      <c r="C86" s="76"/>
      <c r="D86" s="9"/>
      <c r="E86" s="9"/>
      <c r="F86" s="9"/>
      <c r="G86" s="33"/>
      <c r="H86" s="33"/>
      <c r="I86" s="9"/>
      <c r="J86" s="33"/>
      <c r="K86" s="9"/>
    </row>
    <row r="87" customFormat="false" ht="15" hidden="false" customHeight="true" outlineLevel="0" collapsed="false">
      <c r="A87" s="73"/>
      <c r="B87" s="74"/>
      <c r="C87" s="74"/>
      <c r="D87" s="73"/>
      <c r="E87" s="73"/>
      <c r="F87" s="73"/>
      <c r="G87" s="75"/>
      <c r="H87" s="75"/>
      <c r="I87" s="73"/>
      <c r="J87" s="31"/>
      <c r="K87" s="32"/>
    </row>
    <row r="88" customFormat="false" ht="15" hidden="false" customHeight="true" outlineLevel="0" collapsed="false">
      <c r="A88" s="9"/>
      <c r="B88" s="76"/>
      <c r="C88" s="76"/>
      <c r="D88" s="9"/>
      <c r="E88" s="9"/>
      <c r="F88" s="9"/>
      <c r="G88" s="33"/>
      <c r="H88" s="33"/>
      <c r="I88" s="9"/>
      <c r="J88" s="33"/>
      <c r="K88" s="9"/>
    </row>
    <row r="89" customFormat="false" ht="15" hidden="false" customHeight="true" outlineLevel="0" collapsed="false">
      <c r="A89" s="73"/>
      <c r="B89" s="74"/>
      <c r="C89" s="74"/>
      <c r="D89" s="73"/>
      <c r="E89" s="73"/>
      <c r="F89" s="73"/>
      <c r="G89" s="75"/>
      <c r="H89" s="75"/>
      <c r="I89" s="73"/>
      <c r="J89" s="31"/>
      <c r="K89" s="32"/>
    </row>
    <row r="90" customFormat="false" ht="15" hidden="false" customHeight="true" outlineLevel="0" collapsed="false">
      <c r="A90" s="9"/>
      <c r="B90" s="76"/>
      <c r="C90" s="76"/>
      <c r="D90" s="9"/>
      <c r="E90" s="9"/>
      <c r="F90" s="9"/>
      <c r="G90" s="33"/>
      <c r="H90" s="33"/>
      <c r="I90" s="9"/>
      <c r="J90" s="33"/>
      <c r="K90" s="9"/>
    </row>
    <row r="91" customFormat="false" ht="15" hidden="false" customHeight="true" outlineLevel="0" collapsed="false">
      <c r="A91" s="73"/>
      <c r="B91" s="74"/>
      <c r="C91" s="74"/>
      <c r="D91" s="73"/>
      <c r="E91" s="73"/>
      <c r="F91" s="73"/>
      <c r="G91" s="75"/>
      <c r="H91" s="75"/>
      <c r="I91" s="73"/>
      <c r="J91" s="31"/>
      <c r="K91" s="32"/>
    </row>
    <row r="92" customFormat="false" ht="15" hidden="false" customHeight="true" outlineLevel="0" collapsed="false">
      <c r="A92" s="9"/>
      <c r="B92" s="76"/>
      <c r="C92" s="76"/>
      <c r="D92" s="9"/>
      <c r="E92" s="9"/>
      <c r="F92" s="9"/>
      <c r="G92" s="33"/>
      <c r="H92" s="33"/>
      <c r="I92" s="9"/>
      <c r="J92" s="33"/>
      <c r="K92" s="9"/>
    </row>
    <row r="93" customFormat="false" ht="15" hidden="false" customHeight="true" outlineLevel="0" collapsed="false">
      <c r="A93" s="73"/>
      <c r="B93" s="74"/>
      <c r="C93" s="74"/>
      <c r="D93" s="73"/>
      <c r="E93" s="73"/>
      <c r="F93" s="73"/>
      <c r="G93" s="75"/>
      <c r="H93" s="75"/>
      <c r="I93" s="73"/>
      <c r="J93" s="31"/>
      <c r="K93" s="32"/>
    </row>
    <row r="94" customFormat="false" ht="15" hidden="false" customHeight="true" outlineLevel="0" collapsed="false">
      <c r="A94" s="9"/>
      <c r="B94" s="76"/>
      <c r="C94" s="76"/>
      <c r="D94" s="9"/>
      <c r="E94" s="9"/>
      <c r="F94" s="9"/>
      <c r="G94" s="33"/>
      <c r="H94" s="33"/>
      <c r="I94" s="9"/>
      <c r="J94" s="33"/>
      <c r="K94" s="9"/>
    </row>
    <row r="95" customFormat="false" ht="15" hidden="false" customHeight="true" outlineLevel="0" collapsed="false">
      <c r="A95" s="73"/>
      <c r="B95" s="74"/>
      <c r="C95" s="74"/>
      <c r="D95" s="73"/>
      <c r="E95" s="73"/>
      <c r="F95" s="73"/>
      <c r="G95" s="75"/>
      <c r="H95" s="75"/>
      <c r="I95" s="73"/>
      <c r="J95" s="31"/>
      <c r="K95" s="32"/>
    </row>
    <row r="96" customFormat="false" ht="15" hidden="false" customHeight="true" outlineLevel="0" collapsed="false">
      <c r="A96" s="9"/>
      <c r="B96" s="76"/>
      <c r="C96" s="76"/>
      <c r="D96" s="9"/>
      <c r="E96" s="9"/>
      <c r="F96" s="9"/>
      <c r="G96" s="33"/>
      <c r="H96" s="33"/>
      <c r="I96" s="9"/>
      <c r="J96" s="33"/>
      <c r="K96" s="9"/>
    </row>
    <row r="97" customFormat="false" ht="15" hidden="false" customHeight="true" outlineLevel="0" collapsed="false">
      <c r="A97" s="73"/>
      <c r="B97" s="74"/>
      <c r="C97" s="74"/>
      <c r="D97" s="73"/>
      <c r="E97" s="73"/>
      <c r="F97" s="73"/>
      <c r="G97" s="75"/>
      <c r="H97" s="75"/>
      <c r="I97" s="73"/>
      <c r="J97" s="31"/>
      <c r="K97" s="32"/>
    </row>
    <row r="98" customFormat="false" ht="15" hidden="false" customHeight="true" outlineLevel="0" collapsed="false">
      <c r="A98" s="9"/>
      <c r="B98" s="76"/>
      <c r="C98" s="76"/>
      <c r="D98" s="9"/>
      <c r="E98" s="9"/>
      <c r="F98" s="9"/>
      <c r="G98" s="33"/>
      <c r="H98" s="33"/>
      <c r="I98" s="9"/>
      <c r="J98" s="33"/>
      <c r="K98" s="9"/>
    </row>
    <row r="99" customFormat="false" ht="15" hidden="false" customHeight="true" outlineLevel="0" collapsed="false">
      <c r="A99" s="73"/>
      <c r="B99" s="74"/>
      <c r="C99" s="74"/>
      <c r="D99" s="73"/>
      <c r="E99" s="73"/>
      <c r="F99" s="73"/>
      <c r="G99" s="75"/>
      <c r="H99" s="75"/>
      <c r="I99" s="73"/>
      <c r="J99" s="31"/>
      <c r="K99" s="32"/>
    </row>
    <row r="100" customFormat="false" ht="15" hidden="false" customHeight="true" outlineLevel="0" collapsed="false">
      <c r="A100" s="9"/>
      <c r="B100" s="76"/>
      <c r="C100" s="76"/>
      <c r="D100" s="9"/>
      <c r="E100" s="9"/>
      <c r="F100" s="9"/>
      <c r="G100" s="33"/>
      <c r="H100" s="33"/>
      <c r="I100" s="9"/>
      <c r="J100" s="33"/>
      <c r="K100" s="9"/>
    </row>
    <row r="101" customFormat="false" ht="15" hidden="false" customHeight="true" outlineLevel="0" collapsed="false">
      <c r="A101" s="73"/>
      <c r="B101" s="74"/>
      <c r="C101" s="74"/>
      <c r="D101" s="73"/>
      <c r="E101" s="73"/>
      <c r="F101" s="73"/>
      <c r="G101" s="75"/>
      <c r="H101" s="75"/>
      <c r="I101" s="73"/>
      <c r="J101" s="31"/>
      <c r="K101" s="32"/>
    </row>
    <row r="102" customFormat="false" ht="15" hidden="false" customHeight="true" outlineLevel="0" collapsed="false">
      <c r="A102" s="9"/>
      <c r="B102" s="76"/>
      <c r="C102" s="76"/>
      <c r="D102" s="9"/>
      <c r="E102" s="9"/>
      <c r="F102" s="9"/>
      <c r="G102" s="33"/>
      <c r="H102" s="33"/>
      <c r="I102" s="9"/>
      <c r="J102" s="33"/>
      <c r="K102" s="9"/>
    </row>
    <row r="103" customFormat="false" ht="15" hidden="false" customHeight="true" outlineLevel="0" collapsed="false">
      <c r="A103" s="73"/>
      <c r="B103" s="74"/>
      <c r="C103" s="74"/>
      <c r="D103" s="73"/>
      <c r="E103" s="73"/>
      <c r="F103" s="73"/>
      <c r="G103" s="75"/>
      <c r="H103" s="75"/>
      <c r="I103" s="73"/>
      <c r="J103" s="31"/>
      <c r="K103" s="32"/>
    </row>
    <row r="104" customFormat="false" ht="15" hidden="false" customHeight="true" outlineLevel="0" collapsed="false">
      <c r="A104" s="9"/>
      <c r="B104" s="76"/>
      <c r="C104" s="76"/>
      <c r="D104" s="9"/>
      <c r="E104" s="9"/>
      <c r="F104" s="9"/>
      <c r="G104" s="33"/>
      <c r="H104" s="33"/>
      <c r="I104" s="9"/>
      <c r="J104" s="33"/>
      <c r="K104" s="9"/>
    </row>
    <row r="105" customFormat="false" ht="15" hidden="false" customHeight="true" outlineLevel="0" collapsed="false">
      <c r="A105" s="73"/>
      <c r="B105" s="74"/>
      <c r="C105" s="74"/>
      <c r="D105" s="73"/>
      <c r="E105" s="73"/>
      <c r="F105" s="73"/>
      <c r="G105" s="75"/>
      <c r="H105" s="75"/>
      <c r="I105" s="73"/>
      <c r="J105" s="31"/>
      <c r="K105" s="32"/>
    </row>
    <row r="106" customFormat="false" ht="15" hidden="false" customHeight="true" outlineLevel="0" collapsed="false">
      <c r="A106" s="9"/>
      <c r="B106" s="76"/>
      <c r="C106" s="76"/>
      <c r="D106" s="9"/>
      <c r="E106" s="9"/>
      <c r="F106" s="9"/>
      <c r="G106" s="33"/>
      <c r="H106" s="33"/>
      <c r="I106" s="9"/>
      <c r="J106" s="33"/>
      <c r="K106" s="9"/>
    </row>
    <row r="107" customFormat="false" ht="15" hidden="false" customHeight="true" outlineLevel="0" collapsed="false">
      <c r="A107" s="73"/>
      <c r="B107" s="74"/>
      <c r="C107" s="74"/>
      <c r="D107" s="73"/>
      <c r="E107" s="73"/>
      <c r="F107" s="73"/>
      <c r="G107" s="75"/>
      <c r="H107" s="75"/>
      <c r="I107" s="73"/>
      <c r="J107" s="31"/>
      <c r="K107" s="32"/>
    </row>
    <row r="108" customFormat="false" ht="15" hidden="false" customHeight="true" outlineLevel="0" collapsed="false">
      <c r="A108" s="9"/>
      <c r="B108" s="76"/>
      <c r="C108" s="76"/>
      <c r="D108" s="9"/>
      <c r="E108" s="9"/>
      <c r="F108" s="9"/>
      <c r="G108" s="33"/>
      <c r="H108" s="33"/>
      <c r="I108" s="9"/>
      <c r="J108" s="33"/>
      <c r="K108" s="9"/>
    </row>
    <row r="109" customFormat="false" ht="15" hidden="false" customHeight="true" outlineLevel="0" collapsed="false">
      <c r="A109" s="73"/>
      <c r="B109" s="74"/>
      <c r="C109" s="74"/>
      <c r="D109" s="73"/>
      <c r="E109" s="73"/>
      <c r="F109" s="73"/>
      <c r="G109" s="75"/>
      <c r="H109" s="75"/>
      <c r="I109" s="73"/>
      <c r="J109" s="31"/>
      <c r="K109" s="32"/>
    </row>
    <row r="110" customFormat="false" ht="15" hidden="false" customHeight="true" outlineLevel="0" collapsed="false">
      <c r="A110" s="9"/>
      <c r="B110" s="76"/>
      <c r="C110" s="76"/>
      <c r="D110" s="9"/>
      <c r="E110" s="9"/>
      <c r="F110" s="9"/>
      <c r="G110" s="33"/>
      <c r="H110" s="33"/>
      <c r="I110" s="9"/>
      <c r="J110" s="33"/>
      <c r="K110" s="9"/>
    </row>
    <row r="111" customFormat="false" ht="15" hidden="false" customHeight="true" outlineLevel="0" collapsed="false">
      <c r="A111" s="73"/>
      <c r="B111" s="74"/>
      <c r="C111" s="74"/>
      <c r="D111" s="73"/>
      <c r="E111" s="73"/>
      <c r="F111" s="73"/>
      <c r="G111" s="75"/>
      <c r="H111" s="75"/>
      <c r="I111" s="73"/>
      <c r="J111" s="31"/>
      <c r="K111" s="32"/>
    </row>
    <row r="112" customFormat="false" ht="15" hidden="false" customHeight="true" outlineLevel="0" collapsed="false">
      <c r="A112" s="9"/>
      <c r="B112" s="76"/>
      <c r="C112" s="76"/>
      <c r="D112" s="9"/>
      <c r="E112" s="9"/>
      <c r="F112" s="9"/>
      <c r="G112" s="33"/>
      <c r="H112" s="33"/>
      <c r="I112" s="9"/>
      <c r="J112" s="33"/>
      <c r="K112" s="9"/>
    </row>
    <row r="113" customFormat="false" ht="15" hidden="false" customHeight="true" outlineLevel="0" collapsed="false">
      <c r="A113" s="73"/>
      <c r="B113" s="74"/>
      <c r="C113" s="74"/>
      <c r="D113" s="73"/>
      <c r="E113" s="73"/>
      <c r="F113" s="73"/>
      <c r="G113" s="75"/>
      <c r="H113" s="75"/>
      <c r="I113" s="73"/>
      <c r="J113" s="31"/>
      <c r="K113" s="32"/>
    </row>
    <row r="114" customFormat="false" ht="15" hidden="false" customHeight="true" outlineLevel="0" collapsed="false">
      <c r="A114" s="9"/>
      <c r="B114" s="76"/>
      <c r="C114" s="76"/>
      <c r="D114" s="9"/>
      <c r="E114" s="9"/>
      <c r="F114" s="9"/>
      <c r="G114" s="33"/>
      <c r="H114" s="33"/>
      <c r="I114" s="9"/>
      <c r="J114" s="33"/>
      <c r="K114" s="9"/>
    </row>
    <row r="115" customFormat="false" ht="15" hidden="false" customHeight="true" outlineLevel="0" collapsed="false">
      <c r="A115" s="73"/>
      <c r="B115" s="74"/>
      <c r="C115" s="74"/>
      <c r="D115" s="73"/>
      <c r="E115" s="73"/>
      <c r="F115" s="73"/>
      <c r="G115" s="75"/>
      <c r="H115" s="75"/>
      <c r="I115" s="73"/>
      <c r="J115" s="31"/>
      <c r="K115" s="32"/>
    </row>
    <row r="116" customFormat="false" ht="15" hidden="false" customHeight="true" outlineLevel="0" collapsed="false">
      <c r="A116" s="9"/>
      <c r="B116" s="76"/>
      <c r="C116" s="76"/>
      <c r="D116" s="9"/>
      <c r="E116" s="9"/>
      <c r="F116" s="9"/>
      <c r="G116" s="33"/>
      <c r="H116" s="33"/>
      <c r="I116" s="9"/>
      <c r="J116" s="33"/>
      <c r="K116" s="9"/>
    </row>
    <row r="117" customFormat="false" ht="15" hidden="false" customHeight="true" outlineLevel="0" collapsed="false">
      <c r="A117" s="73"/>
      <c r="B117" s="74"/>
      <c r="C117" s="74"/>
      <c r="D117" s="73"/>
      <c r="E117" s="73"/>
      <c r="F117" s="73"/>
      <c r="G117" s="75"/>
      <c r="H117" s="75"/>
      <c r="I117" s="73"/>
      <c r="J117" s="31"/>
      <c r="K117" s="32"/>
    </row>
    <row r="118" customFormat="false" ht="15" hidden="false" customHeight="true" outlineLevel="0" collapsed="false">
      <c r="A118" s="9"/>
      <c r="B118" s="76"/>
      <c r="C118" s="76"/>
      <c r="D118" s="9"/>
      <c r="E118" s="9"/>
      <c r="F118" s="9"/>
      <c r="G118" s="33"/>
      <c r="H118" s="33"/>
      <c r="I118" s="9"/>
      <c r="J118" s="33"/>
      <c r="K118" s="9"/>
    </row>
    <row r="119" customFormat="false" ht="15" hidden="false" customHeight="true" outlineLevel="0" collapsed="false">
      <c r="A119" s="73"/>
      <c r="B119" s="74"/>
      <c r="C119" s="74"/>
      <c r="D119" s="73"/>
      <c r="E119" s="73"/>
      <c r="F119" s="73"/>
      <c r="G119" s="75"/>
      <c r="H119" s="75"/>
      <c r="I119" s="73"/>
      <c r="J119" s="31"/>
      <c r="K119" s="32"/>
    </row>
    <row r="120" customFormat="false" ht="15" hidden="false" customHeight="true" outlineLevel="0" collapsed="false">
      <c r="A120" s="9"/>
      <c r="B120" s="76"/>
      <c r="C120" s="76"/>
      <c r="D120" s="9"/>
      <c r="E120" s="9"/>
      <c r="F120" s="9"/>
      <c r="G120" s="33"/>
      <c r="H120" s="33"/>
      <c r="I120" s="9"/>
      <c r="J120" s="33"/>
      <c r="K120" s="9"/>
    </row>
    <row r="121" customFormat="false" ht="15" hidden="false" customHeight="true" outlineLevel="0" collapsed="false">
      <c r="A121" s="73"/>
      <c r="B121" s="74"/>
      <c r="C121" s="74"/>
      <c r="D121" s="73"/>
      <c r="E121" s="73"/>
      <c r="F121" s="73"/>
      <c r="G121" s="75"/>
      <c r="H121" s="75"/>
      <c r="I121" s="73"/>
      <c r="J121" s="31"/>
      <c r="K121" s="32"/>
    </row>
    <row r="122" customFormat="false" ht="15" hidden="false" customHeight="true" outlineLevel="0" collapsed="false">
      <c r="A122" s="9"/>
      <c r="B122" s="76"/>
      <c r="C122" s="76"/>
      <c r="D122" s="9"/>
      <c r="E122" s="9"/>
      <c r="F122" s="9"/>
      <c r="G122" s="33"/>
      <c r="H122" s="33"/>
      <c r="I122" s="9"/>
      <c r="J122" s="33"/>
      <c r="K122" s="9"/>
    </row>
    <row r="123" customFormat="false" ht="15" hidden="false" customHeight="true" outlineLevel="0" collapsed="false">
      <c r="A123" s="73"/>
      <c r="B123" s="74"/>
      <c r="C123" s="74"/>
      <c r="D123" s="73"/>
      <c r="E123" s="73"/>
      <c r="F123" s="73"/>
      <c r="G123" s="75"/>
      <c r="H123" s="75"/>
      <c r="I123" s="73"/>
      <c r="J123" s="31"/>
      <c r="K123" s="32"/>
    </row>
    <row r="124" customFormat="false" ht="15" hidden="false" customHeight="true" outlineLevel="0" collapsed="false">
      <c r="A124" s="9"/>
      <c r="B124" s="76"/>
      <c r="C124" s="76"/>
      <c r="D124" s="9"/>
      <c r="E124" s="9"/>
      <c r="F124" s="9"/>
      <c r="G124" s="33"/>
      <c r="H124" s="33"/>
      <c r="I124" s="9"/>
      <c r="J124" s="33"/>
      <c r="K124" s="9"/>
    </row>
    <row r="125" customFormat="false" ht="15" hidden="false" customHeight="true" outlineLevel="0" collapsed="false">
      <c r="A125" s="73"/>
      <c r="B125" s="74"/>
      <c r="C125" s="74"/>
      <c r="D125" s="73"/>
      <c r="E125" s="73"/>
      <c r="F125" s="73"/>
      <c r="G125" s="75"/>
      <c r="H125" s="75"/>
      <c r="I125" s="73"/>
      <c r="J125" s="31"/>
      <c r="K125" s="32"/>
    </row>
    <row r="126" customFormat="false" ht="15" hidden="false" customHeight="true" outlineLevel="0" collapsed="false">
      <c r="A126" s="9"/>
      <c r="B126" s="76"/>
      <c r="C126" s="76"/>
      <c r="D126" s="9"/>
      <c r="E126" s="9"/>
      <c r="F126" s="9"/>
      <c r="G126" s="33"/>
      <c r="H126" s="33"/>
      <c r="I126" s="9"/>
      <c r="J126" s="33"/>
      <c r="K126" s="9"/>
    </row>
    <row r="127" customFormat="false" ht="15" hidden="false" customHeight="true" outlineLevel="0" collapsed="false">
      <c r="A127" s="73"/>
      <c r="B127" s="74"/>
      <c r="C127" s="74"/>
      <c r="D127" s="73"/>
      <c r="E127" s="73"/>
      <c r="F127" s="73"/>
      <c r="G127" s="75"/>
      <c r="H127" s="75"/>
      <c r="I127" s="73"/>
      <c r="J127" s="31"/>
      <c r="K127" s="32"/>
    </row>
    <row r="128" customFormat="false" ht="15" hidden="false" customHeight="true" outlineLevel="0" collapsed="false">
      <c r="A128" s="9"/>
      <c r="B128" s="76"/>
      <c r="C128" s="76"/>
      <c r="D128" s="9"/>
      <c r="E128" s="9"/>
      <c r="F128" s="9"/>
      <c r="G128" s="33"/>
      <c r="H128" s="33"/>
      <c r="I128" s="9"/>
      <c r="J128" s="33"/>
      <c r="K128" s="9"/>
    </row>
    <row r="129" customFormat="false" ht="15" hidden="false" customHeight="true" outlineLevel="0" collapsed="false">
      <c r="A129" s="73"/>
      <c r="B129" s="74"/>
      <c r="C129" s="74"/>
      <c r="D129" s="73"/>
      <c r="E129" s="73"/>
      <c r="F129" s="73"/>
      <c r="G129" s="75"/>
      <c r="H129" s="75"/>
      <c r="I129" s="73"/>
      <c r="J129" s="31"/>
      <c r="K129" s="32"/>
    </row>
    <row r="130" customFormat="false" ht="15" hidden="false" customHeight="true" outlineLevel="0" collapsed="false">
      <c r="A130" s="9"/>
      <c r="B130" s="76"/>
      <c r="C130" s="76"/>
      <c r="D130" s="9"/>
      <c r="E130" s="9"/>
      <c r="F130" s="9"/>
      <c r="G130" s="33"/>
      <c r="H130" s="33"/>
      <c r="I130" s="9"/>
      <c r="J130" s="33"/>
      <c r="K130" s="9"/>
    </row>
    <row r="131" customFormat="false" ht="15" hidden="false" customHeight="true" outlineLevel="0" collapsed="false">
      <c r="A131" s="73"/>
      <c r="B131" s="74"/>
      <c r="C131" s="74"/>
      <c r="D131" s="73"/>
      <c r="E131" s="73"/>
      <c r="F131" s="73"/>
      <c r="G131" s="75"/>
      <c r="H131" s="75"/>
      <c r="I131" s="73"/>
      <c r="J131" s="31"/>
      <c r="K131" s="32"/>
    </row>
    <row r="132" customFormat="false" ht="15" hidden="false" customHeight="true" outlineLevel="0" collapsed="false">
      <c r="A132" s="9"/>
      <c r="B132" s="76"/>
      <c r="C132" s="76"/>
      <c r="D132" s="9"/>
      <c r="E132" s="9"/>
      <c r="F132" s="9"/>
      <c r="G132" s="33"/>
      <c r="H132" s="33"/>
      <c r="I132" s="9"/>
      <c r="J132" s="33"/>
      <c r="K132" s="9"/>
    </row>
    <row r="133" customFormat="false" ht="15" hidden="false" customHeight="true" outlineLevel="0" collapsed="false">
      <c r="A133" s="73"/>
      <c r="B133" s="74"/>
      <c r="C133" s="74"/>
      <c r="D133" s="73"/>
      <c r="E133" s="73"/>
      <c r="F133" s="73"/>
      <c r="G133" s="75"/>
      <c r="H133" s="75"/>
      <c r="I133" s="73"/>
      <c r="J133" s="31"/>
      <c r="K133" s="32"/>
    </row>
    <row r="134" customFormat="false" ht="15" hidden="false" customHeight="true" outlineLevel="0" collapsed="false">
      <c r="A134" s="9"/>
      <c r="B134" s="76"/>
      <c r="C134" s="76"/>
      <c r="D134" s="9"/>
      <c r="E134" s="9"/>
      <c r="F134" s="9"/>
      <c r="G134" s="33"/>
      <c r="H134" s="33"/>
      <c r="I134" s="9"/>
      <c r="J134" s="33"/>
      <c r="K134" s="9"/>
    </row>
    <row r="135" customFormat="false" ht="15" hidden="false" customHeight="true" outlineLevel="0" collapsed="false">
      <c r="A135" s="73"/>
      <c r="B135" s="74"/>
      <c r="C135" s="74"/>
      <c r="D135" s="73"/>
      <c r="E135" s="73"/>
      <c r="F135" s="73"/>
      <c r="G135" s="75"/>
      <c r="H135" s="75"/>
      <c r="I135" s="73"/>
      <c r="J135" s="31"/>
      <c r="K135" s="32"/>
    </row>
    <row r="136" customFormat="false" ht="15" hidden="false" customHeight="true" outlineLevel="0" collapsed="false">
      <c r="A136" s="9"/>
      <c r="B136" s="76"/>
      <c r="C136" s="76"/>
      <c r="D136" s="9"/>
      <c r="E136" s="9"/>
      <c r="F136" s="9"/>
      <c r="G136" s="33"/>
      <c r="H136" s="33"/>
      <c r="I136" s="9"/>
      <c r="J136" s="33"/>
      <c r="K136" s="9"/>
    </row>
    <row r="137" customFormat="false" ht="15" hidden="false" customHeight="true" outlineLevel="0" collapsed="false">
      <c r="A137" s="73"/>
      <c r="B137" s="74"/>
      <c r="C137" s="74"/>
      <c r="D137" s="73"/>
      <c r="E137" s="73"/>
      <c r="F137" s="73"/>
      <c r="G137" s="75"/>
      <c r="H137" s="75"/>
      <c r="I137" s="73"/>
      <c r="J137" s="31"/>
      <c r="K137" s="32"/>
    </row>
    <row r="138" customFormat="false" ht="15" hidden="false" customHeight="true" outlineLevel="0" collapsed="false">
      <c r="A138" s="9"/>
      <c r="B138" s="76"/>
      <c r="C138" s="76"/>
      <c r="D138" s="9"/>
      <c r="E138" s="9"/>
      <c r="F138" s="9"/>
      <c r="G138" s="33"/>
      <c r="H138" s="33"/>
      <c r="I138" s="9"/>
      <c r="J138" s="33"/>
      <c r="K138" s="9"/>
    </row>
    <row r="139" customFormat="false" ht="15" hidden="false" customHeight="true" outlineLevel="0" collapsed="false">
      <c r="A139" s="73"/>
      <c r="B139" s="74"/>
      <c r="C139" s="74"/>
      <c r="D139" s="73"/>
      <c r="E139" s="73"/>
      <c r="F139" s="73"/>
      <c r="G139" s="75"/>
      <c r="H139" s="75"/>
      <c r="I139" s="73"/>
      <c r="J139" s="31"/>
      <c r="K139" s="32"/>
    </row>
    <row r="140" customFormat="false" ht="15" hidden="false" customHeight="true" outlineLevel="0" collapsed="false">
      <c r="A140" s="9"/>
      <c r="B140" s="76"/>
      <c r="C140" s="76"/>
      <c r="D140" s="9"/>
      <c r="E140" s="9"/>
      <c r="F140" s="9"/>
      <c r="G140" s="33"/>
      <c r="H140" s="33"/>
      <c r="I140" s="9"/>
      <c r="J140" s="33"/>
      <c r="K140" s="9"/>
    </row>
    <row r="141" customFormat="false" ht="15" hidden="false" customHeight="true" outlineLevel="0" collapsed="false">
      <c r="A141" s="73"/>
      <c r="B141" s="74"/>
      <c r="C141" s="74"/>
      <c r="D141" s="73"/>
      <c r="E141" s="73"/>
      <c r="F141" s="73"/>
      <c r="G141" s="75"/>
      <c r="H141" s="75"/>
      <c r="I141" s="73"/>
      <c r="J141" s="31"/>
      <c r="K141" s="32"/>
    </row>
    <row r="142" customFormat="false" ht="15" hidden="false" customHeight="true" outlineLevel="0" collapsed="false">
      <c r="A142" s="9"/>
      <c r="B142" s="76"/>
      <c r="C142" s="76"/>
      <c r="D142" s="9"/>
      <c r="E142" s="9"/>
      <c r="F142" s="9"/>
      <c r="G142" s="33"/>
      <c r="H142" s="33"/>
      <c r="I142" s="9"/>
      <c r="J142" s="33"/>
      <c r="K142" s="9"/>
    </row>
    <row r="143" customFormat="false" ht="15" hidden="false" customHeight="true" outlineLevel="0" collapsed="false">
      <c r="A143" s="73"/>
      <c r="B143" s="74"/>
      <c r="C143" s="74"/>
      <c r="D143" s="73"/>
      <c r="E143" s="73"/>
      <c r="F143" s="73"/>
      <c r="G143" s="75"/>
      <c r="H143" s="75"/>
      <c r="I143" s="73"/>
      <c r="J143" s="31"/>
      <c r="K143" s="32"/>
    </row>
    <row r="144" customFormat="false" ht="15" hidden="false" customHeight="true" outlineLevel="0" collapsed="false">
      <c r="A144" s="9"/>
      <c r="B144" s="76"/>
      <c r="C144" s="76"/>
      <c r="D144" s="9"/>
      <c r="E144" s="9"/>
      <c r="F144" s="9"/>
      <c r="G144" s="33"/>
      <c r="H144" s="33"/>
      <c r="I144" s="9"/>
      <c r="J144" s="33"/>
      <c r="K144" s="9"/>
    </row>
    <row r="145" customFormat="false" ht="15" hidden="false" customHeight="true" outlineLevel="0" collapsed="false">
      <c r="A145" s="73"/>
      <c r="B145" s="74"/>
      <c r="C145" s="74"/>
      <c r="D145" s="73"/>
      <c r="E145" s="73"/>
      <c r="F145" s="73"/>
      <c r="G145" s="75"/>
      <c r="H145" s="75"/>
      <c r="I145" s="73"/>
      <c r="J145" s="31"/>
      <c r="K145" s="32"/>
    </row>
    <row r="146" customFormat="false" ht="15" hidden="false" customHeight="true" outlineLevel="0" collapsed="false">
      <c r="A146" s="9"/>
      <c r="B146" s="76"/>
      <c r="C146" s="76"/>
      <c r="D146" s="9"/>
      <c r="E146" s="9"/>
      <c r="F146" s="9"/>
      <c r="G146" s="33"/>
      <c r="H146" s="33"/>
      <c r="I146" s="9"/>
      <c r="J146" s="33"/>
      <c r="K146" s="9"/>
    </row>
    <row r="147" customFormat="false" ht="15" hidden="false" customHeight="true" outlineLevel="0" collapsed="false">
      <c r="A147" s="73"/>
      <c r="B147" s="74"/>
      <c r="C147" s="74"/>
      <c r="D147" s="73"/>
      <c r="E147" s="73"/>
      <c r="F147" s="73"/>
      <c r="G147" s="75"/>
      <c r="H147" s="75"/>
      <c r="I147" s="73"/>
      <c r="J147" s="31"/>
      <c r="K147" s="32"/>
    </row>
    <row r="148" customFormat="false" ht="15" hidden="false" customHeight="true" outlineLevel="0" collapsed="false">
      <c r="A148" s="9"/>
      <c r="B148" s="76"/>
      <c r="C148" s="76"/>
      <c r="D148" s="9"/>
      <c r="E148" s="9"/>
      <c r="F148" s="9"/>
      <c r="G148" s="33"/>
      <c r="H148" s="33"/>
      <c r="I148" s="9"/>
      <c r="J148" s="33"/>
      <c r="K148" s="9"/>
    </row>
    <row r="149" customFormat="false" ht="15" hidden="false" customHeight="true" outlineLevel="0" collapsed="false">
      <c r="A149" s="73"/>
      <c r="B149" s="74"/>
      <c r="C149" s="74"/>
      <c r="D149" s="73"/>
      <c r="E149" s="73"/>
      <c r="F149" s="73"/>
      <c r="G149" s="75"/>
      <c r="H149" s="75"/>
      <c r="I149" s="73"/>
      <c r="J149" s="31"/>
      <c r="K149" s="32"/>
    </row>
    <row r="150" customFormat="false" ht="15" hidden="false" customHeight="true" outlineLevel="0" collapsed="false">
      <c r="A150" s="9"/>
      <c r="B150" s="76"/>
      <c r="C150" s="76"/>
      <c r="D150" s="9"/>
      <c r="E150" s="9"/>
      <c r="F150" s="9"/>
      <c r="G150" s="33"/>
      <c r="H150" s="33"/>
      <c r="I150" s="9"/>
      <c r="J150" s="33"/>
      <c r="K150" s="9"/>
    </row>
    <row r="151" customFormat="false" ht="15" hidden="false" customHeight="true" outlineLevel="0" collapsed="false">
      <c r="A151" s="73"/>
      <c r="B151" s="74"/>
      <c r="C151" s="74"/>
      <c r="D151" s="73"/>
      <c r="E151" s="73"/>
      <c r="F151" s="73"/>
      <c r="G151" s="75"/>
      <c r="H151" s="75"/>
      <c r="I151" s="73"/>
      <c r="J151" s="31"/>
      <c r="K151" s="32"/>
    </row>
    <row r="152" customFormat="false" ht="15" hidden="false" customHeight="true" outlineLevel="0" collapsed="false">
      <c r="A152" s="9"/>
      <c r="B152" s="76"/>
      <c r="C152" s="76"/>
      <c r="D152" s="9"/>
      <c r="E152" s="9"/>
      <c r="F152" s="9"/>
      <c r="G152" s="33"/>
      <c r="H152" s="33"/>
      <c r="I152" s="9"/>
      <c r="J152" s="33"/>
      <c r="K152" s="9"/>
    </row>
    <row r="153" customFormat="false" ht="15" hidden="false" customHeight="true" outlineLevel="0" collapsed="false">
      <c r="A153" s="73"/>
      <c r="B153" s="74"/>
      <c r="C153" s="74"/>
      <c r="D153" s="73"/>
      <c r="E153" s="73"/>
      <c r="F153" s="73"/>
      <c r="G153" s="75"/>
      <c r="H153" s="75"/>
      <c r="I153" s="73"/>
      <c r="J153" s="31"/>
      <c r="K153" s="32"/>
    </row>
    <row r="154" customFormat="false" ht="15" hidden="false" customHeight="true" outlineLevel="0" collapsed="false">
      <c r="A154" s="9"/>
      <c r="B154" s="76"/>
      <c r="C154" s="76"/>
      <c r="D154" s="9"/>
      <c r="E154" s="9"/>
      <c r="F154" s="9"/>
      <c r="G154" s="33"/>
      <c r="H154" s="33"/>
      <c r="I154" s="9"/>
      <c r="J154" s="33"/>
      <c r="K154" s="9"/>
    </row>
    <row r="155" customFormat="false" ht="15" hidden="false" customHeight="true" outlineLevel="0" collapsed="false">
      <c r="A155" s="73"/>
      <c r="B155" s="74"/>
      <c r="C155" s="74"/>
      <c r="D155" s="73"/>
      <c r="E155" s="73"/>
      <c r="F155" s="73"/>
      <c r="G155" s="75"/>
      <c r="H155" s="75"/>
      <c r="I155" s="73"/>
      <c r="J155" s="31"/>
      <c r="K155" s="32"/>
    </row>
    <row r="156" customFormat="false" ht="15" hidden="false" customHeight="true" outlineLevel="0" collapsed="false">
      <c r="A156" s="9"/>
      <c r="B156" s="76"/>
      <c r="C156" s="76"/>
      <c r="D156" s="9"/>
      <c r="E156" s="9"/>
      <c r="F156" s="9"/>
      <c r="G156" s="33"/>
      <c r="H156" s="33"/>
      <c r="I156" s="9"/>
      <c r="J156" s="33"/>
      <c r="K156" s="9"/>
    </row>
    <row r="157" customFormat="false" ht="15" hidden="false" customHeight="true" outlineLevel="0" collapsed="false">
      <c r="A157" s="73"/>
      <c r="B157" s="74"/>
      <c r="C157" s="74"/>
      <c r="D157" s="73"/>
      <c r="E157" s="73"/>
      <c r="F157" s="73"/>
      <c r="G157" s="75"/>
      <c r="H157" s="75"/>
      <c r="I157" s="73"/>
      <c r="J157" s="31"/>
      <c r="K157" s="32"/>
    </row>
    <row r="158" customFormat="false" ht="15" hidden="false" customHeight="true" outlineLevel="0" collapsed="false">
      <c r="A158" s="9"/>
      <c r="B158" s="76"/>
      <c r="C158" s="76"/>
      <c r="D158" s="9"/>
      <c r="E158" s="9"/>
      <c r="F158" s="9"/>
      <c r="G158" s="33"/>
      <c r="H158" s="33"/>
      <c r="I158" s="9"/>
      <c r="J158" s="33"/>
      <c r="K158" s="9"/>
    </row>
    <row r="159" customFormat="false" ht="15" hidden="false" customHeight="true" outlineLevel="0" collapsed="false">
      <c r="A159" s="73"/>
      <c r="B159" s="74"/>
      <c r="C159" s="74"/>
      <c r="D159" s="73"/>
      <c r="E159" s="73"/>
      <c r="F159" s="73"/>
      <c r="G159" s="75"/>
      <c r="H159" s="75"/>
      <c r="I159" s="73"/>
      <c r="J159" s="31"/>
      <c r="K159" s="32"/>
    </row>
    <row r="160" customFormat="false" ht="15" hidden="false" customHeight="true" outlineLevel="0" collapsed="false">
      <c r="A160" s="9"/>
      <c r="B160" s="76"/>
      <c r="C160" s="76"/>
      <c r="D160" s="9"/>
      <c r="E160" s="9"/>
      <c r="F160" s="9"/>
      <c r="G160" s="33"/>
      <c r="H160" s="33"/>
      <c r="I160" s="9"/>
      <c r="J160" s="33"/>
      <c r="K160" s="9"/>
    </row>
    <row r="161" customFormat="false" ht="15" hidden="false" customHeight="true" outlineLevel="0" collapsed="false">
      <c r="A161" s="73"/>
      <c r="B161" s="74"/>
      <c r="C161" s="74"/>
      <c r="D161" s="73"/>
      <c r="E161" s="73"/>
      <c r="F161" s="73"/>
      <c r="G161" s="75"/>
      <c r="H161" s="75"/>
      <c r="I161" s="73"/>
      <c r="J161" s="31"/>
      <c r="K161" s="32"/>
    </row>
    <row r="162" customFormat="false" ht="15" hidden="false" customHeight="true" outlineLevel="0" collapsed="false">
      <c r="A162" s="9"/>
      <c r="B162" s="76"/>
      <c r="C162" s="76"/>
      <c r="D162" s="9"/>
      <c r="E162" s="9"/>
      <c r="F162" s="9"/>
      <c r="G162" s="33"/>
      <c r="H162" s="33"/>
      <c r="I162" s="9"/>
      <c r="J162" s="33"/>
      <c r="K162" s="9"/>
    </row>
    <row r="163" customFormat="false" ht="15" hidden="false" customHeight="true" outlineLevel="0" collapsed="false">
      <c r="A163" s="73"/>
      <c r="B163" s="74"/>
      <c r="C163" s="74"/>
      <c r="D163" s="73"/>
      <c r="E163" s="73"/>
      <c r="F163" s="73"/>
      <c r="G163" s="75"/>
      <c r="H163" s="75"/>
      <c r="I163" s="73"/>
      <c r="J163" s="31"/>
      <c r="K163" s="32"/>
    </row>
    <row r="164" customFormat="false" ht="15" hidden="false" customHeight="true" outlineLevel="0" collapsed="false">
      <c r="A164" s="9"/>
      <c r="B164" s="76"/>
      <c r="C164" s="76"/>
      <c r="D164" s="9"/>
      <c r="E164" s="9"/>
      <c r="F164" s="9"/>
      <c r="G164" s="33"/>
      <c r="H164" s="33"/>
      <c r="I164" s="9"/>
      <c r="J164" s="33"/>
      <c r="K164" s="9"/>
    </row>
    <row r="165" customFormat="false" ht="15" hidden="false" customHeight="true" outlineLevel="0" collapsed="false">
      <c r="A165" s="73"/>
      <c r="B165" s="74"/>
      <c r="C165" s="74"/>
      <c r="D165" s="73"/>
      <c r="E165" s="73"/>
      <c r="F165" s="73"/>
      <c r="G165" s="75"/>
      <c r="H165" s="75"/>
      <c r="I165" s="73"/>
      <c r="J165" s="31"/>
      <c r="K165" s="32"/>
    </row>
    <row r="166" customFormat="false" ht="15" hidden="false" customHeight="true" outlineLevel="0" collapsed="false">
      <c r="A166" s="9"/>
      <c r="B166" s="76"/>
      <c r="C166" s="76"/>
      <c r="D166" s="9"/>
      <c r="E166" s="9"/>
      <c r="F166" s="9"/>
      <c r="G166" s="33"/>
      <c r="H166" s="33"/>
      <c r="I166" s="9"/>
      <c r="J166" s="33"/>
      <c r="K166" s="9"/>
    </row>
    <row r="167" customFormat="false" ht="15" hidden="false" customHeight="true" outlineLevel="0" collapsed="false">
      <c r="A167" s="73"/>
      <c r="B167" s="74"/>
      <c r="C167" s="74"/>
      <c r="D167" s="73"/>
      <c r="E167" s="73"/>
      <c r="F167" s="73"/>
      <c r="G167" s="75"/>
      <c r="H167" s="75"/>
      <c r="I167" s="73"/>
      <c r="J167" s="31"/>
      <c r="K167" s="32"/>
    </row>
    <row r="168" customFormat="false" ht="15" hidden="false" customHeight="true" outlineLevel="0" collapsed="false">
      <c r="A168" s="9"/>
      <c r="B168" s="76"/>
      <c r="C168" s="76"/>
      <c r="D168" s="9"/>
      <c r="E168" s="9"/>
      <c r="F168" s="9"/>
      <c r="G168" s="33"/>
      <c r="H168" s="33"/>
      <c r="I168" s="9"/>
      <c r="J168" s="33"/>
      <c r="K168" s="9"/>
    </row>
    <row r="169" customFormat="false" ht="15" hidden="false" customHeight="true" outlineLevel="0" collapsed="false">
      <c r="A169" s="73"/>
      <c r="B169" s="74"/>
      <c r="C169" s="74"/>
      <c r="D169" s="73"/>
      <c r="E169" s="73"/>
      <c r="F169" s="73"/>
      <c r="G169" s="75"/>
      <c r="H169" s="75"/>
      <c r="I169" s="73"/>
      <c r="J169" s="31"/>
      <c r="K169" s="32"/>
    </row>
    <row r="170" customFormat="false" ht="15" hidden="false" customHeight="true" outlineLevel="0" collapsed="false">
      <c r="A170" s="9"/>
      <c r="B170" s="76"/>
      <c r="C170" s="76"/>
      <c r="D170" s="9"/>
      <c r="E170" s="9"/>
      <c r="F170" s="9"/>
      <c r="G170" s="33"/>
      <c r="H170" s="33"/>
      <c r="I170" s="9"/>
      <c r="J170" s="33"/>
      <c r="K170" s="9"/>
    </row>
    <row r="171" customFormat="false" ht="15" hidden="false" customHeight="true" outlineLevel="0" collapsed="false">
      <c r="A171" s="73"/>
      <c r="B171" s="74"/>
      <c r="C171" s="74"/>
      <c r="D171" s="73"/>
      <c r="E171" s="73"/>
      <c r="F171" s="73"/>
      <c r="G171" s="75"/>
      <c r="H171" s="75"/>
      <c r="I171" s="73"/>
      <c r="J171" s="31"/>
      <c r="K171" s="32"/>
    </row>
    <row r="172" customFormat="false" ht="15" hidden="false" customHeight="true" outlineLevel="0" collapsed="false">
      <c r="A172" s="9"/>
      <c r="B172" s="76"/>
      <c r="C172" s="76"/>
      <c r="D172" s="9"/>
      <c r="E172" s="9"/>
      <c r="F172" s="9"/>
      <c r="G172" s="33"/>
      <c r="H172" s="33"/>
      <c r="I172" s="9"/>
      <c r="J172" s="33"/>
      <c r="K172" s="9"/>
    </row>
    <row r="173" customFormat="false" ht="15" hidden="false" customHeight="true" outlineLevel="0" collapsed="false">
      <c r="A173" s="73"/>
      <c r="B173" s="74"/>
      <c r="C173" s="74"/>
      <c r="D173" s="73"/>
      <c r="E173" s="73"/>
      <c r="F173" s="73"/>
      <c r="G173" s="75"/>
      <c r="H173" s="75"/>
      <c r="I173" s="73"/>
      <c r="J173" s="31"/>
      <c r="K173" s="32"/>
    </row>
    <row r="174" customFormat="false" ht="15" hidden="false" customHeight="true" outlineLevel="0" collapsed="false">
      <c r="A174" s="9"/>
      <c r="B174" s="76"/>
      <c r="C174" s="76"/>
      <c r="D174" s="9"/>
      <c r="E174" s="9"/>
      <c r="F174" s="9"/>
      <c r="G174" s="33"/>
      <c r="H174" s="33"/>
      <c r="I174" s="9"/>
      <c r="J174" s="33"/>
      <c r="K174" s="9"/>
    </row>
    <row r="175" customFormat="false" ht="15" hidden="false" customHeight="true" outlineLevel="0" collapsed="false">
      <c r="A175" s="73"/>
      <c r="B175" s="74"/>
      <c r="C175" s="74"/>
      <c r="D175" s="73"/>
      <c r="E175" s="73"/>
      <c r="F175" s="73"/>
      <c r="G175" s="75"/>
      <c r="H175" s="75"/>
      <c r="I175" s="73"/>
      <c r="J175" s="31"/>
      <c r="K175" s="32"/>
    </row>
    <row r="176" customFormat="false" ht="15" hidden="false" customHeight="true" outlineLevel="0" collapsed="false">
      <c r="A176" s="9"/>
      <c r="B176" s="76"/>
      <c r="C176" s="76"/>
      <c r="D176" s="9"/>
      <c r="E176" s="9"/>
      <c r="F176" s="9"/>
      <c r="G176" s="33"/>
      <c r="H176" s="33"/>
      <c r="I176" s="9"/>
      <c r="J176" s="33"/>
      <c r="K176" s="9"/>
    </row>
    <row r="177" customFormat="false" ht="15" hidden="false" customHeight="true" outlineLevel="0" collapsed="false">
      <c r="A177" s="73"/>
      <c r="B177" s="74"/>
      <c r="C177" s="74"/>
      <c r="D177" s="73"/>
      <c r="E177" s="73"/>
      <c r="F177" s="73"/>
      <c r="G177" s="75"/>
      <c r="H177" s="75"/>
      <c r="I177" s="73"/>
      <c r="J177" s="31"/>
      <c r="K177" s="32"/>
    </row>
    <row r="178" customFormat="false" ht="15" hidden="false" customHeight="true" outlineLevel="0" collapsed="false">
      <c r="A178" s="9"/>
      <c r="B178" s="76"/>
      <c r="C178" s="76"/>
      <c r="D178" s="9"/>
      <c r="E178" s="9"/>
      <c r="F178" s="9"/>
      <c r="G178" s="33"/>
      <c r="H178" s="33"/>
      <c r="I178" s="9"/>
      <c r="J178" s="33"/>
      <c r="K178" s="9"/>
    </row>
    <row r="179" customFormat="false" ht="15" hidden="false" customHeight="true" outlineLevel="0" collapsed="false">
      <c r="A179" s="73"/>
      <c r="B179" s="74"/>
      <c r="C179" s="74"/>
      <c r="D179" s="73"/>
      <c r="E179" s="73"/>
      <c r="F179" s="73"/>
      <c r="G179" s="75"/>
      <c r="H179" s="75"/>
      <c r="I179" s="73"/>
      <c r="J179" s="31"/>
      <c r="K179" s="32"/>
    </row>
    <row r="180" customFormat="false" ht="15" hidden="false" customHeight="true" outlineLevel="0" collapsed="false">
      <c r="A180" s="9"/>
      <c r="B180" s="76"/>
      <c r="C180" s="76"/>
      <c r="D180" s="9"/>
      <c r="E180" s="9"/>
      <c r="F180" s="9"/>
      <c r="G180" s="33"/>
      <c r="H180" s="33"/>
      <c r="I180" s="9"/>
      <c r="J180" s="33"/>
      <c r="K180" s="9"/>
    </row>
    <row r="181" customFormat="false" ht="15" hidden="false" customHeight="true" outlineLevel="0" collapsed="false">
      <c r="A181" s="73"/>
      <c r="B181" s="74"/>
      <c r="C181" s="74"/>
      <c r="D181" s="73"/>
      <c r="E181" s="73"/>
      <c r="F181" s="73"/>
      <c r="G181" s="75"/>
      <c r="H181" s="75"/>
      <c r="I181" s="73"/>
      <c r="J181" s="31"/>
      <c r="K181" s="32"/>
    </row>
    <row r="182" customFormat="false" ht="15" hidden="false" customHeight="true" outlineLevel="0" collapsed="false">
      <c r="A182" s="9"/>
      <c r="B182" s="76"/>
      <c r="C182" s="76"/>
      <c r="D182" s="9"/>
      <c r="E182" s="9"/>
      <c r="F182" s="9"/>
      <c r="G182" s="33"/>
      <c r="H182" s="33"/>
      <c r="I182" s="9"/>
      <c r="J182" s="33"/>
      <c r="K182" s="9"/>
    </row>
    <row r="183" customFormat="false" ht="15" hidden="false" customHeight="true" outlineLevel="0" collapsed="false">
      <c r="A183" s="73"/>
      <c r="B183" s="74"/>
      <c r="C183" s="74"/>
      <c r="D183" s="73"/>
      <c r="E183" s="73"/>
      <c r="F183" s="73"/>
      <c r="G183" s="75"/>
      <c r="H183" s="75"/>
      <c r="I183" s="73"/>
      <c r="J183" s="31"/>
      <c r="K183" s="32"/>
    </row>
    <row r="184" customFormat="false" ht="15" hidden="false" customHeight="true" outlineLevel="0" collapsed="false">
      <c r="A184" s="9"/>
      <c r="B184" s="76"/>
      <c r="C184" s="76"/>
      <c r="D184" s="9"/>
      <c r="E184" s="9"/>
      <c r="F184" s="9"/>
      <c r="G184" s="33"/>
      <c r="H184" s="33"/>
      <c r="I184" s="9"/>
      <c r="J184" s="33"/>
      <c r="K184" s="9"/>
    </row>
    <row r="185" customFormat="false" ht="15" hidden="false" customHeight="true" outlineLevel="0" collapsed="false">
      <c r="A185" s="73"/>
      <c r="B185" s="74"/>
      <c r="C185" s="74"/>
      <c r="D185" s="73"/>
      <c r="E185" s="73"/>
      <c r="F185" s="73"/>
      <c r="G185" s="75"/>
      <c r="H185" s="75"/>
      <c r="I185" s="73"/>
      <c r="J185" s="31"/>
      <c r="K185" s="32"/>
    </row>
    <row r="186" customFormat="false" ht="15" hidden="false" customHeight="true" outlineLevel="0" collapsed="false">
      <c r="A186" s="9"/>
      <c r="B186" s="76"/>
      <c r="C186" s="76"/>
      <c r="D186" s="9"/>
      <c r="E186" s="9"/>
      <c r="F186" s="9"/>
      <c r="G186" s="33"/>
      <c r="H186" s="33"/>
      <c r="I186" s="9"/>
      <c r="J186" s="33"/>
      <c r="K186" s="9"/>
    </row>
    <row r="187" customFormat="false" ht="15" hidden="false" customHeight="true" outlineLevel="0" collapsed="false">
      <c r="A187" s="73"/>
      <c r="B187" s="74"/>
      <c r="C187" s="74"/>
      <c r="D187" s="73"/>
      <c r="E187" s="73"/>
      <c r="F187" s="73"/>
      <c r="G187" s="75"/>
      <c r="H187" s="75"/>
      <c r="I187" s="73"/>
      <c r="J187" s="31"/>
      <c r="K187" s="32"/>
    </row>
    <row r="188" customFormat="false" ht="15" hidden="false" customHeight="true" outlineLevel="0" collapsed="false">
      <c r="A188" s="9"/>
      <c r="B188" s="76"/>
      <c r="C188" s="76"/>
      <c r="D188" s="9"/>
      <c r="E188" s="9"/>
      <c r="F188" s="9"/>
      <c r="G188" s="33"/>
      <c r="H188" s="33"/>
      <c r="I188" s="9"/>
      <c r="J188" s="33"/>
      <c r="K188" s="9"/>
    </row>
    <row r="189" customFormat="false" ht="15" hidden="false" customHeight="true" outlineLevel="0" collapsed="false">
      <c r="A189" s="73"/>
      <c r="B189" s="74"/>
      <c r="C189" s="74"/>
      <c r="D189" s="73"/>
      <c r="E189" s="73"/>
      <c r="F189" s="73"/>
      <c r="G189" s="75"/>
      <c r="H189" s="75"/>
      <c r="I189" s="73"/>
      <c r="J189" s="31"/>
      <c r="K189" s="32"/>
    </row>
    <row r="190" customFormat="false" ht="15" hidden="false" customHeight="true" outlineLevel="0" collapsed="false">
      <c r="A190" s="9"/>
      <c r="B190" s="76"/>
      <c r="C190" s="76"/>
      <c r="D190" s="9"/>
      <c r="E190" s="9"/>
      <c r="F190" s="9"/>
      <c r="G190" s="33"/>
      <c r="H190" s="33"/>
      <c r="I190" s="9"/>
      <c r="J190" s="33"/>
      <c r="K190" s="9"/>
    </row>
    <row r="191" customFormat="false" ht="15" hidden="false" customHeight="true" outlineLevel="0" collapsed="false">
      <c r="A191" s="73"/>
      <c r="B191" s="74"/>
      <c r="C191" s="74"/>
      <c r="D191" s="73"/>
      <c r="E191" s="73"/>
      <c r="F191" s="73"/>
      <c r="G191" s="75"/>
      <c r="H191" s="75"/>
      <c r="I191" s="73"/>
      <c r="J191" s="31"/>
      <c r="K191" s="32"/>
    </row>
    <row r="192" customFormat="false" ht="15" hidden="false" customHeight="true" outlineLevel="0" collapsed="false">
      <c r="A192" s="9"/>
      <c r="B192" s="76"/>
      <c r="C192" s="76"/>
      <c r="D192" s="9"/>
      <c r="E192" s="9"/>
      <c r="F192" s="9"/>
      <c r="G192" s="33"/>
      <c r="H192" s="33"/>
      <c r="I192" s="9"/>
      <c r="J192" s="33"/>
      <c r="K192" s="9"/>
    </row>
    <row r="193" customFormat="false" ht="15" hidden="false" customHeight="true" outlineLevel="0" collapsed="false">
      <c r="A193" s="73"/>
      <c r="B193" s="74"/>
      <c r="C193" s="74"/>
      <c r="D193" s="73"/>
      <c r="E193" s="73"/>
      <c r="F193" s="73"/>
      <c r="G193" s="75"/>
      <c r="H193" s="75"/>
      <c r="I193" s="73"/>
      <c r="J193" s="31"/>
      <c r="K193" s="32"/>
    </row>
    <row r="194" customFormat="false" ht="15" hidden="false" customHeight="true" outlineLevel="0" collapsed="false">
      <c r="A194" s="9"/>
      <c r="B194" s="76"/>
      <c r="C194" s="76"/>
      <c r="D194" s="9"/>
      <c r="E194" s="9"/>
      <c r="F194" s="9"/>
      <c r="G194" s="33"/>
      <c r="H194" s="33"/>
      <c r="I194" s="9"/>
      <c r="J194" s="33"/>
      <c r="K194" s="9"/>
    </row>
    <row r="195" customFormat="false" ht="15" hidden="false" customHeight="true" outlineLevel="0" collapsed="false">
      <c r="A195" s="73"/>
      <c r="B195" s="74"/>
      <c r="C195" s="74"/>
      <c r="D195" s="73"/>
      <c r="E195" s="73"/>
      <c r="F195" s="73"/>
      <c r="G195" s="75"/>
      <c r="H195" s="75"/>
      <c r="I195" s="73"/>
      <c r="J195" s="31"/>
      <c r="K195" s="32"/>
    </row>
    <row r="196" customFormat="false" ht="15" hidden="false" customHeight="true" outlineLevel="0" collapsed="false">
      <c r="A196" s="9"/>
      <c r="B196" s="76"/>
      <c r="C196" s="76"/>
      <c r="D196" s="9"/>
      <c r="E196" s="9"/>
      <c r="F196" s="9"/>
      <c r="G196" s="33"/>
      <c r="H196" s="33"/>
      <c r="I196" s="9"/>
      <c r="J196" s="33"/>
      <c r="K196" s="9"/>
    </row>
    <row r="197" customFormat="false" ht="15" hidden="false" customHeight="true" outlineLevel="0" collapsed="false">
      <c r="A197" s="73"/>
      <c r="B197" s="74"/>
      <c r="C197" s="74"/>
      <c r="D197" s="73"/>
      <c r="E197" s="73"/>
      <c r="F197" s="73"/>
      <c r="G197" s="75"/>
      <c r="H197" s="75"/>
      <c r="I197" s="73"/>
      <c r="J197" s="31"/>
      <c r="K197" s="32"/>
    </row>
    <row r="198" customFormat="false" ht="15" hidden="false" customHeight="true" outlineLevel="0" collapsed="false">
      <c r="A198" s="9"/>
      <c r="B198" s="76"/>
      <c r="C198" s="76"/>
      <c r="D198" s="9"/>
      <c r="E198" s="9"/>
      <c r="F198" s="9"/>
      <c r="G198" s="33"/>
      <c r="H198" s="33"/>
      <c r="I198" s="9"/>
      <c r="J198" s="33"/>
      <c r="K198" s="9"/>
    </row>
    <row r="199" customFormat="false" ht="15" hidden="false" customHeight="true" outlineLevel="0" collapsed="false">
      <c r="A199" s="73"/>
      <c r="B199" s="74"/>
      <c r="C199" s="74"/>
      <c r="D199" s="73"/>
      <c r="E199" s="73"/>
      <c r="F199" s="73"/>
      <c r="G199" s="75"/>
      <c r="H199" s="75"/>
      <c r="I199" s="73"/>
      <c r="J199" s="31"/>
      <c r="K199" s="32"/>
    </row>
    <row r="200" customFormat="false" ht="15" hidden="false" customHeight="true" outlineLevel="0" collapsed="false">
      <c r="A200" s="9"/>
      <c r="B200" s="76"/>
      <c r="C200" s="76"/>
      <c r="D200" s="9"/>
      <c r="E200" s="9"/>
      <c r="F200" s="9"/>
      <c r="G200" s="33"/>
      <c r="H200" s="33"/>
      <c r="I200" s="9"/>
      <c r="J200" s="33"/>
      <c r="K200" s="9"/>
    </row>
    <row r="201" customFormat="false" ht="15" hidden="false" customHeight="true" outlineLevel="0" collapsed="false">
      <c r="A201" s="73"/>
      <c r="B201" s="74"/>
      <c r="C201" s="74"/>
      <c r="D201" s="73"/>
      <c r="E201" s="73"/>
      <c r="F201" s="73"/>
      <c r="G201" s="75"/>
      <c r="H201" s="75"/>
      <c r="I201" s="73"/>
      <c r="J201" s="31"/>
      <c r="K201" s="32"/>
    </row>
    <row r="202" customFormat="false" ht="15" hidden="false" customHeight="true" outlineLevel="0" collapsed="false">
      <c r="A202" s="9"/>
      <c r="B202" s="76"/>
      <c r="C202" s="76"/>
      <c r="D202" s="9"/>
      <c r="E202" s="9"/>
      <c r="F202" s="9"/>
      <c r="G202" s="33"/>
      <c r="H202" s="33"/>
      <c r="I202" s="9"/>
      <c r="J202" s="33"/>
      <c r="K202" s="9"/>
    </row>
    <row r="203" customFormat="false" ht="15" hidden="false" customHeight="true" outlineLevel="0" collapsed="false">
      <c r="A203" s="73"/>
      <c r="B203" s="74"/>
      <c r="C203" s="74"/>
      <c r="D203" s="73"/>
      <c r="E203" s="73"/>
      <c r="F203" s="73"/>
      <c r="G203" s="75"/>
      <c r="H203" s="75"/>
      <c r="I203" s="73"/>
      <c r="J203" s="31"/>
      <c r="K203" s="32"/>
    </row>
    <row r="204" customFormat="false" ht="15" hidden="false" customHeight="true" outlineLevel="0" collapsed="false">
      <c r="A204" s="9"/>
      <c r="B204" s="76"/>
      <c r="C204" s="76"/>
      <c r="D204" s="9"/>
      <c r="E204" s="9"/>
      <c r="F204" s="9"/>
      <c r="G204" s="33"/>
      <c r="H204" s="33"/>
      <c r="I204" s="9"/>
      <c r="J204" s="33"/>
      <c r="K204" s="9"/>
    </row>
    <row r="205" customFormat="false" ht="15" hidden="false" customHeight="true" outlineLevel="0" collapsed="false">
      <c r="A205" s="73"/>
      <c r="B205" s="74"/>
      <c r="C205" s="74"/>
      <c r="D205" s="73"/>
      <c r="E205" s="73"/>
      <c r="F205" s="73"/>
      <c r="G205" s="75"/>
      <c r="H205" s="75"/>
      <c r="I205" s="73"/>
      <c r="J205" s="31"/>
      <c r="K205" s="32"/>
    </row>
    <row r="206" customFormat="false" ht="15" hidden="false" customHeight="true" outlineLevel="0" collapsed="false">
      <c r="A206" s="9"/>
      <c r="B206" s="76"/>
      <c r="C206" s="76"/>
      <c r="D206" s="9"/>
      <c r="E206" s="9"/>
      <c r="F206" s="9"/>
      <c r="G206" s="33"/>
      <c r="H206" s="33"/>
      <c r="I206" s="9"/>
      <c r="J206" s="33"/>
      <c r="K206" s="9"/>
    </row>
    <row r="207" customFormat="false" ht="15" hidden="false" customHeight="true" outlineLevel="0" collapsed="false">
      <c r="A207" s="73"/>
      <c r="B207" s="74"/>
      <c r="C207" s="74"/>
      <c r="D207" s="73"/>
      <c r="E207" s="73"/>
      <c r="F207" s="73"/>
      <c r="G207" s="75"/>
      <c r="H207" s="75"/>
      <c r="I207" s="73"/>
      <c r="J207" s="31"/>
      <c r="K207" s="32"/>
    </row>
    <row r="208" customFormat="false" ht="15" hidden="false" customHeight="true" outlineLevel="0" collapsed="false">
      <c r="A208" s="9"/>
      <c r="B208" s="76"/>
      <c r="C208" s="76"/>
      <c r="D208" s="9"/>
      <c r="E208" s="9"/>
      <c r="F208" s="9"/>
      <c r="G208" s="33"/>
      <c r="H208" s="33"/>
      <c r="I208" s="9"/>
      <c r="J208" s="33"/>
      <c r="K208" s="9"/>
    </row>
    <row r="209" customFormat="false" ht="15" hidden="false" customHeight="true" outlineLevel="0" collapsed="false">
      <c r="A209" s="73"/>
      <c r="B209" s="74"/>
      <c r="C209" s="74"/>
      <c r="D209" s="73"/>
      <c r="E209" s="73"/>
      <c r="F209" s="73"/>
      <c r="G209" s="75"/>
      <c r="H209" s="75"/>
      <c r="I209" s="73"/>
      <c r="J209" s="31"/>
      <c r="K209" s="32"/>
    </row>
    <row r="210" customFormat="false" ht="15" hidden="false" customHeight="true" outlineLevel="0" collapsed="false">
      <c r="A210" s="9"/>
      <c r="B210" s="76"/>
      <c r="C210" s="76"/>
      <c r="D210" s="9"/>
      <c r="E210" s="9"/>
      <c r="F210" s="9"/>
      <c r="G210" s="33"/>
      <c r="H210" s="33"/>
      <c r="I210" s="9"/>
      <c r="J210" s="33"/>
      <c r="K210" s="9"/>
    </row>
    <row r="211" customFormat="false" ht="15" hidden="false" customHeight="true" outlineLevel="0" collapsed="false">
      <c r="A211" s="73"/>
      <c r="B211" s="74"/>
      <c r="C211" s="74"/>
      <c r="D211" s="73"/>
      <c r="E211" s="73"/>
      <c r="F211" s="73"/>
      <c r="G211" s="75"/>
      <c r="H211" s="75"/>
      <c r="I211" s="73"/>
      <c r="J211" s="31"/>
      <c r="K211" s="32"/>
    </row>
    <row r="212" customFormat="false" ht="15" hidden="false" customHeight="true" outlineLevel="0" collapsed="false">
      <c r="A212" s="9"/>
      <c r="B212" s="76"/>
      <c r="C212" s="76"/>
      <c r="D212" s="9"/>
      <c r="E212" s="9"/>
      <c r="F212" s="9"/>
      <c r="G212" s="33"/>
      <c r="H212" s="33"/>
      <c r="I212" s="9"/>
      <c r="J212" s="33"/>
      <c r="K212" s="9"/>
    </row>
    <row r="213" customFormat="false" ht="15" hidden="false" customHeight="true" outlineLevel="0" collapsed="false">
      <c r="A213" s="73"/>
      <c r="B213" s="74"/>
      <c r="C213" s="74"/>
      <c r="D213" s="73"/>
      <c r="E213" s="73"/>
      <c r="F213" s="73"/>
      <c r="G213" s="75"/>
      <c r="H213" s="75"/>
      <c r="I213" s="73"/>
      <c r="J213" s="31"/>
      <c r="K213" s="32"/>
    </row>
    <row r="214" customFormat="false" ht="15" hidden="false" customHeight="true" outlineLevel="0" collapsed="false">
      <c r="A214" s="9"/>
      <c r="B214" s="76"/>
      <c r="C214" s="76"/>
      <c r="D214" s="9"/>
      <c r="E214" s="9"/>
      <c r="F214" s="9"/>
      <c r="G214" s="33"/>
      <c r="H214" s="33"/>
      <c r="I214" s="9"/>
      <c r="J214" s="33"/>
      <c r="K214" s="9"/>
    </row>
    <row r="215" customFormat="false" ht="15" hidden="false" customHeight="true" outlineLevel="0" collapsed="false">
      <c r="A215" s="73"/>
      <c r="B215" s="74"/>
      <c r="C215" s="74"/>
      <c r="D215" s="73"/>
      <c r="E215" s="73"/>
      <c r="F215" s="73"/>
      <c r="G215" s="75"/>
      <c r="H215" s="75"/>
      <c r="I215" s="73"/>
      <c r="J215" s="31"/>
      <c r="K215" s="32"/>
    </row>
    <row r="216" customFormat="false" ht="15" hidden="false" customHeight="true" outlineLevel="0" collapsed="false">
      <c r="A216" s="9"/>
      <c r="B216" s="76"/>
      <c r="C216" s="76"/>
      <c r="D216" s="9"/>
      <c r="E216" s="9"/>
      <c r="F216" s="9"/>
      <c r="G216" s="33"/>
      <c r="H216" s="33"/>
      <c r="I216" s="9"/>
      <c r="J216" s="33"/>
      <c r="K216" s="9"/>
    </row>
    <row r="217" customFormat="false" ht="15" hidden="false" customHeight="true" outlineLevel="0" collapsed="false">
      <c r="A217" s="73"/>
      <c r="B217" s="74"/>
      <c r="C217" s="74"/>
      <c r="D217" s="73"/>
      <c r="E217" s="73"/>
      <c r="F217" s="73"/>
      <c r="G217" s="75"/>
      <c r="H217" s="75"/>
      <c r="I217" s="73"/>
      <c r="J217" s="31"/>
      <c r="K217" s="32"/>
    </row>
    <row r="218" customFormat="false" ht="15" hidden="false" customHeight="true" outlineLevel="0" collapsed="false">
      <c r="A218" s="9"/>
      <c r="B218" s="76"/>
      <c r="C218" s="76"/>
      <c r="D218" s="9"/>
      <c r="E218" s="9"/>
      <c r="F218" s="9"/>
      <c r="G218" s="33"/>
      <c r="H218" s="33"/>
      <c r="I218" s="9"/>
      <c r="J218" s="33"/>
      <c r="K218" s="9"/>
    </row>
    <row r="219" customFormat="false" ht="15" hidden="false" customHeight="true" outlineLevel="0" collapsed="false">
      <c r="A219" s="73"/>
      <c r="B219" s="74"/>
      <c r="C219" s="74"/>
      <c r="D219" s="73"/>
      <c r="E219" s="73"/>
      <c r="F219" s="73"/>
      <c r="G219" s="75"/>
      <c r="H219" s="75"/>
      <c r="I219" s="73"/>
      <c r="J219" s="31"/>
      <c r="K219" s="32"/>
    </row>
    <row r="220" customFormat="false" ht="15" hidden="false" customHeight="true" outlineLevel="0" collapsed="false">
      <c r="A220" s="9"/>
      <c r="B220" s="76"/>
      <c r="C220" s="76"/>
      <c r="D220" s="9"/>
      <c r="E220" s="9"/>
      <c r="F220" s="9"/>
      <c r="G220" s="33"/>
      <c r="H220" s="33"/>
      <c r="I220" s="9"/>
      <c r="J220" s="33"/>
      <c r="K220" s="9"/>
    </row>
    <row r="221" customFormat="false" ht="15" hidden="false" customHeight="true" outlineLevel="0" collapsed="false">
      <c r="A221" s="73"/>
      <c r="B221" s="74"/>
      <c r="C221" s="74"/>
      <c r="D221" s="73"/>
      <c r="E221" s="73"/>
      <c r="F221" s="73"/>
      <c r="G221" s="75"/>
      <c r="H221" s="75"/>
      <c r="I221" s="73"/>
      <c r="J221" s="31"/>
      <c r="K221" s="32"/>
    </row>
    <row r="222" customFormat="false" ht="15" hidden="false" customHeight="true" outlineLevel="0" collapsed="false">
      <c r="A222" s="9"/>
      <c r="B222" s="76"/>
      <c r="C222" s="76"/>
      <c r="D222" s="9"/>
      <c r="E222" s="9"/>
      <c r="F222" s="9"/>
      <c r="G222" s="33"/>
      <c r="H222" s="33"/>
      <c r="I222" s="9"/>
      <c r="J222" s="33"/>
      <c r="K222" s="9"/>
    </row>
    <row r="223" customFormat="false" ht="15" hidden="false" customHeight="true" outlineLevel="0" collapsed="false">
      <c r="A223" s="73"/>
      <c r="B223" s="74"/>
      <c r="C223" s="74"/>
      <c r="D223" s="73"/>
      <c r="E223" s="73"/>
      <c r="F223" s="73"/>
      <c r="G223" s="75"/>
      <c r="H223" s="75"/>
      <c r="I223" s="73"/>
      <c r="J223" s="31"/>
      <c r="K223" s="32"/>
    </row>
    <row r="224" customFormat="false" ht="15" hidden="false" customHeight="true" outlineLevel="0" collapsed="false">
      <c r="A224" s="9"/>
      <c r="B224" s="76"/>
      <c r="C224" s="76"/>
      <c r="D224" s="9"/>
      <c r="E224" s="9"/>
      <c r="F224" s="9"/>
      <c r="G224" s="33"/>
      <c r="H224" s="33"/>
      <c r="I224" s="9"/>
      <c r="J224" s="33"/>
      <c r="K224" s="9"/>
    </row>
    <row r="225" customFormat="false" ht="15" hidden="false" customHeight="true" outlineLevel="0" collapsed="false">
      <c r="A225" s="73"/>
      <c r="B225" s="74"/>
      <c r="C225" s="74"/>
      <c r="D225" s="73"/>
      <c r="E225" s="73"/>
      <c r="F225" s="73"/>
      <c r="G225" s="75"/>
      <c r="H225" s="75"/>
      <c r="I225" s="73"/>
      <c r="J225" s="31"/>
      <c r="K225" s="32"/>
    </row>
    <row r="226" customFormat="false" ht="15" hidden="false" customHeight="true" outlineLevel="0" collapsed="false">
      <c r="A226" s="9"/>
      <c r="B226" s="76"/>
      <c r="C226" s="76"/>
      <c r="D226" s="9"/>
      <c r="E226" s="9"/>
      <c r="F226" s="9"/>
      <c r="G226" s="33"/>
      <c r="H226" s="33"/>
      <c r="I226" s="9"/>
      <c r="J226" s="33"/>
      <c r="K226" s="9"/>
    </row>
    <row r="227" customFormat="false" ht="15" hidden="false" customHeight="true" outlineLevel="0" collapsed="false">
      <c r="A227" s="73"/>
      <c r="B227" s="74"/>
      <c r="C227" s="74"/>
      <c r="D227" s="73"/>
      <c r="E227" s="73"/>
      <c r="F227" s="73"/>
      <c r="G227" s="75"/>
      <c r="H227" s="75"/>
      <c r="I227" s="73"/>
      <c r="J227" s="31"/>
      <c r="K227" s="32"/>
    </row>
    <row r="228" customFormat="false" ht="15" hidden="false" customHeight="true" outlineLevel="0" collapsed="false">
      <c r="A228" s="9"/>
      <c r="B228" s="76"/>
      <c r="C228" s="76"/>
      <c r="D228" s="9"/>
      <c r="E228" s="9"/>
      <c r="F228" s="9"/>
      <c r="G228" s="33"/>
      <c r="H228" s="33"/>
      <c r="I228" s="9"/>
      <c r="J228" s="33"/>
      <c r="K228" s="9"/>
    </row>
    <row r="229" customFormat="false" ht="15" hidden="false" customHeight="true" outlineLevel="0" collapsed="false">
      <c r="A229" s="73"/>
      <c r="B229" s="74"/>
      <c r="C229" s="74"/>
      <c r="D229" s="73"/>
      <c r="E229" s="73"/>
      <c r="F229" s="73"/>
      <c r="G229" s="75"/>
      <c r="H229" s="75"/>
      <c r="I229" s="73"/>
      <c r="J229" s="31"/>
      <c r="K229" s="32"/>
    </row>
    <row r="230" customFormat="false" ht="15" hidden="false" customHeight="true" outlineLevel="0" collapsed="false">
      <c r="A230" s="9"/>
      <c r="B230" s="76"/>
      <c r="C230" s="76"/>
      <c r="D230" s="9"/>
      <c r="E230" s="9"/>
      <c r="F230" s="9"/>
      <c r="G230" s="33"/>
      <c r="H230" s="33"/>
      <c r="I230" s="9"/>
      <c r="J230" s="33"/>
      <c r="K230" s="9"/>
    </row>
    <row r="231" customFormat="false" ht="15" hidden="false" customHeight="true" outlineLevel="0" collapsed="false">
      <c r="A231" s="73"/>
      <c r="B231" s="74"/>
      <c r="C231" s="74"/>
      <c r="D231" s="73"/>
      <c r="E231" s="73"/>
      <c r="F231" s="73"/>
      <c r="G231" s="75"/>
      <c r="H231" s="75"/>
      <c r="I231" s="73"/>
      <c r="J231" s="31"/>
      <c r="K231" s="32"/>
    </row>
    <row r="232" customFormat="false" ht="15" hidden="false" customHeight="true" outlineLevel="0" collapsed="false">
      <c r="A232" s="9"/>
      <c r="B232" s="76"/>
      <c r="C232" s="76"/>
      <c r="D232" s="9"/>
      <c r="E232" s="9"/>
      <c r="F232" s="9"/>
      <c r="G232" s="33"/>
      <c r="H232" s="33"/>
      <c r="I232" s="9"/>
      <c r="J232" s="33"/>
      <c r="K232" s="9"/>
    </row>
    <row r="233" customFormat="false" ht="15" hidden="false" customHeight="true" outlineLevel="0" collapsed="false">
      <c r="A233" s="73"/>
      <c r="B233" s="74"/>
      <c r="C233" s="74"/>
      <c r="D233" s="73"/>
      <c r="E233" s="73"/>
      <c r="F233" s="73"/>
      <c r="G233" s="75"/>
      <c r="H233" s="75"/>
      <c r="I233" s="73"/>
      <c r="J233" s="31"/>
      <c r="K233" s="32"/>
    </row>
    <row r="234" customFormat="false" ht="15" hidden="false" customHeight="true" outlineLevel="0" collapsed="false">
      <c r="A234" s="9"/>
      <c r="B234" s="76"/>
      <c r="C234" s="76"/>
      <c r="D234" s="9"/>
      <c r="E234" s="9"/>
      <c r="F234" s="9"/>
      <c r="G234" s="33"/>
      <c r="H234" s="33"/>
      <c r="I234" s="9"/>
      <c r="J234" s="33"/>
      <c r="K234" s="9"/>
    </row>
    <row r="235" customFormat="false" ht="15" hidden="false" customHeight="true" outlineLevel="0" collapsed="false">
      <c r="A235" s="73"/>
      <c r="B235" s="74"/>
      <c r="C235" s="74"/>
      <c r="D235" s="73"/>
      <c r="E235" s="73"/>
      <c r="F235" s="73"/>
      <c r="G235" s="75"/>
      <c r="H235" s="75"/>
      <c r="I235" s="73"/>
      <c r="J235" s="31"/>
      <c r="K235" s="32"/>
    </row>
    <row r="236" customFormat="false" ht="15" hidden="false" customHeight="true" outlineLevel="0" collapsed="false">
      <c r="A236" s="9"/>
      <c r="B236" s="76"/>
      <c r="C236" s="76"/>
      <c r="D236" s="9"/>
      <c r="E236" s="9"/>
      <c r="F236" s="9"/>
      <c r="G236" s="33"/>
      <c r="H236" s="33"/>
      <c r="I236" s="9"/>
      <c r="J236" s="33"/>
      <c r="K236" s="9"/>
    </row>
    <row r="237" customFormat="false" ht="15" hidden="false" customHeight="true" outlineLevel="0" collapsed="false">
      <c r="A237" s="73"/>
      <c r="B237" s="74"/>
      <c r="C237" s="74"/>
      <c r="D237" s="73"/>
      <c r="E237" s="73"/>
      <c r="F237" s="73"/>
      <c r="G237" s="75"/>
      <c r="H237" s="75"/>
      <c r="I237" s="73"/>
      <c r="J237" s="31"/>
      <c r="K237" s="32"/>
    </row>
    <row r="238" customFormat="false" ht="15" hidden="false" customHeight="true" outlineLevel="0" collapsed="false">
      <c r="A238" s="9"/>
      <c r="B238" s="76"/>
      <c r="C238" s="76"/>
      <c r="D238" s="9"/>
      <c r="E238" s="9"/>
      <c r="F238" s="9"/>
      <c r="G238" s="33"/>
      <c r="H238" s="33"/>
      <c r="I238" s="9"/>
      <c r="J238" s="33"/>
      <c r="K238" s="9"/>
    </row>
    <row r="239" customFormat="false" ht="15" hidden="false" customHeight="true" outlineLevel="0" collapsed="false">
      <c r="A239" s="73"/>
      <c r="B239" s="74"/>
      <c r="C239" s="74"/>
      <c r="D239" s="73"/>
      <c r="E239" s="73"/>
      <c r="F239" s="73"/>
      <c r="G239" s="75"/>
      <c r="H239" s="75"/>
      <c r="I239" s="73"/>
      <c r="J239" s="31"/>
      <c r="K239" s="32"/>
    </row>
    <row r="240" customFormat="false" ht="15" hidden="false" customHeight="true" outlineLevel="0" collapsed="false">
      <c r="A240" s="9"/>
      <c r="B240" s="76"/>
      <c r="C240" s="76"/>
      <c r="D240" s="9"/>
      <c r="E240" s="9"/>
      <c r="F240" s="9"/>
      <c r="G240" s="33"/>
      <c r="H240" s="33"/>
      <c r="I240" s="9"/>
      <c r="J240" s="33"/>
      <c r="K240" s="9"/>
    </row>
    <row r="241" customFormat="false" ht="15" hidden="false" customHeight="true" outlineLevel="0" collapsed="false">
      <c r="A241" s="73"/>
      <c r="B241" s="74"/>
      <c r="C241" s="74"/>
      <c r="D241" s="73"/>
      <c r="E241" s="73"/>
      <c r="F241" s="73"/>
      <c r="G241" s="75"/>
      <c r="H241" s="75"/>
      <c r="I241" s="73"/>
      <c r="J241" s="31"/>
      <c r="K241" s="32"/>
    </row>
    <row r="242" customFormat="false" ht="15" hidden="false" customHeight="true" outlineLevel="0" collapsed="false">
      <c r="A242" s="9"/>
      <c r="B242" s="76"/>
      <c r="C242" s="76"/>
      <c r="D242" s="9"/>
      <c r="E242" s="9"/>
      <c r="F242" s="9"/>
      <c r="G242" s="33"/>
      <c r="H242" s="33"/>
      <c r="I242" s="9"/>
      <c r="J242" s="33"/>
      <c r="K242" s="9"/>
    </row>
    <row r="243" customFormat="false" ht="15" hidden="false" customHeight="true" outlineLevel="0" collapsed="false">
      <c r="A243" s="73"/>
      <c r="B243" s="74"/>
      <c r="C243" s="74"/>
      <c r="D243" s="73"/>
      <c r="E243" s="73"/>
      <c r="F243" s="73"/>
      <c r="G243" s="75"/>
      <c r="H243" s="75"/>
      <c r="I243" s="73"/>
      <c r="J243" s="31"/>
      <c r="K243" s="32"/>
    </row>
    <row r="244" customFormat="false" ht="15" hidden="false" customHeight="true" outlineLevel="0" collapsed="false">
      <c r="A244" s="9"/>
      <c r="B244" s="76"/>
      <c r="C244" s="76"/>
      <c r="D244" s="9"/>
      <c r="E244" s="9"/>
      <c r="F244" s="9"/>
      <c r="G244" s="33"/>
      <c r="H244" s="33"/>
      <c r="I244" s="9"/>
      <c r="J244" s="33"/>
      <c r="K244" s="9"/>
    </row>
    <row r="245" customFormat="false" ht="15" hidden="false" customHeight="true" outlineLevel="0" collapsed="false">
      <c r="A245" s="73"/>
      <c r="B245" s="74"/>
      <c r="C245" s="74"/>
      <c r="D245" s="73"/>
      <c r="E245" s="73"/>
      <c r="F245" s="73"/>
      <c r="G245" s="75"/>
      <c r="H245" s="75"/>
      <c r="I245" s="73"/>
      <c r="J245" s="31"/>
      <c r="K245" s="32"/>
    </row>
    <row r="246" customFormat="false" ht="15" hidden="false" customHeight="true" outlineLevel="0" collapsed="false">
      <c r="A246" s="9"/>
      <c r="B246" s="76"/>
      <c r="C246" s="76"/>
      <c r="D246" s="9"/>
      <c r="E246" s="9"/>
      <c r="F246" s="9"/>
      <c r="G246" s="33"/>
      <c r="H246" s="33"/>
      <c r="I246" s="9"/>
      <c r="J246" s="33"/>
      <c r="K246" s="9"/>
    </row>
    <row r="247" customFormat="false" ht="15" hidden="false" customHeight="true" outlineLevel="0" collapsed="false">
      <c r="A247" s="73"/>
      <c r="B247" s="74"/>
      <c r="C247" s="74"/>
      <c r="D247" s="73"/>
      <c r="E247" s="73"/>
      <c r="F247" s="73"/>
      <c r="G247" s="75"/>
      <c r="H247" s="75"/>
      <c r="I247" s="73"/>
      <c r="J247" s="31"/>
      <c r="K247" s="32"/>
    </row>
    <row r="248" customFormat="false" ht="15" hidden="false" customHeight="true" outlineLevel="0" collapsed="false">
      <c r="A248" s="9"/>
      <c r="B248" s="76"/>
      <c r="C248" s="76"/>
      <c r="D248" s="9"/>
      <c r="E248" s="9"/>
      <c r="F248" s="9"/>
      <c r="G248" s="33"/>
      <c r="H248" s="33"/>
      <c r="I248" s="9"/>
      <c r="J248" s="33"/>
      <c r="K248" s="9"/>
    </row>
    <row r="249" customFormat="false" ht="15" hidden="false" customHeight="true" outlineLevel="0" collapsed="false">
      <c r="A249" s="73"/>
      <c r="B249" s="74"/>
      <c r="C249" s="74"/>
      <c r="D249" s="73"/>
      <c r="E249" s="73"/>
      <c r="F249" s="73"/>
      <c r="G249" s="75"/>
      <c r="H249" s="75"/>
      <c r="I249" s="73"/>
      <c r="J249" s="31"/>
      <c r="K249" s="32"/>
    </row>
    <row r="250" customFormat="false" ht="15" hidden="false" customHeight="true" outlineLevel="0" collapsed="false">
      <c r="A250" s="9"/>
      <c r="B250" s="76"/>
      <c r="C250" s="76"/>
      <c r="D250" s="9"/>
      <c r="E250" s="9"/>
      <c r="F250" s="9"/>
      <c r="G250" s="33"/>
      <c r="H250" s="33"/>
      <c r="I250" s="9"/>
      <c r="J250" s="33"/>
      <c r="K250" s="9"/>
    </row>
    <row r="251" customFormat="false" ht="15" hidden="false" customHeight="true" outlineLevel="0" collapsed="false">
      <c r="A251" s="73"/>
      <c r="B251" s="74"/>
      <c r="C251" s="74"/>
      <c r="D251" s="73"/>
      <c r="E251" s="73"/>
      <c r="F251" s="73"/>
      <c r="G251" s="75"/>
      <c r="H251" s="75"/>
      <c r="I251" s="73"/>
      <c r="J251" s="31"/>
      <c r="K251" s="32"/>
    </row>
    <row r="252" customFormat="false" ht="15" hidden="false" customHeight="true" outlineLevel="0" collapsed="false">
      <c r="A252" s="9"/>
      <c r="B252" s="76"/>
      <c r="C252" s="76"/>
      <c r="D252" s="9"/>
      <c r="E252" s="9"/>
      <c r="F252" s="9"/>
      <c r="G252" s="33"/>
      <c r="H252" s="33"/>
      <c r="I252" s="9"/>
      <c r="J252" s="33"/>
      <c r="K252" s="9"/>
    </row>
    <row r="253" customFormat="false" ht="15" hidden="false" customHeight="true" outlineLevel="0" collapsed="false">
      <c r="A253" s="73"/>
      <c r="B253" s="74"/>
      <c r="C253" s="74"/>
      <c r="D253" s="73"/>
      <c r="E253" s="73"/>
      <c r="F253" s="73"/>
      <c r="G253" s="75"/>
      <c r="H253" s="75"/>
      <c r="I253" s="73"/>
      <c r="J253" s="31"/>
      <c r="K253" s="32"/>
    </row>
    <row r="254" customFormat="false" ht="15" hidden="false" customHeight="true" outlineLevel="0" collapsed="false">
      <c r="A254" s="9"/>
      <c r="B254" s="76"/>
      <c r="C254" s="76"/>
      <c r="D254" s="9"/>
      <c r="E254" s="9"/>
      <c r="F254" s="9"/>
      <c r="G254" s="33"/>
      <c r="H254" s="33"/>
      <c r="I254" s="9"/>
      <c r="J254" s="33"/>
      <c r="K254" s="9"/>
    </row>
    <row r="255" customFormat="false" ht="15" hidden="false" customHeight="true" outlineLevel="0" collapsed="false">
      <c r="A255" s="73"/>
      <c r="B255" s="74"/>
      <c r="C255" s="74"/>
      <c r="D255" s="73"/>
      <c r="E255" s="73"/>
      <c r="F255" s="73"/>
      <c r="G255" s="75"/>
      <c r="H255" s="75"/>
      <c r="I255" s="73"/>
      <c r="J255" s="31"/>
      <c r="K255" s="32"/>
    </row>
    <row r="256" customFormat="false" ht="15" hidden="false" customHeight="true" outlineLevel="0" collapsed="false">
      <c r="A256" s="9"/>
      <c r="B256" s="76"/>
      <c r="C256" s="76"/>
      <c r="D256" s="9"/>
      <c r="E256" s="9"/>
      <c r="F256" s="9"/>
      <c r="G256" s="33"/>
      <c r="H256" s="33"/>
      <c r="I256" s="9"/>
      <c r="J256" s="33"/>
      <c r="K256" s="9"/>
    </row>
    <row r="257" customFormat="false" ht="15" hidden="false" customHeight="true" outlineLevel="0" collapsed="false">
      <c r="A257" s="73"/>
      <c r="B257" s="74"/>
      <c r="C257" s="74"/>
      <c r="D257" s="73"/>
      <c r="E257" s="73"/>
      <c r="F257" s="73"/>
      <c r="G257" s="75"/>
      <c r="H257" s="75"/>
      <c r="I257" s="73"/>
      <c r="J257" s="31"/>
      <c r="K257" s="32"/>
    </row>
    <row r="258" customFormat="false" ht="15" hidden="false" customHeight="true" outlineLevel="0" collapsed="false">
      <c r="A258" s="9"/>
      <c r="B258" s="76"/>
      <c r="C258" s="76"/>
      <c r="D258" s="9"/>
      <c r="E258" s="9"/>
      <c r="F258" s="9"/>
      <c r="G258" s="33"/>
      <c r="H258" s="33"/>
      <c r="I258" s="9"/>
      <c r="J258" s="33"/>
      <c r="K258" s="9"/>
    </row>
    <row r="259" customFormat="false" ht="15" hidden="false" customHeight="true" outlineLevel="0" collapsed="false">
      <c r="A259" s="73"/>
      <c r="B259" s="74"/>
      <c r="C259" s="74"/>
      <c r="D259" s="73"/>
      <c r="E259" s="73"/>
      <c r="F259" s="73"/>
      <c r="G259" s="75"/>
      <c r="H259" s="75"/>
      <c r="I259" s="73"/>
      <c r="J259" s="31"/>
      <c r="K259" s="32"/>
    </row>
    <row r="260" customFormat="false" ht="15" hidden="false" customHeight="true" outlineLevel="0" collapsed="false">
      <c r="A260" s="9"/>
      <c r="B260" s="76"/>
      <c r="C260" s="76"/>
      <c r="D260" s="9"/>
      <c r="E260" s="9"/>
      <c r="F260" s="9"/>
      <c r="G260" s="33"/>
      <c r="H260" s="33"/>
      <c r="I260" s="9"/>
      <c r="J260" s="33"/>
      <c r="K260" s="9"/>
    </row>
    <row r="261" customFormat="false" ht="15" hidden="false" customHeight="true" outlineLevel="0" collapsed="false">
      <c r="A261" s="73"/>
      <c r="B261" s="74"/>
      <c r="C261" s="74"/>
      <c r="D261" s="73"/>
      <c r="E261" s="73"/>
      <c r="F261" s="73"/>
      <c r="G261" s="75"/>
      <c r="H261" s="75"/>
      <c r="I261" s="73"/>
      <c r="J261" s="31"/>
      <c r="K261" s="32"/>
    </row>
    <row r="262" customFormat="false" ht="15" hidden="false" customHeight="true" outlineLevel="0" collapsed="false">
      <c r="A262" s="9"/>
      <c r="B262" s="76"/>
      <c r="C262" s="76"/>
      <c r="D262" s="9"/>
      <c r="E262" s="9"/>
      <c r="F262" s="9"/>
      <c r="G262" s="33"/>
      <c r="H262" s="33"/>
      <c r="I262" s="9"/>
      <c r="J262" s="33"/>
      <c r="K262" s="9"/>
    </row>
    <row r="263" customFormat="false" ht="15" hidden="false" customHeight="true" outlineLevel="0" collapsed="false">
      <c r="A263" s="73"/>
      <c r="B263" s="74"/>
      <c r="C263" s="74"/>
      <c r="D263" s="73"/>
      <c r="E263" s="73"/>
      <c r="F263" s="73"/>
      <c r="G263" s="75"/>
      <c r="H263" s="75"/>
      <c r="I263" s="73"/>
      <c r="J263" s="31"/>
      <c r="K263" s="32"/>
    </row>
    <row r="264" customFormat="false" ht="15" hidden="false" customHeight="true" outlineLevel="0" collapsed="false">
      <c r="A264" s="9"/>
      <c r="B264" s="76"/>
      <c r="C264" s="76"/>
      <c r="D264" s="9"/>
      <c r="E264" s="9"/>
      <c r="F264" s="9"/>
      <c r="G264" s="33"/>
      <c r="H264" s="33"/>
      <c r="I264" s="9"/>
      <c r="J264" s="33"/>
      <c r="K264" s="9"/>
    </row>
    <row r="265" customFormat="false" ht="15" hidden="false" customHeight="true" outlineLevel="0" collapsed="false">
      <c r="A265" s="73"/>
      <c r="B265" s="74"/>
      <c r="C265" s="74"/>
      <c r="D265" s="73"/>
      <c r="E265" s="73"/>
      <c r="F265" s="73"/>
      <c r="G265" s="75"/>
      <c r="H265" s="75"/>
      <c r="I265" s="73"/>
      <c r="J265" s="31"/>
      <c r="K265" s="32"/>
    </row>
    <row r="266" customFormat="false" ht="15" hidden="false" customHeight="true" outlineLevel="0" collapsed="false">
      <c r="A266" s="9"/>
      <c r="B266" s="76"/>
      <c r="C266" s="76"/>
      <c r="D266" s="9"/>
      <c r="E266" s="9"/>
      <c r="F266" s="9"/>
      <c r="G266" s="33"/>
      <c r="H266" s="33"/>
      <c r="I266" s="9"/>
      <c r="J266" s="33"/>
      <c r="K266" s="9"/>
    </row>
    <row r="267" customFormat="false" ht="15" hidden="false" customHeight="true" outlineLevel="0" collapsed="false">
      <c r="A267" s="73"/>
      <c r="B267" s="74"/>
      <c r="C267" s="74"/>
      <c r="D267" s="73"/>
      <c r="E267" s="73"/>
      <c r="F267" s="73"/>
      <c r="G267" s="75"/>
      <c r="H267" s="75"/>
      <c r="I267" s="73"/>
      <c r="J267" s="31"/>
      <c r="K267" s="32"/>
    </row>
    <row r="268" customFormat="false" ht="15" hidden="false" customHeight="true" outlineLevel="0" collapsed="false">
      <c r="A268" s="9"/>
      <c r="B268" s="76"/>
      <c r="C268" s="76"/>
      <c r="D268" s="9"/>
      <c r="E268" s="9"/>
      <c r="F268" s="9"/>
      <c r="G268" s="33"/>
      <c r="H268" s="33"/>
      <c r="I268" s="9"/>
      <c r="J268" s="33"/>
      <c r="K268" s="9"/>
    </row>
    <row r="269" customFormat="false" ht="15" hidden="false" customHeight="true" outlineLevel="0" collapsed="false">
      <c r="A269" s="73"/>
      <c r="B269" s="74"/>
      <c r="C269" s="74"/>
      <c r="D269" s="73"/>
      <c r="E269" s="73"/>
      <c r="F269" s="73"/>
      <c r="G269" s="75"/>
      <c r="H269" s="75"/>
      <c r="I269" s="73"/>
      <c r="J269" s="31"/>
      <c r="K269" s="32"/>
    </row>
    <row r="270" customFormat="false" ht="15" hidden="false" customHeight="true" outlineLevel="0" collapsed="false">
      <c r="A270" s="9"/>
      <c r="B270" s="76"/>
      <c r="C270" s="76"/>
      <c r="D270" s="9"/>
      <c r="E270" s="9"/>
      <c r="F270" s="9"/>
      <c r="G270" s="33"/>
      <c r="H270" s="33"/>
      <c r="I270" s="9"/>
      <c r="J270" s="33"/>
      <c r="K270" s="9"/>
    </row>
    <row r="271" customFormat="false" ht="15" hidden="false" customHeight="true" outlineLevel="0" collapsed="false">
      <c r="A271" s="73"/>
      <c r="B271" s="74"/>
      <c r="C271" s="74"/>
      <c r="D271" s="73"/>
      <c r="E271" s="73"/>
      <c r="F271" s="73"/>
      <c r="G271" s="75"/>
      <c r="H271" s="75"/>
      <c r="I271" s="73"/>
      <c r="J271" s="31"/>
      <c r="K271" s="32"/>
    </row>
    <row r="272" customFormat="false" ht="15" hidden="false" customHeight="true" outlineLevel="0" collapsed="false">
      <c r="A272" s="9"/>
      <c r="B272" s="76"/>
      <c r="C272" s="76"/>
      <c r="D272" s="9"/>
      <c r="E272" s="9"/>
      <c r="F272" s="9"/>
      <c r="G272" s="33"/>
      <c r="H272" s="33"/>
      <c r="I272" s="9"/>
      <c r="J272" s="33"/>
      <c r="K272" s="9"/>
    </row>
    <row r="273" customFormat="false" ht="15" hidden="false" customHeight="true" outlineLevel="0" collapsed="false">
      <c r="A273" s="73"/>
      <c r="B273" s="74"/>
      <c r="C273" s="74"/>
      <c r="D273" s="73"/>
      <c r="E273" s="73"/>
      <c r="F273" s="73"/>
      <c r="G273" s="75"/>
      <c r="H273" s="75"/>
      <c r="I273" s="73"/>
      <c r="J273" s="31"/>
      <c r="K273" s="32"/>
    </row>
    <row r="274" customFormat="false" ht="15" hidden="false" customHeight="true" outlineLevel="0" collapsed="false">
      <c r="A274" s="9"/>
      <c r="B274" s="76"/>
      <c r="C274" s="76"/>
      <c r="D274" s="9"/>
      <c r="E274" s="9"/>
      <c r="F274" s="9"/>
      <c r="G274" s="33"/>
      <c r="H274" s="33"/>
      <c r="I274" s="9"/>
      <c r="J274" s="33"/>
      <c r="K274" s="9"/>
    </row>
    <row r="275" customFormat="false" ht="15" hidden="false" customHeight="true" outlineLevel="0" collapsed="false">
      <c r="A275" s="73"/>
      <c r="B275" s="74"/>
      <c r="C275" s="74"/>
      <c r="D275" s="73"/>
      <c r="E275" s="73"/>
      <c r="F275" s="73"/>
      <c r="G275" s="75"/>
      <c r="H275" s="75"/>
      <c r="I275" s="73"/>
      <c r="J275" s="31"/>
      <c r="K275" s="32"/>
    </row>
    <row r="276" customFormat="false" ht="15" hidden="false" customHeight="true" outlineLevel="0" collapsed="false">
      <c r="A276" s="9"/>
      <c r="B276" s="76"/>
      <c r="C276" s="76"/>
      <c r="D276" s="9"/>
      <c r="E276" s="9"/>
      <c r="F276" s="9"/>
      <c r="G276" s="33"/>
      <c r="H276" s="33"/>
      <c r="I276" s="9"/>
      <c r="J276" s="33"/>
      <c r="K276" s="9"/>
    </row>
    <row r="277" customFormat="false" ht="15" hidden="false" customHeight="true" outlineLevel="0" collapsed="false">
      <c r="A277" s="73"/>
      <c r="B277" s="74"/>
      <c r="C277" s="74"/>
      <c r="D277" s="73"/>
      <c r="E277" s="73"/>
      <c r="F277" s="73"/>
      <c r="G277" s="75"/>
      <c r="H277" s="75"/>
      <c r="I277" s="73"/>
      <c r="J277" s="31"/>
      <c r="K277" s="32"/>
    </row>
    <row r="278" customFormat="false" ht="15" hidden="false" customHeight="true" outlineLevel="0" collapsed="false">
      <c r="A278" s="9"/>
      <c r="B278" s="76"/>
      <c r="C278" s="76"/>
      <c r="D278" s="9"/>
      <c r="E278" s="9"/>
      <c r="F278" s="9"/>
      <c r="G278" s="33"/>
      <c r="H278" s="33"/>
      <c r="I278" s="9"/>
      <c r="J278" s="33"/>
      <c r="K278" s="9"/>
    </row>
    <row r="279" customFormat="false" ht="15" hidden="false" customHeight="true" outlineLevel="0" collapsed="false">
      <c r="A279" s="73"/>
      <c r="B279" s="74"/>
      <c r="C279" s="74"/>
      <c r="D279" s="73"/>
      <c r="E279" s="73"/>
      <c r="F279" s="73"/>
      <c r="G279" s="75"/>
      <c r="H279" s="75"/>
      <c r="I279" s="73"/>
      <c r="J279" s="31"/>
      <c r="K279" s="32"/>
    </row>
    <row r="280" customFormat="false" ht="15" hidden="false" customHeight="true" outlineLevel="0" collapsed="false">
      <c r="A280" s="9"/>
      <c r="B280" s="76"/>
      <c r="C280" s="76"/>
      <c r="D280" s="9"/>
      <c r="E280" s="9"/>
      <c r="F280" s="9"/>
      <c r="G280" s="33"/>
      <c r="H280" s="33"/>
      <c r="I280" s="9"/>
      <c r="J280" s="33"/>
      <c r="K280" s="9"/>
    </row>
    <row r="281" customFormat="false" ht="15" hidden="false" customHeight="true" outlineLevel="0" collapsed="false">
      <c r="A281" s="73"/>
      <c r="B281" s="74"/>
      <c r="C281" s="74"/>
      <c r="D281" s="73"/>
      <c r="E281" s="73"/>
      <c r="F281" s="73"/>
      <c r="G281" s="75"/>
      <c r="H281" s="75"/>
      <c r="I281" s="73"/>
      <c r="J281" s="31"/>
      <c r="K281" s="32"/>
    </row>
    <row r="282" customFormat="false" ht="15" hidden="false" customHeight="true" outlineLevel="0" collapsed="false">
      <c r="A282" s="9"/>
      <c r="B282" s="76"/>
      <c r="C282" s="76"/>
      <c r="D282" s="9"/>
      <c r="E282" s="9"/>
      <c r="F282" s="9"/>
      <c r="G282" s="33"/>
      <c r="H282" s="33"/>
      <c r="I282" s="9"/>
      <c r="J282" s="33"/>
      <c r="K282" s="9"/>
    </row>
    <row r="283" customFormat="false" ht="15" hidden="false" customHeight="true" outlineLevel="0" collapsed="false">
      <c r="A283" s="73"/>
      <c r="B283" s="74"/>
      <c r="C283" s="74"/>
      <c r="D283" s="73"/>
      <c r="E283" s="73"/>
      <c r="F283" s="73"/>
      <c r="G283" s="75"/>
      <c r="H283" s="75"/>
      <c r="I283" s="73"/>
      <c r="J283" s="31"/>
      <c r="K283" s="32"/>
    </row>
    <row r="284" customFormat="false" ht="15" hidden="false" customHeight="true" outlineLevel="0" collapsed="false">
      <c r="A284" s="9"/>
      <c r="B284" s="76"/>
      <c r="C284" s="76"/>
      <c r="D284" s="9"/>
      <c r="E284" s="9"/>
      <c r="F284" s="9"/>
      <c r="G284" s="33"/>
      <c r="H284" s="33"/>
      <c r="I284" s="9"/>
      <c r="J284" s="33"/>
      <c r="K284" s="9"/>
    </row>
    <row r="285" customFormat="false" ht="15" hidden="false" customHeight="true" outlineLevel="0" collapsed="false">
      <c r="A285" s="73"/>
      <c r="B285" s="74"/>
      <c r="C285" s="74"/>
      <c r="D285" s="73"/>
      <c r="E285" s="73"/>
      <c r="F285" s="73"/>
      <c r="G285" s="75"/>
      <c r="H285" s="75"/>
      <c r="I285" s="73"/>
      <c r="J285" s="31"/>
      <c r="K285" s="32"/>
    </row>
    <row r="286" customFormat="false" ht="15" hidden="false" customHeight="true" outlineLevel="0" collapsed="false">
      <c r="A286" s="9"/>
      <c r="B286" s="76"/>
      <c r="C286" s="76"/>
      <c r="D286" s="9"/>
      <c r="E286" s="9"/>
      <c r="F286" s="9"/>
      <c r="G286" s="33"/>
      <c r="H286" s="33"/>
      <c r="I286" s="9"/>
      <c r="J286" s="33"/>
      <c r="K286" s="9"/>
    </row>
    <row r="287" customFormat="false" ht="15" hidden="false" customHeight="true" outlineLevel="0" collapsed="false">
      <c r="A287" s="73"/>
      <c r="B287" s="74"/>
      <c r="C287" s="74"/>
      <c r="D287" s="73"/>
      <c r="E287" s="73"/>
      <c r="F287" s="73"/>
      <c r="G287" s="75"/>
      <c r="H287" s="75"/>
      <c r="I287" s="73"/>
      <c r="J287" s="31"/>
      <c r="K287" s="32"/>
    </row>
    <row r="288" customFormat="false" ht="15" hidden="false" customHeight="true" outlineLevel="0" collapsed="false">
      <c r="A288" s="9"/>
      <c r="B288" s="76"/>
      <c r="C288" s="76"/>
      <c r="D288" s="9"/>
      <c r="E288" s="9"/>
      <c r="F288" s="9"/>
      <c r="G288" s="33"/>
      <c r="H288" s="33"/>
      <c r="I288" s="9"/>
      <c r="J288" s="33"/>
      <c r="K288" s="9"/>
    </row>
    <row r="289" customFormat="false" ht="15" hidden="false" customHeight="true" outlineLevel="0" collapsed="false">
      <c r="A289" s="73"/>
      <c r="B289" s="74"/>
      <c r="C289" s="74"/>
      <c r="D289" s="73"/>
      <c r="E289" s="73"/>
      <c r="F289" s="73"/>
      <c r="G289" s="75"/>
      <c r="H289" s="75"/>
      <c r="I289" s="73"/>
      <c r="J289" s="31"/>
      <c r="K289" s="32"/>
    </row>
    <row r="290" customFormat="false" ht="15" hidden="false" customHeight="true" outlineLevel="0" collapsed="false">
      <c r="A290" s="9"/>
      <c r="B290" s="76"/>
      <c r="C290" s="76"/>
      <c r="D290" s="9"/>
      <c r="E290" s="9"/>
      <c r="F290" s="9"/>
      <c r="G290" s="33"/>
      <c r="H290" s="33"/>
      <c r="I290" s="9"/>
      <c r="J290" s="33"/>
      <c r="K290" s="9"/>
    </row>
    <row r="291" customFormat="false" ht="15" hidden="false" customHeight="true" outlineLevel="0" collapsed="false">
      <c r="A291" s="73"/>
      <c r="B291" s="74"/>
      <c r="C291" s="74"/>
      <c r="D291" s="73"/>
      <c r="E291" s="73"/>
      <c r="F291" s="73"/>
      <c r="G291" s="75"/>
      <c r="H291" s="75"/>
      <c r="I291" s="73"/>
      <c r="J291" s="31"/>
      <c r="K291" s="32"/>
    </row>
    <row r="292" customFormat="false" ht="15" hidden="false" customHeight="true" outlineLevel="0" collapsed="false">
      <c r="A292" s="9"/>
      <c r="B292" s="76"/>
      <c r="C292" s="76"/>
      <c r="D292" s="9"/>
      <c r="E292" s="9"/>
      <c r="F292" s="9"/>
      <c r="G292" s="33"/>
      <c r="H292" s="33"/>
      <c r="I292" s="9"/>
      <c r="J292" s="33"/>
      <c r="K292" s="9"/>
    </row>
    <row r="293" customFormat="false" ht="15" hidden="false" customHeight="true" outlineLevel="0" collapsed="false">
      <c r="A293" s="73"/>
      <c r="B293" s="74"/>
      <c r="C293" s="74"/>
      <c r="D293" s="73"/>
      <c r="E293" s="73"/>
      <c r="F293" s="73"/>
      <c r="G293" s="75"/>
      <c r="H293" s="75"/>
      <c r="I293" s="73"/>
      <c r="J293" s="31"/>
      <c r="K293" s="32"/>
    </row>
    <row r="294" customFormat="false" ht="15" hidden="false" customHeight="true" outlineLevel="0" collapsed="false">
      <c r="A294" s="9"/>
      <c r="B294" s="76"/>
      <c r="C294" s="76"/>
      <c r="D294" s="9"/>
      <c r="E294" s="9"/>
      <c r="F294" s="9"/>
      <c r="G294" s="33"/>
      <c r="H294" s="33"/>
      <c r="I294" s="9"/>
      <c r="J294" s="33"/>
      <c r="K294" s="9"/>
    </row>
    <row r="295" customFormat="false" ht="15" hidden="false" customHeight="true" outlineLevel="0" collapsed="false">
      <c r="A295" s="73"/>
      <c r="B295" s="74"/>
      <c r="C295" s="74"/>
      <c r="D295" s="73"/>
      <c r="E295" s="73"/>
      <c r="F295" s="73"/>
      <c r="G295" s="75"/>
      <c r="H295" s="75"/>
      <c r="I295" s="73"/>
      <c r="J295" s="31"/>
      <c r="K295" s="32"/>
    </row>
    <row r="296" customFormat="false" ht="15" hidden="false" customHeight="true" outlineLevel="0" collapsed="false">
      <c r="A296" s="9"/>
      <c r="B296" s="76"/>
      <c r="C296" s="76"/>
      <c r="D296" s="9"/>
      <c r="E296" s="9"/>
      <c r="F296" s="9"/>
      <c r="G296" s="33"/>
      <c r="H296" s="33"/>
      <c r="I296" s="9"/>
      <c r="J296" s="33"/>
      <c r="K296" s="9"/>
    </row>
    <row r="297" customFormat="false" ht="15" hidden="false" customHeight="true" outlineLevel="0" collapsed="false">
      <c r="A297" s="73"/>
      <c r="B297" s="74"/>
      <c r="C297" s="74"/>
      <c r="D297" s="73"/>
      <c r="E297" s="73"/>
      <c r="F297" s="73"/>
      <c r="G297" s="75"/>
      <c r="H297" s="75"/>
      <c r="I297" s="73"/>
      <c r="J297" s="31"/>
      <c r="K297" s="32"/>
    </row>
    <row r="298" customFormat="false" ht="15" hidden="false" customHeight="true" outlineLevel="0" collapsed="false">
      <c r="A298" s="9"/>
      <c r="B298" s="76"/>
      <c r="C298" s="76"/>
      <c r="D298" s="9"/>
      <c r="E298" s="9"/>
      <c r="F298" s="9"/>
      <c r="G298" s="33"/>
      <c r="H298" s="33"/>
      <c r="I298" s="9"/>
      <c r="J298" s="33"/>
      <c r="K298" s="9"/>
    </row>
    <row r="299" customFormat="false" ht="15" hidden="false" customHeight="true" outlineLevel="0" collapsed="false">
      <c r="A299" s="73"/>
      <c r="B299" s="74"/>
      <c r="C299" s="74"/>
      <c r="D299" s="73"/>
      <c r="E299" s="73"/>
      <c r="F299" s="73"/>
      <c r="G299" s="75"/>
      <c r="H299" s="75"/>
      <c r="I299" s="73"/>
      <c r="J299" s="31"/>
      <c r="K299" s="32"/>
    </row>
    <row r="300" customFormat="false" ht="15" hidden="false" customHeight="true" outlineLevel="0" collapsed="false">
      <c r="A300" s="9"/>
      <c r="B300" s="76"/>
      <c r="C300" s="76"/>
      <c r="D300" s="9"/>
      <c r="E300" s="9"/>
      <c r="F300" s="9"/>
      <c r="G300" s="33"/>
      <c r="H300" s="33"/>
      <c r="I300" s="9"/>
      <c r="J300" s="33"/>
      <c r="K300" s="9"/>
    </row>
    <row r="301" customFormat="false" ht="15" hidden="false" customHeight="true" outlineLevel="0" collapsed="false">
      <c r="A301" s="73"/>
      <c r="B301" s="74"/>
      <c r="C301" s="74"/>
      <c r="D301" s="73"/>
      <c r="E301" s="73"/>
      <c r="F301" s="73"/>
      <c r="G301" s="75"/>
      <c r="H301" s="75"/>
      <c r="I301" s="73"/>
      <c r="J301" s="31"/>
      <c r="K301" s="32"/>
    </row>
    <row r="302" customFormat="false" ht="15" hidden="false" customHeight="true" outlineLevel="0" collapsed="false">
      <c r="A302" s="9"/>
      <c r="B302" s="76"/>
      <c r="C302" s="76"/>
      <c r="D302" s="9"/>
      <c r="E302" s="9"/>
      <c r="F302" s="9"/>
      <c r="G302" s="33"/>
      <c r="H302" s="33"/>
      <c r="I302" s="9"/>
      <c r="J302" s="33"/>
      <c r="K302" s="9"/>
    </row>
    <row r="303" customFormat="false" ht="15" hidden="false" customHeight="true" outlineLevel="0" collapsed="false">
      <c r="A303" s="73"/>
      <c r="B303" s="74"/>
      <c r="C303" s="74"/>
      <c r="D303" s="73"/>
      <c r="E303" s="73"/>
      <c r="F303" s="73"/>
      <c r="G303" s="75"/>
      <c r="H303" s="75"/>
      <c r="I303" s="73"/>
      <c r="J303" s="31"/>
      <c r="K303" s="32"/>
    </row>
    <row r="304" customFormat="false" ht="15" hidden="false" customHeight="true" outlineLevel="0" collapsed="false">
      <c r="A304" s="9"/>
      <c r="B304" s="76"/>
      <c r="C304" s="76"/>
      <c r="D304" s="9"/>
      <c r="E304" s="9"/>
      <c r="F304" s="9"/>
      <c r="G304" s="33"/>
      <c r="H304" s="33"/>
      <c r="I304" s="9"/>
      <c r="J304" s="33"/>
      <c r="K304" s="9"/>
    </row>
    <row r="305" customFormat="false" ht="15" hidden="false" customHeight="true" outlineLevel="0" collapsed="false">
      <c r="A305" s="73"/>
      <c r="B305" s="74"/>
      <c r="C305" s="74"/>
      <c r="D305" s="73"/>
      <c r="E305" s="73"/>
      <c r="F305" s="73"/>
      <c r="G305" s="75"/>
      <c r="H305" s="75"/>
      <c r="I305" s="73"/>
      <c r="J305" s="31"/>
      <c r="K305" s="32"/>
    </row>
    <row r="306" customFormat="false" ht="15" hidden="false" customHeight="true" outlineLevel="0" collapsed="false">
      <c r="A306" s="9"/>
      <c r="B306" s="76"/>
      <c r="C306" s="76"/>
      <c r="D306" s="9"/>
      <c r="E306" s="9"/>
      <c r="F306" s="9"/>
      <c r="G306" s="33"/>
      <c r="H306" s="33"/>
      <c r="I306" s="9"/>
      <c r="J306" s="33"/>
      <c r="K306" s="9"/>
    </row>
    <row r="307" customFormat="false" ht="15" hidden="false" customHeight="true" outlineLevel="0" collapsed="false">
      <c r="A307" s="73"/>
      <c r="B307" s="74"/>
      <c r="C307" s="74"/>
      <c r="D307" s="73"/>
      <c r="E307" s="73"/>
      <c r="F307" s="73"/>
      <c r="G307" s="75"/>
      <c r="H307" s="75"/>
      <c r="I307" s="73"/>
      <c r="J307" s="31"/>
      <c r="K307" s="32"/>
    </row>
    <row r="308" customFormat="false" ht="15" hidden="false" customHeight="true" outlineLevel="0" collapsed="false">
      <c r="A308" s="9"/>
      <c r="B308" s="76"/>
      <c r="C308" s="76"/>
      <c r="D308" s="9"/>
      <c r="E308" s="9"/>
      <c r="F308" s="9"/>
      <c r="G308" s="33"/>
      <c r="H308" s="33"/>
      <c r="I308" s="9"/>
      <c r="J308" s="33"/>
      <c r="K308" s="9"/>
    </row>
    <row r="309" customFormat="false" ht="15" hidden="false" customHeight="true" outlineLevel="0" collapsed="false">
      <c r="A309" s="73"/>
      <c r="B309" s="74"/>
      <c r="C309" s="74"/>
      <c r="D309" s="73"/>
      <c r="E309" s="73"/>
      <c r="F309" s="73"/>
      <c r="G309" s="75"/>
      <c r="H309" s="75"/>
      <c r="I309" s="73"/>
      <c r="J309" s="31"/>
      <c r="K309" s="32"/>
    </row>
    <row r="310" customFormat="false" ht="15" hidden="false" customHeight="true" outlineLevel="0" collapsed="false">
      <c r="A310" s="9"/>
      <c r="B310" s="76"/>
      <c r="C310" s="76"/>
      <c r="D310" s="9"/>
      <c r="E310" s="9"/>
      <c r="F310" s="9"/>
      <c r="G310" s="33"/>
      <c r="H310" s="33"/>
      <c r="I310" s="9"/>
      <c r="J310" s="33"/>
      <c r="K310" s="9"/>
    </row>
    <row r="311" customFormat="false" ht="15" hidden="false" customHeight="true" outlineLevel="0" collapsed="false">
      <c r="A311" s="73"/>
      <c r="B311" s="74"/>
      <c r="C311" s="74"/>
      <c r="D311" s="73"/>
      <c r="E311" s="73"/>
      <c r="F311" s="73"/>
      <c r="G311" s="75"/>
      <c r="H311" s="75"/>
      <c r="I311" s="73"/>
      <c r="J311" s="31"/>
      <c r="K311" s="32"/>
    </row>
    <row r="312" customFormat="false" ht="15" hidden="false" customHeight="true" outlineLevel="0" collapsed="false">
      <c r="A312" s="9"/>
      <c r="B312" s="76"/>
      <c r="C312" s="76"/>
      <c r="D312" s="9"/>
      <c r="E312" s="9"/>
      <c r="F312" s="9"/>
      <c r="G312" s="33"/>
      <c r="H312" s="33"/>
      <c r="I312" s="9"/>
      <c r="J312" s="33"/>
      <c r="K312" s="9"/>
    </row>
    <row r="313" customFormat="false" ht="15" hidden="false" customHeight="true" outlineLevel="0" collapsed="false">
      <c r="A313" s="73"/>
      <c r="B313" s="74"/>
      <c r="C313" s="74"/>
      <c r="D313" s="73"/>
      <c r="E313" s="73"/>
      <c r="F313" s="73"/>
      <c r="G313" s="75"/>
      <c r="H313" s="75"/>
      <c r="I313" s="73"/>
      <c r="J313" s="31"/>
      <c r="K313" s="32"/>
    </row>
    <row r="314" customFormat="false" ht="15" hidden="false" customHeight="true" outlineLevel="0" collapsed="false">
      <c r="A314" s="9"/>
      <c r="B314" s="76"/>
      <c r="C314" s="76"/>
      <c r="D314" s="9"/>
      <c r="E314" s="9"/>
      <c r="F314" s="9"/>
      <c r="G314" s="33"/>
      <c r="H314" s="33"/>
      <c r="I314" s="9"/>
      <c r="J314" s="33"/>
      <c r="K314" s="9"/>
    </row>
    <row r="315" customFormat="false" ht="15" hidden="false" customHeight="true" outlineLevel="0" collapsed="false">
      <c r="A315" s="73"/>
      <c r="B315" s="74"/>
      <c r="C315" s="74"/>
      <c r="D315" s="73"/>
      <c r="E315" s="73"/>
      <c r="F315" s="73"/>
      <c r="G315" s="75"/>
      <c r="H315" s="75"/>
      <c r="I315" s="73"/>
      <c r="J315" s="31"/>
      <c r="K315" s="32"/>
    </row>
    <row r="316" customFormat="false" ht="15" hidden="false" customHeight="true" outlineLevel="0" collapsed="false">
      <c r="A316" s="9"/>
      <c r="B316" s="76"/>
      <c r="C316" s="76"/>
      <c r="D316" s="9"/>
      <c r="E316" s="9"/>
      <c r="F316" s="9"/>
      <c r="G316" s="33"/>
      <c r="H316" s="33"/>
      <c r="I316" s="9"/>
      <c r="J316" s="33"/>
      <c r="K316" s="9"/>
    </row>
    <row r="317" customFormat="false" ht="15" hidden="false" customHeight="true" outlineLevel="0" collapsed="false">
      <c r="A317" s="73"/>
      <c r="B317" s="74"/>
      <c r="C317" s="74"/>
      <c r="D317" s="73"/>
      <c r="E317" s="73"/>
      <c r="F317" s="73"/>
      <c r="G317" s="75"/>
      <c r="H317" s="75"/>
      <c r="I317" s="73"/>
      <c r="J317" s="31"/>
      <c r="K317" s="32"/>
    </row>
    <row r="318" customFormat="false" ht="15" hidden="false" customHeight="true" outlineLevel="0" collapsed="false">
      <c r="A318" s="9"/>
      <c r="B318" s="76"/>
      <c r="C318" s="76"/>
      <c r="D318" s="9"/>
      <c r="E318" s="9"/>
      <c r="F318" s="9"/>
      <c r="G318" s="33"/>
      <c r="H318" s="33"/>
      <c r="I318" s="9"/>
      <c r="J318" s="33"/>
      <c r="K318" s="9"/>
    </row>
    <row r="319" customFormat="false" ht="15" hidden="false" customHeight="true" outlineLevel="0" collapsed="false">
      <c r="A319" s="73"/>
      <c r="B319" s="74"/>
      <c r="C319" s="74"/>
      <c r="D319" s="73"/>
      <c r="E319" s="73"/>
      <c r="F319" s="73"/>
      <c r="G319" s="75"/>
      <c r="H319" s="75"/>
      <c r="I319" s="73"/>
      <c r="J319" s="31"/>
      <c r="K319" s="32"/>
    </row>
    <row r="320" customFormat="false" ht="15" hidden="false" customHeight="true" outlineLevel="0" collapsed="false">
      <c r="A320" s="9"/>
      <c r="B320" s="76"/>
      <c r="C320" s="76"/>
      <c r="D320" s="9"/>
      <c r="E320" s="9"/>
      <c r="F320" s="9"/>
      <c r="G320" s="33"/>
      <c r="H320" s="33"/>
      <c r="I320" s="9"/>
      <c r="J320" s="33"/>
      <c r="K320" s="9"/>
    </row>
    <row r="321" customFormat="false" ht="15" hidden="false" customHeight="true" outlineLevel="0" collapsed="false">
      <c r="A321" s="73"/>
      <c r="B321" s="74"/>
      <c r="C321" s="74"/>
      <c r="D321" s="73"/>
      <c r="E321" s="73"/>
      <c r="F321" s="73"/>
      <c r="G321" s="75"/>
      <c r="H321" s="75"/>
      <c r="I321" s="73"/>
      <c r="J321" s="31"/>
      <c r="K321" s="32"/>
    </row>
    <row r="322" customFormat="false" ht="15" hidden="false" customHeight="true" outlineLevel="0" collapsed="false">
      <c r="A322" s="9"/>
      <c r="B322" s="76"/>
      <c r="C322" s="76"/>
      <c r="D322" s="9"/>
      <c r="E322" s="9"/>
      <c r="F322" s="9"/>
      <c r="G322" s="33"/>
      <c r="H322" s="33"/>
      <c r="I322" s="9"/>
      <c r="J322" s="33"/>
      <c r="K322" s="9"/>
    </row>
    <row r="323" customFormat="false" ht="15" hidden="false" customHeight="true" outlineLevel="0" collapsed="false">
      <c r="A323" s="73"/>
      <c r="B323" s="74"/>
      <c r="C323" s="74"/>
      <c r="D323" s="73"/>
      <c r="E323" s="73"/>
      <c r="F323" s="73"/>
      <c r="G323" s="75"/>
      <c r="H323" s="75"/>
      <c r="I323" s="73"/>
      <c r="J323" s="31"/>
      <c r="K323" s="32"/>
    </row>
    <row r="324" customFormat="false" ht="15" hidden="false" customHeight="true" outlineLevel="0" collapsed="false">
      <c r="A324" s="9"/>
      <c r="B324" s="76"/>
      <c r="C324" s="76"/>
      <c r="D324" s="9"/>
      <c r="E324" s="9"/>
      <c r="F324" s="9"/>
      <c r="G324" s="33"/>
      <c r="H324" s="33"/>
      <c r="I324" s="9"/>
      <c r="J324" s="33"/>
      <c r="K324" s="9"/>
    </row>
    <row r="325" customFormat="false" ht="15" hidden="false" customHeight="true" outlineLevel="0" collapsed="false">
      <c r="A325" s="73"/>
      <c r="B325" s="74"/>
      <c r="C325" s="74"/>
      <c r="D325" s="73"/>
      <c r="E325" s="73"/>
      <c r="F325" s="73"/>
      <c r="G325" s="75"/>
      <c r="H325" s="75"/>
      <c r="I325" s="73"/>
      <c r="J325" s="31"/>
      <c r="K325" s="32"/>
    </row>
    <row r="326" customFormat="false" ht="15" hidden="false" customHeight="true" outlineLevel="0" collapsed="false">
      <c r="A326" s="9"/>
      <c r="B326" s="76"/>
      <c r="C326" s="76"/>
      <c r="D326" s="9"/>
      <c r="E326" s="9"/>
      <c r="F326" s="9"/>
      <c r="G326" s="33"/>
      <c r="H326" s="33"/>
      <c r="I326" s="9"/>
      <c r="J326" s="33"/>
      <c r="K326" s="9"/>
    </row>
    <row r="327" customFormat="false" ht="15" hidden="false" customHeight="true" outlineLevel="0" collapsed="false">
      <c r="A327" s="73"/>
      <c r="B327" s="74"/>
      <c r="C327" s="74"/>
      <c r="D327" s="73"/>
      <c r="E327" s="73"/>
      <c r="F327" s="73"/>
      <c r="G327" s="75"/>
      <c r="H327" s="75"/>
      <c r="I327" s="73"/>
      <c r="J327" s="31"/>
      <c r="K327" s="32"/>
    </row>
    <row r="328" customFormat="false" ht="15" hidden="false" customHeight="true" outlineLevel="0" collapsed="false">
      <c r="A328" s="9"/>
      <c r="B328" s="76"/>
      <c r="C328" s="76"/>
      <c r="D328" s="9"/>
      <c r="E328" s="9"/>
      <c r="F328" s="9"/>
      <c r="G328" s="33"/>
      <c r="H328" s="33"/>
      <c r="I328" s="9"/>
      <c r="J328" s="33"/>
      <c r="K328" s="9"/>
    </row>
    <row r="329" customFormat="false" ht="15" hidden="false" customHeight="true" outlineLevel="0" collapsed="false">
      <c r="A329" s="73"/>
      <c r="B329" s="74"/>
      <c r="C329" s="74"/>
      <c r="D329" s="73"/>
      <c r="E329" s="73"/>
      <c r="F329" s="73"/>
      <c r="G329" s="75"/>
      <c r="H329" s="75"/>
      <c r="I329" s="73"/>
      <c r="J329" s="31"/>
      <c r="K329" s="32"/>
    </row>
    <row r="330" customFormat="false" ht="15" hidden="false" customHeight="true" outlineLevel="0" collapsed="false">
      <c r="A330" s="9"/>
      <c r="B330" s="76"/>
      <c r="C330" s="76"/>
      <c r="D330" s="9"/>
      <c r="E330" s="9"/>
      <c r="F330" s="9"/>
      <c r="G330" s="33"/>
      <c r="H330" s="33"/>
      <c r="I330" s="9"/>
      <c r="J330" s="33"/>
      <c r="K330" s="9"/>
    </row>
    <row r="331" customFormat="false" ht="15" hidden="false" customHeight="true" outlineLevel="0" collapsed="false">
      <c r="A331" s="73"/>
      <c r="B331" s="74"/>
      <c r="C331" s="74"/>
      <c r="D331" s="73"/>
      <c r="E331" s="73"/>
      <c r="F331" s="73"/>
      <c r="G331" s="75"/>
      <c r="H331" s="75"/>
      <c r="I331" s="73"/>
      <c r="J331" s="31"/>
      <c r="K331" s="32"/>
    </row>
    <row r="332" customFormat="false" ht="15" hidden="false" customHeight="true" outlineLevel="0" collapsed="false">
      <c r="A332" s="9"/>
      <c r="B332" s="76"/>
      <c r="C332" s="76"/>
      <c r="D332" s="9"/>
      <c r="E332" s="9"/>
      <c r="F332" s="9"/>
      <c r="G332" s="33"/>
      <c r="H332" s="33"/>
      <c r="I332" s="9"/>
      <c r="J332" s="33"/>
      <c r="K332" s="9"/>
    </row>
    <row r="333" customFormat="false" ht="15" hidden="false" customHeight="true" outlineLevel="0" collapsed="false">
      <c r="A333" s="73"/>
      <c r="B333" s="74"/>
      <c r="C333" s="74"/>
      <c r="D333" s="73"/>
      <c r="E333" s="73"/>
      <c r="F333" s="73"/>
      <c r="G333" s="75"/>
      <c r="H333" s="75"/>
      <c r="I333" s="73"/>
      <c r="J333" s="31"/>
      <c r="K333" s="32"/>
    </row>
    <row r="334" customFormat="false" ht="15" hidden="false" customHeight="true" outlineLevel="0" collapsed="false">
      <c r="A334" s="9"/>
      <c r="B334" s="76"/>
      <c r="C334" s="76"/>
      <c r="D334" s="9"/>
      <c r="E334" s="9"/>
      <c r="F334" s="9"/>
      <c r="G334" s="33"/>
      <c r="H334" s="33"/>
      <c r="I334" s="9"/>
      <c r="J334" s="33"/>
      <c r="K334" s="9"/>
    </row>
    <row r="335" customFormat="false" ht="15" hidden="false" customHeight="true" outlineLevel="0" collapsed="false">
      <c r="A335" s="73"/>
      <c r="B335" s="74"/>
      <c r="C335" s="74"/>
      <c r="D335" s="73"/>
      <c r="E335" s="73"/>
      <c r="F335" s="73"/>
      <c r="G335" s="75"/>
      <c r="H335" s="75"/>
      <c r="I335" s="73"/>
      <c r="J335" s="31"/>
      <c r="K335" s="32"/>
    </row>
    <row r="336" customFormat="false" ht="15" hidden="false" customHeight="true" outlineLevel="0" collapsed="false">
      <c r="A336" s="9"/>
      <c r="B336" s="76"/>
      <c r="C336" s="76"/>
      <c r="D336" s="9"/>
      <c r="E336" s="9"/>
      <c r="F336" s="9"/>
      <c r="G336" s="33"/>
      <c r="H336" s="33"/>
      <c r="I336" s="9"/>
      <c r="J336" s="33"/>
      <c r="K336" s="9"/>
    </row>
    <row r="337" customFormat="false" ht="15" hidden="false" customHeight="true" outlineLevel="0" collapsed="false">
      <c r="A337" s="73"/>
      <c r="B337" s="74"/>
      <c r="C337" s="74"/>
      <c r="D337" s="73"/>
      <c r="E337" s="73"/>
      <c r="F337" s="73"/>
      <c r="G337" s="75"/>
      <c r="H337" s="75"/>
      <c r="I337" s="73"/>
      <c r="J337" s="31"/>
      <c r="K337" s="32"/>
    </row>
    <row r="338" customFormat="false" ht="15" hidden="false" customHeight="true" outlineLevel="0" collapsed="false">
      <c r="A338" s="9"/>
      <c r="B338" s="76"/>
      <c r="C338" s="76"/>
      <c r="D338" s="9"/>
      <c r="E338" s="9"/>
      <c r="F338" s="9"/>
      <c r="G338" s="33"/>
      <c r="H338" s="33"/>
      <c r="I338" s="9"/>
      <c r="J338" s="33"/>
      <c r="K338" s="9"/>
    </row>
    <row r="339" customFormat="false" ht="15" hidden="false" customHeight="true" outlineLevel="0" collapsed="false">
      <c r="A339" s="73"/>
      <c r="B339" s="74"/>
      <c r="C339" s="74"/>
      <c r="D339" s="73"/>
      <c r="E339" s="73"/>
      <c r="F339" s="73"/>
      <c r="G339" s="75"/>
      <c r="H339" s="75"/>
      <c r="I339" s="73"/>
      <c r="J339" s="31"/>
      <c r="K339" s="32"/>
    </row>
    <row r="340" customFormat="false" ht="15" hidden="false" customHeight="true" outlineLevel="0" collapsed="false">
      <c r="A340" s="9"/>
      <c r="B340" s="76"/>
      <c r="C340" s="76"/>
      <c r="D340" s="9"/>
      <c r="E340" s="9"/>
      <c r="F340" s="9"/>
      <c r="G340" s="33"/>
      <c r="H340" s="33"/>
      <c r="I340" s="9"/>
      <c r="J340" s="33"/>
      <c r="K340" s="9"/>
    </row>
    <row r="341" customFormat="false" ht="15" hidden="false" customHeight="true" outlineLevel="0" collapsed="false">
      <c r="A341" s="73"/>
      <c r="B341" s="74"/>
      <c r="C341" s="74"/>
      <c r="D341" s="73"/>
      <c r="E341" s="73"/>
      <c r="F341" s="73"/>
      <c r="G341" s="75"/>
      <c r="H341" s="75"/>
      <c r="I341" s="73"/>
      <c r="J341" s="31"/>
      <c r="K341" s="32"/>
    </row>
    <row r="342" customFormat="false" ht="15" hidden="false" customHeight="true" outlineLevel="0" collapsed="false">
      <c r="A342" s="9"/>
      <c r="B342" s="76"/>
      <c r="C342" s="76"/>
      <c r="D342" s="9"/>
      <c r="E342" s="9"/>
      <c r="F342" s="9"/>
      <c r="G342" s="33"/>
      <c r="H342" s="33"/>
      <c r="I342" s="9"/>
      <c r="J342" s="33"/>
      <c r="K342" s="9"/>
    </row>
    <row r="343" customFormat="false" ht="15" hidden="false" customHeight="true" outlineLevel="0" collapsed="false">
      <c r="A343" s="73"/>
      <c r="B343" s="74"/>
      <c r="C343" s="74"/>
      <c r="D343" s="73"/>
      <c r="E343" s="73"/>
      <c r="F343" s="73"/>
      <c r="G343" s="75"/>
      <c r="H343" s="75"/>
      <c r="I343" s="73"/>
      <c r="J343" s="31"/>
      <c r="K343" s="32"/>
    </row>
    <row r="344" customFormat="false" ht="15" hidden="false" customHeight="true" outlineLevel="0" collapsed="false">
      <c r="A344" s="9"/>
      <c r="B344" s="76"/>
      <c r="C344" s="76"/>
      <c r="D344" s="9"/>
      <c r="E344" s="9"/>
      <c r="F344" s="9"/>
      <c r="G344" s="33"/>
      <c r="H344" s="33"/>
      <c r="I344" s="9"/>
      <c r="J344" s="33"/>
      <c r="K344" s="9"/>
    </row>
    <row r="345" customFormat="false" ht="15" hidden="false" customHeight="true" outlineLevel="0" collapsed="false">
      <c r="A345" s="73"/>
      <c r="B345" s="74"/>
      <c r="C345" s="74"/>
      <c r="D345" s="73"/>
      <c r="E345" s="73"/>
      <c r="F345" s="73"/>
      <c r="G345" s="75"/>
      <c r="H345" s="75"/>
      <c r="I345" s="73"/>
      <c r="J345" s="31"/>
      <c r="K345" s="32"/>
    </row>
    <row r="346" customFormat="false" ht="15" hidden="false" customHeight="true" outlineLevel="0" collapsed="false">
      <c r="A346" s="9"/>
      <c r="B346" s="76"/>
      <c r="C346" s="76"/>
      <c r="D346" s="9"/>
      <c r="E346" s="9"/>
      <c r="F346" s="9"/>
      <c r="G346" s="33"/>
      <c r="H346" s="33"/>
      <c r="I346" s="9"/>
      <c r="J346" s="33"/>
      <c r="K346" s="9"/>
    </row>
    <row r="347" customFormat="false" ht="15" hidden="false" customHeight="true" outlineLevel="0" collapsed="false">
      <c r="A347" s="73"/>
      <c r="B347" s="74"/>
      <c r="C347" s="74"/>
      <c r="D347" s="73"/>
      <c r="E347" s="73"/>
      <c r="F347" s="73"/>
      <c r="G347" s="75"/>
      <c r="H347" s="75"/>
      <c r="I347" s="73"/>
      <c r="J347" s="31"/>
      <c r="K347" s="32"/>
    </row>
    <row r="348" customFormat="false" ht="15" hidden="false" customHeight="true" outlineLevel="0" collapsed="false">
      <c r="A348" s="9"/>
      <c r="B348" s="76"/>
      <c r="C348" s="76"/>
      <c r="D348" s="9"/>
      <c r="E348" s="9"/>
      <c r="F348" s="9"/>
      <c r="G348" s="33"/>
      <c r="H348" s="33"/>
      <c r="I348" s="9"/>
      <c r="J348" s="33"/>
      <c r="K348" s="9"/>
    </row>
    <row r="349" customFormat="false" ht="15" hidden="false" customHeight="true" outlineLevel="0" collapsed="false">
      <c r="A349" s="73"/>
      <c r="B349" s="74"/>
      <c r="C349" s="74"/>
      <c r="D349" s="73"/>
      <c r="E349" s="73"/>
      <c r="F349" s="73"/>
      <c r="G349" s="75"/>
      <c r="H349" s="75"/>
      <c r="I349" s="73"/>
      <c r="J349" s="31"/>
      <c r="K349" s="32"/>
    </row>
    <row r="350" customFormat="false" ht="15" hidden="false" customHeight="true" outlineLevel="0" collapsed="false">
      <c r="A350" s="9"/>
      <c r="B350" s="76"/>
      <c r="C350" s="76"/>
      <c r="D350" s="9"/>
      <c r="E350" s="9"/>
      <c r="F350" s="9"/>
      <c r="G350" s="33"/>
      <c r="H350" s="33"/>
      <c r="I350" s="9"/>
      <c r="J350" s="33"/>
      <c r="K350" s="9"/>
    </row>
    <row r="351" customFormat="false" ht="15" hidden="false" customHeight="true" outlineLevel="0" collapsed="false">
      <c r="A351" s="73"/>
      <c r="B351" s="74"/>
      <c r="C351" s="74"/>
      <c r="D351" s="73"/>
      <c r="E351" s="73"/>
      <c r="F351" s="73"/>
      <c r="G351" s="75"/>
      <c r="H351" s="75"/>
      <c r="I351" s="73"/>
      <c r="J351" s="31"/>
      <c r="K351" s="32"/>
    </row>
    <row r="352" customFormat="false" ht="15" hidden="false" customHeight="true" outlineLevel="0" collapsed="false">
      <c r="A352" s="9"/>
      <c r="B352" s="76"/>
      <c r="C352" s="76"/>
      <c r="D352" s="9"/>
      <c r="E352" s="9"/>
      <c r="F352" s="9"/>
      <c r="G352" s="33"/>
      <c r="H352" s="33"/>
      <c r="I352" s="9"/>
      <c r="J352" s="33"/>
      <c r="K352" s="9"/>
    </row>
    <row r="353" customFormat="false" ht="15" hidden="false" customHeight="true" outlineLevel="0" collapsed="false">
      <c r="A353" s="73"/>
      <c r="B353" s="74"/>
      <c r="C353" s="74"/>
      <c r="D353" s="73"/>
      <c r="E353" s="73"/>
      <c r="F353" s="73"/>
      <c r="G353" s="75"/>
      <c r="H353" s="75"/>
      <c r="I353" s="73"/>
      <c r="J353" s="31"/>
      <c r="K353" s="32"/>
    </row>
    <row r="354" customFormat="false" ht="15" hidden="false" customHeight="true" outlineLevel="0" collapsed="false">
      <c r="A354" s="9"/>
      <c r="B354" s="76"/>
      <c r="C354" s="76"/>
      <c r="D354" s="9"/>
      <c r="E354" s="9"/>
      <c r="F354" s="9"/>
      <c r="G354" s="33"/>
      <c r="H354" s="33"/>
      <c r="I354" s="9"/>
      <c r="J354" s="33"/>
      <c r="K354" s="9"/>
    </row>
    <row r="355" customFormat="false" ht="15" hidden="false" customHeight="true" outlineLevel="0" collapsed="false">
      <c r="A355" s="73"/>
      <c r="B355" s="74"/>
      <c r="C355" s="74"/>
      <c r="D355" s="73"/>
      <c r="E355" s="73"/>
      <c r="F355" s="73"/>
      <c r="G355" s="75"/>
      <c r="H355" s="75"/>
      <c r="I355" s="73"/>
      <c r="J355" s="31"/>
      <c r="K355" s="32"/>
    </row>
    <row r="356" customFormat="false" ht="15" hidden="false" customHeight="true" outlineLevel="0" collapsed="false">
      <c r="A356" s="9"/>
      <c r="B356" s="76"/>
      <c r="C356" s="76"/>
      <c r="D356" s="9"/>
      <c r="E356" s="9"/>
      <c r="F356" s="9"/>
      <c r="G356" s="33"/>
      <c r="H356" s="33"/>
      <c r="I356" s="9"/>
      <c r="J356" s="33"/>
      <c r="K356" s="9"/>
    </row>
    <row r="357" customFormat="false" ht="15" hidden="false" customHeight="true" outlineLevel="0" collapsed="false">
      <c r="A357" s="73"/>
      <c r="B357" s="74"/>
      <c r="C357" s="74"/>
      <c r="D357" s="73"/>
      <c r="E357" s="73"/>
      <c r="F357" s="73"/>
      <c r="G357" s="75"/>
      <c r="H357" s="75"/>
      <c r="I357" s="73"/>
      <c r="J357" s="31"/>
      <c r="K357" s="32"/>
    </row>
    <row r="358" customFormat="false" ht="15" hidden="false" customHeight="true" outlineLevel="0" collapsed="false">
      <c r="A358" s="9"/>
      <c r="B358" s="76"/>
      <c r="C358" s="76"/>
      <c r="D358" s="9"/>
      <c r="E358" s="9"/>
      <c r="F358" s="9"/>
      <c r="G358" s="33"/>
      <c r="H358" s="33"/>
      <c r="I358" s="9"/>
      <c r="J358" s="33"/>
      <c r="K358" s="9"/>
    </row>
    <row r="359" customFormat="false" ht="15" hidden="false" customHeight="true" outlineLevel="0" collapsed="false">
      <c r="A359" s="73"/>
      <c r="B359" s="74"/>
      <c r="C359" s="74"/>
      <c r="D359" s="73"/>
      <c r="E359" s="73"/>
      <c r="F359" s="73"/>
      <c r="G359" s="75"/>
      <c r="H359" s="75"/>
      <c r="I359" s="73"/>
      <c r="J359" s="31"/>
      <c r="K359" s="32"/>
    </row>
    <row r="360" customFormat="false" ht="15" hidden="false" customHeight="true" outlineLevel="0" collapsed="false">
      <c r="A360" s="9"/>
      <c r="B360" s="76"/>
      <c r="C360" s="76"/>
      <c r="D360" s="9"/>
      <c r="E360" s="9"/>
      <c r="F360" s="9"/>
      <c r="G360" s="33"/>
      <c r="H360" s="33"/>
      <c r="I360" s="9"/>
      <c r="J360" s="33"/>
      <c r="K360" s="9"/>
    </row>
    <row r="361" customFormat="false" ht="15" hidden="false" customHeight="true" outlineLevel="0" collapsed="false">
      <c r="A361" s="73"/>
      <c r="B361" s="74"/>
      <c r="C361" s="74"/>
      <c r="D361" s="73"/>
      <c r="E361" s="73"/>
      <c r="F361" s="73"/>
      <c r="G361" s="75"/>
      <c r="H361" s="75"/>
      <c r="I361" s="73"/>
      <c r="J361" s="31"/>
      <c r="K361" s="32"/>
    </row>
    <row r="362" customFormat="false" ht="15" hidden="false" customHeight="true" outlineLevel="0" collapsed="false">
      <c r="A362" s="9"/>
      <c r="B362" s="76"/>
      <c r="C362" s="76"/>
      <c r="D362" s="9"/>
      <c r="E362" s="9"/>
      <c r="F362" s="9"/>
      <c r="G362" s="33"/>
      <c r="H362" s="33"/>
      <c r="I362" s="9"/>
      <c r="J362" s="33"/>
      <c r="K362" s="9"/>
    </row>
    <row r="363" customFormat="false" ht="15" hidden="false" customHeight="true" outlineLevel="0" collapsed="false">
      <c r="A363" s="73"/>
      <c r="B363" s="74"/>
      <c r="C363" s="74"/>
      <c r="D363" s="73"/>
      <c r="E363" s="73"/>
      <c r="F363" s="73"/>
      <c r="G363" s="75"/>
      <c r="H363" s="75"/>
      <c r="I363" s="73"/>
      <c r="J363" s="31"/>
      <c r="K363" s="32"/>
    </row>
    <row r="364" customFormat="false" ht="15" hidden="false" customHeight="true" outlineLevel="0" collapsed="false">
      <c r="A364" s="9"/>
      <c r="B364" s="76"/>
      <c r="C364" s="76"/>
      <c r="D364" s="9"/>
      <c r="E364" s="9"/>
      <c r="F364" s="9"/>
      <c r="G364" s="33"/>
      <c r="H364" s="33"/>
      <c r="I364" s="9"/>
      <c r="J364" s="33"/>
      <c r="K364" s="9"/>
    </row>
    <row r="365" customFormat="false" ht="15" hidden="false" customHeight="true" outlineLevel="0" collapsed="false">
      <c r="A365" s="73"/>
      <c r="B365" s="74"/>
      <c r="C365" s="74"/>
      <c r="D365" s="73"/>
      <c r="E365" s="73"/>
      <c r="F365" s="73"/>
      <c r="G365" s="75"/>
      <c r="H365" s="75"/>
      <c r="I365" s="73"/>
      <c r="J365" s="31"/>
      <c r="K365" s="32"/>
    </row>
    <row r="366" customFormat="false" ht="15" hidden="false" customHeight="true" outlineLevel="0" collapsed="false">
      <c r="A366" s="9"/>
      <c r="B366" s="76"/>
      <c r="C366" s="76"/>
      <c r="D366" s="9"/>
      <c r="E366" s="9"/>
      <c r="F366" s="9"/>
      <c r="G366" s="33"/>
      <c r="H366" s="33"/>
      <c r="I366" s="9"/>
      <c r="J366" s="33"/>
      <c r="K366" s="9"/>
    </row>
    <row r="367" customFormat="false" ht="15" hidden="false" customHeight="true" outlineLevel="0" collapsed="false">
      <c r="A367" s="73"/>
      <c r="B367" s="74"/>
      <c r="C367" s="74"/>
      <c r="D367" s="73"/>
      <c r="E367" s="73"/>
      <c r="F367" s="73"/>
      <c r="G367" s="75"/>
      <c r="H367" s="75"/>
      <c r="I367" s="73"/>
      <c r="J367" s="31"/>
      <c r="K367" s="32"/>
    </row>
    <row r="368" customFormat="false" ht="15" hidden="false" customHeight="true" outlineLevel="0" collapsed="false">
      <c r="A368" s="9"/>
      <c r="B368" s="76"/>
      <c r="C368" s="76"/>
      <c r="D368" s="9"/>
      <c r="E368" s="9"/>
      <c r="F368" s="9"/>
      <c r="G368" s="33"/>
      <c r="H368" s="33"/>
      <c r="I368" s="9"/>
      <c r="J368" s="33"/>
      <c r="K368" s="9"/>
    </row>
    <row r="369" customFormat="false" ht="15" hidden="false" customHeight="true" outlineLevel="0" collapsed="false">
      <c r="A369" s="73"/>
      <c r="B369" s="74"/>
      <c r="C369" s="74"/>
      <c r="D369" s="73"/>
      <c r="E369" s="73"/>
      <c r="F369" s="73"/>
      <c r="G369" s="75"/>
      <c r="H369" s="75"/>
      <c r="I369" s="73"/>
      <c r="J369" s="31"/>
      <c r="K369" s="32"/>
    </row>
    <row r="370" customFormat="false" ht="15" hidden="false" customHeight="true" outlineLevel="0" collapsed="false">
      <c r="A370" s="9"/>
      <c r="B370" s="76"/>
      <c r="C370" s="76"/>
      <c r="D370" s="9"/>
      <c r="E370" s="9"/>
      <c r="F370" s="9"/>
      <c r="G370" s="33"/>
      <c r="H370" s="33"/>
      <c r="I370" s="9"/>
      <c r="J370" s="33"/>
      <c r="K370" s="9"/>
    </row>
    <row r="371" customFormat="false" ht="15" hidden="false" customHeight="true" outlineLevel="0" collapsed="false">
      <c r="A371" s="73"/>
      <c r="B371" s="74"/>
      <c r="C371" s="74"/>
      <c r="D371" s="73"/>
      <c r="E371" s="73"/>
      <c r="F371" s="73"/>
      <c r="G371" s="75"/>
      <c r="H371" s="75"/>
      <c r="I371" s="73"/>
      <c r="J371" s="31"/>
      <c r="K371" s="32"/>
    </row>
    <row r="372" customFormat="false" ht="15" hidden="false" customHeight="true" outlineLevel="0" collapsed="false">
      <c r="A372" s="9"/>
      <c r="B372" s="76"/>
      <c r="C372" s="76"/>
      <c r="D372" s="9"/>
      <c r="E372" s="9"/>
      <c r="F372" s="9"/>
      <c r="G372" s="33"/>
      <c r="H372" s="33"/>
      <c r="I372" s="9"/>
      <c r="J372" s="33"/>
      <c r="K372" s="9"/>
    </row>
    <row r="373" customFormat="false" ht="15" hidden="false" customHeight="true" outlineLevel="0" collapsed="false">
      <c r="A373" s="73"/>
      <c r="B373" s="74"/>
      <c r="C373" s="74"/>
      <c r="D373" s="73"/>
      <c r="E373" s="73"/>
      <c r="F373" s="73"/>
      <c r="G373" s="75"/>
      <c r="H373" s="75"/>
      <c r="I373" s="73"/>
      <c r="J373" s="31"/>
      <c r="K373" s="32"/>
    </row>
    <row r="374" customFormat="false" ht="15" hidden="false" customHeight="true" outlineLevel="0" collapsed="false">
      <c r="A374" s="9"/>
      <c r="B374" s="76"/>
      <c r="C374" s="76"/>
      <c r="D374" s="9"/>
      <c r="E374" s="9"/>
      <c r="F374" s="9"/>
      <c r="G374" s="33"/>
      <c r="H374" s="33"/>
      <c r="I374" s="9"/>
      <c r="J374" s="33"/>
      <c r="K374" s="9"/>
    </row>
    <row r="375" customFormat="false" ht="15" hidden="false" customHeight="true" outlineLevel="0" collapsed="false">
      <c r="A375" s="73"/>
      <c r="B375" s="74"/>
      <c r="C375" s="74"/>
      <c r="D375" s="73"/>
      <c r="E375" s="73"/>
      <c r="F375" s="73"/>
      <c r="G375" s="75"/>
      <c r="H375" s="75"/>
      <c r="I375" s="73"/>
      <c r="J375" s="31"/>
      <c r="K375" s="32"/>
    </row>
    <row r="376" customFormat="false" ht="15" hidden="false" customHeight="true" outlineLevel="0" collapsed="false">
      <c r="A376" s="9"/>
      <c r="B376" s="76"/>
      <c r="C376" s="76"/>
      <c r="D376" s="9"/>
      <c r="E376" s="9"/>
      <c r="F376" s="9"/>
      <c r="G376" s="33"/>
      <c r="H376" s="33"/>
      <c r="I376" s="9"/>
      <c r="J376" s="33"/>
      <c r="K376" s="9"/>
    </row>
    <row r="377" customFormat="false" ht="15" hidden="false" customHeight="true" outlineLevel="0" collapsed="false">
      <c r="A377" s="73"/>
      <c r="B377" s="74"/>
      <c r="C377" s="74"/>
      <c r="D377" s="73"/>
      <c r="E377" s="73"/>
      <c r="F377" s="73"/>
      <c r="G377" s="75"/>
      <c r="H377" s="75"/>
      <c r="I377" s="73"/>
      <c r="J377" s="31"/>
      <c r="K377" s="32"/>
    </row>
    <row r="378" customFormat="false" ht="15" hidden="false" customHeight="true" outlineLevel="0" collapsed="false">
      <c r="A378" s="9"/>
      <c r="B378" s="76"/>
      <c r="C378" s="76"/>
      <c r="D378" s="9"/>
      <c r="E378" s="9"/>
      <c r="F378" s="9"/>
      <c r="G378" s="33"/>
      <c r="H378" s="33"/>
      <c r="I378" s="9"/>
      <c r="J378" s="33"/>
      <c r="K378" s="9"/>
    </row>
    <row r="379" customFormat="false" ht="15" hidden="false" customHeight="true" outlineLevel="0" collapsed="false">
      <c r="A379" s="73"/>
      <c r="B379" s="74"/>
      <c r="C379" s="74"/>
      <c r="D379" s="73"/>
      <c r="E379" s="73"/>
      <c r="F379" s="73"/>
      <c r="G379" s="75"/>
      <c r="H379" s="75"/>
      <c r="I379" s="73"/>
      <c r="J379" s="31"/>
      <c r="K379" s="32"/>
    </row>
    <row r="380" customFormat="false" ht="15" hidden="false" customHeight="true" outlineLevel="0" collapsed="false">
      <c r="A380" s="9"/>
      <c r="B380" s="76"/>
      <c r="C380" s="76"/>
      <c r="D380" s="9"/>
      <c r="E380" s="9"/>
      <c r="F380" s="9"/>
      <c r="G380" s="33"/>
      <c r="H380" s="33"/>
      <c r="I380" s="9"/>
      <c r="J380" s="33"/>
      <c r="K380" s="9"/>
    </row>
    <row r="381" customFormat="false" ht="15" hidden="false" customHeight="true" outlineLevel="0" collapsed="false">
      <c r="A381" s="73"/>
      <c r="B381" s="74"/>
      <c r="C381" s="74"/>
      <c r="D381" s="73"/>
      <c r="E381" s="73"/>
      <c r="F381" s="73"/>
      <c r="G381" s="75"/>
      <c r="H381" s="75"/>
      <c r="I381" s="73"/>
      <c r="J381" s="31"/>
      <c r="K381" s="32"/>
    </row>
    <row r="382" customFormat="false" ht="15" hidden="false" customHeight="true" outlineLevel="0" collapsed="false">
      <c r="A382" s="9"/>
      <c r="B382" s="76"/>
      <c r="C382" s="76"/>
      <c r="D382" s="9"/>
      <c r="E382" s="9"/>
      <c r="F382" s="9"/>
      <c r="G382" s="33"/>
      <c r="H382" s="33"/>
      <c r="I382" s="9"/>
      <c r="J382" s="33"/>
      <c r="K382" s="9"/>
    </row>
    <row r="383" customFormat="false" ht="15" hidden="false" customHeight="true" outlineLevel="0" collapsed="false">
      <c r="A383" s="73"/>
      <c r="B383" s="74"/>
      <c r="C383" s="74"/>
      <c r="D383" s="73"/>
      <c r="E383" s="73"/>
      <c r="F383" s="73"/>
      <c r="G383" s="75"/>
      <c r="H383" s="75"/>
      <c r="I383" s="73"/>
      <c r="J383" s="31"/>
      <c r="K383" s="32"/>
    </row>
    <row r="384" customFormat="false" ht="15" hidden="false" customHeight="true" outlineLevel="0" collapsed="false">
      <c r="A384" s="9"/>
      <c r="B384" s="76"/>
      <c r="C384" s="76"/>
      <c r="D384" s="9"/>
      <c r="E384" s="9"/>
      <c r="F384" s="9"/>
      <c r="G384" s="33"/>
      <c r="H384" s="33"/>
      <c r="I384" s="9"/>
      <c r="J384" s="33"/>
      <c r="K384" s="9"/>
    </row>
    <row r="385" customFormat="false" ht="15" hidden="false" customHeight="true" outlineLevel="0" collapsed="false">
      <c r="A385" s="73"/>
      <c r="B385" s="74"/>
      <c r="C385" s="74"/>
      <c r="D385" s="73"/>
      <c r="E385" s="73"/>
      <c r="F385" s="73"/>
      <c r="G385" s="75"/>
      <c r="H385" s="75"/>
      <c r="I385" s="73"/>
      <c r="J385" s="31"/>
      <c r="K385" s="32"/>
    </row>
    <row r="386" customFormat="false" ht="15" hidden="false" customHeight="true" outlineLevel="0" collapsed="false">
      <c r="A386" s="9"/>
      <c r="B386" s="76"/>
      <c r="C386" s="76"/>
      <c r="D386" s="9"/>
      <c r="E386" s="9"/>
      <c r="F386" s="9"/>
      <c r="G386" s="33"/>
      <c r="H386" s="33"/>
      <c r="I386" s="9"/>
      <c r="J386" s="33"/>
      <c r="K386" s="9"/>
    </row>
    <row r="387" customFormat="false" ht="15" hidden="false" customHeight="true" outlineLevel="0" collapsed="false">
      <c r="A387" s="73"/>
      <c r="B387" s="74"/>
      <c r="C387" s="74"/>
      <c r="D387" s="73"/>
      <c r="E387" s="73"/>
      <c r="F387" s="73"/>
      <c r="G387" s="75"/>
      <c r="H387" s="75"/>
      <c r="I387" s="73"/>
      <c r="J387" s="31"/>
      <c r="K387" s="32"/>
    </row>
    <row r="388" customFormat="false" ht="15" hidden="false" customHeight="true" outlineLevel="0" collapsed="false">
      <c r="A388" s="9"/>
      <c r="B388" s="76"/>
      <c r="C388" s="76"/>
      <c r="D388" s="9"/>
      <c r="E388" s="9"/>
      <c r="F388" s="9"/>
      <c r="G388" s="33"/>
      <c r="H388" s="33"/>
      <c r="I388" s="9"/>
      <c r="J388" s="33"/>
      <c r="K388" s="9"/>
    </row>
    <row r="389" customFormat="false" ht="15" hidden="false" customHeight="true" outlineLevel="0" collapsed="false">
      <c r="A389" s="73"/>
      <c r="B389" s="74"/>
      <c r="C389" s="74"/>
      <c r="D389" s="73"/>
      <c r="E389" s="73"/>
      <c r="F389" s="73"/>
      <c r="G389" s="75"/>
      <c r="H389" s="75"/>
      <c r="I389" s="73"/>
      <c r="J389" s="31"/>
      <c r="K389" s="32"/>
    </row>
    <row r="390" customFormat="false" ht="15" hidden="false" customHeight="true" outlineLevel="0" collapsed="false">
      <c r="A390" s="9"/>
      <c r="B390" s="76"/>
      <c r="C390" s="76"/>
      <c r="D390" s="9"/>
      <c r="E390" s="9"/>
      <c r="F390" s="9"/>
      <c r="G390" s="33"/>
      <c r="H390" s="33"/>
      <c r="I390" s="9"/>
      <c r="J390" s="33"/>
      <c r="K390" s="9"/>
    </row>
    <row r="391" customFormat="false" ht="15" hidden="false" customHeight="true" outlineLevel="0" collapsed="false">
      <c r="A391" s="73"/>
      <c r="B391" s="74"/>
      <c r="C391" s="74"/>
      <c r="D391" s="73"/>
      <c r="E391" s="73"/>
      <c r="F391" s="73"/>
      <c r="G391" s="75"/>
      <c r="H391" s="75"/>
      <c r="I391" s="73"/>
      <c r="J391" s="31"/>
      <c r="K391" s="32"/>
    </row>
    <row r="392" customFormat="false" ht="15" hidden="false" customHeight="true" outlineLevel="0" collapsed="false">
      <c r="A392" s="9"/>
      <c r="B392" s="76"/>
      <c r="C392" s="76"/>
      <c r="D392" s="9"/>
      <c r="E392" s="9"/>
      <c r="F392" s="9"/>
      <c r="G392" s="33"/>
      <c r="H392" s="33"/>
      <c r="I392" s="9"/>
      <c r="J392" s="33"/>
      <c r="K392" s="9"/>
    </row>
    <row r="393" customFormat="false" ht="15" hidden="false" customHeight="true" outlineLevel="0" collapsed="false">
      <c r="A393" s="73"/>
      <c r="B393" s="74"/>
      <c r="C393" s="74"/>
      <c r="D393" s="73"/>
      <c r="E393" s="73"/>
      <c r="F393" s="73"/>
      <c r="G393" s="75"/>
      <c r="H393" s="75"/>
      <c r="I393" s="73"/>
      <c r="J393" s="31"/>
      <c r="K393" s="32"/>
    </row>
    <row r="394" customFormat="false" ht="15" hidden="false" customHeight="true" outlineLevel="0" collapsed="false">
      <c r="A394" s="9"/>
      <c r="B394" s="76"/>
      <c r="C394" s="76"/>
      <c r="D394" s="9"/>
      <c r="E394" s="9"/>
      <c r="F394" s="9"/>
      <c r="G394" s="33"/>
      <c r="H394" s="33"/>
      <c r="I394" s="9"/>
      <c r="J394" s="33"/>
      <c r="K394" s="9"/>
    </row>
    <row r="395" customFormat="false" ht="15" hidden="false" customHeight="true" outlineLevel="0" collapsed="false">
      <c r="A395" s="73"/>
      <c r="B395" s="74"/>
      <c r="C395" s="74"/>
      <c r="D395" s="73"/>
      <c r="E395" s="73"/>
      <c r="F395" s="73"/>
      <c r="G395" s="75"/>
      <c r="H395" s="75"/>
      <c r="I395" s="73"/>
      <c r="J395" s="31"/>
      <c r="K395" s="32"/>
    </row>
    <row r="396" customFormat="false" ht="15" hidden="false" customHeight="true" outlineLevel="0" collapsed="false">
      <c r="A396" s="9"/>
      <c r="B396" s="76"/>
      <c r="C396" s="76"/>
      <c r="D396" s="9"/>
      <c r="E396" s="9"/>
      <c r="F396" s="9"/>
      <c r="G396" s="33"/>
      <c r="H396" s="33"/>
      <c r="I396" s="9"/>
      <c r="J396" s="33"/>
      <c r="K396" s="9"/>
    </row>
    <row r="397" customFormat="false" ht="15" hidden="false" customHeight="true" outlineLevel="0" collapsed="false">
      <c r="A397" s="73"/>
      <c r="B397" s="74"/>
      <c r="C397" s="74"/>
      <c r="D397" s="73"/>
      <c r="E397" s="73"/>
      <c r="F397" s="73"/>
      <c r="G397" s="75"/>
      <c r="H397" s="75"/>
      <c r="I397" s="73"/>
      <c r="J397" s="31"/>
      <c r="K397" s="32"/>
    </row>
    <row r="398" customFormat="false" ht="15" hidden="false" customHeight="true" outlineLevel="0" collapsed="false">
      <c r="A398" s="9"/>
      <c r="B398" s="76"/>
      <c r="C398" s="76"/>
      <c r="D398" s="9"/>
      <c r="E398" s="9"/>
      <c r="F398" s="9"/>
      <c r="G398" s="33"/>
      <c r="H398" s="33"/>
      <c r="I398" s="9"/>
      <c r="J398" s="33"/>
      <c r="K398" s="9"/>
    </row>
    <row r="399" customFormat="false" ht="15" hidden="false" customHeight="true" outlineLevel="0" collapsed="false">
      <c r="A399" s="73"/>
      <c r="B399" s="74"/>
      <c r="C399" s="74"/>
      <c r="D399" s="73"/>
      <c r="E399" s="73"/>
      <c r="F399" s="73"/>
      <c r="G399" s="75"/>
      <c r="H399" s="75"/>
      <c r="I399" s="73"/>
      <c r="J399" s="31"/>
      <c r="K399" s="32"/>
    </row>
    <row r="400" customFormat="false" ht="15" hidden="false" customHeight="true" outlineLevel="0" collapsed="false">
      <c r="A400" s="9"/>
      <c r="B400" s="76"/>
      <c r="C400" s="76"/>
      <c r="D400" s="9"/>
      <c r="E400" s="9"/>
      <c r="F400" s="9"/>
      <c r="G400" s="33"/>
      <c r="H400" s="33"/>
      <c r="I400" s="9"/>
      <c r="J400" s="33"/>
      <c r="K400" s="9"/>
    </row>
    <row r="401" customFormat="false" ht="15" hidden="false" customHeight="true" outlineLevel="0" collapsed="false">
      <c r="A401" s="73"/>
      <c r="B401" s="74"/>
      <c r="C401" s="74"/>
      <c r="D401" s="73"/>
      <c r="E401" s="73"/>
      <c r="F401" s="73"/>
      <c r="G401" s="75"/>
      <c r="H401" s="75"/>
      <c r="I401" s="73"/>
      <c r="J401" s="31"/>
      <c r="K401" s="32"/>
    </row>
    <row r="402" customFormat="false" ht="15" hidden="false" customHeight="true" outlineLevel="0" collapsed="false">
      <c r="A402" s="9"/>
      <c r="B402" s="76"/>
      <c r="C402" s="76"/>
      <c r="D402" s="9"/>
      <c r="E402" s="9"/>
      <c r="F402" s="9"/>
      <c r="G402" s="33"/>
      <c r="H402" s="33"/>
      <c r="I402" s="9"/>
      <c r="J402" s="33"/>
      <c r="K402" s="9"/>
    </row>
    <row r="403" customFormat="false" ht="15" hidden="false" customHeight="true" outlineLevel="0" collapsed="false">
      <c r="A403" s="73"/>
      <c r="B403" s="74"/>
      <c r="C403" s="74"/>
      <c r="D403" s="73"/>
      <c r="E403" s="73"/>
      <c r="F403" s="73"/>
      <c r="G403" s="75"/>
      <c r="H403" s="75"/>
      <c r="I403" s="73"/>
      <c r="J403" s="31"/>
      <c r="K403" s="32"/>
    </row>
    <row r="404" customFormat="false" ht="15" hidden="false" customHeight="true" outlineLevel="0" collapsed="false">
      <c r="A404" s="9"/>
      <c r="B404" s="76"/>
      <c r="C404" s="76"/>
      <c r="D404" s="9"/>
      <c r="E404" s="9"/>
      <c r="F404" s="9"/>
      <c r="G404" s="33"/>
      <c r="H404" s="33"/>
      <c r="I404" s="9"/>
      <c r="J404" s="33"/>
      <c r="K404" s="9"/>
    </row>
    <row r="405" customFormat="false" ht="15" hidden="false" customHeight="true" outlineLevel="0" collapsed="false">
      <c r="A405" s="73"/>
      <c r="B405" s="74"/>
      <c r="C405" s="74"/>
      <c r="D405" s="73"/>
      <c r="E405" s="73"/>
      <c r="F405" s="73"/>
      <c r="G405" s="75"/>
      <c r="H405" s="75"/>
      <c r="I405" s="73"/>
      <c r="J405" s="31"/>
      <c r="K405" s="32"/>
    </row>
    <row r="406" customFormat="false" ht="15" hidden="false" customHeight="true" outlineLevel="0" collapsed="false">
      <c r="A406" s="9"/>
      <c r="B406" s="76"/>
      <c r="C406" s="76"/>
      <c r="D406" s="9"/>
      <c r="E406" s="9"/>
      <c r="F406" s="9"/>
      <c r="G406" s="33"/>
      <c r="H406" s="33"/>
      <c r="I406" s="9"/>
      <c r="J406" s="33"/>
      <c r="K406" s="9"/>
    </row>
    <row r="407" customFormat="false" ht="15" hidden="false" customHeight="true" outlineLevel="0" collapsed="false">
      <c r="A407" s="73"/>
      <c r="B407" s="74"/>
      <c r="C407" s="74"/>
      <c r="D407" s="73"/>
      <c r="E407" s="73"/>
      <c r="F407" s="73"/>
      <c r="G407" s="75"/>
      <c r="H407" s="75"/>
      <c r="I407" s="73"/>
      <c r="J407" s="31"/>
      <c r="K407" s="32"/>
    </row>
    <row r="408" customFormat="false" ht="15" hidden="false" customHeight="true" outlineLevel="0" collapsed="false">
      <c r="A408" s="9"/>
      <c r="B408" s="76"/>
      <c r="C408" s="76"/>
      <c r="D408" s="9"/>
      <c r="E408" s="9"/>
      <c r="F408" s="9"/>
      <c r="G408" s="33"/>
      <c r="H408" s="33"/>
      <c r="I408" s="9"/>
      <c r="J408" s="33"/>
      <c r="K408" s="9"/>
    </row>
    <row r="409" customFormat="false" ht="15" hidden="false" customHeight="true" outlineLevel="0" collapsed="false">
      <c r="A409" s="73"/>
      <c r="B409" s="74"/>
      <c r="C409" s="74"/>
      <c r="D409" s="73"/>
      <c r="E409" s="73"/>
      <c r="F409" s="73"/>
      <c r="G409" s="75"/>
      <c r="H409" s="75"/>
      <c r="I409" s="73"/>
      <c r="J409" s="31"/>
      <c r="K409" s="32"/>
    </row>
    <row r="410" customFormat="false" ht="15" hidden="false" customHeight="true" outlineLevel="0" collapsed="false">
      <c r="A410" s="9"/>
      <c r="B410" s="76"/>
      <c r="C410" s="76"/>
      <c r="D410" s="9"/>
      <c r="E410" s="9"/>
      <c r="F410" s="9"/>
      <c r="G410" s="33"/>
      <c r="H410" s="33"/>
      <c r="I410" s="9"/>
      <c r="J410" s="33"/>
      <c r="K410" s="9"/>
    </row>
    <row r="411" customFormat="false" ht="15" hidden="false" customHeight="true" outlineLevel="0" collapsed="false">
      <c r="A411" s="73"/>
      <c r="B411" s="74"/>
      <c r="C411" s="74"/>
      <c r="D411" s="73"/>
      <c r="E411" s="73"/>
      <c r="F411" s="73"/>
      <c r="G411" s="75"/>
      <c r="H411" s="75"/>
      <c r="I411" s="73"/>
      <c r="J411" s="31"/>
      <c r="K411" s="32"/>
    </row>
    <row r="412" customFormat="false" ht="15" hidden="false" customHeight="true" outlineLevel="0" collapsed="false">
      <c r="A412" s="9"/>
      <c r="B412" s="76"/>
      <c r="C412" s="76"/>
      <c r="D412" s="9"/>
      <c r="E412" s="9"/>
      <c r="F412" s="9"/>
      <c r="G412" s="33"/>
      <c r="H412" s="33"/>
      <c r="I412" s="9"/>
      <c r="J412" s="33"/>
      <c r="K412" s="9"/>
    </row>
    <row r="413" customFormat="false" ht="15" hidden="false" customHeight="true" outlineLevel="0" collapsed="false">
      <c r="A413" s="73"/>
      <c r="B413" s="74"/>
      <c r="C413" s="74"/>
      <c r="D413" s="73"/>
      <c r="E413" s="73"/>
      <c r="F413" s="73"/>
      <c r="G413" s="75"/>
      <c r="H413" s="75"/>
      <c r="I413" s="73"/>
      <c r="J413" s="31"/>
      <c r="K413" s="32"/>
    </row>
    <row r="414" customFormat="false" ht="15" hidden="false" customHeight="true" outlineLevel="0" collapsed="false">
      <c r="A414" s="9"/>
      <c r="B414" s="76"/>
      <c r="C414" s="76"/>
      <c r="D414" s="9"/>
      <c r="E414" s="9"/>
      <c r="F414" s="9"/>
      <c r="G414" s="33"/>
      <c r="H414" s="33"/>
      <c r="I414" s="9"/>
      <c r="J414" s="33"/>
      <c r="K414" s="9"/>
    </row>
    <row r="415" customFormat="false" ht="15" hidden="false" customHeight="true" outlineLevel="0" collapsed="false">
      <c r="A415" s="73"/>
      <c r="B415" s="74"/>
      <c r="C415" s="74"/>
      <c r="D415" s="73"/>
      <c r="E415" s="73"/>
      <c r="F415" s="73"/>
      <c r="G415" s="75"/>
      <c r="H415" s="75"/>
      <c r="I415" s="73"/>
      <c r="J415" s="31"/>
      <c r="K415" s="32"/>
    </row>
    <row r="416" customFormat="false" ht="15" hidden="false" customHeight="true" outlineLevel="0" collapsed="false">
      <c r="A416" s="9"/>
      <c r="B416" s="76"/>
      <c r="C416" s="76"/>
      <c r="D416" s="9"/>
      <c r="E416" s="9"/>
      <c r="F416" s="9"/>
      <c r="G416" s="33"/>
      <c r="H416" s="33"/>
      <c r="I416" s="9"/>
      <c r="J416" s="33"/>
      <c r="K416" s="9"/>
    </row>
    <row r="417" customFormat="false" ht="15" hidden="false" customHeight="true" outlineLevel="0" collapsed="false">
      <c r="A417" s="73"/>
      <c r="B417" s="74"/>
      <c r="C417" s="74"/>
      <c r="D417" s="73"/>
      <c r="E417" s="73"/>
      <c r="F417" s="73"/>
      <c r="G417" s="75"/>
      <c r="H417" s="75"/>
      <c r="I417" s="73"/>
      <c r="J417" s="31"/>
      <c r="K417" s="32"/>
    </row>
    <row r="418" customFormat="false" ht="15" hidden="false" customHeight="true" outlineLevel="0" collapsed="false">
      <c r="A418" s="9"/>
      <c r="B418" s="76"/>
      <c r="C418" s="76"/>
      <c r="D418" s="9"/>
      <c r="E418" s="9"/>
      <c r="F418" s="9"/>
      <c r="G418" s="33"/>
      <c r="H418" s="33"/>
      <c r="I418" s="9"/>
      <c r="J418" s="33"/>
      <c r="K418" s="9"/>
    </row>
    <row r="419" customFormat="false" ht="15" hidden="false" customHeight="true" outlineLevel="0" collapsed="false">
      <c r="A419" s="73"/>
      <c r="B419" s="74"/>
      <c r="C419" s="74"/>
      <c r="D419" s="73"/>
      <c r="E419" s="73"/>
      <c r="F419" s="73"/>
      <c r="G419" s="75"/>
      <c r="H419" s="75"/>
      <c r="I419" s="73"/>
      <c r="J419" s="31"/>
      <c r="K419" s="32"/>
    </row>
    <row r="420" customFormat="false" ht="15" hidden="false" customHeight="true" outlineLevel="0" collapsed="false">
      <c r="A420" s="9"/>
      <c r="B420" s="76"/>
      <c r="C420" s="76"/>
      <c r="D420" s="9"/>
      <c r="E420" s="9"/>
      <c r="F420" s="9"/>
      <c r="G420" s="33"/>
      <c r="H420" s="33"/>
      <c r="I420" s="9"/>
      <c r="J420" s="33"/>
      <c r="K420" s="9"/>
    </row>
    <row r="421" customFormat="false" ht="15" hidden="false" customHeight="true" outlineLevel="0" collapsed="false">
      <c r="A421" s="73"/>
      <c r="B421" s="74"/>
      <c r="C421" s="74"/>
      <c r="D421" s="73"/>
      <c r="E421" s="73"/>
      <c r="F421" s="73"/>
      <c r="G421" s="75"/>
      <c r="H421" s="75"/>
      <c r="I421" s="73"/>
      <c r="J421" s="31"/>
      <c r="K421" s="32"/>
    </row>
    <row r="422" customFormat="false" ht="15" hidden="false" customHeight="true" outlineLevel="0" collapsed="false">
      <c r="A422" s="9"/>
      <c r="B422" s="76"/>
      <c r="C422" s="76"/>
      <c r="D422" s="9"/>
      <c r="E422" s="9"/>
      <c r="F422" s="9"/>
      <c r="G422" s="33"/>
      <c r="H422" s="33"/>
      <c r="I422" s="9"/>
      <c r="J422" s="33"/>
      <c r="K422" s="9"/>
    </row>
    <row r="423" customFormat="false" ht="15" hidden="false" customHeight="true" outlineLevel="0" collapsed="false">
      <c r="A423" s="73"/>
      <c r="B423" s="74"/>
      <c r="C423" s="74"/>
      <c r="D423" s="73"/>
      <c r="E423" s="73"/>
      <c r="F423" s="73"/>
      <c r="G423" s="75"/>
      <c r="H423" s="75"/>
      <c r="I423" s="73"/>
      <c r="J423" s="31"/>
      <c r="K423" s="32"/>
    </row>
    <row r="424" customFormat="false" ht="15" hidden="false" customHeight="true" outlineLevel="0" collapsed="false">
      <c r="A424" s="9"/>
      <c r="B424" s="76"/>
      <c r="C424" s="76"/>
      <c r="D424" s="9"/>
      <c r="E424" s="9"/>
      <c r="F424" s="9"/>
      <c r="G424" s="33"/>
      <c r="H424" s="33"/>
      <c r="I424" s="9"/>
      <c r="J424" s="33"/>
      <c r="K424" s="9"/>
    </row>
    <row r="425" customFormat="false" ht="15" hidden="false" customHeight="true" outlineLevel="0" collapsed="false">
      <c r="A425" s="73"/>
      <c r="B425" s="74"/>
      <c r="C425" s="74"/>
      <c r="D425" s="73"/>
      <c r="E425" s="73"/>
      <c r="F425" s="73"/>
      <c r="G425" s="75"/>
      <c r="H425" s="75"/>
      <c r="I425" s="73"/>
      <c r="J425" s="31"/>
      <c r="K425" s="32"/>
    </row>
    <row r="426" customFormat="false" ht="15" hidden="false" customHeight="true" outlineLevel="0" collapsed="false">
      <c r="A426" s="9"/>
      <c r="B426" s="76"/>
      <c r="C426" s="76"/>
      <c r="D426" s="9"/>
      <c r="E426" s="9"/>
      <c r="F426" s="9"/>
      <c r="G426" s="33"/>
      <c r="H426" s="33"/>
      <c r="I426" s="9"/>
      <c r="J426" s="33"/>
      <c r="K426" s="9"/>
    </row>
    <row r="427" customFormat="false" ht="15" hidden="false" customHeight="true" outlineLevel="0" collapsed="false">
      <c r="A427" s="73"/>
      <c r="B427" s="74"/>
      <c r="C427" s="74"/>
      <c r="D427" s="73"/>
      <c r="E427" s="73"/>
      <c r="F427" s="73"/>
      <c r="G427" s="75"/>
      <c r="H427" s="75"/>
      <c r="I427" s="73"/>
      <c r="J427" s="31"/>
      <c r="K427" s="32"/>
    </row>
    <row r="428" customFormat="false" ht="15" hidden="false" customHeight="true" outlineLevel="0" collapsed="false">
      <c r="A428" s="9"/>
      <c r="B428" s="76"/>
      <c r="C428" s="76"/>
      <c r="D428" s="9"/>
      <c r="E428" s="9"/>
      <c r="F428" s="9"/>
      <c r="G428" s="33"/>
      <c r="H428" s="33"/>
      <c r="I428" s="9"/>
      <c r="J428" s="33"/>
      <c r="K428" s="9"/>
    </row>
    <row r="429" customFormat="false" ht="15" hidden="false" customHeight="true" outlineLevel="0" collapsed="false">
      <c r="A429" s="73"/>
      <c r="B429" s="74"/>
      <c r="C429" s="74"/>
      <c r="D429" s="73"/>
      <c r="E429" s="73"/>
      <c r="F429" s="73"/>
      <c r="G429" s="75"/>
      <c r="H429" s="75"/>
      <c r="I429" s="73"/>
      <c r="J429" s="31"/>
      <c r="K429" s="32"/>
    </row>
    <row r="430" customFormat="false" ht="15" hidden="false" customHeight="true" outlineLevel="0" collapsed="false">
      <c r="A430" s="9"/>
      <c r="B430" s="76"/>
      <c r="C430" s="76"/>
      <c r="D430" s="9"/>
      <c r="E430" s="9"/>
      <c r="F430" s="9"/>
      <c r="G430" s="33"/>
      <c r="H430" s="33"/>
      <c r="I430" s="9"/>
      <c r="J430" s="33"/>
      <c r="K430" s="9"/>
    </row>
    <row r="431" customFormat="false" ht="15" hidden="false" customHeight="true" outlineLevel="0" collapsed="false">
      <c r="A431" s="73"/>
      <c r="B431" s="74"/>
      <c r="C431" s="74"/>
      <c r="D431" s="73"/>
      <c r="E431" s="73"/>
      <c r="F431" s="73"/>
      <c r="G431" s="75"/>
      <c r="H431" s="75"/>
      <c r="I431" s="73"/>
      <c r="J431" s="31"/>
      <c r="K431" s="32"/>
    </row>
    <row r="432" customFormat="false" ht="15" hidden="false" customHeight="true" outlineLevel="0" collapsed="false">
      <c r="A432" s="9"/>
      <c r="B432" s="76"/>
      <c r="C432" s="76"/>
      <c r="D432" s="9"/>
      <c r="E432" s="9"/>
      <c r="F432" s="9"/>
      <c r="G432" s="33"/>
      <c r="H432" s="33"/>
      <c r="I432" s="9"/>
      <c r="J432" s="33"/>
      <c r="K432" s="9"/>
    </row>
    <row r="433" customFormat="false" ht="15" hidden="false" customHeight="true" outlineLevel="0" collapsed="false">
      <c r="A433" s="73"/>
      <c r="B433" s="74"/>
      <c r="C433" s="74"/>
      <c r="D433" s="73"/>
      <c r="E433" s="73"/>
      <c r="F433" s="73"/>
      <c r="G433" s="75"/>
      <c r="H433" s="75"/>
      <c r="I433" s="73"/>
      <c r="J433" s="31"/>
      <c r="K433" s="32"/>
    </row>
    <row r="434" customFormat="false" ht="15" hidden="false" customHeight="true" outlineLevel="0" collapsed="false">
      <c r="A434" s="9"/>
      <c r="B434" s="76"/>
      <c r="C434" s="76"/>
      <c r="D434" s="9"/>
      <c r="E434" s="9"/>
      <c r="F434" s="9"/>
      <c r="G434" s="33"/>
      <c r="H434" s="33"/>
      <c r="I434" s="9"/>
      <c r="J434" s="33"/>
      <c r="K434" s="9"/>
    </row>
    <row r="435" customFormat="false" ht="15" hidden="false" customHeight="true" outlineLevel="0" collapsed="false">
      <c r="A435" s="73"/>
      <c r="B435" s="74"/>
      <c r="C435" s="74"/>
      <c r="D435" s="73"/>
      <c r="E435" s="73"/>
      <c r="F435" s="73"/>
      <c r="G435" s="75"/>
      <c r="H435" s="75"/>
      <c r="I435" s="73"/>
      <c r="J435" s="31"/>
      <c r="K435" s="32"/>
    </row>
    <row r="436" customFormat="false" ht="15" hidden="false" customHeight="true" outlineLevel="0" collapsed="false">
      <c r="A436" s="9"/>
      <c r="B436" s="76"/>
      <c r="C436" s="76"/>
      <c r="D436" s="9"/>
      <c r="E436" s="9"/>
      <c r="F436" s="9"/>
      <c r="G436" s="33"/>
      <c r="H436" s="33"/>
      <c r="I436" s="9"/>
      <c r="J436" s="33"/>
      <c r="K436" s="9"/>
    </row>
    <row r="437" customFormat="false" ht="15" hidden="false" customHeight="true" outlineLevel="0" collapsed="false">
      <c r="A437" s="73"/>
      <c r="B437" s="74"/>
      <c r="C437" s="74"/>
      <c r="D437" s="73"/>
      <c r="E437" s="73"/>
      <c r="F437" s="73"/>
      <c r="G437" s="75"/>
      <c r="H437" s="75"/>
      <c r="I437" s="73"/>
      <c r="J437" s="31"/>
      <c r="K437" s="32"/>
    </row>
    <row r="438" customFormat="false" ht="15" hidden="false" customHeight="true" outlineLevel="0" collapsed="false">
      <c r="A438" s="9"/>
      <c r="B438" s="76"/>
      <c r="C438" s="76"/>
      <c r="D438" s="9"/>
      <c r="E438" s="9"/>
      <c r="F438" s="9"/>
      <c r="G438" s="33"/>
      <c r="H438" s="33"/>
      <c r="I438" s="9"/>
      <c r="J438" s="33"/>
      <c r="K438" s="9"/>
    </row>
    <row r="439" customFormat="false" ht="15" hidden="false" customHeight="true" outlineLevel="0" collapsed="false">
      <c r="A439" s="73"/>
      <c r="B439" s="74"/>
      <c r="C439" s="74"/>
      <c r="D439" s="73"/>
      <c r="E439" s="73"/>
      <c r="F439" s="73"/>
      <c r="G439" s="75"/>
      <c r="H439" s="75"/>
      <c r="I439" s="73"/>
      <c r="J439" s="31"/>
      <c r="K439" s="32"/>
    </row>
    <row r="440" customFormat="false" ht="15" hidden="false" customHeight="true" outlineLevel="0" collapsed="false">
      <c r="A440" s="9"/>
      <c r="B440" s="76"/>
      <c r="C440" s="76"/>
      <c r="D440" s="9"/>
      <c r="E440" s="9"/>
      <c r="F440" s="9"/>
      <c r="G440" s="33"/>
      <c r="H440" s="33"/>
      <c r="I440" s="9"/>
      <c r="J440" s="33"/>
      <c r="K440" s="9"/>
    </row>
    <row r="441" customFormat="false" ht="15" hidden="false" customHeight="true" outlineLevel="0" collapsed="false">
      <c r="A441" s="73"/>
      <c r="B441" s="74"/>
      <c r="C441" s="74"/>
      <c r="D441" s="73"/>
      <c r="E441" s="73"/>
      <c r="F441" s="73"/>
      <c r="G441" s="75"/>
      <c r="H441" s="75"/>
      <c r="I441" s="73"/>
      <c r="J441" s="31"/>
      <c r="K441" s="32"/>
    </row>
    <row r="442" customFormat="false" ht="15" hidden="false" customHeight="true" outlineLevel="0" collapsed="false">
      <c r="A442" s="9"/>
      <c r="B442" s="76"/>
      <c r="C442" s="76"/>
      <c r="D442" s="9"/>
      <c r="E442" s="9"/>
      <c r="F442" s="9"/>
      <c r="G442" s="33"/>
      <c r="H442" s="33"/>
      <c r="I442" s="9"/>
      <c r="J442" s="33"/>
      <c r="K442" s="9"/>
    </row>
    <row r="443" customFormat="false" ht="15" hidden="false" customHeight="true" outlineLevel="0" collapsed="false">
      <c r="A443" s="73"/>
      <c r="B443" s="74"/>
      <c r="C443" s="74"/>
      <c r="D443" s="73"/>
      <c r="E443" s="73"/>
      <c r="F443" s="73"/>
      <c r="G443" s="75"/>
      <c r="H443" s="75"/>
      <c r="I443" s="73"/>
      <c r="J443" s="31"/>
      <c r="K443" s="32"/>
    </row>
    <row r="444" customFormat="false" ht="15" hidden="false" customHeight="true" outlineLevel="0" collapsed="false">
      <c r="A444" s="9"/>
      <c r="B444" s="76"/>
      <c r="C444" s="76"/>
      <c r="D444" s="9"/>
      <c r="E444" s="9"/>
      <c r="F444" s="9"/>
      <c r="G444" s="33"/>
      <c r="H444" s="33"/>
      <c r="I444" s="9"/>
      <c r="J444" s="33"/>
      <c r="K444" s="9"/>
    </row>
    <row r="445" customFormat="false" ht="15" hidden="false" customHeight="true" outlineLevel="0" collapsed="false">
      <c r="A445" s="73"/>
      <c r="B445" s="74"/>
      <c r="C445" s="74"/>
      <c r="D445" s="73"/>
      <c r="E445" s="73"/>
      <c r="F445" s="73"/>
      <c r="G445" s="75"/>
      <c r="H445" s="75"/>
      <c r="I445" s="73"/>
      <c r="J445" s="31"/>
      <c r="K445" s="32"/>
    </row>
    <row r="446" customFormat="false" ht="15" hidden="false" customHeight="true" outlineLevel="0" collapsed="false">
      <c r="A446" s="9"/>
      <c r="B446" s="76"/>
      <c r="C446" s="76"/>
      <c r="D446" s="9"/>
      <c r="E446" s="9"/>
      <c r="F446" s="9"/>
      <c r="G446" s="33"/>
      <c r="H446" s="33"/>
      <c r="I446" s="9"/>
      <c r="J446" s="33"/>
      <c r="K446" s="9"/>
    </row>
    <row r="447" customFormat="false" ht="15" hidden="false" customHeight="true" outlineLevel="0" collapsed="false">
      <c r="A447" s="73"/>
      <c r="B447" s="74"/>
      <c r="C447" s="74"/>
      <c r="D447" s="73"/>
      <c r="E447" s="73"/>
      <c r="F447" s="73"/>
      <c r="G447" s="75"/>
      <c r="H447" s="75"/>
      <c r="I447" s="73"/>
      <c r="J447" s="31"/>
      <c r="K447" s="32"/>
    </row>
    <row r="448" customFormat="false" ht="15" hidden="false" customHeight="true" outlineLevel="0" collapsed="false">
      <c r="A448" s="9"/>
      <c r="B448" s="76"/>
      <c r="C448" s="76"/>
      <c r="D448" s="9"/>
      <c r="E448" s="9"/>
      <c r="F448" s="9"/>
      <c r="G448" s="33"/>
      <c r="H448" s="33"/>
      <c r="I448" s="9"/>
      <c r="J448" s="33"/>
      <c r="K448" s="9"/>
    </row>
    <row r="449" customFormat="false" ht="15" hidden="false" customHeight="true" outlineLevel="0" collapsed="false">
      <c r="A449" s="73"/>
      <c r="B449" s="74"/>
      <c r="C449" s="74"/>
      <c r="D449" s="73"/>
      <c r="E449" s="73"/>
      <c r="F449" s="73"/>
      <c r="G449" s="75"/>
      <c r="H449" s="75"/>
      <c r="I449" s="73"/>
      <c r="J449" s="31"/>
      <c r="K449" s="32"/>
    </row>
    <row r="450" customFormat="false" ht="15" hidden="false" customHeight="true" outlineLevel="0" collapsed="false">
      <c r="A450" s="9"/>
      <c r="B450" s="76"/>
      <c r="C450" s="76"/>
      <c r="D450" s="9"/>
      <c r="E450" s="9"/>
      <c r="F450" s="9"/>
      <c r="G450" s="33"/>
      <c r="H450" s="33"/>
      <c r="I450" s="9"/>
      <c r="J450" s="33"/>
      <c r="K450" s="9"/>
    </row>
    <row r="451" customFormat="false" ht="15" hidden="false" customHeight="true" outlineLevel="0" collapsed="false">
      <c r="A451" s="73"/>
      <c r="B451" s="74"/>
      <c r="C451" s="74"/>
      <c r="D451" s="73"/>
      <c r="E451" s="73"/>
      <c r="F451" s="73"/>
      <c r="G451" s="75"/>
      <c r="H451" s="75"/>
      <c r="I451" s="73"/>
      <c r="J451" s="31"/>
      <c r="K451" s="32"/>
    </row>
    <row r="452" customFormat="false" ht="15" hidden="false" customHeight="true" outlineLevel="0" collapsed="false">
      <c r="A452" s="9"/>
      <c r="B452" s="76"/>
      <c r="C452" s="76"/>
      <c r="D452" s="9"/>
      <c r="E452" s="9"/>
      <c r="F452" s="9"/>
      <c r="G452" s="33"/>
      <c r="H452" s="33"/>
      <c r="I452" s="9"/>
      <c r="J452" s="33"/>
      <c r="K452" s="9"/>
    </row>
    <row r="453" customFormat="false" ht="15" hidden="false" customHeight="true" outlineLevel="0" collapsed="false">
      <c r="A453" s="73"/>
      <c r="B453" s="74"/>
      <c r="C453" s="74"/>
      <c r="D453" s="73"/>
      <c r="E453" s="73"/>
      <c r="F453" s="73"/>
      <c r="G453" s="75"/>
      <c r="H453" s="75"/>
      <c r="I453" s="73"/>
      <c r="J453" s="31"/>
      <c r="K453" s="32"/>
    </row>
    <row r="454" customFormat="false" ht="15" hidden="false" customHeight="true" outlineLevel="0" collapsed="false">
      <c r="A454" s="9"/>
      <c r="B454" s="76"/>
      <c r="C454" s="76"/>
      <c r="D454" s="9"/>
      <c r="E454" s="9"/>
      <c r="F454" s="9"/>
      <c r="G454" s="33"/>
      <c r="H454" s="33"/>
      <c r="I454" s="9"/>
      <c r="J454" s="33"/>
      <c r="K454" s="9"/>
    </row>
    <row r="455" customFormat="false" ht="15" hidden="false" customHeight="true" outlineLevel="0" collapsed="false">
      <c r="A455" s="73"/>
      <c r="B455" s="74"/>
      <c r="C455" s="74"/>
      <c r="D455" s="73"/>
      <c r="E455" s="73"/>
      <c r="F455" s="73"/>
      <c r="G455" s="75"/>
      <c r="H455" s="75"/>
      <c r="I455" s="73"/>
      <c r="J455" s="31"/>
      <c r="K455" s="32"/>
    </row>
    <row r="456" customFormat="false" ht="15" hidden="false" customHeight="true" outlineLevel="0" collapsed="false">
      <c r="A456" s="9"/>
      <c r="B456" s="76"/>
      <c r="C456" s="76"/>
      <c r="D456" s="9"/>
      <c r="E456" s="9"/>
      <c r="F456" s="9"/>
      <c r="G456" s="33"/>
      <c r="H456" s="33"/>
      <c r="I456" s="9"/>
      <c r="J456" s="33"/>
      <c r="K456" s="9"/>
    </row>
    <row r="457" customFormat="false" ht="15" hidden="false" customHeight="true" outlineLevel="0" collapsed="false">
      <c r="A457" s="73"/>
      <c r="B457" s="74"/>
      <c r="C457" s="74"/>
      <c r="D457" s="73"/>
      <c r="E457" s="73"/>
      <c r="F457" s="73"/>
      <c r="G457" s="75"/>
      <c r="H457" s="75"/>
      <c r="I457" s="73"/>
      <c r="J457" s="31"/>
      <c r="K457" s="32"/>
    </row>
    <row r="458" customFormat="false" ht="15" hidden="false" customHeight="true" outlineLevel="0" collapsed="false">
      <c r="A458" s="9"/>
      <c r="B458" s="76"/>
      <c r="C458" s="76"/>
      <c r="D458" s="9"/>
      <c r="E458" s="9"/>
      <c r="F458" s="9"/>
      <c r="G458" s="33"/>
      <c r="H458" s="33"/>
      <c r="I458" s="9"/>
      <c r="J458" s="33"/>
      <c r="K458" s="9"/>
    </row>
    <row r="459" customFormat="false" ht="15" hidden="false" customHeight="true" outlineLevel="0" collapsed="false">
      <c r="A459" s="73"/>
      <c r="B459" s="74"/>
      <c r="C459" s="74"/>
      <c r="D459" s="73"/>
      <c r="E459" s="73"/>
      <c r="F459" s="73"/>
      <c r="G459" s="75"/>
      <c r="H459" s="75"/>
      <c r="I459" s="73"/>
      <c r="J459" s="31"/>
      <c r="K459" s="32"/>
    </row>
    <row r="460" customFormat="false" ht="15" hidden="false" customHeight="true" outlineLevel="0" collapsed="false">
      <c r="A460" s="9"/>
      <c r="B460" s="76"/>
      <c r="C460" s="76"/>
      <c r="D460" s="9"/>
      <c r="E460" s="9"/>
      <c r="F460" s="9"/>
      <c r="G460" s="33"/>
      <c r="H460" s="33"/>
      <c r="I460" s="9"/>
      <c r="J460" s="33"/>
      <c r="K460" s="9"/>
    </row>
    <row r="461" customFormat="false" ht="15" hidden="false" customHeight="true" outlineLevel="0" collapsed="false">
      <c r="A461" s="73"/>
      <c r="B461" s="74"/>
      <c r="C461" s="74"/>
      <c r="D461" s="73"/>
      <c r="E461" s="73"/>
      <c r="F461" s="73"/>
      <c r="G461" s="75"/>
      <c r="H461" s="75"/>
      <c r="I461" s="73"/>
      <c r="J461" s="31"/>
      <c r="K461" s="32"/>
    </row>
    <row r="462" customFormat="false" ht="15" hidden="false" customHeight="true" outlineLevel="0" collapsed="false">
      <c r="A462" s="9"/>
      <c r="B462" s="76"/>
      <c r="C462" s="76"/>
      <c r="D462" s="9"/>
      <c r="E462" s="9"/>
      <c r="F462" s="9"/>
      <c r="G462" s="33"/>
      <c r="H462" s="33"/>
      <c r="I462" s="9"/>
      <c r="J462" s="33"/>
      <c r="K462" s="9"/>
    </row>
    <row r="463" customFormat="false" ht="15" hidden="false" customHeight="true" outlineLevel="0" collapsed="false">
      <c r="A463" s="73"/>
      <c r="B463" s="74"/>
      <c r="C463" s="74"/>
      <c r="D463" s="73"/>
      <c r="E463" s="73"/>
      <c r="F463" s="73"/>
      <c r="G463" s="75"/>
      <c r="H463" s="75"/>
      <c r="I463" s="73"/>
      <c r="J463" s="31"/>
      <c r="K463" s="32"/>
    </row>
    <row r="464" customFormat="false" ht="15" hidden="false" customHeight="true" outlineLevel="0" collapsed="false">
      <c r="A464" s="9"/>
      <c r="B464" s="76"/>
      <c r="C464" s="76"/>
      <c r="D464" s="9"/>
      <c r="E464" s="9"/>
      <c r="F464" s="9"/>
      <c r="G464" s="33"/>
      <c r="H464" s="33"/>
      <c r="I464" s="9"/>
      <c r="J464" s="33"/>
      <c r="K464" s="9"/>
    </row>
    <row r="465" customFormat="false" ht="15" hidden="false" customHeight="true" outlineLevel="0" collapsed="false">
      <c r="A465" s="73"/>
      <c r="B465" s="74"/>
      <c r="C465" s="74"/>
      <c r="D465" s="73"/>
      <c r="E465" s="73"/>
      <c r="F465" s="73"/>
      <c r="G465" s="75"/>
      <c r="H465" s="75"/>
      <c r="I465" s="73"/>
      <c r="J465" s="31"/>
      <c r="K465" s="32"/>
    </row>
    <row r="466" customFormat="false" ht="15" hidden="false" customHeight="true" outlineLevel="0" collapsed="false">
      <c r="A466" s="9"/>
      <c r="B466" s="76"/>
      <c r="C466" s="76"/>
      <c r="D466" s="9"/>
      <c r="E466" s="9"/>
      <c r="F466" s="9"/>
      <c r="G466" s="33"/>
      <c r="H466" s="33"/>
      <c r="I466" s="9"/>
      <c r="J466" s="33"/>
      <c r="K466" s="9"/>
    </row>
    <row r="467" customFormat="false" ht="15" hidden="false" customHeight="true" outlineLevel="0" collapsed="false">
      <c r="A467" s="73"/>
      <c r="B467" s="74"/>
      <c r="C467" s="74"/>
      <c r="D467" s="73"/>
      <c r="E467" s="73"/>
      <c r="F467" s="73"/>
      <c r="G467" s="75"/>
      <c r="H467" s="75"/>
      <c r="I467" s="73"/>
      <c r="J467" s="31"/>
      <c r="K467" s="32"/>
    </row>
    <row r="468" customFormat="false" ht="15" hidden="false" customHeight="true" outlineLevel="0" collapsed="false">
      <c r="A468" s="9"/>
      <c r="B468" s="76"/>
      <c r="C468" s="76"/>
      <c r="D468" s="9"/>
      <c r="E468" s="9"/>
      <c r="F468" s="9"/>
      <c r="G468" s="33"/>
      <c r="H468" s="33"/>
      <c r="I468" s="9"/>
      <c r="J468" s="33"/>
      <c r="K468" s="9"/>
    </row>
    <row r="469" customFormat="false" ht="15" hidden="false" customHeight="true" outlineLevel="0" collapsed="false">
      <c r="A469" s="73"/>
      <c r="B469" s="74"/>
      <c r="C469" s="74"/>
      <c r="D469" s="73"/>
      <c r="E469" s="73"/>
      <c r="F469" s="73"/>
      <c r="G469" s="75"/>
      <c r="H469" s="75"/>
      <c r="I469" s="73"/>
      <c r="J469" s="31"/>
      <c r="K469" s="32"/>
    </row>
    <row r="470" customFormat="false" ht="15" hidden="false" customHeight="true" outlineLevel="0" collapsed="false">
      <c r="A470" s="9"/>
      <c r="B470" s="76"/>
      <c r="C470" s="76"/>
      <c r="D470" s="9"/>
      <c r="E470" s="9"/>
      <c r="F470" s="9"/>
      <c r="G470" s="33"/>
      <c r="H470" s="33"/>
      <c r="I470" s="9"/>
      <c r="J470" s="33"/>
      <c r="K470" s="9"/>
    </row>
    <row r="471" customFormat="false" ht="15" hidden="false" customHeight="true" outlineLevel="0" collapsed="false">
      <c r="A471" s="73"/>
      <c r="B471" s="74"/>
      <c r="C471" s="74"/>
      <c r="D471" s="73"/>
      <c r="E471" s="73"/>
      <c r="F471" s="73"/>
      <c r="G471" s="75"/>
      <c r="H471" s="75"/>
      <c r="I471" s="73"/>
      <c r="J471" s="31"/>
      <c r="K471" s="32"/>
    </row>
    <row r="472" customFormat="false" ht="15" hidden="false" customHeight="true" outlineLevel="0" collapsed="false">
      <c r="A472" s="9"/>
      <c r="B472" s="76"/>
      <c r="C472" s="76"/>
      <c r="D472" s="9"/>
      <c r="E472" s="9"/>
      <c r="F472" s="9"/>
      <c r="G472" s="33"/>
      <c r="H472" s="33"/>
      <c r="I472" s="9"/>
      <c r="J472" s="33"/>
      <c r="K472" s="9"/>
    </row>
    <row r="473" customFormat="false" ht="15" hidden="false" customHeight="true" outlineLevel="0" collapsed="false">
      <c r="A473" s="73"/>
      <c r="B473" s="74"/>
      <c r="C473" s="74"/>
      <c r="D473" s="73"/>
      <c r="E473" s="73"/>
      <c r="F473" s="73"/>
      <c r="G473" s="75"/>
      <c r="H473" s="75"/>
      <c r="I473" s="73"/>
      <c r="J473" s="31"/>
      <c r="K473" s="32"/>
    </row>
    <row r="474" customFormat="false" ht="15" hidden="false" customHeight="true" outlineLevel="0" collapsed="false">
      <c r="A474" s="9"/>
      <c r="B474" s="76"/>
      <c r="C474" s="76"/>
      <c r="D474" s="9"/>
      <c r="E474" s="9"/>
      <c r="F474" s="9"/>
      <c r="G474" s="33"/>
      <c r="H474" s="33"/>
      <c r="I474" s="9"/>
      <c r="J474" s="33"/>
      <c r="K474" s="9"/>
    </row>
    <row r="475" customFormat="false" ht="15" hidden="false" customHeight="true" outlineLevel="0" collapsed="false">
      <c r="A475" s="73"/>
      <c r="B475" s="74"/>
      <c r="C475" s="74"/>
      <c r="D475" s="73"/>
      <c r="E475" s="73"/>
      <c r="F475" s="73"/>
      <c r="G475" s="75"/>
      <c r="H475" s="75"/>
      <c r="I475" s="73"/>
      <c r="J475" s="31"/>
      <c r="K475" s="32"/>
    </row>
    <row r="476" customFormat="false" ht="15" hidden="false" customHeight="true" outlineLevel="0" collapsed="false">
      <c r="A476" s="9"/>
      <c r="B476" s="76"/>
      <c r="C476" s="76"/>
      <c r="D476" s="9"/>
      <c r="E476" s="9"/>
      <c r="F476" s="9"/>
      <c r="G476" s="33"/>
      <c r="H476" s="33"/>
      <c r="I476" s="9"/>
      <c r="J476" s="33"/>
      <c r="K476" s="9"/>
    </row>
    <row r="477" customFormat="false" ht="15" hidden="false" customHeight="true" outlineLevel="0" collapsed="false">
      <c r="A477" s="73"/>
      <c r="B477" s="74"/>
      <c r="C477" s="74"/>
      <c r="D477" s="73"/>
      <c r="E477" s="73"/>
      <c r="F477" s="73"/>
      <c r="G477" s="75"/>
      <c r="H477" s="75"/>
      <c r="I477" s="73"/>
      <c r="J477" s="31"/>
      <c r="K477" s="32"/>
    </row>
    <row r="478" customFormat="false" ht="15" hidden="false" customHeight="true" outlineLevel="0" collapsed="false">
      <c r="A478" s="9"/>
      <c r="B478" s="76"/>
      <c r="C478" s="76"/>
      <c r="D478" s="9"/>
      <c r="E478" s="9"/>
      <c r="F478" s="9"/>
      <c r="G478" s="33"/>
      <c r="H478" s="33"/>
      <c r="I478" s="9"/>
      <c r="J478" s="33"/>
      <c r="K478" s="9"/>
    </row>
    <row r="479" customFormat="false" ht="15" hidden="false" customHeight="true" outlineLevel="0" collapsed="false">
      <c r="A479" s="73"/>
      <c r="B479" s="74"/>
      <c r="C479" s="74"/>
      <c r="D479" s="73"/>
      <c r="E479" s="73"/>
      <c r="F479" s="73"/>
      <c r="G479" s="75"/>
      <c r="H479" s="75"/>
      <c r="I479" s="73"/>
      <c r="J479" s="31"/>
      <c r="K479" s="32"/>
    </row>
    <row r="480" customFormat="false" ht="15" hidden="false" customHeight="true" outlineLevel="0" collapsed="false">
      <c r="A480" s="9"/>
      <c r="B480" s="76"/>
      <c r="C480" s="76"/>
      <c r="D480" s="9"/>
      <c r="E480" s="9"/>
      <c r="F480" s="9"/>
      <c r="G480" s="33"/>
      <c r="H480" s="33"/>
      <c r="I480" s="9"/>
      <c r="J480" s="33"/>
      <c r="K480" s="9"/>
    </row>
    <row r="481" customFormat="false" ht="15" hidden="false" customHeight="true" outlineLevel="0" collapsed="false">
      <c r="A481" s="73"/>
      <c r="B481" s="74"/>
      <c r="C481" s="74"/>
      <c r="D481" s="73"/>
      <c r="E481" s="73"/>
      <c r="F481" s="73"/>
      <c r="G481" s="75"/>
      <c r="H481" s="75"/>
      <c r="I481" s="73"/>
      <c r="J481" s="31"/>
      <c r="K481" s="32"/>
    </row>
    <row r="482" customFormat="false" ht="15" hidden="false" customHeight="true" outlineLevel="0" collapsed="false">
      <c r="A482" s="9"/>
      <c r="B482" s="76"/>
      <c r="C482" s="76"/>
      <c r="D482" s="9"/>
      <c r="E482" s="9"/>
      <c r="F482" s="9"/>
      <c r="G482" s="33"/>
      <c r="H482" s="33"/>
      <c r="I482" s="9"/>
      <c r="J482" s="33"/>
      <c r="K482" s="9"/>
    </row>
    <row r="483" customFormat="false" ht="15" hidden="false" customHeight="true" outlineLevel="0" collapsed="false">
      <c r="A483" s="73"/>
      <c r="B483" s="74"/>
      <c r="C483" s="74"/>
      <c r="D483" s="73"/>
      <c r="E483" s="73"/>
      <c r="F483" s="73"/>
      <c r="G483" s="75"/>
      <c r="H483" s="75"/>
      <c r="I483" s="73"/>
      <c r="J483" s="31"/>
      <c r="K483" s="32"/>
    </row>
    <row r="484" customFormat="false" ht="15" hidden="false" customHeight="true" outlineLevel="0" collapsed="false">
      <c r="A484" s="9"/>
      <c r="B484" s="76"/>
      <c r="C484" s="76"/>
      <c r="D484" s="9"/>
      <c r="E484" s="9"/>
      <c r="F484" s="9"/>
      <c r="G484" s="33"/>
      <c r="H484" s="33"/>
      <c r="I484" s="9"/>
      <c r="J484" s="33"/>
      <c r="K484" s="9"/>
    </row>
    <row r="485" customFormat="false" ht="15" hidden="false" customHeight="true" outlineLevel="0" collapsed="false">
      <c r="A485" s="73"/>
      <c r="B485" s="74"/>
      <c r="C485" s="74"/>
      <c r="D485" s="73"/>
      <c r="E485" s="73"/>
      <c r="F485" s="73"/>
      <c r="G485" s="75"/>
      <c r="H485" s="75"/>
      <c r="I485" s="73"/>
      <c r="J485" s="31"/>
      <c r="K485" s="32"/>
    </row>
    <row r="486" customFormat="false" ht="15" hidden="false" customHeight="true" outlineLevel="0" collapsed="false">
      <c r="A486" s="9"/>
      <c r="B486" s="76"/>
      <c r="C486" s="76"/>
      <c r="D486" s="9"/>
      <c r="E486" s="9"/>
      <c r="F486" s="9"/>
      <c r="G486" s="33"/>
      <c r="H486" s="33"/>
      <c r="I486" s="9"/>
      <c r="J486" s="33"/>
      <c r="K486" s="9"/>
    </row>
    <row r="487" customFormat="false" ht="15" hidden="false" customHeight="true" outlineLevel="0" collapsed="false">
      <c r="A487" s="73"/>
      <c r="B487" s="74"/>
      <c r="C487" s="74"/>
      <c r="D487" s="73"/>
      <c r="E487" s="73"/>
      <c r="F487" s="73"/>
      <c r="G487" s="75"/>
      <c r="H487" s="75"/>
      <c r="I487" s="73"/>
      <c r="J487" s="31"/>
      <c r="K487" s="32"/>
    </row>
    <row r="488" customFormat="false" ht="15" hidden="false" customHeight="true" outlineLevel="0" collapsed="false">
      <c r="A488" s="9"/>
      <c r="B488" s="76"/>
      <c r="C488" s="76"/>
      <c r="D488" s="9"/>
      <c r="E488" s="9"/>
      <c r="F488" s="9"/>
      <c r="G488" s="33"/>
      <c r="H488" s="33"/>
      <c r="I488" s="9"/>
      <c r="J488" s="33"/>
      <c r="K488" s="9"/>
    </row>
    <row r="489" customFormat="false" ht="15" hidden="false" customHeight="true" outlineLevel="0" collapsed="false">
      <c r="A489" s="73"/>
      <c r="B489" s="74"/>
      <c r="C489" s="74"/>
      <c r="D489" s="73"/>
      <c r="E489" s="73"/>
      <c r="F489" s="73"/>
      <c r="G489" s="75"/>
      <c r="H489" s="75"/>
      <c r="I489" s="73"/>
      <c r="J489" s="31"/>
      <c r="K489" s="32"/>
    </row>
    <row r="490" customFormat="false" ht="15" hidden="false" customHeight="true" outlineLevel="0" collapsed="false">
      <c r="A490" s="9"/>
      <c r="B490" s="76"/>
      <c r="C490" s="76"/>
      <c r="D490" s="9"/>
      <c r="E490" s="9"/>
      <c r="F490" s="9"/>
      <c r="G490" s="33"/>
      <c r="H490" s="33"/>
      <c r="I490" s="9"/>
      <c r="J490" s="33"/>
      <c r="K490" s="9"/>
    </row>
    <row r="491" customFormat="false" ht="15" hidden="false" customHeight="true" outlineLevel="0" collapsed="false">
      <c r="A491" s="73"/>
      <c r="B491" s="74"/>
      <c r="C491" s="74"/>
      <c r="D491" s="73"/>
      <c r="E491" s="73"/>
      <c r="F491" s="73"/>
      <c r="G491" s="75"/>
      <c r="H491" s="75"/>
      <c r="I491" s="73"/>
      <c r="J491" s="31"/>
      <c r="K491" s="32"/>
    </row>
    <row r="492" customFormat="false" ht="15" hidden="false" customHeight="true" outlineLevel="0" collapsed="false">
      <c r="A492" s="9"/>
      <c r="B492" s="76"/>
      <c r="C492" s="76"/>
      <c r="D492" s="9"/>
      <c r="E492" s="9"/>
      <c r="F492" s="9"/>
      <c r="G492" s="33"/>
      <c r="H492" s="33"/>
      <c r="I492" s="9"/>
      <c r="J492" s="33"/>
      <c r="K492" s="9"/>
    </row>
    <row r="493" customFormat="false" ht="15" hidden="false" customHeight="true" outlineLevel="0" collapsed="false">
      <c r="A493" s="73"/>
      <c r="B493" s="74"/>
      <c r="C493" s="74"/>
      <c r="D493" s="73"/>
      <c r="E493" s="73"/>
      <c r="F493" s="73"/>
      <c r="G493" s="75"/>
      <c r="H493" s="75"/>
      <c r="I493" s="73"/>
      <c r="J493" s="31"/>
      <c r="K493" s="32"/>
    </row>
    <row r="494" customFormat="false" ht="15" hidden="false" customHeight="true" outlineLevel="0" collapsed="false">
      <c r="A494" s="9"/>
      <c r="B494" s="76"/>
      <c r="C494" s="76"/>
      <c r="D494" s="9"/>
      <c r="E494" s="9"/>
      <c r="F494" s="9"/>
      <c r="G494" s="33"/>
      <c r="H494" s="33"/>
      <c r="I494" s="9"/>
      <c r="J494" s="33"/>
      <c r="K494" s="9"/>
    </row>
    <row r="495" customFormat="false" ht="15" hidden="false" customHeight="true" outlineLevel="0" collapsed="false">
      <c r="A495" s="73"/>
      <c r="B495" s="74"/>
      <c r="C495" s="74"/>
      <c r="D495" s="73"/>
      <c r="E495" s="73"/>
      <c r="F495" s="73"/>
      <c r="G495" s="75"/>
      <c r="H495" s="75"/>
      <c r="I495" s="73"/>
      <c r="J495" s="31"/>
      <c r="K495" s="32"/>
    </row>
    <row r="496" customFormat="false" ht="15" hidden="false" customHeight="true" outlineLevel="0" collapsed="false">
      <c r="A496" s="9"/>
      <c r="B496" s="76"/>
      <c r="C496" s="76"/>
      <c r="D496" s="9"/>
      <c r="E496" s="9"/>
      <c r="F496" s="9"/>
      <c r="G496" s="33"/>
      <c r="H496" s="33"/>
      <c r="I496" s="9"/>
      <c r="J496" s="33"/>
      <c r="K496" s="9"/>
    </row>
    <row r="497" customFormat="false" ht="15" hidden="false" customHeight="true" outlineLevel="0" collapsed="false">
      <c r="A497" s="73"/>
      <c r="B497" s="74"/>
      <c r="C497" s="74"/>
      <c r="D497" s="73"/>
      <c r="E497" s="73"/>
      <c r="F497" s="73"/>
      <c r="G497" s="75"/>
      <c r="H497" s="75"/>
      <c r="I497" s="73"/>
      <c r="J497" s="31"/>
      <c r="K497" s="32"/>
    </row>
    <row r="498" customFormat="false" ht="15" hidden="false" customHeight="true" outlineLevel="0" collapsed="false">
      <c r="A498" s="9"/>
      <c r="B498" s="76"/>
      <c r="C498" s="76"/>
      <c r="D498" s="9"/>
      <c r="E498" s="9"/>
      <c r="F498" s="9"/>
      <c r="G498" s="33"/>
      <c r="H498" s="33"/>
      <c r="I498" s="9"/>
      <c r="J498" s="33"/>
      <c r="K498" s="9"/>
    </row>
    <row r="499" customFormat="false" ht="15" hidden="false" customHeight="true" outlineLevel="0" collapsed="false">
      <c r="A499" s="73"/>
      <c r="B499" s="74"/>
      <c r="C499" s="74"/>
      <c r="D499" s="73"/>
      <c r="E499" s="73"/>
      <c r="F499" s="73"/>
      <c r="G499" s="75"/>
      <c r="H499" s="75"/>
      <c r="I499" s="73"/>
      <c r="J499" s="31"/>
      <c r="K499" s="32"/>
    </row>
    <row r="500" customFormat="false" ht="15" hidden="false" customHeight="true" outlineLevel="0" collapsed="false">
      <c r="A500" s="9"/>
      <c r="B500" s="76"/>
      <c r="C500" s="76"/>
      <c r="D500" s="9"/>
      <c r="E500" s="9"/>
      <c r="F500" s="9"/>
      <c r="G500" s="33"/>
      <c r="H500" s="33"/>
      <c r="I500" s="9"/>
      <c r="J500" s="33"/>
      <c r="K500" s="9"/>
    </row>
    <row r="501" customFormat="false" ht="15" hidden="false" customHeight="true" outlineLevel="0" collapsed="false">
      <c r="A501" s="73"/>
      <c r="B501" s="74"/>
      <c r="C501" s="74"/>
      <c r="D501" s="73"/>
      <c r="E501" s="73"/>
      <c r="F501" s="73"/>
      <c r="G501" s="75"/>
      <c r="H501" s="75"/>
      <c r="I501" s="73"/>
      <c r="J501" s="31"/>
      <c r="K501" s="32"/>
    </row>
    <row r="502" customFormat="false" ht="15" hidden="false" customHeight="true" outlineLevel="0" collapsed="false">
      <c r="A502" s="9"/>
      <c r="B502" s="76"/>
      <c r="C502" s="76"/>
      <c r="D502" s="9"/>
      <c r="E502" s="9"/>
      <c r="F502" s="9"/>
      <c r="G502" s="33"/>
      <c r="H502" s="33"/>
      <c r="I502" s="9"/>
      <c r="J502" s="33"/>
      <c r="K502" s="9"/>
    </row>
    <row r="503" customFormat="false" ht="15" hidden="false" customHeight="true" outlineLevel="0" collapsed="false">
      <c r="A503" s="73"/>
      <c r="B503" s="74"/>
      <c r="C503" s="74"/>
      <c r="D503" s="73"/>
      <c r="E503" s="73"/>
      <c r="F503" s="73"/>
      <c r="G503" s="75"/>
      <c r="H503" s="75"/>
      <c r="I503" s="73"/>
      <c r="J503" s="31"/>
      <c r="K503" s="32"/>
    </row>
    <row r="504" customFormat="false" ht="15" hidden="false" customHeight="true" outlineLevel="0" collapsed="false">
      <c r="A504" s="9"/>
      <c r="B504" s="76"/>
      <c r="C504" s="76"/>
      <c r="D504" s="9"/>
      <c r="E504" s="9"/>
      <c r="F504" s="9"/>
      <c r="G504" s="33"/>
      <c r="H504" s="33"/>
      <c r="I504" s="9"/>
      <c r="J504" s="33"/>
      <c r="K504" s="9"/>
    </row>
    <row r="505" customFormat="false" ht="15" hidden="false" customHeight="true" outlineLevel="0" collapsed="false">
      <c r="A505" s="73"/>
      <c r="B505" s="74"/>
      <c r="C505" s="74"/>
      <c r="D505" s="73"/>
      <c r="E505" s="73"/>
      <c r="F505" s="73"/>
      <c r="G505" s="75"/>
      <c r="H505" s="75"/>
      <c r="I505" s="73"/>
      <c r="J505" s="31"/>
      <c r="K505" s="32"/>
    </row>
    <row r="506" customFormat="false" ht="15" hidden="false" customHeight="true" outlineLevel="0" collapsed="false">
      <c r="A506" s="9"/>
      <c r="B506" s="76"/>
      <c r="C506" s="76"/>
      <c r="D506" s="9"/>
      <c r="E506" s="9"/>
      <c r="F506" s="9"/>
      <c r="G506" s="33"/>
      <c r="H506" s="33"/>
      <c r="I506" s="9"/>
      <c r="J506" s="33"/>
      <c r="K506" s="9"/>
    </row>
    <row r="507" customFormat="false" ht="15" hidden="false" customHeight="true" outlineLevel="0" collapsed="false">
      <c r="A507" s="73"/>
      <c r="B507" s="74"/>
      <c r="C507" s="74"/>
      <c r="D507" s="73"/>
      <c r="E507" s="73"/>
      <c r="F507" s="73"/>
      <c r="G507" s="75"/>
      <c r="H507" s="75"/>
      <c r="I507" s="73"/>
      <c r="J507" s="31"/>
      <c r="K507" s="32"/>
    </row>
    <row r="508" customFormat="false" ht="15" hidden="false" customHeight="true" outlineLevel="0" collapsed="false">
      <c r="A508" s="9"/>
      <c r="B508" s="76"/>
      <c r="C508" s="76"/>
      <c r="D508" s="9"/>
      <c r="E508" s="9"/>
      <c r="F508" s="9"/>
      <c r="G508" s="33"/>
      <c r="H508" s="33"/>
      <c r="I508" s="9"/>
      <c r="J508" s="33"/>
      <c r="K508" s="9"/>
    </row>
    <row r="509" customFormat="false" ht="15" hidden="false" customHeight="true" outlineLevel="0" collapsed="false">
      <c r="A509" s="73"/>
      <c r="B509" s="74"/>
      <c r="C509" s="74"/>
      <c r="D509" s="73"/>
      <c r="E509" s="73"/>
      <c r="F509" s="73"/>
      <c r="G509" s="75"/>
      <c r="H509" s="75"/>
      <c r="I509" s="73"/>
      <c r="J509" s="31"/>
      <c r="K509" s="32"/>
    </row>
    <row r="510" customFormat="false" ht="15" hidden="false" customHeight="true" outlineLevel="0" collapsed="false">
      <c r="A510" s="9"/>
      <c r="B510" s="76"/>
      <c r="C510" s="76"/>
      <c r="D510" s="9"/>
      <c r="E510" s="9"/>
      <c r="F510" s="9"/>
      <c r="G510" s="33"/>
      <c r="H510" s="33"/>
      <c r="I510" s="9"/>
      <c r="J510" s="33"/>
      <c r="K510" s="9"/>
    </row>
    <row r="511" customFormat="false" ht="15" hidden="false" customHeight="true" outlineLevel="0" collapsed="false">
      <c r="A511" s="73"/>
      <c r="B511" s="74"/>
      <c r="C511" s="74"/>
      <c r="D511" s="73"/>
      <c r="E511" s="73"/>
      <c r="F511" s="73"/>
      <c r="G511" s="75"/>
      <c r="H511" s="75"/>
      <c r="I511" s="73"/>
      <c r="J511" s="31"/>
      <c r="K511" s="32"/>
    </row>
    <row r="512" customFormat="false" ht="15" hidden="false" customHeight="true" outlineLevel="0" collapsed="false">
      <c r="A512" s="9"/>
      <c r="B512" s="76"/>
      <c r="C512" s="76"/>
      <c r="D512" s="9"/>
      <c r="E512" s="9"/>
      <c r="F512" s="9"/>
      <c r="G512" s="33"/>
      <c r="H512" s="33"/>
      <c r="I512" s="9"/>
      <c r="J512" s="33"/>
      <c r="K512" s="9"/>
    </row>
    <row r="513" customFormat="false" ht="15" hidden="false" customHeight="true" outlineLevel="0" collapsed="false">
      <c r="A513" s="73"/>
      <c r="B513" s="74"/>
      <c r="C513" s="74"/>
      <c r="D513" s="73"/>
      <c r="E513" s="73"/>
      <c r="F513" s="73"/>
      <c r="G513" s="75"/>
      <c r="H513" s="75"/>
      <c r="I513" s="73"/>
      <c r="J513" s="31"/>
      <c r="K513" s="32"/>
    </row>
    <row r="514" customFormat="false" ht="15" hidden="false" customHeight="true" outlineLevel="0" collapsed="false">
      <c r="A514" s="9"/>
      <c r="B514" s="76"/>
      <c r="C514" s="76"/>
      <c r="D514" s="9"/>
      <c r="E514" s="9"/>
      <c r="F514" s="9"/>
      <c r="G514" s="33"/>
      <c r="H514" s="33"/>
      <c r="I514" s="9"/>
      <c r="J514" s="33"/>
      <c r="K514" s="9"/>
    </row>
    <row r="515" customFormat="false" ht="15" hidden="false" customHeight="true" outlineLevel="0" collapsed="false">
      <c r="A515" s="73"/>
      <c r="B515" s="74"/>
      <c r="C515" s="74"/>
      <c r="D515" s="73"/>
      <c r="E515" s="73"/>
      <c r="F515" s="73"/>
      <c r="G515" s="75"/>
      <c r="H515" s="75"/>
      <c r="I515" s="73"/>
      <c r="J515" s="31"/>
      <c r="K515" s="32"/>
    </row>
    <row r="516" customFormat="false" ht="15" hidden="false" customHeight="true" outlineLevel="0" collapsed="false">
      <c r="A516" s="9"/>
      <c r="B516" s="76"/>
      <c r="C516" s="76"/>
      <c r="D516" s="9"/>
      <c r="E516" s="9"/>
      <c r="F516" s="9"/>
      <c r="G516" s="33"/>
      <c r="H516" s="33"/>
      <c r="I516" s="9"/>
      <c r="J516" s="33"/>
      <c r="K516" s="9"/>
    </row>
    <row r="517" customFormat="false" ht="15" hidden="false" customHeight="true" outlineLevel="0" collapsed="false">
      <c r="A517" s="73"/>
      <c r="B517" s="74"/>
      <c r="C517" s="74"/>
      <c r="D517" s="73"/>
      <c r="E517" s="73"/>
      <c r="F517" s="73"/>
      <c r="G517" s="75"/>
      <c r="H517" s="75"/>
      <c r="I517" s="73"/>
      <c r="J517" s="31"/>
      <c r="K517" s="32"/>
    </row>
    <row r="518" customFormat="false" ht="15" hidden="false" customHeight="true" outlineLevel="0" collapsed="false">
      <c r="A518" s="9"/>
      <c r="B518" s="76"/>
      <c r="C518" s="76"/>
      <c r="D518" s="9"/>
      <c r="E518" s="9"/>
      <c r="F518" s="9"/>
      <c r="G518" s="33"/>
      <c r="H518" s="33"/>
      <c r="I518" s="9"/>
      <c r="J518" s="33"/>
      <c r="K518" s="9"/>
    </row>
    <row r="519" customFormat="false" ht="15" hidden="false" customHeight="true" outlineLevel="0" collapsed="false">
      <c r="A519" s="73"/>
      <c r="B519" s="74"/>
      <c r="C519" s="74"/>
      <c r="D519" s="73"/>
      <c r="E519" s="73"/>
      <c r="F519" s="73"/>
      <c r="G519" s="75"/>
      <c r="H519" s="75"/>
      <c r="I519" s="73"/>
      <c r="J519" s="31"/>
      <c r="K519" s="32"/>
    </row>
    <row r="520" customFormat="false" ht="15" hidden="false" customHeight="true" outlineLevel="0" collapsed="false">
      <c r="A520" s="9"/>
      <c r="B520" s="76"/>
      <c r="C520" s="76"/>
      <c r="D520" s="9"/>
      <c r="E520" s="9"/>
      <c r="F520" s="9"/>
      <c r="G520" s="33"/>
      <c r="H520" s="33"/>
      <c r="I520" s="9"/>
      <c r="J520" s="33"/>
      <c r="K520" s="9"/>
    </row>
    <row r="521" customFormat="false" ht="15" hidden="false" customHeight="true" outlineLevel="0" collapsed="false">
      <c r="A521" s="73"/>
      <c r="B521" s="74"/>
      <c r="C521" s="74"/>
      <c r="D521" s="73"/>
      <c r="E521" s="73"/>
      <c r="F521" s="73"/>
      <c r="G521" s="75"/>
      <c r="H521" s="75"/>
      <c r="I521" s="73"/>
      <c r="J521" s="31"/>
      <c r="K521" s="32"/>
    </row>
    <row r="522" customFormat="false" ht="15" hidden="false" customHeight="true" outlineLevel="0" collapsed="false">
      <c r="A522" s="9"/>
      <c r="B522" s="76"/>
      <c r="C522" s="76"/>
      <c r="D522" s="9"/>
      <c r="E522" s="9"/>
      <c r="F522" s="9"/>
      <c r="G522" s="33"/>
      <c r="H522" s="33"/>
      <c r="I522" s="9"/>
      <c r="J522" s="33"/>
      <c r="K522" s="9"/>
    </row>
    <row r="523" customFormat="false" ht="15" hidden="false" customHeight="true" outlineLevel="0" collapsed="false">
      <c r="A523" s="73"/>
      <c r="B523" s="74"/>
      <c r="C523" s="74"/>
      <c r="D523" s="73"/>
      <c r="E523" s="73"/>
      <c r="F523" s="73"/>
      <c r="G523" s="75"/>
      <c r="H523" s="75"/>
      <c r="I523" s="73"/>
      <c r="J523" s="31"/>
      <c r="K523" s="32"/>
    </row>
    <row r="524" customFormat="false" ht="15" hidden="false" customHeight="true" outlineLevel="0" collapsed="false">
      <c r="A524" s="9"/>
      <c r="B524" s="76"/>
      <c r="C524" s="76"/>
      <c r="D524" s="9"/>
      <c r="E524" s="9"/>
      <c r="F524" s="9"/>
      <c r="G524" s="33"/>
      <c r="H524" s="33"/>
      <c r="I524" s="9"/>
      <c r="J524" s="33"/>
      <c r="K524" s="9"/>
    </row>
    <row r="525" customFormat="false" ht="15" hidden="false" customHeight="true" outlineLevel="0" collapsed="false">
      <c r="A525" s="73"/>
      <c r="B525" s="74"/>
      <c r="C525" s="74"/>
      <c r="D525" s="73"/>
      <c r="E525" s="73"/>
      <c r="F525" s="73"/>
      <c r="G525" s="75"/>
      <c r="H525" s="75"/>
      <c r="I525" s="73"/>
      <c r="J525" s="31"/>
      <c r="K525" s="32"/>
    </row>
    <row r="526" customFormat="false" ht="15" hidden="false" customHeight="true" outlineLevel="0" collapsed="false">
      <c r="A526" s="9"/>
      <c r="B526" s="76"/>
      <c r="C526" s="76"/>
      <c r="D526" s="9"/>
      <c r="E526" s="9"/>
      <c r="F526" s="9"/>
      <c r="G526" s="33"/>
      <c r="H526" s="33"/>
      <c r="I526" s="9"/>
      <c r="J526" s="33"/>
      <c r="K526" s="9"/>
    </row>
    <row r="527" customFormat="false" ht="15" hidden="false" customHeight="true" outlineLevel="0" collapsed="false">
      <c r="A527" s="73"/>
      <c r="B527" s="74"/>
      <c r="C527" s="74"/>
      <c r="D527" s="73"/>
      <c r="E527" s="73"/>
      <c r="F527" s="73"/>
      <c r="G527" s="75"/>
      <c r="H527" s="75"/>
      <c r="I527" s="73"/>
      <c r="J527" s="31"/>
      <c r="K527" s="32"/>
    </row>
    <row r="528" customFormat="false" ht="15" hidden="false" customHeight="true" outlineLevel="0" collapsed="false">
      <c r="A528" s="9"/>
      <c r="B528" s="76"/>
      <c r="C528" s="76"/>
      <c r="D528" s="9"/>
      <c r="E528" s="9"/>
      <c r="F528" s="9"/>
      <c r="G528" s="33"/>
      <c r="H528" s="33"/>
      <c r="I528" s="9"/>
      <c r="J528" s="33"/>
      <c r="K528" s="9"/>
    </row>
    <row r="529" customFormat="false" ht="15" hidden="false" customHeight="true" outlineLevel="0" collapsed="false">
      <c r="A529" s="73"/>
      <c r="B529" s="74"/>
      <c r="C529" s="74"/>
      <c r="D529" s="73"/>
      <c r="E529" s="73"/>
      <c r="F529" s="73"/>
      <c r="G529" s="75"/>
      <c r="H529" s="75"/>
      <c r="I529" s="73"/>
      <c r="J529" s="31"/>
      <c r="K529" s="32"/>
    </row>
    <row r="530" customFormat="false" ht="15" hidden="false" customHeight="true" outlineLevel="0" collapsed="false">
      <c r="A530" s="9"/>
      <c r="B530" s="76"/>
      <c r="C530" s="76"/>
      <c r="D530" s="9"/>
      <c r="E530" s="9"/>
      <c r="F530" s="9"/>
      <c r="G530" s="33"/>
      <c r="H530" s="33"/>
      <c r="I530" s="9"/>
      <c r="J530" s="33"/>
      <c r="K530" s="9"/>
    </row>
    <row r="531" customFormat="false" ht="15" hidden="false" customHeight="true" outlineLevel="0" collapsed="false">
      <c r="A531" s="73"/>
      <c r="B531" s="74"/>
      <c r="C531" s="74"/>
      <c r="D531" s="73"/>
      <c r="E531" s="73"/>
      <c r="F531" s="73"/>
      <c r="G531" s="75"/>
      <c r="H531" s="75"/>
      <c r="I531" s="73"/>
      <c r="J531" s="31"/>
      <c r="K531" s="32"/>
    </row>
    <row r="532" customFormat="false" ht="15" hidden="false" customHeight="true" outlineLevel="0" collapsed="false">
      <c r="A532" s="9"/>
      <c r="B532" s="76"/>
      <c r="C532" s="76"/>
      <c r="D532" s="9"/>
      <c r="E532" s="9"/>
      <c r="F532" s="9"/>
      <c r="G532" s="33"/>
      <c r="H532" s="33"/>
      <c r="I532" s="9"/>
      <c r="J532" s="33"/>
      <c r="K532" s="9"/>
    </row>
    <row r="533" customFormat="false" ht="15" hidden="false" customHeight="true" outlineLevel="0" collapsed="false">
      <c r="A533" s="73"/>
      <c r="B533" s="74"/>
      <c r="C533" s="74"/>
      <c r="D533" s="73"/>
      <c r="E533" s="73"/>
      <c r="F533" s="73"/>
      <c r="G533" s="75"/>
      <c r="H533" s="75"/>
      <c r="I533" s="73"/>
      <c r="J533" s="31"/>
      <c r="K533" s="32"/>
    </row>
    <row r="534" customFormat="false" ht="15" hidden="false" customHeight="true" outlineLevel="0" collapsed="false">
      <c r="A534" s="9"/>
      <c r="B534" s="76"/>
      <c r="C534" s="76"/>
      <c r="D534" s="9"/>
      <c r="E534" s="9"/>
      <c r="F534" s="9"/>
      <c r="G534" s="33"/>
      <c r="H534" s="33"/>
      <c r="I534" s="9"/>
      <c r="J534" s="33"/>
      <c r="K534" s="9"/>
    </row>
    <row r="535" customFormat="false" ht="15" hidden="false" customHeight="true" outlineLevel="0" collapsed="false">
      <c r="A535" s="73"/>
      <c r="B535" s="74"/>
      <c r="C535" s="74"/>
      <c r="D535" s="73"/>
      <c r="E535" s="73"/>
      <c r="F535" s="73"/>
      <c r="G535" s="75"/>
      <c r="H535" s="75"/>
      <c r="I535" s="73"/>
      <c r="J535" s="31"/>
      <c r="K535" s="32"/>
    </row>
    <row r="536" customFormat="false" ht="15" hidden="false" customHeight="true" outlineLevel="0" collapsed="false">
      <c r="A536" s="9"/>
      <c r="B536" s="76"/>
      <c r="C536" s="76"/>
      <c r="D536" s="9"/>
      <c r="E536" s="9"/>
      <c r="F536" s="9"/>
      <c r="G536" s="33"/>
      <c r="H536" s="33"/>
      <c r="I536" s="9"/>
      <c r="J536" s="33"/>
      <c r="K536" s="9"/>
    </row>
    <row r="537" customFormat="false" ht="15" hidden="false" customHeight="true" outlineLevel="0" collapsed="false">
      <c r="A537" s="73"/>
      <c r="B537" s="74"/>
      <c r="C537" s="74"/>
      <c r="D537" s="73"/>
      <c r="E537" s="73"/>
      <c r="F537" s="73"/>
      <c r="G537" s="75"/>
      <c r="H537" s="75"/>
      <c r="I537" s="73"/>
      <c r="J537" s="31"/>
      <c r="K537" s="32"/>
    </row>
    <row r="538" customFormat="false" ht="15" hidden="false" customHeight="true" outlineLevel="0" collapsed="false">
      <c r="A538" s="9"/>
      <c r="B538" s="76"/>
      <c r="C538" s="76"/>
      <c r="D538" s="9"/>
      <c r="E538" s="9"/>
      <c r="F538" s="9"/>
      <c r="G538" s="33"/>
      <c r="H538" s="33"/>
      <c r="I538" s="9"/>
      <c r="J538" s="33"/>
      <c r="K538" s="9"/>
    </row>
    <row r="539" customFormat="false" ht="15" hidden="false" customHeight="true" outlineLevel="0" collapsed="false">
      <c r="A539" s="73"/>
      <c r="B539" s="74"/>
      <c r="C539" s="74"/>
      <c r="D539" s="73"/>
      <c r="E539" s="73"/>
      <c r="F539" s="73"/>
      <c r="G539" s="75"/>
      <c r="H539" s="75"/>
      <c r="I539" s="73"/>
      <c r="J539" s="31"/>
      <c r="K539" s="32"/>
    </row>
    <row r="540" customFormat="false" ht="15" hidden="false" customHeight="true" outlineLevel="0" collapsed="false">
      <c r="A540" s="9"/>
      <c r="B540" s="76"/>
      <c r="C540" s="76"/>
      <c r="D540" s="9"/>
      <c r="E540" s="9"/>
      <c r="F540" s="9"/>
      <c r="G540" s="33"/>
      <c r="H540" s="33"/>
      <c r="I540" s="9"/>
      <c r="J540" s="33"/>
      <c r="K540" s="9"/>
    </row>
    <row r="541" customFormat="false" ht="15" hidden="false" customHeight="true" outlineLevel="0" collapsed="false">
      <c r="A541" s="73"/>
      <c r="B541" s="74"/>
      <c r="C541" s="74"/>
      <c r="D541" s="73"/>
      <c r="E541" s="73"/>
      <c r="F541" s="73"/>
      <c r="G541" s="75"/>
      <c r="H541" s="75"/>
      <c r="I541" s="73"/>
      <c r="J541" s="31"/>
      <c r="K541" s="32"/>
    </row>
    <row r="542" customFormat="false" ht="15" hidden="false" customHeight="true" outlineLevel="0" collapsed="false">
      <c r="A542" s="9"/>
      <c r="B542" s="76"/>
      <c r="C542" s="76"/>
      <c r="D542" s="9"/>
      <c r="E542" s="9"/>
      <c r="F542" s="9"/>
      <c r="G542" s="33"/>
      <c r="H542" s="33"/>
      <c r="I542" s="9"/>
      <c r="J542" s="33"/>
      <c r="K542" s="9"/>
    </row>
    <row r="543" customFormat="false" ht="15" hidden="false" customHeight="true" outlineLevel="0" collapsed="false">
      <c r="A543" s="73"/>
      <c r="B543" s="74"/>
      <c r="C543" s="74"/>
      <c r="D543" s="73"/>
      <c r="E543" s="73"/>
      <c r="F543" s="73"/>
      <c r="G543" s="75"/>
      <c r="H543" s="75"/>
      <c r="I543" s="73"/>
      <c r="J543" s="31"/>
      <c r="K543" s="32"/>
    </row>
    <row r="544" customFormat="false" ht="15" hidden="false" customHeight="true" outlineLevel="0" collapsed="false">
      <c r="A544" s="9"/>
      <c r="B544" s="76"/>
      <c r="C544" s="76"/>
      <c r="D544" s="9"/>
      <c r="E544" s="9"/>
      <c r="F544" s="9"/>
      <c r="G544" s="33"/>
      <c r="H544" s="33"/>
      <c r="I544" s="9"/>
      <c r="J544" s="33"/>
      <c r="K544" s="9"/>
    </row>
    <row r="545" customFormat="false" ht="15" hidden="false" customHeight="true" outlineLevel="0" collapsed="false">
      <c r="A545" s="73"/>
      <c r="B545" s="74"/>
      <c r="C545" s="74"/>
      <c r="D545" s="73"/>
      <c r="E545" s="73"/>
      <c r="F545" s="73"/>
      <c r="G545" s="75"/>
      <c r="H545" s="75"/>
      <c r="I545" s="73"/>
      <c r="J545" s="31"/>
      <c r="K545" s="32"/>
    </row>
    <row r="546" customFormat="false" ht="15" hidden="false" customHeight="true" outlineLevel="0" collapsed="false">
      <c r="A546" s="9"/>
      <c r="B546" s="76"/>
      <c r="C546" s="76"/>
      <c r="D546" s="9"/>
      <c r="E546" s="9"/>
      <c r="F546" s="9"/>
      <c r="G546" s="33"/>
      <c r="H546" s="33"/>
      <c r="I546" s="9"/>
      <c r="J546" s="33"/>
      <c r="K546" s="9"/>
    </row>
    <row r="547" customFormat="false" ht="15" hidden="false" customHeight="true" outlineLevel="0" collapsed="false">
      <c r="A547" s="73"/>
      <c r="B547" s="74"/>
      <c r="C547" s="74"/>
      <c r="D547" s="73"/>
      <c r="E547" s="73"/>
      <c r="F547" s="73"/>
      <c r="G547" s="75"/>
      <c r="H547" s="75"/>
      <c r="I547" s="73"/>
      <c r="J547" s="31"/>
      <c r="K547" s="32"/>
    </row>
    <row r="548" customFormat="false" ht="15" hidden="false" customHeight="true" outlineLevel="0" collapsed="false">
      <c r="A548" s="9"/>
      <c r="B548" s="76"/>
      <c r="C548" s="76"/>
      <c r="D548" s="9"/>
      <c r="E548" s="9"/>
      <c r="F548" s="9"/>
      <c r="G548" s="33"/>
      <c r="H548" s="33"/>
      <c r="I548" s="9"/>
      <c r="J548" s="33"/>
      <c r="K548" s="9"/>
    </row>
    <row r="549" customFormat="false" ht="15" hidden="false" customHeight="true" outlineLevel="0" collapsed="false">
      <c r="A549" s="73"/>
      <c r="B549" s="74"/>
      <c r="C549" s="74"/>
      <c r="D549" s="73"/>
      <c r="E549" s="73"/>
      <c r="F549" s="73"/>
      <c r="G549" s="75"/>
      <c r="H549" s="75"/>
      <c r="I549" s="73"/>
      <c r="J549" s="31"/>
      <c r="K549" s="32"/>
    </row>
    <row r="550" customFormat="false" ht="15" hidden="false" customHeight="true" outlineLevel="0" collapsed="false">
      <c r="A550" s="9"/>
      <c r="B550" s="76"/>
      <c r="C550" s="76"/>
      <c r="D550" s="9"/>
      <c r="E550" s="9"/>
      <c r="F550" s="9"/>
      <c r="G550" s="33"/>
      <c r="H550" s="33"/>
      <c r="I550" s="9"/>
      <c r="J550" s="33"/>
      <c r="K550" s="9"/>
    </row>
    <row r="551" customFormat="false" ht="15" hidden="false" customHeight="true" outlineLevel="0" collapsed="false">
      <c r="A551" s="73"/>
      <c r="B551" s="74"/>
      <c r="C551" s="74"/>
      <c r="D551" s="73"/>
      <c r="E551" s="73"/>
      <c r="F551" s="73"/>
      <c r="G551" s="75"/>
      <c r="H551" s="75"/>
      <c r="I551" s="73"/>
      <c r="J551" s="31"/>
      <c r="K551" s="32"/>
    </row>
    <row r="552" customFormat="false" ht="15" hidden="false" customHeight="true" outlineLevel="0" collapsed="false">
      <c r="A552" s="9"/>
      <c r="B552" s="76"/>
      <c r="C552" s="76"/>
      <c r="D552" s="9"/>
      <c r="E552" s="9"/>
      <c r="F552" s="9"/>
      <c r="G552" s="33"/>
      <c r="H552" s="33"/>
      <c r="I552" s="9"/>
      <c r="J552" s="33"/>
      <c r="K552" s="9"/>
    </row>
    <row r="553" customFormat="false" ht="15" hidden="false" customHeight="true" outlineLevel="0" collapsed="false">
      <c r="A553" s="73"/>
      <c r="B553" s="74"/>
      <c r="C553" s="74"/>
      <c r="D553" s="73"/>
      <c r="E553" s="73"/>
      <c r="F553" s="73"/>
      <c r="G553" s="75"/>
      <c r="H553" s="75"/>
      <c r="I553" s="73"/>
      <c r="J553" s="31"/>
      <c r="K553" s="32"/>
    </row>
    <row r="554" customFormat="false" ht="15" hidden="false" customHeight="true" outlineLevel="0" collapsed="false">
      <c r="A554" s="9"/>
      <c r="B554" s="76"/>
      <c r="C554" s="76"/>
      <c r="D554" s="9"/>
      <c r="E554" s="9"/>
      <c r="F554" s="9"/>
      <c r="G554" s="33"/>
      <c r="H554" s="33"/>
      <c r="I554" s="9"/>
      <c r="J554" s="33"/>
      <c r="K554" s="9"/>
    </row>
    <row r="555" customFormat="false" ht="15" hidden="false" customHeight="true" outlineLevel="0" collapsed="false">
      <c r="A555" s="73"/>
      <c r="B555" s="74"/>
      <c r="C555" s="74"/>
      <c r="D555" s="73"/>
      <c r="E555" s="73"/>
      <c r="F555" s="73"/>
      <c r="G555" s="75"/>
      <c r="H555" s="75"/>
      <c r="I555" s="73"/>
      <c r="J555" s="31"/>
      <c r="K555" s="32"/>
    </row>
    <row r="556" customFormat="false" ht="15" hidden="false" customHeight="true" outlineLevel="0" collapsed="false">
      <c r="A556" s="9"/>
      <c r="B556" s="76"/>
      <c r="C556" s="76"/>
      <c r="D556" s="9"/>
      <c r="E556" s="9"/>
      <c r="F556" s="9"/>
      <c r="G556" s="33"/>
      <c r="H556" s="33"/>
      <c r="I556" s="9"/>
      <c r="J556" s="33"/>
      <c r="K556" s="9"/>
    </row>
    <row r="557" customFormat="false" ht="15" hidden="false" customHeight="true" outlineLevel="0" collapsed="false">
      <c r="A557" s="73"/>
      <c r="B557" s="74"/>
      <c r="C557" s="74"/>
      <c r="D557" s="73"/>
      <c r="E557" s="73"/>
      <c r="F557" s="73"/>
      <c r="G557" s="75"/>
      <c r="H557" s="75"/>
      <c r="I557" s="73"/>
      <c r="J557" s="31"/>
      <c r="K557" s="32"/>
    </row>
    <row r="558" customFormat="false" ht="15" hidden="false" customHeight="true" outlineLevel="0" collapsed="false">
      <c r="A558" s="9"/>
      <c r="B558" s="76"/>
      <c r="C558" s="76"/>
      <c r="D558" s="9"/>
      <c r="E558" s="9"/>
      <c r="F558" s="9"/>
      <c r="G558" s="33"/>
      <c r="H558" s="33"/>
      <c r="I558" s="9"/>
      <c r="J558" s="33"/>
      <c r="K558" s="9"/>
    </row>
    <row r="559" customFormat="false" ht="15" hidden="false" customHeight="true" outlineLevel="0" collapsed="false">
      <c r="A559" s="73"/>
      <c r="B559" s="74"/>
      <c r="C559" s="74"/>
      <c r="D559" s="73"/>
      <c r="E559" s="73"/>
      <c r="F559" s="73"/>
      <c r="G559" s="75"/>
      <c r="H559" s="75"/>
      <c r="I559" s="73"/>
      <c r="J559" s="31"/>
      <c r="K559" s="32"/>
    </row>
    <row r="560" customFormat="false" ht="15" hidden="false" customHeight="true" outlineLevel="0" collapsed="false">
      <c r="A560" s="9"/>
      <c r="B560" s="76"/>
      <c r="C560" s="76"/>
      <c r="D560" s="9"/>
      <c r="E560" s="9"/>
      <c r="F560" s="9"/>
      <c r="G560" s="33"/>
      <c r="H560" s="33"/>
      <c r="I560" s="9"/>
      <c r="J560" s="33"/>
      <c r="K560" s="9"/>
    </row>
    <row r="561" customFormat="false" ht="15" hidden="false" customHeight="true" outlineLevel="0" collapsed="false">
      <c r="A561" s="73"/>
      <c r="B561" s="74"/>
      <c r="C561" s="74"/>
      <c r="D561" s="73"/>
      <c r="E561" s="73"/>
      <c r="F561" s="73"/>
      <c r="G561" s="75"/>
      <c r="H561" s="75"/>
      <c r="I561" s="73"/>
      <c r="J561" s="31"/>
      <c r="K561" s="32"/>
    </row>
    <row r="562" customFormat="false" ht="15" hidden="false" customHeight="true" outlineLevel="0" collapsed="false">
      <c r="A562" s="9"/>
      <c r="B562" s="76"/>
      <c r="C562" s="76"/>
      <c r="D562" s="9"/>
      <c r="E562" s="9"/>
      <c r="F562" s="9"/>
      <c r="G562" s="33"/>
      <c r="H562" s="33"/>
      <c r="I562" s="9"/>
      <c r="J562" s="33"/>
      <c r="K562" s="9"/>
    </row>
    <row r="563" customFormat="false" ht="15" hidden="false" customHeight="true" outlineLevel="0" collapsed="false">
      <c r="A563" s="73"/>
      <c r="B563" s="74"/>
      <c r="C563" s="74"/>
      <c r="D563" s="73"/>
      <c r="E563" s="73"/>
      <c r="F563" s="73"/>
      <c r="G563" s="75"/>
      <c r="H563" s="75"/>
      <c r="I563" s="73"/>
      <c r="J563" s="31"/>
      <c r="K563" s="32"/>
    </row>
    <row r="564" customFormat="false" ht="15" hidden="false" customHeight="true" outlineLevel="0" collapsed="false">
      <c r="A564" s="9"/>
      <c r="B564" s="76"/>
      <c r="C564" s="76"/>
      <c r="D564" s="9"/>
      <c r="E564" s="9"/>
      <c r="F564" s="9"/>
      <c r="G564" s="33"/>
      <c r="H564" s="33"/>
      <c r="I564" s="9"/>
      <c r="J564" s="33"/>
      <c r="K564" s="9"/>
    </row>
    <row r="565" customFormat="false" ht="15" hidden="false" customHeight="true" outlineLevel="0" collapsed="false">
      <c r="A565" s="73"/>
      <c r="B565" s="74"/>
      <c r="C565" s="74"/>
      <c r="D565" s="73"/>
      <c r="E565" s="73"/>
      <c r="F565" s="73"/>
      <c r="G565" s="75"/>
      <c r="H565" s="75"/>
      <c r="I565" s="73"/>
      <c r="J565" s="31"/>
      <c r="K565" s="32"/>
    </row>
    <row r="566" customFormat="false" ht="15" hidden="false" customHeight="true" outlineLevel="0" collapsed="false">
      <c r="A566" s="9"/>
      <c r="B566" s="76"/>
      <c r="C566" s="76"/>
      <c r="D566" s="9"/>
      <c r="E566" s="9"/>
      <c r="F566" s="9"/>
      <c r="G566" s="33"/>
      <c r="H566" s="33"/>
      <c r="I566" s="9"/>
      <c r="J566" s="33"/>
      <c r="K566" s="9"/>
    </row>
    <row r="567" customFormat="false" ht="15" hidden="false" customHeight="true" outlineLevel="0" collapsed="false">
      <c r="A567" s="73"/>
      <c r="B567" s="74"/>
      <c r="C567" s="74"/>
      <c r="D567" s="73"/>
      <c r="E567" s="73"/>
      <c r="F567" s="73"/>
      <c r="G567" s="75"/>
      <c r="H567" s="75"/>
      <c r="I567" s="73"/>
      <c r="J567" s="31"/>
      <c r="K567" s="32"/>
    </row>
    <row r="568" customFormat="false" ht="15" hidden="false" customHeight="true" outlineLevel="0" collapsed="false">
      <c r="A568" s="9"/>
      <c r="B568" s="76"/>
      <c r="C568" s="76"/>
      <c r="D568" s="9"/>
      <c r="E568" s="9"/>
      <c r="F568" s="9"/>
      <c r="G568" s="33"/>
      <c r="H568" s="33"/>
      <c r="I568" s="9"/>
      <c r="J568" s="33"/>
      <c r="K568" s="9"/>
    </row>
    <row r="569" customFormat="false" ht="15" hidden="false" customHeight="true" outlineLevel="0" collapsed="false">
      <c r="A569" s="73"/>
      <c r="B569" s="74"/>
      <c r="C569" s="74"/>
      <c r="D569" s="73"/>
      <c r="E569" s="73"/>
      <c r="F569" s="73"/>
      <c r="G569" s="75"/>
      <c r="H569" s="75"/>
      <c r="I569" s="73"/>
      <c r="J569" s="31"/>
      <c r="K569" s="32"/>
    </row>
    <row r="570" customFormat="false" ht="15" hidden="false" customHeight="true" outlineLevel="0" collapsed="false">
      <c r="A570" s="9"/>
      <c r="B570" s="76"/>
      <c r="C570" s="76"/>
      <c r="D570" s="9"/>
      <c r="E570" s="9"/>
      <c r="F570" s="9"/>
      <c r="G570" s="33"/>
      <c r="H570" s="33"/>
      <c r="I570" s="9"/>
      <c r="J570" s="33"/>
      <c r="K570" s="9"/>
    </row>
    <row r="571" customFormat="false" ht="15" hidden="false" customHeight="true" outlineLevel="0" collapsed="false">
      <c r="A571" s="73"/>
      <c r="B571" s="74"/>
      <c r="C571" s="74"/>
      <c r="D571" s="73"/>
      <c r="E571" s="73"/>
      <c r="F571" s="73"/>
      <c r="G571" s="75"/>
      <c r="H571" s="75"/>
      <c r="I571" s="73"/>
      <c r="J571" s="31"/>
      <c r="K571" s="32"/>
    </row>
    <row r="572" customFormat="false" ht="15" hidden="false" customHeight="true" outlineLevel="0" collapsed="false">
      <c r="A572" s="9"/>
      <c r="B572" s="76"/>
      <c r="C572" s="76"/>
      <c r="D572" s="9"/>
      <c r="E572" s="9"/>
      <c r="F572" s="9"/>
      <c r="G572" s="33"/>
      <c r="H572" s="33"/>
      <c r="I572" s="9"/>
      <c r="J572" s="33"/>
      <c r="K572" s="9"/>
    </row>
    <row r="573" customFormat="false" ht="15" hidden="false" customHeight="true" outlineLevel="0" collapsed="false">
      <c r="A573" s="73"/>
      <c r="B573" s="74"/>
      <c r="C573" s="74"/>
      <c r="D573" s="73"/>
      <c r="E573" s="73"/>
      <c r="F573" s="73"/>
      <c r="G573" s="75"/>
      <c r="H573" s="75"/>
      <c r="I573" s="73"/>
      <c r="J573" s="31"/>
      <c r="K573" s="32"/>
    </row>
    <row r="574" customFormat="false" ht="15" hidden="false" customHeight="true" outlineLevel="0" collapsed="false">
      <c r="A574" s="9"/>
      <c r="B574" s="76"/>
      <c r="C574" s="76"/>
      <c r="D574" s="9"/>
      <c r="E574" s="9"/>
      <c r="F574" s="9"/>
      <c r="G574" s="33"/>
      <c r="H574" s="33"/>
      <c r="I574" s="9"/>
      <c r="J574" s="33"/>
      <c r="K574" s="9"/>
    </row>
    <row r="575" customFormat="false" ht="15" hidden="false" customHeight="true" outlineLevel="0" collapsed="false">
      <c r="A575" s="73"/>
      <c r="B575" s="74"/>
      <c r="C575" s="74"/>
      <c r="D575" s="73"/>
      <c r="E575" s="73"/>
      <c r="F575" s="73"/>
      <c r="G575" s="75"/>
      <c r="H575" s="75"/>
      <c r="I575" s="73"/>
      <c r="J575" s="31"/>
      <c r="K575" s="32"/>
    </row>
    <row r="576" customFormat="false" ht="15" hidden="false" customHeight="true" outlineLevel="0" collapsed="false">
      <c r="A576" s="9"/>
      <c r="B576" s="76"/>
      <c r="C576" s="76"/>
      <c r="D576" s="9"/>
      <c r="E576" s="9"/>
      <c r="F576" s="9"/>
      <c r="G576" s="33"/>
      <c r="H576" s="33"/>
      <c r="I576" s="9"/>
      <c r="J576" s="33"/>
      <c r="K576" s="9"/>
    </row>
    <row r="577" customFormat="false" ht="15" hidden="false" customHeight="true" outlineLevel="0" collapsed="false">
      <c r="A577" s="73"/>
      <c r="B577" s="74"/>
      <c r="C577" s="74"/>
      <c r="D577" s="73"/>
      <c r="E577" s="73"/>
      <c r="F577" s="73"/>
      <c r="G577" s="75"/>
      <c r="H577" s="75"/>
      <c r="I577" s="73"/>
      <c r="J577" s="31"/>
      <c r="K577" s="32"/>
    </row>
    <row r="578" customFormat="false" ht="15" hidden="false" customHeight="true" outlineLevel="0" collapsed="false">
      <c r="A578" s="9"/>
      <c r="B578" s="76"/>
      <c r="C578" s="76"/>
      <c r="D578" s="9"/>
      <c r="E578" s="9"/>
      <c r="F578" s="9"/>
      <c r="G578" s="33"/>
      <c r="H578" s="33"/>
      <c r="I578" s="9"/>
      <c r="J578" s="33"/>
      <c r="K578" s="9"/>
    </row>
    <row r="579" customFormat="false" ht="15" hidden="false" customHeight="true" outlineLevel="0" collapsed="false">
      <c r="A579" s="73"/>
      <c r="B579" s="74"/>
      <c r="C579" s="74"/>
      <c r="D579" s="73"/>
      <c r="E579" s="73"/>
      <c r="F579" s="73"/>
      <c r="G579" s="75"/>
      <c r="H579" s="75"/>
      <c r="I579" s="73"/>
      <c r="J579" s="31"/>
      <c r="K579" s="32"/>
    </row>
    <row r="580" customFormat="false" ht="15" hidden="false" customHeight="true" outlineLevel="0" collapsed="false">
      <c r="A580" s="9"/>
      <c r="B580" s="76"/>
      <c r="C580" s="76"/>
      <c r="D580" s="9"/>
      <c r="E580" s="9"/>
      <c r="F580" s="9"/>
      <c r="G580" s="33"/>
      <c r="H580" s="33"/>
      <c r="I580" s="9"/>
      <c r="J580" s="33"/>
      <c r="K580" s="9"/>
    </row>
    <row r="581" customFormat="false" ht="15" hidden="false" customHeight="true" outlineLevel="0" collapsed="false">
      <c r="A581" s="73"/>
      <c r="B581" s="74"/>
      <c r="C581" s="74"/>
      <c r="D581" s="73"/>
      <c r="E581" s="73"/>
      <c r="F581" s="73"/>
      <c r="G581" s="75"/>
      <c r="H581" s="75"/>
      <c r="I581" s="73"/>
      <c r="J581" s="31"/>
      <c r="K581" s="32"/>
    </row>
    <row r="582" customFormat="false" ht="15" hidden="false" customHeight="true" outlineLevel="0" collapsed="false">
      <c r="A582" s="9"/>
      <c r="B582" s="76"/>
      <c r="C582" s="76"/>
      <c r="D582" s="9"/>
      <c r="E582" s="9"/>
      <c r="F582" s="9"/>
      <c r="G582" s="33"/>
      <c r="H582" s="33"/>
      <c r="I582" s="9"/>
      <c r="J582" s="33"/>
      <c r="K582" s="9"/>
    </row>
    <row r="583" customFormat="false" ht="15" hidden="false" customHeight="true" outlineLevel="0" collapsed="false">
      <c r="A583" s="73"/>
      <c r="B583" s="74"/>
      <c r="C583" s="74"/>
      <c r="D583" s="73"/>
      <c r="E583" s="73"/>
      <c r="F583" s="73"/>
      <c r="G583" s="75"/>
      <c r="H583" s="75"/>
      <c r="I583" s="73"/>
      <c r="J583" s="31"/>
      <c r="K583" s="32"/>
    </row>
    <row r="584" customFormat="false" ht="15" hidden="false" customHeight="true" outlineLevel="0" collapsed="false">
      <c r="A584" s="9"/>
      <c r="B584" s="76"/>
      <c r="C584" s="76"/>
      <c r="D584" s="9"/>
      <c r="E584" s="9"/>
      <c r="F584" s="9"/>
      <c r="G584" s="33"/>
      <c r="H584" s="33"/>
      <c r="I584" s="9"/>
      <c r="J584" s="33"/>
      <c r="K584" s="9"/>
    </row>
    <row r="585" customFormat="false" ht="15" hidden="false" customHeight="true" outlineLevel="0" collapsed="false">
      <c r="A585" s="73"/>
      <c r="B585" s="74"/>
      <c r="C585" s="74"/>
      <c r="D585" s="73"/>
      <c r="E585" s="73"/>
      <c r="F585" s="73"/>
      <c r="G585" s="75"/>
      <c r="H585" s="75"/>
      <c r="I585" s="73"/>
      <c r="J585" s="31"/>
      <c r="K585" s="32"/>
    </row>
    <row r="586" customFormat="false" ht="15" hidden="false" customHeight="true" outlineLevel="0" collapsed="false">
      <c r="A586" s="9"/>
      <c r="B586" s="76"/>
      <c r="C586" s="76"/>
      <c r="D586" s="9"/>
      <c r="E586" s="9"/>
      <c r="F586" s="9"/>
      <c r="G586" s="33"/>
      <c r="H586" s="33"/>
      <c r="I586" s="9"/>
      <c r="J586" s="33"/>
      <c r="K586" s="9"/>
    </row>
    <row r="587" customFormat="false" ht="15" hidden="false" customHeight="true" outlineLevel="0" collapsed="false">
      <c r="A587" s="73"/>
      <c r="B587" s="74"/>
      <c r="C587" s="74"/>
      <c r="D587" s="73"/>
      <c r="E587" s="73"/>
      <c r="F587" s="73"/>
      <c r="G587" s="75"/>
      <c r="H587" s="75"/>
      <c r="I587" s="73"/>
      <c r="J587" s="31"/>
      <c r="K587" s="32"/>
    </row>
    <row r="588" customFormat="false" ht="15" hidden="false" customHeight="true" outlineLevel="0" collapsed="false">
      <c r="A588" s="9"/>
      <c r="B588" s="76"/>
      <c r="C588" s="76"/>
      <c r="D588" s="9"/>
      <c r="E588" s="9"/>
      <c r="F588" s="9"/>
      <c r="G588" s="33"/>
      <c r="H588" s="33"/>
      <c r="I588" s="9"/>
      <c r="J588" s="33"/>
      <c r="K588" s="9"/>
    </row>
    <row r="589" customFormat="false" ht="15" hidden="false" customHeight="true" outlineLevel="0" collapsed="false">
      <c r="A589" s="73"/>
      <c r="B589" s="74"/>
      <c r="C589" s="74"/>
      <c r="D589" s="73"/>
      <c r="E589" s="73"/>
      <c r="F589" s="73"/>
      <c r="G589" s="75"/>
      <c r="H589" s="75"/>
      <c r="I589" s="73"/>
      <c r="J589" s="31"/>
      <c r="K589" s="32"/>
    </row>
    <row r="590" customFormat="false" ht="15" hidden="false" customHeight="true" outlineLevel="0" collapsed="false">
      <c r="A590" s="9"/>
      <c r="B590" s="76"/>
      <c r="C590" s="76"/>
      <c r="D590" s="9"/>
      <c r="E590" s="9"/>
      <c r="F590" s="9"/>
      <c r="G590" s="33"/>
      <c r="H590" s="33"/>
      <c r="I590" s="9"/>
      <c r="J590" s="33"/>
      <c r="K590" s="9"/>
    </row>
    <row r="591" customFormat="false" ht="15" hidden="false" customHeight="true" outlineLevel="0" collapsed="false">
      <c r="A591" s="73"/>
      <c r="B591" s="74"/>
      <c r="C591" s="74"/>
      <c r="D591" s="73"/>
      <c r="E591" s="73"/>
      <c r="F591" s="73"/>
      <c r="G591" s="75"/>
      <c r="H591" s="75"/>
      <c r="I591" s="73"/>
      <c r="J591" s="31"/>
      <c r="K591" s="32"/>
    </row>
    <row r="592" customFormat="false" ht="15" hidden="false" customHeight="true" outlineLevel="0" collapsed="false">
      <c r="A592" s="9"/>
      <c r="B592" s="76"/>
      <c r="C592" s="76"/>
      <c r="D592" s="9"/>
      <c r="E592" s="9"/>
      <c r="F592" s="9"/>
      <c r="G592" s="33"/>
      <c r="H592" s="33"/>
      <c r="I592" s="9"/>
      <c r="J592" s="33"/>
      <c r="K592" s="9"/>
    </row>
    <row r="593" customFormat="false" ht="15" hidden="false" customHeight="true" outlineLevel="0" collapsed="false">
      <c r="A593" s="73"/>
      <c r="B593" s="74"/>
      <c r="C593" s="74"/>
      <c r="D593" s="73"/>
      <c r="E593" s="73"/>
      <c r="F593" s="73"/>
      <c r="G593" s="75"/>
      <c r="H593" s="75"/>
      <c r="I593" s="73"/>
      <c r="J593" s="31"/>
      <c r="K593" s="32"/>
    </row>
    <row r="594" customFormat="false" ht="15" hidden="false" customHeight="true" outlineLevel="0" collapsed="false">
      <c r="A594" s="9"/>
      <c r="B594" s="76"/>
      <c r="C594" s="76"/>
      <c r="D594" s="9"/>
      <c r="E594" s="9"/>
      <c r="F594" s="9"/>
      <c r="G594" s="33"/>
      <c r="H594" s="33"/>
      <c r="I594" s="9"/>
      <c r="J594" s="33"/>
      <c r="K594" s="9"/>
    </row>
    <row r="595" customFormat="false" ht="15" hidden="false" customHeight="true" outlineLevel="0" collapsed="false">
      <c r="A595" s="73"/>
      <c r="B595" s="74"/>
      <c r="C595" s="74"/>
      <c r="D595" s="73"/>
      <c r="E595" s="73"/>
      <c r="F595" s="73"/>
      <c r="G595" s="75"/>
      <c r="H595" s="75"/>
      <c r="I595" s="73"/>
      <c r="J595" s="31"/>
      <c r="K595" s="32"/>
    </row>
    <row r="596" customFormat="false" ht="15" hidden="false" customHeight="true" outlineLevel="0" collapsed="false">
      <c r="A596" s="9"/>
      <c r="B596" s="76"/>
      <c r="C596" s="76"/>
      <c r="D596" s="9"/>
      <c r="E596" s="9"/>
      <c r="F596" s="9"/>
      <c r="G596" s="33"/>
      <c r="H596" s="33"/>
      <c r="I596" s="9"/>
      <c r="J596" s="33"/>
      <c r="K596" s="9"/>
    </row>
    <row r="597" customFormat="false" ht="15" hidden="false" customHeight="true" outlineLevel="0" collapsed="false">
      <c r="A597" s="73"/>
      <c r="B597" s="74"/>
      <c r="C597" s="74"/>
      <c r="D597" s="73"/>
      <c r="E597" s="73"/>
      <c r="F597" s="73"/>
      <c r="G597" s="75"/>
      <c r="H597" s="75"/>
      <c r="I597" s="73"/>
      <c r="J597" s="31"/>
      <c r="K597" s="32"/>
    </row>
    <row r="598" customFormat="false" ht="15" hidden="false" customHeight="true" outlineLevel="0" collapsed="false">
      <c r="A598" s="9"/>
      <c r="B598" s="76"/>
      <c r="C598" s="76"/>
      <c r="D598" s="9"/>
      <c r="E598" s="9"/>
      <c r="F598" s="9"/>
      <c r="G598" s="33"/>
      <c r="H598" s="33"/>
      <c r="I598" s="9"/>
      <c r="J598" s="33"/>
      <c r="K598" s="9"/>
    </row>
    <row r="599" customFormat="false" ht="15" hidden="false" customHeight="true" outlineLevel="0" collapsed="false">
      <c r="A599" s="73"/>
      <c r="B599" s="74"/>
      <c r="C599" s="74"/>
      <c r="D599" s="73"/>
      <c r="E599" s="73"/>
      <c r="F599" s="73"/>
      <c r="G599" s="75"/>
      <c r="H599" s="75"/>
      <c r="I599" s="73"/>
      <c r="J599" s="31"/>
      <c r="K599" s="32"/>
    </row>
    <row r="600" customFormat="false" ht="15" hidden="false" customHeight="true" outlineLevel="0" collapsed="false">
      <c r="A600" s="9"/>
      <c r="B600" s="76"/>
      <c r="C600" s="76"/>
      <c r="D600" s="9"/>
      <c r="E600" s="9"/>
      <c r="F600" s="9"/>
      <c r="G600" s="33"/>
      <c r="H600" s="33"/>
      <c r="I600" s="9"/>
      <c r="J600" s="33"/>
      <c r="K600" s="9"/>
    </row>
    <row r="601" customFormat="false" ht="15" hidden="false" customHeight="true" outlineLevel="0" collapsed="false">
      <c r="A601" s="73"/>
      <c r="B601" s="74"/>
      <c r="C601" s="74"/>
      <c r="D601" s="73"/>
      <c r="E601" s="73"/>
      <c r="F601" s="73"/>
      <c r="G601" s="75"/>
      <c r="H601" s="75"/>
      <c r="I601" s="73"/>
      <c r="J601" s="31"/>
      <c r="K601" s="32"/>
    </row>
    <row r="602" customFormat="false" ht="15" hidden="false" customHeight="true" outlineLevel="0" collapsed="false">
      <c r="A602" s="9"/>
      <c r="B602" s="76"/>
      <c r="C602" s="76"/>
      <c r="D602" s="9"/>
      <c r="E602" s="9"/>
      <c r="F602" s="9"/>
      <c r="G602" s="33"/>
      <c r="H602" s="33"/>
      <c r="I602" s="9"/>
      <c r="J602" s="33"/>
      <c r="K602" s="9"/>
    </row>
    <row r="603" customFormat="false" ht="15" hidden="false" customHeight="true" outlineLevel="0" collapsed="false">
      <c r="A603" s="73"/>
      <c r="B603" s="74"/>
      <c r="C603" s="74"/>
      <c r="D603" s="73"/>
      <c r="E603" s="73"/>
      <c r="F603" s="73"/>
      <c r="G603" s="75"/>
      <c r="H603" s="75"/>
      <c r="I603" s="73"/>
      <c r="J603" s="31"/>
      <c r="K603" s="32"/>
    </row>
    <row r="604" customFormat="false" ht="15" hidden="false" customHeight="true" outlineLevel="0" collapsed="false">
      <c r="A604" s="9"/>
      <c r="B604" s="76"/>
      <c r="C604" s="76"/>
      <c r="D604" s="9"/>
      <c r="E604" s="9"/>
      <c r="F604" s="9"/>
      <c r="G604" s="33"/>
      <c r="H604" s="33"/>
      <c r="I604" s="9"/>
      <c r="J604" s="33"/>
      <c r="K604" s="9"/>
    </row>
    <row r="605" customFormat="false" ht="15" hidden="false" customHeight="true" outlineLevel="0" collapsed="false">
      <c r="A605" s="73"/>
      <c r="B605" s="74"/>
      <c r="C605" s="74"/>
      <c r="D605" s="73"/>
      <c r="E605" s="73"/>
      <c r="F605" s="73"/>
      <c r="G605" s="75"/>
      <c r="H605" s="75"/>
      <c r="I605" s="73"/>
      <c r="J605" s="31"/>
      <c r="K605" s="32"/>
    </row>
    <row r="606" customFormat="false" ht="15" hidden="false" customHeight="true" outlineLevel="0" collapsed="false">
      <c r="A606" s="9"/>
      <c r="B606" s="76"/>
      <c r="C606" s="76"/>
      <c r="D606" s="9"/>
      <c r="E606" s="9"/>
      <c r="F606" s="9"/>
      <c r="G606" s="33"/>
      <c r="H606" s="33"/>
      <c r="I606" s="9"/>
      <c r="J606" s="33"/>
      <c r="K606" s="9"/>
    </row>
    <row r="607" customFormat="false" ht="15" hidden="false" customHeight="true" outlineLevel="0" collapsed="false">
      <c r="A607" s="73"/>
      <c r="B607" s="74"/>
      <c r="C607" s="74"/>
      <c r="D607" s="73"/>
      <c r="E607" s="73"/>
      <c r="F607" s="73"/>
      <c r="G607" s="75"/>
      <c r="H607" s="75"/>
      <c r="I607" s="73"/>
      <c r="J607" s="31"/>
      <c r="K607" s="32"/>
    </row>
    <row r="608" customFormat="false" ht="15" hidden="false" customHeight="true" outlineLevel="0" collapsed="false">
      <c r="A608" s="9"/>
      <c r="B608" s="76"/>
      <c r="C608" s="76"/>
      <c r="D608" s="9"/>
      <c r="E608" s="9"/>
      <c r="F608" s="9"/>
      <c r="G608" s="33"/>
      <c r="H608" s="33"/>
      <c r="I608" s="9"/>
      <c r="J608" s="33"/>
      <c r="K608" s="9"/>
    </row>
    <row r="609" customFormat="false" ht="15" hidden="false" customHeight="true" outlineLevel="0" collapsed="false">
      <c r="A609" s="73"/>
      <c r="B609" s="74"/>
      <c r="C609" s="74"/>
      <c r="D609" s="73"/>
      <c r="E609" s="73"/>
      <c r="F609" s="73"/>
      <c r="G609" s="75"/>
      <c r="H609" s="75"/>
      <c r="I609" s="73"/>
      <c r="J609" s="31"/>
      <c r="K609" s="32"/>
    </row>
    <row r="610" customFormat="false" ht="15" hidden="false" customHeight="true" outlineLevel="0" collapsed="false">
      <c r="A610" s="9"/>
      <c r="B610" s="76"/>
      <c r="C610" s="76"/>
      <c r="D610" s="9"/>
      <c r="E610" s="9"/>
      <c r="F610" s="9"/>
      <c r="G610" s="33"/>
      <c r="H610" s="33"/>
      <c r="I610" s="9"/>
      <c r="J610" s="33"/>
      <c r="K610" s="9"/>
    </row>
    <row r="611" customFormat="false" ht="15" hidden="false" customHeight="true" outlineLevel="0" collapsed="false">
      <c r="A611" s="73"/>
      <c r="B611" s="74"/>
      <c r="C611" s="74"/>
      <c r="D611" s="73"/>
      <c r="E611" s="73"/>
      <c r="F611" s="73"/>
      <c r="G611" s="75"/>
      <c r="H611" s="75"/>
      <c r="I611" s="73"/>
      <c r="J611" s="31"/>
      <c r="K611" s="32"/>
    </row>
    <row r="612" customFormat="false" ht="15" hidden="false" customHeight="true" outlineLevel="0" collapsed="false">
      <c r="A612" s="9"/>
      <c r="B612" s="76"/>
      <c r="C612" s="76"/>
      <c r="D612" s="9"/>
      <c r="E612" s="9"/>
      <c r="F612" s="9"/>
      <c r="G612" s="33"/>
      <c r="H612" s="33"/>
      <c r="I612" s="9"/>
      <c r="J612" s="33"/>
      <c r="K612" s="9"/>
    </row>
    <row r="613" customFormat="false" ht="15" hidden="false" customHeight="true" outlineLevel="0" collapsed="false">
      <c r="A613" s="73"/>
      <c r="B613" s="74"/>
      <c r="C613" s="74"/>
      <c r="D613" s="73"/>
      <c r="E613" s="73"/>
      <c r="F613" s="73"/>
      <c r="G613" s="75"/>
      <c r="H613" s="75"/>
      <c r="I613" s="73"/>
      <c r="J613" s="31"/>
      <c r="K613" s="32"/>
    </row>
    <row r="614" customFormat="false" ht="15" hidden="false" customHeight="true" outlineLevel="0" collapsed="false">
      <c r="A614" s="9"/>
      <c r="B614" s="76"/>
      <c r="C614" s="76"/>
      <c r="D614" s="9"/>
      <c r="E614" s="9"/>
      <c r="F614" s="9"/>
      <c r="G614" s="33"/>
      <c r="H614" s="33"/>
      <c r="I614" s="9"/>
      <c r="J614" s="33"/>
      <c r="K614" s="9"/>
    </row>
    <row r="615" customFormat="false" ht="15" hidden="false" customHeight="true" outlineLevel="0" collapsed="false">
      <c r="A615" s="73"/>
      <c r="B615" s="74"/>
      <c r="C615" s="74"/>
      <c r="D615" s="73"/>
      <c r="E615" s="73"/>
      <c r="F615" s="73"/>
      <c r="G615" s="75"/>
      <c r="H615" s="75"/>
      <c r="I615" s="73"/>
      <c r="J615" s="31"/>
      <c r="K615" s="32"/>
    </row>
    <row r="616" customFormat="false" ht="15" hidden="false" customHeight="true" outlineLevel="0" collapsed="false">
      <c r="A616" s="9"/>
      <c r="B616" s="76"/>
      <c r="C616" s="76"/>
      <c r="D616" s="9"/>
      <c r="E616" s="9"/>
      <c r="F616" s="9"/>
      <c r="G616" s="33"/>
      <c r="H616" s="33"/>
      <c r="I616" s="9"/>
      <c r="J616" s="33"/>
      <c r="K616" s="9"/>
    </row>
    <row r="617" customFormat="false" ht="15" hidden="false" customHeight="true" outlineLevel="0" collapsed="false">
      <c r="A617" s="73"/>
      <c r="B617" s="74"/>
      <c r="C617" s="74"/>
      <c r="D617" s="73"/>
      <c r="E617" s="73"/>
      <c r="F617" s="73"/>
      <c r="G617" s="75"/>
      <c r="H617" s="75"/>
      <c r="I617" s="73"/>
      <c r="J617" s="31"/>
      <c r="K617" s="32"/>
    </row>
    <row r="618" customFormat="false" ht="15" hidden="false" customHeight="true" outlineLevel="0" collapsed="false">
      <c r="A618" s="9"/>
      <c r="B618" s="76"/>
      <c r="C618" s="76"/>
      <c r="D618" s="9"/>
      <c r="E618" s="9"/>
      <c r="F618" s="9"/>
      <c r="G618" s="33"/>
      <c r="H618" s="33"/>
      <c r="I618" s="9"/>
      <c r="J618" s="33"/>
      <c r="K618" s="9"/>
    </row>
    <row r="619" customFormat="false" ht="15" hidden="false" customHeight="true" outlineLevel="0" collapsed="false">
      <c r="A619" s="73"/>
      <c r="B619" s="74"/>
      <c r="C619" s="74"/>
      <c r="D619" s="73"/>
      <c r="E619" s="73"/>
      <c r="F619" s="73"/>
      <c r="G619" s="75"/>
      <c r="H619" s="75"/>
      <c r="I619" s="73"/>
      <c r="J619" s="31"/>
      <c r="K619" s="32"/>
    </row>
    <row r="620" customFormat="false" ht="15" hidden="false" customHeight="true" outlineLevel="0" collapsed="false">
      <c r="A620" s="9"/>
      <c r="B620" s="76"/>
      <c r="C620" s="76"/>
      <c r="D620" s="9"/>
      <c r="E620" s="9"/>
      <c r="F620" s="9"/>
      <c r="G620" s="33"/>
      <c r="H620" s="33"/>
      <c r="I620" s="9"/>
      <c r="J620" s="33"/>
      <c r="K620" s="9"/>
    </row>
    <row r="621" customFormat="false" ht="15" hidden="false" customHeight="true" outlineLevel="0" collapsed="false">
      <c r="A621" s="73"/>
      <c r="B621" s="74"/>
      <c r="C621" s="74"/>
      <c r="D621" s="73"/>
      <c r="E621" s="73"/>
      <c r="F621" s="73"/>
      <c r="G621" s="75"/>
      <c r="H621" s="75"/>
      <c r="I621" s="73"/>
      <c r="J621" s="31"/>
      <c r="K621" s="32"/>
    </row>
    <row r="622" customFormat="false" ht="15" hidden="false" customHeight="true" outlineLevel="0" collapsed="false">
      <c r="A622" s="9"/>
      <c r="B622" s="76"/>
      <c r="C622" s="76"/>
      <c r="D622" s="9"/>
      <c r="E622" s="9"/>
      <c r="F622" s="9"/>
      <c r="G622" s="33"/>
      <c r="H622" s="33"/>
      <c r="I622" s="9"/>
      <c r="J622" s="33"/>
      <c r="K622" s="9"/>
    </row>
    <row r="623" customFormat="false" ht="15" hidden="false" customHeight="true" outlineLevel="0" collapsed="false">
      <c r="A623" s="73"/>
      <c r="B623" s="74"/>
      <c r="C623" s="74"/>
      <c r="D623" s="73"/>
      <c r="E623" s="73"/>
      <c r="F623" s="73"/>
      <c r="G623" s="75"/>
      <c r="H623" s="75"/>
      <c r="I623" s="73"/>
      <c r="J623" s="31"/>
      <c r="K623" s="32"/>
    </row>
    <row r="624" customFormat="false" ht="15" hidden="false" customHeight="true" outlineLevel="0" collapsed="false">
      <c r="A624" s="9"/>
      <c r="B624" s="76"/>
      <c r="C624" s="76"/>
      <c r="D624" s="9"/>
      <c r="E624" s="9"/>
      <c r="F624" s="9"/>
      <c r="G624" s="33"/>
      <c r="H624" s="33"/>
      <c r="I624" s="9"/>
      <c r="J624" s="33"/>
      <c r="K624" s="9"/>
    </row>
    <row r="625" customFormat="false" ht="15" hidden="false" customHeight="true" outlineLevel="0" collapsed="false">
      <c r="A625" s="73"/>
      <c r="B625" s="74"/>
      <c r="C625" s="74"/>
      <c r="D625" s="73"/>
      <c r="E625" s="73"/>
      <c r="F625" s="73"/>
      <c r="G625" s="75"/>
      <c r="H625" s="75"/>
      <c r="I625" s="73"/>
      <c r="J625" s="31"/>
      <c r="K625" s="32"/>
    </row>
    <row r="626" customFormat="false" ht="15" hidden="false" customHeight="true" outlineLevel="0" collapsed="false">
      <c r="A626" s="9"/>
      <c r="B626" s="76"/>
      <c r="C626" s="76"/>
      <c r="D626" s="9"/>
      <c r="E626" s="9"/>
      <c r="F626" s="9"/>
      <c r="G626" s="33"/>
      <c r="H626" s="33"/>
      <c r="I626" s="9"/>
      <c r="J626" s="33"/>
      <c r="K626" s="9"/>
    </row>
    <row r="627" customFormat="false" ht="15" hidden="false" customHeight="true" outlineLevel="0" collapsed="false">
      <c r="A627" s="73"/>
      <c r="B627" s="74"/>
      <c r="C627" s="74"/>
      <c r="D627" s="73"/>
      <c r="E627" s="73"/>
      <c r="F627" s="73"/>
      <c r="G627" s="75"/>
      <c r="H627" s="75"/>
      <c r="I627" s="73"/>
      <c r="J627" s="31"/>
      <c r="K627" s="32"/>
    </row>
    <row r="628" customFormat="false" ht="15" hidden="false" customHeight="true" outlineLevel="0" collapsed="false">
      <c r="A628" s="9"/>
      <c r="B628" s="76"/>
      <c r="C628" s="76"/>
      <c r="D628" s="9"/>
      <c r="E628" s="9"/>
      <c r="F628" s="9"/>
      <c r="G628" s="33"/>
      <c r="H628" s="33"/>
      <c r="I628" s="9"/>
      <c r="J628" s="33"/>
      <c r="K628" s="9"/>
    </row>
    <row r="629" customFormat="false" ht="15" hidden="false" customHeight="true" outlineLevel="0" collapsed="false">
      <c r="A629" s="73"/>
      <c r="B629" s="74"/>
      <c r="C629" s="74"/>
      <c r="D629" s="73"/>
      <c r="E629" s="73"/>
      <c r="F629" s="73"/>
      <c r="G629" s="75"/>
      <c r="H629" s="75"/>
      <c r="I629" s="73"/>
      <c r="J629" s="31"/>
      <c r="K629" s="32"/>
    </row>
    <row r="630" customFormat="false" ht="15" hidden="false" customHeight="true" outlineLevel="0" collapsed="false">
      <c r="A630" s="9"/>
      <c r="B630" s="76"/>
      <c r="C630" s="76"/>
      <c r="D630" s="9"/>
      <c r="E630" s="9"/>
      <c r="F630" s="9"/>
      <c r="G630" s="33"/>
      <c r="H630" s="33"/>
      <c r="I630" s="9"/>
      <c r="J630" s="33"/>
      <c r="K630" s="9"/>
    </row>
    <row r="631" customFormat="false" ht="15" hidden="false" customHeight="true" outlineLevel="0" collapsed="false">
      <c r="A631" s="73"/>
      <c r="B631" s="74"/>
      <c r="C631" s="74"/>
      <c r="D631" s="73"/>
      <c r="E631" s="73"/>
      <c r="F631" s="73"/>
      <c r="G631" s="75"/>
      <c r="H631" s="75"/>
      <c r="I631" s="73"/>
      <c r="J631" s="31"/>
      <c r="K631" s="32"/>
    </row>
    <row r="632" customFormat="false" ht="15" hidden="false" customHeight="true" outlineLevel="0" collapsed="false">
      <c r="A632" s="9"/>
      <c r="B632" s="76"/>
      <c r="C632" s="76"/>
      <c r="D632" s="9"/>
      <c r="E632" s="9"/>
      <c r="F632" s="9"/>
      <c r="G632" s="33"/>
      <c r="H632" s="33"/>
      <c r="I632" s="9"/>
      <c r="J632" s="33"/>
      <c r="K632" s="9"/>
    </row>
    <row r="633" customFormat="false" ht="15" hidden="false" customHeight="true" outlineLevel="0" collapsed="false">
      <c r="A633" s="73"/>
      <c r="B633" s="74"/>
      <c r="C633" s="74"/>
      <c r="D633" s="73"/>
      <c r="E633" s="73"/>
      <c r="F633" s="73"/>
      <c r="G633" s="75"/>
      <c r="H633" s="75"/>
      <c r="I633" s="73"/>
      <c r="J633" s="31"/>
      <c r="K633" s="32"/>
    </row>
    <row r="634" customFormat="false" ht="15" hidden="false" customHeight="true" outlineLevel="0" collapsed="false">
      <c r="A634" s="9"/>
      <c r="B634" s="76"/>
      <c r="C634" s="76"/>
      <c r="D634" s="9"/>
      <c r="E634" s="9"/>
      <c r="F634" s="9"/>
      <c r="G634" s="33"/>
      <c r="H634" s="33"/>
      <c r="I634" s="9"/>
      <c r="J634" s="33"/>
      <c r="K634" s="9"/>
    </row>
    <row r="635" customFormat="false" ht="15" hidden="false" customHeight="true" outlineLevel="0" collapsed="false">
      <c r="A635" s="73"/>
      <c r="B635" s="74"/>
      <c r="C635" s="74"/>
      <c r="D635" s="73"/>
      <c r="E635" s="73"/>
      <c r="F635" s="73"/>
      <c r="G635" s="75"/>
      <c r="H635" s="75"/>
      <c r="I635" s="73"/>
      <c r="J635" s="31"/>
      <c r="K635" s="32"/>
    </row>
    <row r="636" customFormat="false" ht="15" hidden="false" customHeight="true" outlineLevel="0" collapsed="false">
      <c r="A636" s="9"/>
      <c r="B636" s="76"/>
      <c r="C636" s="76"/>
      <c r="D636" s="9"/>
      <c r="E636" s="9"/>
      <c r="F636" s="9"/>
      <c r="G636" s="33"/>
      <c r="H636" s="33"/>
      <c r="I636" s="9"/>
      <c r="J636" s="33"/>
      <c r="K636" s="9"/>
    </row>
    <row r="637" customFormat="false" ht="15" hidden="false" customHeight="true" outlineLevel="0" collapsed="false">
      <c r="A637" s="73"/>
      <c r="B637" s="74"/>
      <c r="C637" s="74"/>
      <c r="D637" s="73"/>
      <c r="E637" s="73"/>
      <c r="F637" s="73"/>
      <c r="G637" s="75"/>
      <c r="H637" s="75"/>
      <c r="I637" s="73"/>
      <c r="J637" s="31"/>
      <c r="K637" s="32"/>
    </row>
    <row r="638" customFormat="false" ht="15" hidden="false" customHeight="true" outlineLevel="0" collapsed="false">
      <c r="A638" s="9"/>
      <c r="B638" s="76"/>
      <c r="C638" s="76"/>
      <c r="D638" s="9"/>
      <c r="E638" s="9"/>
      <c r="F638" s="9"/>
      <c r="G638" s="33"/>
      <c r="H638" s="33"/>
      <c r="I638" s="9"/>
      <c r="J638" s="33"/>
      <c r="K638" s="9"/>
    </row>
    <row r="639" customFormat="false" ht="15" hidden="false" customHeight="true" outlineLevel="0" collapsed="false">
      <c r="A639" s="73"/>
      <c r="B639" s="74"/>
      <c r="C639" s="74"/>
      <c r="D639" s="73"/>
      <c r="E639" s="73"/>
      <c r="F639" s="73"/>
      <c r="G639" s="75"/>
      <c r="H639" s="75"/>
      <c r="I639" s="73"/>
      <c r="J639" s="31"/>
      <c r="K639" s="32"/>
    </row>
    <row r="640" customFormat="false" ht="15" hidden="false" customHeight="true" outlineLevel="0" collapsed="false">
      <c r="A640" s="9"/>
      <c r="B640" s="76"/>
      <c r="C640" s="76"/>
      <c r="D640" s="9"/>
      <c r="E640" s="9"/>
      <c r="F640" s="9"/>
      <c r="G640" s="33"/>
      <c r="H640" s="33"/>
      <c r="I640" s="9"/>
      <c r="J640" s="33"/>
      <c r="K640" s="9"/>
    </row>
    <row r="641" customFormat="false" ht="15" hidden="false" customHeight="true" outlineLevel="0" collapsed="false">
      <c r="A641" s="73"/>
      <c r="B641" s="74"/>
      <c r="C641" s="74"/>
      <c r="D641" s="73"/>
      <c r="E641" s="73"/>
      <c r="F641" s="73"/>
      <c r="G641" s="75"/>
      <c r="H641" s="75"/>
      <c r="I641" s="73"/>
      <c r="J641" s="31"/>
      <c r="K641" s="32"/>
    </row>
    <row r="642" customFormat="false" ht="15" hidden="false" customHeight="true" outlineLevel="0" collapsed="false">
      <c r="A642" s="9"/>
      <c r="B642" s="76"/>
      <c r="C642" s="76"/>
      <c r="D642" s="9"/>
      <c r="E642" s="9"/>
      <c r="F642" s="9"/>
      <c r="G642" s="33"/>
      <c r="H642" s="33"/>
      <c r="I642" s="9"/>
      <c r="J642" s="33"/>
      <c r="K642" s="9"/>
    </row>
    <row r="643" customFormat="false" ht="15" hidden="false" customHeight="true" outlineLevel="0" collapsed="false">
      <c r="A643" s="73"/>
      <c r="B643" s="74"/>
      <c r="C643" s="74"/>
      <c r="D643" s="73"/>
      <c r="E643" s="73"/>
      <c r="F643" s="73"/>
      <c r="G643" s="75"/>
      <c r="H643" s="75"/>
      <c r="I643" s="73"/>
      <c r="J643" s="31"/>
      <c r="K643" s="32"/>
    </row>
    <row r="644" customFormat="false" ht="15" hidden="false" customHeight="true" outlineLevel="0" collapsed="false">
      <c r="A644" s="9"/>
      <c r="B644" s="76"/>
      <c r="C644" s="76"/>
      <c r="D644" s="9"/>
      <c r="E644" s="9"/>
      <c r="F644" s="9"/>
      <c r="G644" s="33"/>
      <c r="H644" s="33"/>
      <c r="I644" s="9"/>
      <c r="J644" s="33"/>
      <c r="K644" s="9"/>
    </row>
    <row r="645" customFormat="false" ht="15" hidden="false" customHeight="true" outlineLevel="0" collapsed="false">
      <c r="A645" s="73"/>
      <c r="B645" s="74"/>
      <c r="C645" s="74"/>
      <c r="D645" s="73"/>
      <c r="E645" s="73"/>
      <c r="F645" s="73"/>
      <c r="G645" s="75"/>
      <c r="H645" s="75"/>
      <c r="I645" s="73"/>
      <c r="J645" s="31"/>
      <c r="K645" s="32"/>
    </row>
    <row r="646" customFormat="false" ht="15" hidden="false" customHeight="true" outlineLevel="0" collapsed="false">
      <c r="A646" s="9"/>
      <c r="B646" s="76"/>
      <c r="C646" s="76"/>
      <c r="D646" s="9"/>
      <c r="E646" s="9"/>
      <c r="F646" s="9"/>
      <c r="G646" s="33"/>
      <c r="H646" s="33"/>
      <c r="I646" s="9"/>
      <c r="J646" s="33"/>
      <c r="K646" s="9"/>
    </row>
    <row r="647" customFormat="false" ht="15" hidden="false" customHeight="true" outlineLevel="0" collapsed="false">
      <c r="A647" s="73"/>
      <c r="B647" s="74"/>
      <c r="C647" s="74"/>
      <c r="D647" s="73"/>
      <c r="E647" s="73"/>
      <c r="F647" s="73"/>
      <c r="G647" s="75"/>
      <c r="H647" s="75"/>
      <c r="I647" s="73"/>
      <c r="J647" s="31"/>
      <c r="K647" s="32"/>
    </row>
    <row r="648" customFormat="false" ht="15" hidden="false" customHeight="true" outlineLevel="0" collapsed="false">
      <c r="A648" s="9"/>
      <c r="B648" s="76"/>
      <c r="C648" s="76"/>
      <c r="D648" s="9"/>
      <c r="E648" s="9"/>
      <c r="F648" s="9"/>
      <c r="G648" s="33"/>
      <c r="H648" s="33"/>
      <c r="I648" s="9"/>
      <c r="J648" s="33"/>
      <c r="K648" s="9"/>
    </row>
    <row r="649" customFormat="false" ht="15" hidden="false" customHeight="true" outlineLevel="0" collapsed="false">
      <c r="A649" s="73"/>
      <c r="B649" s="74"/>
      <c r="C649" s="74"/>
      <c r="D649" s="73"/>
      <c r="E649" s="73"/>
      <c r="F649" s="73"/>
      <c r="G649" s="75"/>
      <c r="H649" s="75"/>
      <c r="I649" s="73"/>
      <c r="J649" s="31"/>
      <c r="K649" s="32"/>
    </row>
    <row r="650" customFormat="false" ht="15" hidden="false" customHeight="true" outlineLevel="0" collapsed="false">
      <c r="A650" s="9"/>
      <c r="B650" s="76"/>
      <c r="C650" s="76"/>
      <c r="D650" s="9"/>
      <c r="E650" s="9"/>
      <c r="F650" s="9"/>
      <c r="G650" s="33"/>
      <c r="H650" s="33"/>
      <c r="I650" s="9"/>
      <c r="J650" s="33"/>
      <c r="K650" s="9"/>
    </row>
    <row r="651" customFormat="false" ht="15" hidden="false" customHeight="true" outlineLevel="0" collapsed="false">
      <c r="A651" s="73"/>
      <c r="B651" s="74"/>
      <c r="C651" s="74"/>
      <c r="D651" s="73"/>
      <c r="E651" s="73"/>
      <c r="F651" s="73"/>
      <c r="G651" s="75"/>
      <c r="H651" s="75"/>
      <c r="I651" s="73"/>
      <c r="J651" s="31"/>
      <c r="K651" s="32"/>
    </row>
    <row r="652" customFormat="false" ht="15" hidden="false" customHeight="true" outlineLevel="0" collapsed="false">
      <c r="A652" s="9"/>
      <c r="B652" s="76"/>
      <c r="C652" s="76"/>
      <c r="D652" s="9"/>
      <c r="E652" s="9"/>
      <c r="F652" s="9"/>
      <c r="G652" s="33"/>
      <c r="H652" s="33"/>
      <c r="I652" s="9"/>
      <c r="J652" s="33"/>
      <c r="K652" s="9"/>
    </row>
    <row r="653" customFormat="false" ht="15" hidden="false" customHeight="true" outlineLevel="0" collapsed="false">
      <c r="A653" s="73"/>
      <c r="B653" s="74"/>
      <c r="C653" s="74"/>
      <c r="D653" s="73"/>
      <c r="E653" s="73"/>
      <c r="F653" s="73"/>
      <c r="G653" s="75"/>
      <c r="H653" s="75"/>
      <c r="I653" s="73"/>
      <c r="J653" s="31"/>
      <c r="K653" s="32"/>
    </row>
    <row r="654" customFormat="false" ht="15" hidden="false" customHeight="true" outlineLevel="0" collapsed="false">
      <c r="A654" s="9"/>
      <c r="B654" s="76"/>
      <c r="C654" s="76"/>
      <c r="D654" s="9"/>
      <c r="E654" s="9"/>
      <c r="F654" s="9"/>
      <c r="G654" s="33"/>
      <c r="H654" s="33"/>
      <c r="I654" s="9"/>
      <c r="J654" s="33"/>
      <c r="K654" s="9"/>
    </row>
    <row r="655" customFormat="false" ht="15" hidden="false" customHeight="true" outlineLevel="0" collapsed="false">
      <c r="A655" s="73"/>
      <c r="B655" s="74"/>
      <c r="C655" s="74"/>
      <c r="D655" s="73"/>
      <c r="E655" s="73"/>
      <c r="F655" s="73"/>
      <c r="G655" s="75"/>
      <c r="H655" s="75"/>
      <c r="I655" s="73"/>
      <c r="J655" s="31"/>
      <c r="K655" s="32"/>
    </row>
    <row r="656" customFormat="false" ht="15" hidden="false" customHeight="true" outlineLevel="0" collapsed="false">
      <c r="A656" s="9"/>
      <c r="B656" s="76"/>
      <c r="C656" s="76"/>
      <c r="D656" s="9"/>
      <c r="E656" s="9"/>
      <c r="F656" s="9"/>
      <c r="G656" s="33"/>
      <c r="H656" s="33"/>
      <c r="I656" s="9"/>
      <c r="J656" s="33"/>
      <c r="K656" s="9"/>
    </row>
    <row r="657" customFormat="false" ht="15" hidden="false" customHeight="true" outlineLevel="0" collapsed="false">
      <c r="A657" s="73"/>
      <c r="B657" s="74"/>
      <c r="C657" s="74"/>
      <c r="D657" s="73"/>
      <c r="E657" s="73"/>
      <c r="F657" s="73"/>
      <c r="G657" s="75"/>
      <c r="H657" s="75"/>
      <c r="I657" s="73"/>
      <c r="J657" s="31"/>
      <c r="K657" s="32"/>
    </row>
    <row r="658" customFormat="false" ht="15" hidden="false" customHeight="true" outlineLevel="0" collapsed="false">
      <c r="A658" s="9"/>
      <c r="B658" s="76"/>
      <c r="C658" s="76"/>
      <c r="D658" s="9"/>
      <c r="E658" s="9"/>
      <c r="F658" s="9"/>
      <c r="G658" s="33"/>
      <c r="H658" s="33"/>
      <c r="I658" s="9"/>
      <c r="J658" s="33"/>
      <c r="K658" s="9"/>
    </row>
    <row r="659" customFormat="false" ht="15" hidden="false" customHeight="true" outlineLevel="0" collapsed="false">
      <c r="A659" s="73"/>
      <c r="B659" s="74"/>
      <c r="C659" s="74"/>
      <c r="D659" s="73"/>
      <c r="E659" s="73"/>
      <c r="F659" s="73"/>
      <c r="G659" s="75"/>
      <c r="H659" s="75"/>
      <c r="I659" s="73"/>
      <c r="J659" s="31"/>
      <c r="K659" s="32"/>
    </row>
    <row r="660" customFormat="false" ht="15" hidden="false" customHeight="true" outlineLevel="0" collapsed="false">
      <c r="A660" s="9"/>
      <c r="B660" s="76"/>
      <c r="C660" s="76"/>
      <c r="D660" s="9"/>
      <c r="E660" s="9"/>
      <c r="F660" s="9"/>
      <c r="G660" s="33"/>
      <c r="H660" s="33"/>
      <c r="I660" s="9"/>
      <c r="J660" s="33"/>
      <c r="K660" s="9"/>
    </row>
    <row r="661" customFormat="false" ht="15" hidden="false" customHeight="true" outlineLevel="0" collapsed="false">
      <c r="A661" s="73"/>
      <c r="B661" s="74"/>
      <c r="C661" s="74"/>
      <c r="D661" s="73"/>
      <c r="E661" s="73"/>
      <c r="F661" s="73"/>
      <c r="G661" s="75"/>
      <c r="H661" s="75"/>
      <c r="I661" s="73"/>
      <c r="J661" s="31"/>
      <c r="K661" s="32"/>
    </row>
    <row r="662" customFormat="false" ht="15" hidden="false" customHeight="true" outlineLevel="0" collapsed="false">
      <c r="A662" s="9"/>
      <c r="B662" s="76"/>
      <c r="C662" s="76"/>
      <c r="D662" s="9"/>
      <c r="E662" s="9"/>
      <c r="F662" s="9"/>
      <c r="G662" s="33"/>
      <c r="H662" s="33"/>
      <c r="I662" s="9"/>
      <c r="J662" s="33"/>
      <c r="K662" s="9"/>
    </row>
    <row r="663" customFormat="false" ht="15" hidden="false" customHeight="true" outlineLevel="0" collapsed="false">
      <c r="A663" s="73"/>
      <c r="B663" s="74"/>
      <c r="C663" s="74"/>
      <c r="D663" s="73"/>
      <c r="E663" s="73"/>
      <c r="F663" s="73"/>
      <c r="G663" s="75"/>
      <c r="H663" s="75"/>
      <c r="I663" s="73"/>
      <c r="J663" s="31"/>
      <c r="K663" s="32"/>
    </row>
    <row r="664" customFormat="false" ht="15" hidden="false" customHeight="true" outlineLevel="0" collapsed="false">
      <c r="A664" s="9"/>
      <c r="B664" s="76"/>
      <c r="C664" s="76"/>
      <c r="D664" s="9"/>
      <c r="E664" s="9"/>
      <c r="F664" s="9"/>
      <c r="G664" s="33"/>
      <c r="H664" s="33"/>
      <c r="I664" s="9"/>
      <c r="J664" s="33"/>
      <c r="K664" s="9"/>
    </row>
    <row r="665" customFormat="false" ht="15" hidden="false" customHeight="true" outlineLevel="0" collapsed="false">
      <c r="A665" s="73"/>
      <c r="B665" s="74"/>
      <c r="C665" s="74"/>
      <c r="D665" s="73"/>
      <c r="E665" s="73"/>
      <c r="F665" s="73"/>
      <c r="G665" s="75"/>
      <c r="H665" s="75"/>
      <c r="I665" s="73"/>
      <c r="J665" s="31"/>
      <c r="K665" s="32"/>
    </row>
    <row r="666" customFormat="false" ht="15" hidden="false" customHeight="true" outlineLevel="0" collapsed="false">
      <c r="A666" s="9"/>
      <c r="B666" s="76"/>
      <c r="C666" s="76"/>
      <c r="D666" s="9"/>
      <c r="E666" s="9"/>
      <c r="F666" s="9"/>
      <c r="G666" s="33"/>
      <c r="H666" s="33"/>
      <c r="I666" s="9"/>
      <c r="J666" s="33"/>
      <c r="K666" s="9"/>
    </row>
    <row r="667" customFormat="false" ht="15" hidden="false" customHeight="true" outlineLevel="0" collapsed="false">
      <c r="A667" s="73"/>
      <c r="B667" s="74"/>
      <c r="C667" s="74"/>
      <c r="D667" s="73"/>
      <c r="E667" s="73"/>
      <c r="F667" s="73"/>
      <c r="G667" s="75"/>
      <c r="H667" s="75"/>
      <c r="I667" s="73"/>
      <c r="J667" s="31"/>
      <c r="K667" s="32"/>
    </row>
    <row r="668" customFormat="false" ht="15" hidden="false" customHeight="true" outlineLevel="0" collapsed="false">
      <c r="A668" s="9"/>
      <c r="B668" s="76"/>
      <c r="C668" s="76"/>
      <c r="D668" s="9"/>
      <c r="E668" s="9"/>
      <c r="F668" s="9"/>
      <c r="G668" s="33"/>
      <c r="H668" s="33"/>
      <c r="I668" s="9"/>
      <c r="J668" s="33"/>
      <c r="K668" s="9"/>
    </row>
    <row r="669" customFormat="false" ht="15" hidden="false" customHeight="true" outlineLevel="0" collapsed="false">
      <c r="A669" s="73"/>
      <c r="B669" s="74"/>
      <c r="C669" s="74"/>
      <c r="D669" s="73"/>
      <c r="E669" s="73"/>
      <c r="F669" s="73"/>
      <c r="G669" s="75"/>
      <c r="H669" s="75"/>
      <c r="I669" s="73"/>
      <c r="J669" s="31"/>
      <c r="K669" s="32"/>
    </row>
    <row r="670" customFormat="false" ht="15" hidden="false" customHeight="true" outlineLevel="0" collapsed="false">
      <c r="A670" s="9"/>
      <c r="B670" s="76"/>
      <c r="C670" s="76"/>
      <c r="D670" s="9"/>
      <c r="E670" s="9"/>
      <c r="F670" s="9"/>
      <c r="G670" s="33"/>
      <c r="H670" s="33"/>
      <c r="I670" s="9"/>
      <c r="J670" s="33"/>
      <c r="K670" s="9"/>
    </row>
    <row r="671" customFormat="false" ht="15" hidden="false" customHeight="true" outlineLevel="0" collapsed="false">
      <c r="A671" s="73"/>
      <c r="B671" s="74"/>
      <c r="C671" s="74"/>
      <c r="D671" s="73"/>
      <c r="E671" s="73"/>
      <c r="F671" s="73"/>
      <c r="G671" s="75"/>
      <c r="H671" s="75"/>
      <c r="I671" s="73"/>
      <c r="J671" s="31"/>
      <c r="K671" s="32"/>
    </row>
    <row r="672" customFormat="false" ht="15" hidden="false" customHeight="true" outlineLevel="0" collapsed="false">
      <c r="A672" s="9"/>
      <c r="B672" s="76"/>
      <c r="C672" s="76"/>
      <c r="D672" s="9"/>
      <c r="E672" s="9"/>
      <c r="F672" s="9"/>
      <c r="G672" s="33"/>
      <c r="H672" s="33"/>
      <c r="I672" s="9"/>
      <c r="J672" s="33"/>
      <c r="K672" s="9"/>
    </row>
    <row r="673" customFormat="false" ht="15" hidden="false" customHeight="true" outlineLevel="0" collapsed="false">
      <c r="A673" s="73"/>
      <c r="B673" s="74"/>
      <c r="C673" s="74"/>
      <c r="D673" s="73"/>
      <c r="E673" s="73"/>
      <c r="F673" s="73"/>
      <c r="G673" s="75"/>
      <c r="H673" s="75"/>
      <c r="I673" s="73"/>
      <c r="J673" s="31"/>
      <c r="K673" s="32"/>
    </row>
    <row r="674" customFormat="false" ht="15" hidden="false" customHeight="true" outlineLevel="0" collapsed="false">
      <c r="A674" s="9"/>
      <c r="B674" s="76"/>
      <c r="C674" s="76"/>
      <c r="D674" s="9"/>
      <c r="E674" s="9"/>
      <c r="F674" s="9"/>
      <c r="G674" s="33"/>
      <c r="H674" s="33"/>
      <c r="I674" s="9"/>
      <c r="J674" s="33"/>
      <c r="K674" s="9"/>
    </row>
    <row r="675" customFormat="false" ht="15" hidden="false" customHeight="true" outlineLevel="0" collapsed="false">
      <c r="A675" s="73"/>
      <c r="B675" s="74"/>
      <c r="C675" s="74"/>
      <c r="D675" s="73"/>
      <c r="E675" s="73"/>
      <c r="F675" s="73"/>
      <c r="G675" s="75"/>
      <c r="H675" s="75"/>
      <c r="I675" s="73"/>
      <c r="J675" s="31"/>
      <c r="K675" s="32"/>
    </row>
    <row r="676" customFormat="false" ht="15" hidden="false" customHeight="true" outlineLevel="0" collapsed="false">
      <c r="A676" s="9"/>
      <c r="B676" s="76"/>
      <c r="C676" s="76"/>
      <c r="D676" s="9"/>
      <c r="E676" s="9"/>
      <c r="F676" s="9"/>
      <c r="G676" s="33"/>
      <c r="H676" s="33"/>
      <c r="I676" s="9"/>
      <c r="J676" s="33"/>
      <c r="K676" s="9"/>
    </row>
    <row r="677" customFormat="false" ht="15" hidden="false" customHeight="true" outlineLevel="0" collapsed="false">
      <c r="A677" s="73"/>
      <c r="B677" s="74"/>
      <c r="C677" s="74"/>
      <c r="D677" s="73"/>
      <c r="E677" s="73"/>
      <c r="F677" s="73"/>
      <c r="G677" s="75"/>
      <c r="H677" s="75"/>
      <c r="I677" s="73"/>
      <c r="J677" s="31"/>
      <c r="K677" s="32"/>
    </row>
    <row r="678" customFormat="false" ht="15" hidden="false" customHeight="true" outlineLevel="0" collapsed="false">
      <c r="A678" s="9"/>
      <c r="B678" s="76"/>
      <c r="C678" s="76"/>
      <c r="D678" s="9"/>
      <c r="E678" s="9"/>
      <c r="F678" s="9"/>
      <c r="G678" s="33"/>
      <c r="H678" s="33"/>
      <c r="I678" s="9"/>
      <c r="J678" s="33"/>
      <c r="K678" s="9"/>
    </row>
    <row r="679" customFormat="false" ht="15" hidden="false" customHeight="true" outlineLevel="0" collapsed="false">
      <c r="A679" s="73"/>
      <c r="B679" s="74"/>
      <c r="C679" s="74"/>
      <c r="D679" s="73"/>
      <c r="E679" s="73"/>
      <c r="F679" s="73"/>
      <c r="G679" s="75"/>
      <c r="H679" s="75"/>
      <c r="I679" s="73"/>
      <c r="J679" s="31"/>
      <c r="K679" s="32"/>
    </row>
    <row r="680" customFormat="false" ht="15" hidden="false" customHeight="true" outlineLevel="0" collapsed="false">
      <c r="A680" s="9"/>
      <c r="B680" s="76"/>
      <c r="C680" s="76"/>
      <c r="D680" s="9"/>
      <c r="E680" s="9"/>
      <c r="F680" s="9"/>
      <c r="G680" s="33"/>
      <c r="H680" s="33"/>
      <c r="I680" s="9"/>
      <c r="J680" s="33"/>
      <c r="K680" s="9"/>
    </row>
    <row r="681" customFormat="false" ht="15" hidden="false" customHeight="true" outlineLevel="0" collapsed="false">
      <c r="A681" s="73"/>
      <c r="B681" s="74"/>
      <c r="C681" s="74"/>
      <c r="D681" s="73"/>
      <c r="E681" s="73"/>
      <c r="F681" s="73"/>
      <c r="G681" s="75"/>
      <c r="H681" s="75"/>
      <c r="I681" s="73"/>
      <c r="J681" s="31"/>
      <c r="K681" s="32"/>
    </row>
    <row r="682" customFormat="false" ht="15" hidden="false" customHeight="true" outlineLevel="0" collapsed="false">
      <c r="A682" s="9"/>
      <c r="B682" s="76"/>
      <c r="C682" s="76"/>
      <c r="D682" s="9"/>
      <c r="E682" s="9"/>
      <c r="F682" s="9"/>
      <c r="G682" s="33"/>
      <c r="H682" s="33"/>
      <c r="I682" s="9"/>
      <c r="J682" s="33"/>
      <c r="K682" s="9"/>
    </row>
    <row r="683" customFormat="false" ht="15" hidden="false" customHeight="true" outlineLevel="0" collapsed="false">
      <c r="A683" s="73"/>
      <c r="B683" s="74"/>
      <c r="C683" s="74"/>
      <c r="D683" s="73"/>
      <c r="E683" s="73"/>
      <c r="F683" s="73"/>
      <c r="G683" s="75"/>
      <c r="H683" s="75"/>
      <c r="I683" s="73"/>
      <c r="J683" s="31"/>
      <c r="K683" s="32"/>
    </row>
    <row r="684" customFormat="false" ht="15" hidden="false" customHeight="true" outlineLevel="0" collapsed="false">
      <c r="A684" s="9"/>
      <c r="B684" s="76"/>
      <c r="C684" s="76"/>
      <c r="D684" s="9"/>
      <c r="E684" s="9"/>
      <c r="F684" s="9"/>
      <c r="G684" s="33"/>
      <c r="H684" s="33"/>
      <c r="I684" s="9"/>
      <c r="J684" s="33"/>
      <c r="K684" s="9"/>
    </row>
    <row r="685" customFormat="false" ht="15" hidden="false" customHeight="true" outlineLevel="0" collapsed="false">
      <c r="A685" s="73"/>
      <c r="B685" s="74"/>
      <c r="C685" s="74"/>
      <c r="D685" s="73"/>
      <c r="E685" s="73"/>
      <c r="F685" s="73"/>
      <c r="G685" s="75"/>
      <c r="H685" s="75"/>
      <c r="I685" s="73"/>
      <c r="J685" s="31"/>
      <c r="K685" s="32"/>
    </row>
    <row r="686" customFormat="false" ht="15" hidden="false" customHeight="true" outlineLevel="0" collapsed="false">
      <c r="A686" s="9"/>
      <c r="B686" s="76"/>
      <c r="C686" s="76"/>
      <c r="D686" s="9"/>
      <c r="E686" s="9"/>
      <c r="F686" s="9"/>
      <c r="G686" s="33"/>
      <c r="H686" s="33"/>
      <c r="I686" s="9"/>
      <c r="J686" s="33"/>
      <c r="K686" s="9"/>
    </row>
    <row r="687" customFormat="false" ht="15" hidden="false" customHeight="true" outlineLevel="0" collapsed="false">
      <c r="A687" s="73"/>
      <c r="B687" s="74"/>
      <c r="C687" s="74"/>
      <c r="D687" s="73"/>
      <c r="E687" s="73"/>
      <c r="F687" s="73"/>
      <c r="G687" s="75"/>
      <c r="H687" s="75"/>
      <c r="I687" s="73"/>
      <c r="J687" s="31"/>
      <c r="K687" s="32"/>
    </row>
    <row r="688" customFormat="false" ht="15" hidden="false" customHeight="true" outlineLevel="0" collapsed="false">
      <c r="A688" s="9"/>
      <c r="B688" s="76"/>
      <c r="C688" s="76"/>
      <c r="D688" s="9"/>
      <c r="E688" s="9"/>
      <c r="F688" s="9"/>
      <c r="G688" s="33"/>
      <c r="H688" s="33"/>
      <c r="I688" s="9"/>
      <c r="J688" s="33"/>
      <c r="K688" s="9"/>
    </row>
    <row r="689" customFormat="false" ht="15" hidden="false" customHeight="true" outlineLevel="0" collapsed="false">
      <c r="A689" s="73"/>
      <c r="B689" s="74"/>
      <c r="C689" s="74"/>
      <c r="D689" s="73"/>
      <c r="E689" s="73"/>
      <c r="F689" s="73"/>
      <c r="G689" s="75"/>
      <c r="H689" s="75"/>
      <c r="I689" s="73"/>
      <c r="J689" s="31"/>
      <c r="K689" s="32"/>
    </row>
    <row r="690" customFormat="false" ht="15" hidden="false" customHeight="true" outlineLevel="0" collapsed="false">
      <c r="A690" s="9"/>
      <c r="B690" s="76"/>
      <c r="C690" s="76"/>
      <c r="D690" s="9"/>
      <c r="E690" s="9"/>
      <c r="F690" s="9"/>
      <c r="G690" s="33"/>
      <c r="H690" s="33"/>
      <c r="I690" s="9"/>
      <c r="J690" s="33"/>
      <c r="K690" s="9"/>
    </row>
    <row r="691" customFormat="false" ht="15" hidden="false" customHeight="true" outlineLevel="0" collapsed="false">
      <c r="A691" s="73"/>
      <c r="B691" s="74"/>
      <c r="C691" s="74"/>
      <c r="D691" s="73"/>
      <c r="E691" s="73"/>
      <c r="F691" s="73"/>
      <c r="G691" s="75"/>
      <c r="H691" s="75"/>
      <c r="I691" s="73"/>
      <c r="J691" s="31"/>
      <c r="K691" s="32"/>
    </row>
    <row r="692" customFormat="false" ht="15" hidden="false" customHeight="true" outlineLevel="0" collapsed="false">
      <c r="A692" s="9"/>
      <c r="B692" s="76"/>
      <c r="C692" s="76"/>
      <c r="D692" s="9"/>
      <c r="E692" s="9"/>
      <c r="F692" s="9"/>
      <c r="G692" s="33"/>
      <c r="H692" s="33"/>
      <c r="I692" s="9"/>
      <c r="J692" s="33"/>
      <c r="K692" s="9"/>
    </row>
    <row r="693" customFormat="false" ht="15" hidden="false" customHeight="true" outlineLevel="0" collapsed="false">
      <c r="A693" s="73"/>
      <c r="B693" s="74"/>
      <c r="C693" s="74"/>
      <c r="D693" s="73"/>
      <c r="E693" s="73"/>
      <c r="F693" s="73"/>
      <c r="G693" s="75"/>
      <c r="H693" s="75"/>
      <c r="I693" s="73"/>
      <c r="J693" s="31"/>
      <c r="K693" s="32"/>
    </row>
    <row r="694" customFormat="false" ht="15" hidden="false" customHeight="true" outlineLevel="0" collapsed="false">
      <c r="A694" s="9"/>
      <c r="B694" s="76"/>
      <c r="C694" s="76"/>
      <c r="D694" s="9"/>
      <c r="E694" s="9"/>
      <c r="F694" s="9"/>
      <c r="G694" s="33"/>
      <c r="H694" s="33"/>
      <c r="I694" s="9"/>
      <c r="J694" s="33"/>
      <c r="K694" s="9"/>
    </row>
    <row r="695" customFormat="false" ht="15" hidden="false" customHeight="true" outlineLevel="0" collapsed="false">
      <c r="A695" s="73"/>
      <c r="B695" s="74"/>
      <c r="C695" s="74"/>
      <c r="D695" s="73"/>
      <c r="E695" s="73"/>
      <c r="F695" s="73"/>
      <c r="G695" s="75"/>
      <c r="H695" s="75"/>
      <c r="I695" s="73"/>
      <c r="J695" s="31"/>
      <c r="K695" s="32"/>
    </row>
    <row r="696" customFormat="false" ht="15" hidden="false" customHeight="true" outlineLevel="0" collapsed="false">
      <c r="A696" s="9"/>
      <c r="B696" s="76"/>
      <c r="C696" s="76"/>
      <c r="D696" s="9"/>
      <c r="E696" s="9"/>
      <c r="F696" s="9"/>
      <c r="G696" s="33"/>
      <c r="H696" s="33"/>
      <c r="I696" s="9"/>
      <c r="J696" s="33"/>
      <c r="K696" s="9"/>
    </row>
    <row r="697" customFormat="false" ht="15" hidden="false" customHeight="true" outlineLevel="0" collapsed="false">
      <c r="A697" s="73"/>
      <c r="B697" s="74"/>
      <c r="C697" s="74"/>
      <c r="D697" s="73"/>
      <c r="E697" s="73"/>
      <c r="F697" s="73"/>
      <c r="G697" s="75"/>
      <c r="H697" s="75"/>
      <c r="I697" s="73"/>
      <c r="J697" s="31"/>
      <c r="K697" s="32"/>
    </row>
    <row r="698" customFormat="false" ht="15" hidden="false" customHeight="true" outlineLevel="0" collapsed="false">
      <c r="A698" s="9"/>
      <c r="B698" s="76"/>
      <c r="C698" s="76"/>
      <c r="D698" s="9"/>
      <c r="E698" s="9"/>
      <c r="F698" s="9"/>
      <c r="G698" s="33"/>
      <c r="H698" s="33"/>
      <c r="I698" s="9"/>
      <c r="J698" s="33"/>
      <c r="K698" s="9"/>
    </row>
    <row r="699" customFormat="false" ht="15" hidden="false" customHeight="true" outlineLevel="0" collapsed="false">
      <c r="A699" s="73"/>
      <c r="B699" s="74"/>
      <c r="C699" s="74"/>
      <c r="D699" s="73"/>
      <c r="E699" s="73"/>
      <c r="F699" s="73"/>
      <c r="G699" s="75"/>
      <c r="H699" s="75"/>
      <c r="I699" s="73"/>
      <c r="J699" s="31"/>
      <c r="K699" s="32"/>
    </row>
    <row r="700" customFormat="false" ht="15" hidden="false" customHeight="true" outlineLevel="0" collapsed="false">
      <c r="A700" s="9"/>
      <c r="B700" s="76"/>
      <c r="C700" s="76"/>
      <c r="D700" s="9"/>
      <c r="E700" s="9"/>
      <c r="F700" s="9"/>
      <c r="G700" s="33"/>
      <c r="H700" s="33"/>
      <c r="I700" s="9"/>
      <c r="J700" s="33"/>
      <c r="K700" s="9"/>
    </row>
    <row r="701" customFormat="false" ht="15" hidden="false" customHeight="true" outlineLevel="0" collapsed="false">
      <c r="A701" s="73"/>
      <c r="B701" s="74"/>
      <c r="C701" s="74"/>
      <c r="D701" s="73"/>
      <c r="E701" s="73"/>
      <c r="F701" s="73"/>
      <c r="G701" s="75"/>
      <c r="H701" s="75"/>
      <c r="I701" s="73"/>
      <c r="J701" s="31"/>
      <c r="K701" s="32"/>
    </row>
    <row r="702" customFormat="false" ht="15" hidden="false" customHeight="true" outlineLevel="0" collapsed="false">
      <c r="A702" s="9"/>
      <c r="B702" s="76"/>
      <c r="C702" s="76"/>
      <c r="D702" s="9"/>
      <c r="E702" s="9"/>
      <c r="F702" s="9"/>
      <c r="G702" s="33"/>
      <c r="H702" s="33"/>
      <c r="I702" s="9"/>
      <c r="J702" s="33"/>
      <c r="K702" s="9"/>
    </row>
    <row r="703" customFormat="false" ht="15" hidden="false" customHeight="true" outlineLevel="0" collapsed="false">
      <c r="A703" s="73"/>
      <c r="B703" s="74"/>
      <c r="C703" s="74"/>
      <c r="D703" s="73"/>
      <c r="E703" s="73"/>
      <c r="F703" s="73"/>
      <c r="G703" s="75"/>
      <c r="H703" s="75"/>
      <c r="I703" s="73"/>
      <c r="J703" s="31"/>
      <c r="K703" s="32"/>
    </row>
    <row r="704" customFormat="false" ht="15" hidden="false" customHeight="true" outlineLevel="0" collapsed="false">
      <c r="A704" s="9"/>
      <c r="B704" s="76"/>
      <c r="C704" s="76"/>
      <c r="D704" s="9"/>
      <c r="E704" s="9"/>
      <c r="F704" s="9"/>
      <c r="G704" s="33"/>
      <c r="H704" s="33"/>
      <c r="I704" s="9"/>
      <c r="J704" s="33"/>
      <c r="K704" s="9"/>
    </row>
    <row r="705" customFormat="false" ht="15" hidden="false" customHeight="true" outlineLevel="0" collapsed="false">
      <c r="A705" s="73"/>
      <c r="B705" s="74"/>
      <c r="C705" s="74"/>
      <c r="D705" s="73"/>
      <c r="E705" s="73"/>
      <c r="F705" s="73"/>
      <c r="G705" s="75"/>
      <c r="H705" s="75"/>
      <c r="I705" s="73"/>
      <c r="J705" s="31"/>
      <c r="K705" s="32"/>
    </row>
    <row r="706" customFormat="false" ht="15" hidden="false" customHeight="true" outlineLevel="0" collapsed="false">
      <c r="A706" s="9"/>
      <c r="B706" s="76"/>
      <c r="C706" s="76"/>
      <c r="D706" s="9"/>
      <c r="E706" s="9"/>
      <c r="F706" s="9"/>
      <c r="G706" s="33"/>
      <c r="H706" s="33"/>
      <c r="I706" s="9"/>
      <c r="J706" s="33"/>
      <c r="K706" s="9"/>
    </row>
    <row r="707" customFormat="false" ht="15" hidden="false" customHeight="true" outlineLevel="0" collapsed="false">
      <c r="A707" s="73"/>
      <c r="B707" s="74"/>
      <c r="C707" s="74"/>
      <c r="D707" s="73"/>
      <c r="E707" s="73"/>
      <c r="F707" s="73"/>
      <c r="G707" s="75"/>
      <c r="H707" s="75"/>
      <c r="I707" s="73"/>
      <c r="J707" s="31"/>
      <c r="K707" s="32"/>
    </row>
    <row r="708" customFormat="false" ht="15" hidden="false" customHeight="true" outlineLevel="0" collapsed="false">
      <c r="A708" s="9"/>
      <c r="B708" s="76"/>
      <c r="C708" s="76"/>
      <c r="D708" s="9"/>
      <c r="E708" s="9"/>
      <c r="F708" s="9"/>
      <c r="G708" s="33"/>
      <c r="H708" s="33"/>
      <c r="I708" s="9"/>
      <c r="J708" s="33"/>
      <c r="K708" s="9"/>
    </row>
    <row r="709" customFormat="false" ht="15" hidden="false" customHeight="true" outlineLevel="0" collapsed="false">
      <c r="A709" s="73"/>
      <c r="B709" s="74"/>
      <c r="C709" s="74"/>
      <c r="D709" s="73"/>
      <c r="E709" s="73"/>
      <c r="F709" s="73"/>
      <c r="G709" s="75"/>
      <c r="H709" s="75"/>
      <c r="I709" s="73"/>
      <c r="J709" s="31"/>
      <c r="K709" s="32"/>
    </row>
    <row r="710" customFormat="false" ht="15" hidden="false" customHeight="true" outlineLevel="0" collapsed="false">
      <c r="A710" s="9"/>
      <c r="B710" s="76"/>
      <c r="C710" s="76"/>
      <c r="D710" s="9"/>
      <c r="E710" s="9"/>
      <c r="F710" s="9"/>
      <c r="G710" s="33"/>
      <c r="H710" s="33"/>
      <c r="I710" s="9"/>
      <c r="J710" s="33"/>
      <c r="K710" s="9"/>
    </row>
    <row r="711" customFormat="false" ht="15" hidden="false" customHeight="true" outlineLevel="0" collapsed="false">
      <c r="A711" s="73"/>
      <c r="B711" s="74"/>
      <c r="C711" s="74"/>
      <c r="D711" s="73"/>
      <c r="E711" s="73"/>
      <c r="F711" s="73"/>
      <c r="G711" s="75"/>
      <c r="H711" s="75"/>
      <c r="I711" s="73"/>
      <c r="J711" s="31"/>
      <c r="K711" s="32"/>
    </row>
    <row r="712" customFormat="false" ht="15" hidden="false" customHeight="true" outlineLevel="0" collapsed="false">
      <c r="A712" s="9"/>
      <c r="B712" s="76"/>
      <c r="C712" s="76"/>
      <c r="D712" s="9"/>
      <c r="E712" s="9"/>
      <c r="F712" s="9"/>
      <c r="G712" s="33"/>
      <c r="H712" s="33"/>
      <c r="I712" s="9"/>
      <c r="J712" s="33"/>
      <c r="K712" s="9"/>
    </row>
    <row r="713" customFormat="false" ht="15" hidden="false" customHeight="true" outlineLevel="0" collapsed="false">
      <c r="A713" s="73"/>
      <c r="B713" s="74"/>
      <c r="C713" s="74"/>
      <c r="D713" s="73"/>
      <c r="E713" s="73"/>
      <c r="F713" s="73"/>
      <c r="G713" s="75"/>
      <c r="H713" s="75"/>
      <c r="I713" s="73"/>
      <c r="J713" s="31"/>
      <c r="K713" s="32"/>
    </row>
    <row r="714" customFormat="false" ht="15" hidden="false" customHeight="true" outlineLevel="0" collapsed="false">
      <c r="A714" s="9"/>
      <c r="B714" s="76"/>
      <c r="C714" s="76"/>
      <c r="D714" s="9"/>
      <c r="E714" s="9"/>
      <c r="F714" s="9"/>
      <c r="G714" s="33"/>
      <c r="H714" s="33"/>
      <c r="I714" s="9"/>
      <c r="J714" s="33"/>
      <c r="K714" s="9"/>
    </row>
    <row r="715" customFormat="false" ht="15" hidden="false" customHeight="true" outlineLevel="0" collapsed="false">
      <c r="A715" s="73"/>
      <c r="B715" s="74"/>
      <c r="C715" s="74"/>
      <c r="D715" s="73"/>
      <c r="E715" s="73"/>
      <c r="F715" s="73"/>
      <c r="G715" s="75"/>
      <c r="H715" s="75"/>
      <c r="I715" s="73"/>
      <c r="J715" s="31"/>
      <c r="K715" s="32"/>
    </row>
    <row r="716" customFormat="false" ht="15" hidden="false" customHeight="true" outlineLevel="0" collapsed="false">
      <c r="A716" s="9"/>
      <c r="B716" s="76"/>
      <c r="C716" s="76"/>
      <c r="D716" s="9"/>
      <c r="E716" s="9"/>
      <c r="F716" s="9"/>
      <c r="G716" s="33"/>
      <c r="H716" s="33"/>
      <c r="I716" s="9"/>
      <c r="J716" s="33"/>
      <c r="K716" s="9"/>
    </row>
    <row r="717" customFormat="false" ht="15" hidden="false" customHeight="true" outlineLevel="0" collapsed="false">
      <c r="A717" s="73"/>
      <c r="B717" s="74"/>
      <c r="C717" s="74"/>
      <c r="D717" s="73"/>
      <c r="E717" s="73"/>
      <c r="F717" s="73"/>
      <c r="G717" s="75"/>
      <c r="H717" s="75"/>
      <c r="I717" s="73"/>
      <c r="J717" s="31"/>
      <c r="K717" s="32"/>
    </row>
    <row r="718" customFormat="false" ht="15" hidden="false" customHeight="true" outlineLevel="0" collapsed="false">
      <c r="A718" s="9"/>
      <c r="B718" s="76"/>
      <c r="C718" s="76"/>
      <c r="D718" s="9"/>
      <c r="E718" s="9"/>
      <c r="F718" s="9"/>
      <c r="G718" s="33"/>
      <c r="H718" s="33"/>
      <c r="I718" s="9"/>
      <c r="J718" s="33"/>
      <c r="K718" s="9"/>
    </row>
    <row r="719" customFormat="false" ht="15" hidden="false" customHeight="true" outlineLevel="0" collapsed="false">
      <c r="A719" s="73"/>
      <c r="B719" s="74"/>
      <c r="C719" s="74"/>
      <c r="D719" s="73"/>
      <c r="E719" s="73"/>
      <c r="F719" s="73"/>
      <c r="G719" s="75"/>
      <c r="H719" s="75"/>
      <c r="I719" s="73"/>
      <c r="J719" s="31"/>
      <c r="K719" s="32"/>
    </row>
    <row r="720" customFormat="false" ht="15" hidden="false" customHeight="true" outlineLevel="0" collapsed="false">
      <c r="A720" s="9"/>
      <c r="B720" s="76"/>
      <c r="C720" s="76"/>
      <c r="D720" s="9"/>
      <c r="E720" s="9"/>
      <c r="F720" s="9"/>
      <c r="G720" s="33"/>
      <c r="H720" s="33"/>
      <c r="I720" s="9"/>
      <c r="J720" s="33"/>
      <c r="K720" s="9"/>
    </row>
    <row r="721" customFormat="false" ht="15" hidden="false" customHeight="true" outlineLevel="0" collapsed="false">
      <c r="A721" s="73"/>
      <c r="B721" s="74"/>
      <c r="C721" s="74"/>
      <c r="D721" s="73"/>
      <c r="E721" s="73"/>
      <c r="F721" s="73"/>
      <c r="G721" s="75"/>
      <c r="H721" s="75"/>
      <c r="I721" s="73"/>
      <c r="J721" s="31"/>
      <c r="K721" s="32"/>
    </row>
    <row r="722" customFormat="false" ht="15" hidden="false" customHeight="true" outlineLevel="0" collapsed="false">
      <c r="A722" s="9"/>
      <c r="B722" s="76"/>
      <c r="C722" s="76"/>
      <c r="D722" s="9"/>
      <c r="E722" s="9"/>
      <c r="F722" s="9"/>
      <c r="G722" s="33"/>
      <c r="H722" s="33"/>
      <c r="I722" s="9"/>
      <c r="J722" s="33"/>
      <c r="K722" s="9"/>
    </row>
    <row r="723" customFormat="false" ht="15" hidden="false" customHeight="true" outlineLevel="0" collapsed="false">
      <c r="A723" s="73"/>
      <c r="B723" s="74"/>
      <c r="C723" s="74"/>
      <c r="D723" s="73"/>
      <c r="E723" s="73"/>
      <c r="F723" s="73"/>
      <c r="G723" s="75"/>
      <c r="H723" s="75"/>
      <c r="I723" s="73"/>
      <c r="J723" s="31"/>
      <c r="K723" s="32"/>
    </row>
    <row r="724" customFormat="false" ht="15" hidden="false" customHeight="true" outlineLevel="0" collapsed="false">
      <c r="A724" s="9"/>
      <c r="B724" s="76"/>
      <c r="C724" s="76"/>
      <c r="D724" s="9"/>
      <c r="E724" s="9"/>
      <c r="F724" s="9"/>
      <c r="G724" s="33"/>
      <c r="H724" s="33"/>
      <c r="I724" s="9"/>
      <c r="J724" s="33"/>
      <c r="K724" s="9"/>
    </row>
    <row r="725" customFormat="false" ht="15" hidden="false" customHeight="true" outlineLevel="0" collapsed="false">
      <c r="A725" s="73"/>
      <c r="B725" s="74"/>
      <c r="C725" s="74"/>
      <c r="D725" s="73"/>
      <c r="E725" s="73"/>
      <c r="F725" s="73"/>
      <c r="G725" s="75"/>
      <c r="H725" s="75"/>
      <c r="I725" s="73"/>
      <c r="J725" s="31"/>
      <c r="K725" s="32"/>
    </row>
    <row r="726" customFormat="false" ht="15" hidden="false" customHeight="true" outlineLevel="0" collapsed="false">
      <c r="A726" s="9"/>
      <c r="B726" s="76"/>
      <c r="C726" s="76"/>
      <c r="D726" s="9"/>
      <c r="E726" s="9"/>
      <c r="F726" s="9"/>
      <c r="G726" s="33"/>
      <c r="H726" s="33"/>
      <c r="I726" s="9"/>
      <c r="J726" s="33"/>
      <c r="K726" s="9"/>
    </row>
    <row r="727" customFormat="false" ht="15" hidden="false" customHeight="true" outlineLevel="0" collapsed="false">
      <c r="A727" s="73"/>
      <c r="B727" s="74"/>
      <c r="C727" s="74"/>
      <c r="D727" s="73"/>
      <c r="E727" s="73"/>
      <c r="F727" s="73"/>
      <c r="G727" s="75"/>
      <c r="H727" s="75"/>
      <c r="I727" s="73"/>
      <c r="J727" s="31"/>
      <c r="K727" s="32"/>
    </row>
    <row r="728" customFormat="false" ht="15" hidden="false" customHeight="true" outlineLevel="0" collapsed="false">
      <c r="A728" s="9"/>
      <c r="B728" s="76"/>
      <c r="C728" s="76"/>
      <c r="D728" s="9"/>
      <c r="E728" s="9"/>
      <c r="F728" s="9"/>
      <c r="G728" s="33"/>
      <c r="H728" s="33"/>
      <c r="I728" s="9"/>
      <c r="J728" s="33"/>
      <c r="K728" s="9"/>
    </row>
    <row r="729" customFormat="false" ht="15" hidden="false" customHeight="true" outlineLevel="0" collapsed="false">
      <c r="A729" s="73"/>
      <c r="B729" s="74"/>
      <c r="C729" s="74"/>
      <c r="D729" s="73"/>
      <c r="E729" s="73"/>
      <c r="F729" s="73"/>
      <c r="G729" s="75"/>
      <c r="H729" s="75"/>
      <c r="I729" s="73"/>
      <c r="J729" s="31"/>
      <c r="K729" s="32"/>
    </row>
    <row r="730" customFormat="false" ht="15" hidden="false" customHeight="true" outlineLevel="0" collapsed="false">
      <c r="A730" s="9"/>
      <c r="B730" s="76"/>
      <c r="C730" s="76"/>
      <c r="D730" s="9"/>
      <c r="E730" s="9"/>
      <c r="F730" s="9"/>
      <c r="G730" s="33"/>
      <c r="H730" s="33"/>
      <c r="I730" s="9"/>
      <c r="J730" s="33"/>
      <c r="K730" s="9"/>
    </row>
    <row r="731" customFormat="false" ht="15" hidden="false" customHeight="true" outlineLevel="0" collapsed="false">
      <c r="A731" s="73"/>
      <c r="B731" s="74"/>
      <c r="C731" s="74"/>
      <c r="D731" s="73"/>
      <c r="E731" s="73"/>
      <c r="F731" s="73"/>
      <c r="G731" s="75"/>
      <c r="H731" s="75"/>
      <c r="I731" s="73"/>
      <c r="J731" s="31"/>
      <c r="K731" s="32"/>
    </row>
    <row r="732" customFormat="false" ht="15" hidden="false" customHeight="true" outlineLevel="0" collapsed="false">
      <c r="A732" s="9"/>
      <c r="B732" s="76"/>
      <c r="C732" s="76"/>
      <c r="D732" s="9"/>
      <c r="E732" s="9"/>
      <c r="F732" s="9"/>
      <c r="G732" s="33"/>
      <c r="H732" s="33"/>
      <c r="I732" s="9"/>
      <c r="J732" s="33"/>
      <c r="K732" s="9"/>
    </row>
    <row r="733" customFormat="false" ht="15" hidden="false" customHeight="true" outlineLevel="0" collapsed="false">
      <c r="A733" s="73"/>
      <c r="B733" s="74"/>
      <c r="C733" s="74"/>
      <c r="D733" s="73"/>
      <c r="E733" s="73"/>
      <c r="F733" s="73"/>
      <c r="G733" s="75"/>
      <c r="H733" s="75"/>
      <c r="I733" s="73"/>
      <c r="J733" s="31"/>
      <c r="K733" s="32"/>
    </row>
    <row r="734" customFormat="false" ht="15" hidden="false" customHeight="true" outlineLevel="0" collapsed="false">
      <c r="A734" s="9"/>
      <c r="B734" s="76"/>
      <c r="C734" s="76"/>
      <c r="D734" s="9"/>
      <c r="E734" s="9"/>
      <c r="F734" s="9"/>
      <c r="G734" s="33"/>
      <c r="H734" s="33"/>
      <c r="I734" s="9"/>
      <c r="J734" s="33"/>
      <c r="K734" s="9"/>
    </row>
    <row r="735" customFormat="false" ht="15" hidden="false" customHeight="true" outlineLevel="0" collapsed="false">
      <c r="A735" s="73"/>
      <c r="B735" s="74"/>
      <c r="C735" s="74"/>
      <c r="D735" s="73"/>
      <c r="E735" s="73"/>
      <c r="F735" s="73"/>
      <c r="G735" s="75"/>
      <c r="H735" s="75"/>
      <c r="I735" s="73"/>
      <c r="J735" s="31"/>
      <c r="K735" s="32"/>
    </row>
    <row r="736" customFormat="false" ht="15" hidden="false" customHeight="true" outlineLevel="0" collapsed="false">
      <c r="A736" s="9"/>
      <c r="B736" s="76"/>
      <c r="C736" s="76"/>
      <c r="D736" s="9"/>
      <c r="E736" s="9"/>
      <c r="F736" s="9"/>
      <c r="G736" s="33"/>
      <c r="H736" s="33"/>
      <c r="I736" s="9"/>
      <c r="J736" s="33"/>
      <c r="K736" s="9"/>
    </row>
    <row r="737" customFormat="false" ht="15" hidden="false" customHeight="true" outlineLevel="0" collapsed="false">
      <c r="A737" s="73"/>
      <c r="B737" s="74"/>
      <c r="C737" s="74"/>
      <c r="D737" s="73"/>
      <c r="E737" s="73"/>
      <c r="F737" s="73"/>
      <c r="G737" s="75"/>
      <c r="H737" s="75"/>
      <c r="I737" s="73"/>
      <c r="J737" s="31"/>
      <c r="K737" s="32"/>
    </row>
    <row r="738" customFormat="false" ht="15" hidden="false" customHeight="true" outlineLevel="0" collapsed="false">
      <c r="A738" s="9"/>
      <c r="B738" s="76"/>
      <c r="C738" s="76"/>
      <c r="D738" s="9"/>
      <c r="E738" s="9"/>
      <c r="F738" s="9"/>
      <c r="G738" s="33"/>
      <c r="H738" s="33"/>
      <c r="I738" s="9"/>
      <c r="J738" s="33"/>
      <c r="K738" s="9"/>
    </row>
    <row r="739" customFormat="false" ht="15" hidden="false" customHeight="true" outlineLevel="0" collapsed="false">
      <c r="A739" s="73"/>
      <c r="B739" s="74"/>
      <c r="C739" s="74"/>
      <c r="D739" s="73"/>
      <c r="E739" s="73"/>
      <c r="F739" s="73"/>
      <c r="G739" s="75"/>
      <c r="H739" s="75"/>
      <c r="I739" s="73"/>
      <c r="J739" s="31"/>
      <c r="K739" s="32"/>
    </row>
    <row r="740" customFormat="false" ht="15" hidden="false" customHeight="true" outlineLevel="0" collapsed="false">
      <c r="A740" s="9"/>
      <c r="B740" s="76"/>
      <c r="C740" s="76"/>
      <c r="D740" s="9"/>
      <c r="E740" s="9"/>
      <c r="F740" s="9"/>
      <c r="G740" s="33"/>
      <c r="H740" s="33"/>
      <c r="I740" s="9"/>
      <c r="J740" s="33"/>
      <c r="K740" s="9"/>
    </row>
    <row r="741" customFormat="false" ht="15" hidden="false" customHeight="true" outlineLevel="0" collapsed="false">
      <c r="A741" s="73"/>
      <c r="B741" s="74"/>
      <c r="C741" s="74"/>
      <c r="D741" s="73"/>
      <c r="E741" s="73"/>
      <c r="F741" s="73"/>
      <c r="G741" s="75"/>
      <c r="H741" s="75"/>
      <c r="I741" s="73"/>
      <c r="J741" s="31"/>
      <c r="K741" s="32"/>
    </row>
    <row r="742" customFormat="false" ht="15" hidden="false" customHeight="true" outlineLevel="0" collapsed="false">
      <c r="A742" s="9"/>
      <c r="B742" s="76"/>
      <c r="C742" s="76"/>
      <c r="D742" s="9"/>
      <c r="E742" s="9"/>
      <c r="F742" s="9"/>
      <c r="G742" s="33"/>
      <c r="H742" s="33"/>
      <c r="I742" s="9"/>
      <c r="J742" s="33"/>
      <c r="K742" s="9"/>
    </row>
    <row r="743" customFormat="false" ht="15" hidden="false" customHeight="true" outlineLevel="0" collapsed="false">
      <c r="A743" s="73"/>
      <c r="B743" s="74"/>
      <c r="C743" s="74"/>
      <c r="D743" s="73"/>
      <c r="E743" s="73"/>
      <c r="F743" s="73"/>
      <c r="G743" s="75"/>
      <c r="H743" s="75"/>
      <c r="I743" s="73"/>
      <c r="J743" s="31"/>
      <c r="K743" s="32"/>
    </row>
    <row r="744" customFormat="false" ht="15" hidden="false" customHeight="true" outlineLevel="0" collapsed="false">
      <c r="A744" s="9"/>
      <c r="B744" s="76"/>
      <c r="C744" s="76"/>
      <c r="D744" s="9"/>
      <c r="E744" s="9"/>
      <c r="F744" s="9"/>
      <c r="G744" s="33"/>
      <c r="H744" s="33"/>
      <c r="I744" s="9"/>
      <c r="J744" s="33"/>
      <c r="K744" s="9"/>
    </row>
    <row r="745" customFormat="false" ht="15" hidden="false" customHeight="true" outlineLevel="0" collapsed="false">
      <c r="A745" s="73"/>
      <c r="B745" s="74"/>
      <c r="C745" s="74"/>
      <c r="D745" s="73"/>
      <c r="E745" s="73"/>
      <c r="F745" s="73"/>
      <c r="G745" s="75"/>
      <c r="H745" s="75"/>
      <c r="I745" s="73"/>
      <c r="J745" s="31"/>
      <c r="K745" s="32"/>
    </row>
    <row r="746" customFormat="false" ht="15" hidden="false" customHeight="true" outlineLevel="0" collapsed="false">
      <c r="A746" s="9"/>
      <c r="B746" s="76"/>
      <c r="C746" s="76"/>
      <c r="D746" s="9"/>
      <c r="E746" s="9"/>
      <c r="F746" s="9"/>
      <c r="G746" s="33"/>
      <c r="H746" s="33"/>
      <c r="I746" s="9"/>
      <c r="J746" s="33"/>
      <c r="K746" s="9"/>
    </row>
    <row r="747" customFormat="false" ht="15" hidden="false" customHeight="true" outlineLevel="0" collapsed="false">
      <c r="A747" s="73"/>
      <c r="B747" s="74"/>
      <c r="C747" s="74"/>
      <c r="D747" s="73"/>
      <c r="E747" s="73"/>
      <c r="F747" s="73"/>
      <c r="G747" s="75"/>
      <c r="H747" s="75"/>
      <c r="I747" s="73"/>
      <c r="J747" s="31"/>
      <c r="K747" s="32"/>
    </row>
    <row r="748" customFormat="false" ht="15" hidden="false" customHeight="true" outlineLevel="0" collapsed="false">
      <c r="A748" s="9"/>
      <c r="B748" s="76"/>
      <c r="C748" s="76"/>
      <c r="D748" s="9"/>
      <c r="E748" s="9"/>
      <c r="F748" s="9"/>
      <c r="G748" s="33"/>
      <c r="H748" s="33"/>
      <c r="I748" s="9"/>
      <c r="J748" s="33"/>
      <c r="K748" s="9"/>
    </row>
    <row r="749" customFormat="false" ht="15" hidden="false" customHeight="true" outlineLevel="0" collapsed="false">
      <c r="A749" s="73"/>
      <c r="B749" s="74"/>
      <c r="C749" s="74"/>
      <c r="D749" s="73"/>
      <c r="E749" s="73"/>
      <c r="F749" s="73"/>
      <c r="G749" s="75"/>
      <c r="H749" s="75"/>
      <c r="I749" s="73"/>
      <c r="J749" s="31"/>
      <c r="K749" s="32"/>
    </row>
    <row r="750" customFormat="false" ht="15" hidden="false" customHeight="true" outlineLevel="0" collapsed="false">
      <c r="A750" s="9"/>
      <c r="B750" s="76"/>
      <c r="C750" s="76"/>
      <c r="D750" s="9"/>
      <c r="E750" s="9"/>
      <c r="F750" s="9"/>
      <c r="G750" s="33"/>
      <c r="H750" s="33"/>
      <c r="I750" s="9"/>
      <c r="J750" s="33"/>
      <c r="K750" s="9"/>
    </row>
    <row r="751" customFormat="false" ht="15" hidden="false" customHeight="true" outlineLevel="0" collapsed="false">
      <c r="A751" s="73"/>
      <c r="B751" s="74"/>
      <c r="C751" s="74"/>
      <c r="D751" s="73"/>
      <c r="E751" s="73"/>
      <c r="F751" s="73"/>
      <c r="G751" s="75"/>
      <c r="H751" s="75"/>
      <c r="I751" s="73"/>
      <c r="J751" s="31"/>
      <c r="K751" s="32"/>
    </row>
    <row r="752" customFormat="false" ht="15" hidden="false" customHeight="true" outlineLevel="0" collapsed="false">
      <c r="A752" s="9"/>
      <c r="B752" s="76"/>
      <c r="C752" s="76"/>
      <c r="D752" s="9"/>
      <c r="E752" s="9"/>
      <c r="F752" s="9"/>
      <c r="G752" s="33"/>
      <c r="H752" s="33"/>
      <c r="I752" s="9"/>
      <c r="J752" s="33"/>
      <c r="K752" s="9"/>
    </row>
    <row r="753" customFormat="false" ht="15" hidden="false" customHeight="true" outlineLevel="0" collapsed="false">
      <c r="A753" s="73"/>
      <c r="B753" s="74"/>
      <c r="C753" s="74"/>
      <c r="D753" s="73"/>
      <c r="E753" s="73"/>
      <c r="F753" s="73"/>
      <c r="G753" s="75"/>
      <c r="H753" s="75"/>
      <c r="I753" s="73"/>
      <c r="J753" s="31"/>
      <c r="K753" s="32"/>
    </row>
    <row r="754" customFormat="false" ht="15" hidden="false" customHeight="true" outlineLevel="0" collapsed="false">
      <c r="A754" s="9"/>
      <c r="B754" s="76"/>
      <c r="C754" s="76"/>
      <c r="D754" s="9"/>
      <c r="E754" s="9"/>
      <c r="F754" s="9"/>
      <c r="G754" s="33"/>
      <c r="H754" s="33"/>
      <c r="I754" s="9"/>
      <c r="J754" s="33"/>
      <c r="K754" s="9"/>
    </row>
    <row r="755" customFormat="false" ht="15" hidden="false" customHeight="true" outlineLevel="0" collapsed="false">
      <c r="A755" s="73"/>
      <c r="B755" s="74"/>
      <c r="C755" s="74"/>
      <c r="D755" s="73"/>
      <c r="E755" s="73"/>
      <c r="F755" s="73"/>
      <c r="G755" s="75"/>
      <c r="H755" s="75"/>
      <c r="I755" s="73"/>
      <c r="J755" s="31"/>
      <c r="K755" s="32"/>
    </row>
    <row r="756" customFormat="false" ht="15" hidden="false" customHeight="true" outlineLevel="0" collapsed="false">
      <c r="A756" s="9"/>
      <c r="B756" s="76"/>
      <c r="C756" s="76"/>
      <c r="D756" s="9"/>
      <c r="E756" s="9"/>
      <c r="F756" s="9"/>
      <c r="G756" s="33"/>
      <c r="H756" s="33"/>
      <c r="I756" s="9"/>
      <c r="J756" s="33"/>
      <c r="K756" s="9"/>
    </row>
    <row r="757" customFormat="false" ht="15" hidden="false" customHeight="true" outlineLevel="0" collapsed="false">
      <c r="A757" s="73"/>
      <c r="B757" s="74"/>
      <c r="C757" s="74"/>
      <c r="D757" s="73"/>
      <c r="E757" s="73"/>
      <c r="F757" s="73"/>
      <c r="G757" s="75"/>
      <c r="H757" s="75"/>
      <c r="I757" s="73"/>
      <c r="J757" s="31"/>
      <c r="K757" s="32"/>
    </row>
    <row r="758" customFormat="false" ht="15" hidden="false" customHeight="true" outlineLevel="0" collapsed="false">
      <c r="A758" s="9"/>
      <c r="B758" s="76"/>
      <c r="C758" s="76"/>
      <c r="D758" s="9"/>
      <c r="E758" s="9"/>
      <c r="F758" s="9"/>
      <c r="G758" s="33"/>
      <c r="H758" s="33"/>
      <c r="I758" s="9"/>
      <c r="J758" s="33"/>
      <c r="K758" s="9"/>
    </row>
    <row r="759" customFormat="false" ht="15" hidden="false" customHeight="true" outlineLevel="0" collapsed="false">
      <c r="A759" s="73"/>
      <c r="B759" s="74"/>
      <c r="C759" s="74"/>
      <c r="D759" s="73"/>
      <c r="E759" s="73"/>
      <c r="F759" s="73"/>
      <c r="G759" s="75"/>
      <c r="H759" s="75"/>
      <c r="I759" s="73"/>
      <c r="J759" s="31"/>
      <c r="K759" s="32"/>
    </row>
    <row r="760" customFormat="false" ht="15" hidden="false" customHeight="true" outlineLevel="0" collapsed="false">
      <c r="A760" s="9"/>
      <c r="B760" s="76"/>
      <c r="C760" s="76"/>
      <c r="D760" s="9"/>
      <c r="E760" s="9"/>
      <c r="F760" s="9"/>
      <c r="G760" s="33"/>
      <c r="H760" s="33"/>
      <c r="I760" s="9"/>
      <c r="J760" s="33"/>
      <c r="K760" s="9"/>
    </row>
    <row r="761" customFormat="false" ht="15" hidden="false" customHeight="true" outlineLevel="0" collapsed="false">
      <c r="A761" s="73"/>
      <c r="B761" s="74"/>
      <c r="C761" s="74"/>
      <c r="D761" s="73"/>
      <c r="E761" s="73"/>
      <c r="F761" s="73"/>
      <c r="G761" s="75"/>
      <c r="H761" s="75"/>
      <c r="I761" s="73"/>
      <c r="J761" s="31"/>
      <c r="K761" s="32"/>
    </row>
    <row r="762" customFormat="false" ht="15" hidden="false" customHeight="true" outlineLevel="0" collapsed="false">
      <c r="A762" s="9"/>
      <c r="B762" s="76"/>
      <c r="C762" s="76"/>
      <c r="D762" s="9"/>
      <c r="E762" s="9"/>
      <c r="F762" s="9"/>
      <c r="G762" s="33"/>
      <c r="H762" s="33"/>
      <c r="I762" s="9"/>
      <c r="J762" s="33"/>
      <c r="K762" s="9"/>
    </row>
    <row r="763" customFormat="false" ht="15" hidden="false" customHeight="true" outlineLevel="0" collapsed="false">
      <c r="A763" s="73"/>
      <c r="B763" s="74"/>
      <c r="C763" s="74"/>
      <c r="D763" s="73"/>
      <c r="E763" s="73"/>
      <c r="F763" s="73"/>
      <c r="G763" s="75"/>
      <c r="H763" s="75"/>
      <c r="I763" s="73"/>
      <c r="J763" s="31"/>
      <c r="K763" s="32"/>
    </row>
    <row r="764" customFormat="false" ht="15" hidden="false" customHeight="true" outlineLevel="0" collapsed="false">
      <c r="A764" s="9"/>
      <c r="B764" s="76"/>
      <c r="C764" s="76"/>
      <c r="D764" s="9"/>
      <c r="E764" s="9"/>
      <c r="F764" s="9"/>
      <c r="G764" s="33"/>
      <c r="H764" s="33"/>
      <c r="I764" s="9"/>
      <c r="J764" s="33"/>
      <c r="K764" s="9"/>
    </row>
    <row r="765" customFormat="false" ht="15" hidden="false" customHeight="true" outlineLevel="0" collapsed="false">
      <c r="A765" s="73"/>
      <c r="B765" s="74"/>
      <c r="C765" s="74"/>
      <c r="D765" s="73"/>
      <c r="E765" s="73"/>
      <c r="F765" s="73"/>
      <c r="G765" s="75"/>
      <c r="H765" s="75"/>
      <c r="I765" s="73"/>
      <c r="J765" s="31"/>
      <c r="K765" s="32"/>
    </row>
    <row r="766" customFormat="false" ht="15" hidden="false" customHeight="true" outlineLevel="0" collapsed="false">
      <c r="A766" s="9"/>
      <c r="B766" s="76"/>
      <c r="C766" s="76"/>
      <c r="D766" s="9"/>
      <c r="E766" s="9"/>
      <c r="F766" s="9"/>
      <c r="G766" s="33"/>
      <c r="H766" s="33"/>
      <c r="I766" s="9"/>
      <c r="J766" s="33"/>
      <c r="K766" s="9"/>
    </row>
    <row r="767" customFormat="false" ht="15" hidden="false" customHeight="true" outlineLevel="0" collapsed="false">
      <c r="A767" s="73"/>
      <c r="B767" s="74"/>
      <c r="C767" s="74"/>
      <c r="D767" s="73"/>
      <c r="E767" s="73"/>
      <c r="F767" s="73"/>
      <c r="G767" s="75"/>
      <c r="H767" s="75"/>
      <c r="I767" s="73"/>
      <c r="J767" s="31"/>
      <c r="K767" s="32"/>
    </row>
    <row r="768" customFormat="false" ht="15" hidden="false" customHeight="true" outlineLevel="0" collapsed="false">
      <c r="A768" s="9"/>
      <c r="B768" s="76"/>
      <c r="C768" s="76"/>
      <c r="D768" s="9"/>
      <c r="E768" s="9"/>
      <c r="F768" s="9"/>
      <c r="G768" s="33"/>
      <c r="H768" s="33"/>
      <c r="I768" s="9"/>
      <c r="J768" s="33"/>
      <c r="K768" s="9"/>
    </row>
    <row r="769" customFormat="false" ht="15" hidden="false" customHeight="true" outlineLevel="0" collapsed="false">
      <c r="A769" s="73"/>
      <c r="B769" s="74"/>
      <c r="C769" s="74"/>
      <c r="D769" s="73"/>
      <c r="E769" s="73"/>
      <c r="F769" s="73"/>
      <c r="G769" s="75"/>
      <c r="H769" s="75"/>
      <c r="I769" s="73"/>
      <c r="J769" s="31"/>
      <c r="K769" s="32"/>
    </row>
    <row r="770" customFormat="false" ht="15" hidden="false" customHeight="true" outlineLevel="0" collapsed="false">
      <c r="A770" s="9"/>
      <c r="B770" s="76"/>
      <c r="C770" s="76"/>
      <c r="D770" s="9"/>
      <c r="E770" s="9"/>
      <c r="F770" s="9"/>
      <c r="G770" s="33"/>
      <c r="H770" s="33"/>
      <c r="I770" s="9"/>
      <c r="J770" s="33"/>
      <c r="K770" s="9"/>
    </row>
    <row r="771" customFormat="false" ht="15" hidden="false" customHeight="true" outlineLevel="0" collapsed="false">
      <c r="A771" s="73"/>
      <c r="B771" s="74"/>
      <c r="C771" s="74"/>
      <c r="D771" s="73"/>
      <c r="E771" s="73"/>
      <c r="F771" s="73"/>
      <c r="G771" s="75"/>
      <c r="H771" s="75"/>
      <c r="I771" s="73"/>
      <c r="J771" s="31"/>
      <c r="K771" s="32"/>
    </row>
    <row r="772" customFormat="false" ht="15" hidden="false" customHeight="true" outlineLevel="0" collapsed="false">
      <c r="A772" s="9"/>
      <c r="B772" s="76"/>
      <c r="C772" s="76"/>
      <c r="D772" s="9"/>
      <c r="E772" s="9"/>
      <c r="F772" s="9"/>
      <c r="G772" s="33"/>
      <c r="H772" s="33"/>
      <c r="I772" s="9"/>
      <c r="J772" s="33"/>
      <c r="K772" s="9"/>
    </row>
    <row r="773" customFormat="false" ht="15" hidden="false" customHeight="true" outlineLevel="0" collapsed="false">
      <c r="A773" s="73"/>
      <c r="B773" s="74"/>
      <c r="C773" s="74"/>
      <c r="D773" s="73"/>
      <c r="E773" s="73"/>
      <c r="F773" s="73"/>
      <c r="G773" s="75"/>
      <c r="H773" s="75"/>
      <c r="I773" s="73"/>
      <c r="J773" s="31"/>
      <c r="K773" s="32"/>
    </row>
    <row r="774" customFormat="false" ht="15" hidden="false" customHeight="true" outlineLevel="0" collapsed="false">
      <c r="A774" s="9"/>
      <c r="B774" s="76"/>
      <c r="C774" s="76"/>
      <c r="D774" s="9"/>
      <c r="E774" s="9"/>
      <c r="F774" s="9"/>
      <c r="G774" s="33"/>
      <c r="H774" s="33"/>
      <c r="I774" s="9"/>
      <c r="J774" s="33"/>
      <c r="K774" s="9"/>
    </row>
    <row r="775" customFormat="false" ht="15" hidden="false" customHeight="true" outlineLevel="0" collapsed="false">
      <c r="A775" s="73"/>
      <c r="B775" s="74"/>
      <c r="C775" s="74"/>
      <c r="D775" s="73"/>
      <c r="E775" s="73"/>
      <c r="F775" s="73"/>
      <c r="G775" s="75"/>
      <c r="H775" s="75"/>
      <c r="I775" s="73"/>
      <c r="J775" s="31"/>
      <c r="K775" s="32"/>
    </row>
    <row r="776" customFormat="false" ht="15" hidden="false" customHeight="true" outlineLevel="0" collapsed="false">
      <c r="A776" s="9"/>
      <c r="B776" s="76"/>
      <c r="C776" s="76"/>
      <c r="D776" s="9"/>
      <c r="E776" s="9"/>
      <c r="F776" s="9"/>
      <c r="G776" s="33"/>
      <c r="H776" s="33"/>
      <c r="I776" s="9"/>
      <c r="J776" s="33"/>
      <c r="K776" s="9"/>
    </row>
    <row r="777" customFormat="false" ht="15" hidden="false" customHeight="true" outlineLevel="0" collapsed="false">
      <c r="A777" s="73"/>
      <c r="B777" s="74"/>
      <c r="C777" s="74"/>
      <c r="D777" s="73"/>
      <c r="E777" s="73"/>
      <c r="F777" s="73"/>
      <c r="G777" s="75"/>
      <c r="H777" s="75"/>
      <c r="I777" s="73"/>
      <c r="J777" s="31"/>
      <c r="K777" s="32"/>
    </row>
    <row r="778" customFormat="false" ht="15" hidden="false" customHeight="true" outlineLevel="0" collapsed="false">
      <c r="A778" s="9"/>
      <c r="B778" s="76"/>
      <c r="C778" s="76"/>
      <c r="D778" s="9"/>
      <c r="E778" s="9"/>
      <c r="F778" s="9"/>
      <c r="G778" s="33"/>
      <c r="H778" s="33"/>
      <c r="I778" s="9"/>
      <c r="J778" s="33"/>
      <c r="K778" s="9"/>
    </row>
    <row r="779" customFormat="false" ht="15" hidden="false" customHeight="true" outlineLevel="0" collapsed="false">
      <c r="A779" s="73"/>
      <c r="B779" s="74"/>
      <c r="C779" s="74"/>
      <c r="D779" s="73"/>
      <c r="E779" s="73"/>
      <c r="F779" s="73"/>
      <c r="G779" s="75"/>
      <c r="H779" s="75"/>
      <c r="I779" s="73"/>
      <c r="J779" s="31"/>
      <c r="K779" s="32"/>
    </row>
    <row r="780" customFormat="false" ht="15" hidden="false" customHeight="true" outlineLevel="0" collapsed="false">
      <c r="A780" s="9"/>
      <c r="B780" s="76"/>
      <c r="C780" s="76"/>
      <c r="D780" s="9"/>
      <c r="E780" s="9"/>
      <c r="F780" s="9"/>
      <c r="G780" s="33"/>
      <c r="H780" s="33"/>
      <c r="I780" s="9"/>
      <c r="J780" s="33"/>
      <c r="K780" s="9"/>
    </row>
    <row r="781" customFormat="false" ht="15" hidden="false" customHeight="true" outlineLevel="0" collapsed="false">
      <c r="A781" s="73"/>
      <c r="B781" s="74"/>
      <c r="C781" s="74"/>
      <c r="D781" s="73"/>
      <c r="E781" s="73"/>
      <c r="F781" s="73"/>
      <c r="G781" s="75"/>
      <c r="H781" s="75"/>
      <c r="I781" s="73"/>
      <c r="J781" s="31"/>
      <c r="K781" s="32"/>
    </row>
    <row r="782" customFormat="false" ht="15" hidden="false" customHeight="true" outlineLevel="0" collapsed="false">
      <c r="A782" s="9"/>
      <c r="B782" s="76"/>
      <c r="C782" s="76"/>
      <c r="D782" s="9"/>
      <c r="E782" s="9"/>
      <c r="F782" s="9"/>
      <c r="G782" s="33"/>
      <c r="H782" s="33"/>
      <c r="I782" s="9"/>
      <c r="J782" s="33"/>
      <c r="K782" s="9"/>
    </row>
    <row r="783" customFormat="false" ht="15" hidden="false" customHeight="true" outlineLevel="0" collapsed="false">
      <c r="A783" s="73"/>
      <c r="B783" s="74"/>
      <c r="C783" s="74"/>
      <c r="D783" s="73"/>
      <c r="E783" s="73"/>
      <c r="F783" s="73"/>
      <c r="G783" s="75"/>
      <c r="H783" s="75"/>
      <c r="I783" s="73"/>
      <c r="J783" s="31"/>
      <c r="K783" s="32"/>
    </row>
    <row r="784" customFormat="false" ht="15" hidden="false" customHeight="true" outlineLevel="0" collapsed="false">
      <c r="A784" s="9"/>
      <c r="B784" s="76"/>
      <c r="C784" s="76"/>
      <c r="D784" s="9"/>
      <c r="E784" s="9"/>
      <c r="F784" s="9"/>
      <c r="G784" s="33"/>
      <c r="H784" s="33"/>
      <c r="I784" s="9"/>
      <c r="J784" s="33"/>
      <c r="K784" s="9"/>
    </row>
    <row r="785" customFormat="false" ht="15" hidden="false" customHeight="true" outlineLevel="0" collapsed="false">
      <c r="A785" s="73"/>
      <c r="B785" s="74"/>
      <c r="C785" s="74"/>
      <c r="D785" s="73"/>
      <c r="E785" s="73"/>
      <c r="F785" s="73"/>
      <c r="G785" s="75"/>
      <c r="H785" s="75"/>
      <c r="I785" s="73"/>
      <c r="J785" s="31"/>
      <c r="K785" s="32"/>
    </row>
    <row r="786" customFormat="false" ht="15" hidden="false" customHeight="true" outlineLevel="0" collapsed="false">
      <c r="A786" s="9"/>
      <c r="B786" s="76"/>
      <c r="C786" s="76"/>
      <c r="D786" s="9"/>
      <c r="E786" s="9"/>
      <c r="F786" s="9"/>
      <c r="G786" s="33"/>
      <c r="H786" s="33"/>
      <c r="I786" s="9"/>
      <c r="J786" s="33"/>
      <c r="K786" s="9"/>
    </row>
    <row r="787" customFormat="false" ht="15" hidden="false" customHeight="true" outlineLevel="0" collapsed="false">
      <c r="A787" s="73"/>
      <c r="B787" s="74"/>
      <c r="C787" s="74"/>
      <c r="D787" s="73"/>
      <c r="E787" s="73"/>
      <c r="F787" s="73"/>
      <c r="G787" s="75"/>
      <c r="H787" s="75"/>
      <c r="I787" s="73"/>
      <c r="J787" s="31"/>
      <c r="K787" s="32"/>
    </row>
    <row r="788" customFormat="false" ht="15" hidden="false" customHeight="true" outlineLevel="0" collapsed="false">
      <c r="A788" s="9"/>
      <c r="B788" s="76"/>
      <c r="C788" s="76"/>
      <c r="D788" s="9"/>
      <c r="E788" s="9"/>
      <c r="F788" s="9"/>
      <c r="G788" s="33"/>
      <c r="H788" s="33"/>
      <c r="I788" s="9"/>
      <c r="J788" s="33"/>
      <c r="K788" s="9"/>
    </row>
    <row r="789" customFormat="false" ht="15" hidden="false" customHeight="true" outlineLevel="0" collapsed="false">
      <c r="A789" s="73"/>
      <c r="B789" s="74"/>
      <c r="C789" s="74"/>
      <c r="D789" s="73"/>
      <c r="E789" s="73"/>
      <c r="F789" s="73"/>
      <c r="G789" s="75"/>
      <c r="H789" s="75"/>
      <c r="I789" s="73"/>
      <c r="J789" s="31"/>
      <c r="K789" s="32"/>
    </row>
    <row r="790" customFormat="false" ht="15" hidden="false" customHeight="true" outlineLevel="0" collapsed="false">
      <c r="A790" s="9"/>
      <c r="B790" s="76"/>
      <c r="C790" s="76"/>
      <c r="D790" s="9"/>
      <c r="E790" s="9"/>
      <c r="F790" s="9"/>
      <c r="G790" s="33"/>
      <c r="H790" s="33"/>
      <c r="I790" s="9"/>
      <c r="J790" s="33"/>
      <c r="K790" s="9"/>
    </row>
    <row r="791" customFormat="false" ht="15" hidden="false" customHeight="true" outlineLevel="0" collapsed="false">
      <c r="A791" s="73"/>
      <c r="B791" s="74"/>
      <c r="C791" s="74"/>
      <c r="D791" s="73"/>
      <c r="E791" s="73"/>
      <c r="F791" s="73"/>
      <c r="G791" s="75"/>
      <c r="H791" s="75"/>
      <c r="I791" s="73"/>
      <c r="J791" s="31"/>
      <c r="K791" s="32"/>
    </row>
    <row r="792" customFormat="false" ht="15" hidden="false" customHeight="true" outlineLevel="0" collapsed="false">
      <c r="A792" s="9"/>
      <c r="B792" s="76"/>
      <c r="C792" s="76"/>
      <c r="D792" s="9"/>
      <c r="E792" s="9"/>
      <c r="F792" s="9"/>
      <c r="G792" s="33"/>
      <c r="H792" s="33"/>
      <c r="I792" s="9"/>
      <c r="J792" s="33"/>
      <c r="K792" s="9"/>
    </row>
    <row r="793" customFormat="false" ht="15" hidden="false" customHeight="true" outlineLevel="0" collapsed="false">
      <c r="A793" s="73"/>
      <c r="B793" s="74"/>
      <c r="C793" s="74"/>
      <c r="D793" s="73"/>
      <c r="E793" s="73"/>
      <c r="F793" s="73"/>
      <c r="G793" s="75"/>
      <c r="H793" s="75"/>
      <c r="I793" s="73"/>
      <c r="J793" s="31"/>
      <c r="K793" s="32"/>
    </row>
    <row r="794" customFormat="false" ht="15" hidden="false" customHeight="true" outlineLevel="0" collapsed="false">
      <c r="A794" s="9"/>
      <c r="B794" s="76"/>
      <c r="C794" s="76"/>
      <c r="D794" s="9"/>
      <c r="E794" s="9"/>
      <c r="F794" s="9"/>
      <c r="G794" s="33"/>
      <c r="H794" s="33"/>
      <c r="I794" s="9"/>
      <c r="J794" s="33"/>
      <c r="K794" s="9"/>
    </row>
    <row r="795" customFormat="false" ht="15" hidden="false" customHeight="true" outlineLevel="0" collapsed="false">
      <c r="A795" s="73"/>
      <c r="B795" s="74"/>
      <c r="C795" s="74"/>
      <c r="D795" s="73"/>
      <c r="E795" s="73"/>
      <c r="F795" s="73"/>
      <c r="G795" s="75"/>
      <c r="H795" s="75"/>
      <c r="I795" s="73"/>
      <c r="J795" s="31"/>
      <c r="K795" s="32"/>
    </row>
    <row r="796" customFormat="false" ht="15" hidden="false" customHeight="true" outlineLevel="0" collapsed="false">
      <c r="A796" s="9"/>
      <c r="B796" s="76"/>
      <c r="C796" s="76"/>
      <c r="D796" s="9"/>
      <c r="E796" s="9"/>
      <c r="F796" s="9"/>
      <c r="G796" s="33"/>
      <c r="H796" s="33"/>
      <c r="I796" s="9"/>
      <c r="J796" s="33"/>
      <c r="K796" s="9"/>
    </row>
    <row r="797" customFormat="false" ht="15" hidden="false" customHeight="true" outlineLevel="0" collapsed="false">
      <c r="A797" s="73"/>
      <c r="B797" s="74"/>
      <c r="C797" s="74"/>
      <c r="D797" s="73"/>
      <c r="E797" s="73"/>
      <c r="F797" s="73"/>
      <c r="G797" s="75"/>
      <c r="H797" s="75"/>
      <c r="I797" s="73"/>
      <c r="J797" s="31"/>
      <c r="K797" s="32"/>
    </row>
    <row r="798" customFormat="false" ht="15" hidden="false" customHeight="true" outlineLevel="0" collapsed="false">
      <c r="A798" s="9"/>
      <c r="B798" s="76"/>
      <c r="C798" s="76"/>
      <c r="D798" s="9"/>
      <c r="E798" s="9"/>
      <c r="F798" s="9"/>
      <c r="G798" s="33"/>
      <c r="H798" s="33"/>
      <c r="I798" s="9"/>
      <c r="J798" s="33"/>
      <c r="K798" s="9"/>
    </row>
    <row r="799" customFormat="false" ht="15" hidden="false" customHeight="true" outlineLevel="0" collapsed="false">
      <c r="A799" s="73"/>
      <c r="B799" s="74"/>
      <c r="C799" s="74"/>
      <c r="D799" s="73"/>
      <c r="E799" s="73"/>
      <c r="F799" s="73"/>
      <c r="G799" s="75"/>
      <c r="H799" s="75"/>
      <c r="I799" s="73"/>
      <c r="J799" s="31"/>
      <c r="K799" s="32"/>
    </row>
    <row r="800" customFormat="false" ht="15" hidden="false" customHeight="true" outlineLevel="0" collapsed="false">
      <c r="A800" s="9"/>
      <c r="B800" s="76"/>
      <c r="C800" s="76"/>
      <c r="D800" s="9"/>
      <c r="E800" s="9"/>
      <c r="F800" s="9"/>
      <c r="G800" s="33"/>
      <c r="H800" s="33"/>
      <c r="I800" s="9"/>
      <c r="J800" s="33"/>
      <c r="K800" s="9"/>
    </row>
    <row r="801" customFormat="false" ht="15" hidden="false" customHeight="true" outlineLevel="0" collapsed="false">
      <c r="A801" s="73"/>
      <c r="B801" s="74"/>
      <c r="C801" s="74"/>
      <c r="D801" s="73"/>
      <c r="E801" s="73"/>
      <c r="F801" s="73"/>
      <c r="G801" s="75"/>
      <c r="H801" s="75"/>
      <c r="I801" s="73"/>
      <c r="J801" s="31"/>
      <c r="K801" s="32"/>
    </row>
    <row r="802" customFormat="false" ht="15" hidden="false" customHeight="true" outlineLevel="0" collapsed="false">
      <c r="A802" s="9"/>
      <c r="B802" s="76"/>
      <c r="C802" s="76"/>
      <c r="D802" s="9"/>
      <c r="E802" s="9"/>
      <c r="F802" s="9"/>
      <c r="G802" s="33"/>
      <c r="H802" s="33"/>
      <c r="I802" s="9"/>
      <c r="J802" s="33"/>
      <c r="K802" s="9"/>
    </row>
    <row r="803" customFormat="false" ht="15" hidden="false" customHeight="true" outlineLevel="0" collapsed="false">
      <c r="A803" s="73"/>
      <c r="B803" s="74"/>
      <c r="C803" s="74"/>
      <c r="D803" s="73"/>
      <c r="E803" s="73"/>
      <c r="F803" s="73"/>
      <c r="G803" s="75"/>
      <c r="H803" s="75"/>
      <c r="I803" s="73"/>
      <c r="J803" s="31"/>
      <c r="K803" s="32"/>
    </row>
    <row r="804" customFormat="false" ht="15" hidden="false" customHeight="true" outlineLevel="0" collapsed="false">
      <c r="A804" s="9"/>
      <c r="B804" s="76"/>
      <c r="C804" s="76"/>
      <c r="D804" s="9"/>
      <c r="E804" s="9"/>
      <c r="F804" s="9"/>
      <c r="G804" s="33"/>
      <c r="H804" s="33"/>
      <c r="I804" s="9"/>
      <c r="J804" s="33"/>
      <c r="K804" s="9"/>
    </row>
    <row r="805" customFormat="false" ht="15" hidden="false" customHeight="true" outlineLevel="0" collapsed="false">
      <c r="A805" s="73"/>
      <c r="B805" s="74"/>
      <c r="C805" s="74"/>
      <c r="D805" s="73"/>
      <c r="E805" s="73"/>
      <c r="F805" s="73"/>
      <c r="G805" s="75"/>
      <c r="H805" s="75"/>
      <c r="I805" s="73"/>
      <c r="J805" s="31"/>
      <c r="K805" s="32"/>
    </row>
    <row r="806" customFormat="false" ht="15" hidden="false" customHeight="true" outlineLevel="0" collapsed="false">
      <c r="A806" s="9"/>
      <c r="B806" s="76"/>
      <c r="C806" s="76"/>
      <c r="D806" s="9"/>
      <c r="E806" s="9"/>
      <c r="F806" s="9"/>
      <c r="G806" s="33"/>
      <c r="H806" s="33"/>
      <c r="I806" s="9"/>
      <c r="J806" s="33"/>
      <c r="K806" s="9"/>
    </row>
    <row r="807" customFormat="false" ht="15" hidden="false" customHeight="true" outlineLevel="0" collapsed="false">
      <c r="A807" s="73"/>
      <c r="B807" s="74"/>
      <c r="C807" s="74"/>
      <c r="D807" s="73"/>
      <c r="E807" s="73"/>
      <c r="F807" s="73"/>
      <c r="G807" s="75"/>
      <c r="H807" s="75"/>
      <c r="I807" s="73"/>
      <c r="J807" s="31"/>
      <c r="K807" s="32"/>
    </row>
    <row r="808" customFormat="false" ht="15" hidden="false" customHeight="true" outlineLevel="0" collapsed="false">
      <c r="A808" s="9"/>
      <c r="B808" s="76"/>
      <c r="C808" s="76"/>
      <c r="D808" s="9"/>
      <c r="E808" s="9"/>
      <c r="F808" s="9"/>
      <c r="G808" s="33"/>
      <c r="H808" s="33"/>
      <c r="I808" s="9"/>
      <c r="J808" s="33"/>
      <c r="K808" s="9"/>
    </row>
    <row r="809" customFormat="false" ht="15" hidden="false" customHeight="true" outlineLevel="0" collapsed="false">
      <c r="A809" s="73"/>
      <c r="B809" s="74"/>
      <c r="C809" s="74"/>
      <c r="D809" s="73"/>
      <c r="E809" s="73"/>
      <c r="F809" s="73"/>
      <c r="G809" s="75"/>
      <c r="H809" s="75"/>
      <c r="I809" s="73"/>
      <c r="J809" s="31"/>
      <c r="K809" s="32"/>
    </row>
    <row r="810" customFormat="false" ht="15" hidden="false" customHeight="true" outlineLevel="0" collapsed="false">
      <c r="A810" s="9"/>
      <c r="B810" s="76"/>
      <c r="C810" s="76"/>
      <c r="D810" s="9"/>
      <c r="E810" s="9"/>
      <c r="F810" s="9"/>
      <c r="G810" s="33"/>
      <c r="H810" s="33"/>
      <c r="I810" s="9"/>
      <c r="J810" s="33"/>
      <c r="K810" s="9"/>
    </row>
    <row r="811" customFormat="false" ht="15" hidden="false" customHeight="true" outlineLevel="0" collapsed="false">
      <c r="A811" s="73"/>
      <c r="B811" s="74"/>
      <c r="C811" s="74"/>
      <c r="D811" s="73"/>
      <c r="E811" s="73"/>
      <c r="F811" s="73"/>
      <c r="G811" s="75"/>
      <c r="H811" s="75"/>
      <c r="I811" s="73"/>
      <c r="J811" s="31"/>
      <c r="K811" s="32"/>
    </row>
    <row r="812" customFormat="false" ht="15" hidden="false" customHeight="true" outlineLevel="0" collapsed="false">
      <c r="A812" s="9"/>
      <c r="B812" s="76"/>
      <c r="C812" s="76"/>
      <c r="D812" s="9"/>
      <c r="E812" s="9"/>
      <c r="F812" s="9"/>
      <c r="G812" s="33"/>
      <c r="H812" s="33"/>
      <c r="I812" s="9"/>
      <c r="J812" s="33"/>
      <c r="K812" s="9"/>
    </row>
    <row r="813" customFormat="false" ht="15" hidden="false" customHeight="true" outlineLevel="0" collapsed="false">
      <c r="A813" s="73"/>
      <c r="B813" s="74"/>
      <c r="C813" s="74"/>
      <c r="D813" s="73"/>
      <c r="E813" s="73"/>
      <c r="F813" s="73"/>
      <c r="G813" s="75"/>
      <c r="H813" s="75"/>
      <c r="I813" s="73"/>
      <c r="J813" s="31"/>
      <c r="K813" s="32"/>
    </row>
    <row r="814" customFormat="false" ht="15" hidden="false" customHeight="true" outlineLevel="0" collapsed="false">
      <c r="A814" s="9"/>
      <c r="B814" s="76"/>
      <c r="C814" s="76"/>
      <c r="D814" s="9"/>
      <c r="E814" s="9"/>
      <c r="F814" s="9"/>
      <c r="G814" s="33"/>
      <c r="H814" s="33"/>
      <c r="I814" s="9"/>
      <c r="J814" s="33"/>
      <c r="K814" s="9"/>
    </row>
    <row r="815" customFormat="false" ht="15" hidden="false" customHeight="true" outlineLevel="0" collapsed="false">
      <c r="A815" s="73"/>
      <c r="B815" s="74"/>
      <c r="C815" s="74"/>
      <c r="D815" s="73"/>
      <c r="E815" s="73"/>
      <c r="F815" s="73"/>
      <c r="G815" s="75"/>
      <c r="H815" s="75"/>
      <c r="I815" s="73"/>
      <c r="J815" s="31"/>
      <c r="K815" s="32"/>
    </row>
    <row r="816" customFormat="false" ht="15" hidden="false" customHeight="true" outlineLevel="0" collapsed="false">
      <c r="A816" s="9"/>
      <c r="B816" s="76"/>
      <c r="C816" s="76"/>
      <c r="D816" s="9"/>
      <c r="E816" s="9"/>
      <c r="F816" s="9"/>
      <c r="G816" s="33"/>
      <c r="H816" s="33"/>
      <c r="I816" s="9"/>
      <c r="J816" s="33"/>
      <c r="K816" s="9"/>
    </row>
    <row r="817" customFormat="false" ht="15" hidden="false" customHeight="true" outlineLevel="0" collapsed="false">
      <c r="A817" s="73"/>
      <c r="B817" s="74"/>
      <c r="C817" s="74"/>
      <c r="D817" s="73"/>
      <c r="E817" s="73"/>
      <c r="F817" s="73"/>
      <c r="G817" s="75"/>
      <c r="H817" s="75"/>
      <c r="I817" s="73"/>
      <c r="J817" s="31"/>
      <c r="K817" s="32"/>
    </row>
    <row r="818" customFormat="false" ht="15" hidden="false" customHeight="true" outlineLevel="0" collapsed="false">
      <c r="A818" s="9"/>
      <c r="B818" s="76"/>
      <c r="C818" s="76"/>
      <c r="D818" s="9"/>
      <c r="E818" s="9"/>
      <c r="F818" s="9"/>
      <c r="G818" s="33"/>
      <c r="H818" s="33"/>
      <c r="I818" s="9"/>
      <c r="J818" s="33"/>
      <c r="K818" s="9"/>
    </row>
    <row r="819" customFormat="false" ht="15" hidden="false" customHeight="true" outlineLevel="0" collapsed="false">
      <c r="A819" s="73"/>
      <c r="B819" s="74"/>
      <c r="C819" s="74"/>
      <c r="D819" s="73"/>
      <c r="E819" s="73"/>
      <c r="F819" s="73"/>
      <c r="G819" s="75"/>
      <c r="H819" s="75"/>
      <c r="I819" s="73"/>
      <c r="J819" s="31"/>
      <c r="K819" s="32"/>
    </row>
    <row r="820" customFormat="false" ht="15" hidden="false" customHeight="true" outlineLevel="0" collapsed="false">
      <c r="A820" s="9"/>
      <c r="B820" s="76"/>
      <c r="C820" s="76"/>
      <c r="D820" s="9"/>
      <c r="E820" s="9"/>
      <c r="F820" s="9"/>
      <c r="G820" s="33"/>
      <c r="H820" s="33"/>
      <c r="I820" s="9"/>
      <c r="J820" s="33"/>
      <c r="K820" s="9"/>
    </row>
    <row r="821" customFormat="false" ht="15" hidden="false" customHeight="true" outlineLevel="0" collapsed="false">
      <c r="A821" s="73"/>
      <c r="B821" s="74"/>
      <c r="C821" s="74"/>
      <c r="D821" s="73"/>
      <c r="E821" s="73"/>
      <c r="F821" s="73"/>
      <c r="G821" s="75"/>
      <c r="H821" s="75"/>
      <c r="I821" s="73"/>
      <c r="J821" s="31"/>
      <c r="K821" s="32"/>
    </row>
    <row r="822" customFormat="false" ht="15" hidden="false" customHeight="true" outlineLevel="0" collapsed="false">
      <c r="A822" s="9"/>
      <c r="B822" s="76"/>
      <c r="C822" s="76"/>
      <c r="D822" s="9"/>
      <c r="E822" s="9"/>
      <c r="F822" s="9"/>
      <c r="G822" s="33"/>
      <c r="H822" s="33"/>
      <c r="I822" s="9"/>
      <c r="J822" s="33"/>
      <c r="K822" s="9"/>
    </row>
    <row r="823" customFormat="false" ht="15" hidden="false" customHeight="true" outlineLevel="0" collapsed="false">
      <c r="A823" s="73"/>
      <c r="B823" s="74"/>
      <c r="C823" s="74"/>
      <c r="D823" s="73"/>
      <c r="E823" s="73"/>
      <c r="F823" s="73"/>
      <c r="G823" s="75"/>
      <c r="H823" s="75"/>
      <c r="I823" s="73"/>
      <c r="J823" s="31"/>
      <c r="K823" s="32"/>
    </row>
    <row r="824" customFormat="false" ht="15" hidden="false" customHeight="true" outlineLevel="0" collapsed="false">
      <c r="A824" s="9"/>
      <c r="B824" s="76"/>
      <c r="C824" s="76"/>
      <c r="D824" s="9"/>
      <c r="E824" s="9"/>
      <c r="F824" s="9"/>
      <c r="G824" s="33"/>
      <c r="H824" s="33"/>
      <c r="I824" s="9"/>
      <c r="J824" s="33"/>
      <c r="K824" s="9"/>
    </row>
    <row r="825" customFormat="false" ht="15" hidden="false" customHeight="true" outlineLevel="0" collapsed="false">
      <c r="A825" s="73"/>
      <c r="B825" s="74"/>
      <c r="C825" s="74"/>
      <c r="D825" s="73"/>
      <c r="E825" s="73"/>
      <c r="F825" s="73"/>
      <c r="G825" s="75"/>
      <c r="H825" s="75"/>
      <c r="I825" s="73"/>
      <c r="J825" s="31"/>
      <c r="K825" s="32"/>
    </row>
    <row r="826" customFormat="false" ht="15" hidden="false" customHeight="true" outlineLevel="0" collapsed="false">
      <c r="A826" s="9"/>
      <c r="B826" s="76"/>
      <c r="C826" s="76"/>
      <c r="D826" s="9"/>
      <c r="E826" s="9"/>
      <c r="F826" s="9"/>
      <c r="G826" s="33"/>
      <c r="H826" s="33"/>
      <c r="I826" s="9"/>
      <c r="J826" s="33"/>
      <c r="K826" s="9"/>
    </row>
    <row r="827" customFormat="false" ht="15" hidden="false" customHeight="true" outlineLevel="0" collapsed="false">
      <c r="A827" s="73"/>
      <c r="B827" s="74"/>
      <c r="C827" s="74"/>
      <c r="D827" s="73"/>
      <c r="E827" s="73"/>
      <c r="F827" s="73"/>
      <c r="G827" s="75"/>
      <c r="H827" s="75"/>
      <c r="I827" s="73"/>
      <c r="J827" s="31"/>
      <c r="K827" s="32"/>
    </row>
    <row r="828" customFormat="false" ht="15" hidden="false" customHeight="true" outlineLevel="0" collapsed="false">
      <c r="A828" s="9"/>
      <c r="B828" s="76"/>
      <c r="C828" s="76"/>
      <c r="D828" s="9"/>
      <c r="E828" s="9"/>
      <c r="F828" s="9"/>
      <c r="G828" s="33"/>
      <c r="H828" s="33"/>
      <c r="I828" s="9"/>
      <c r="J828" s="33"/>
      <c r="K828" s="9"/>
    </row>
    <row r="829" customFormat="false" ht="15" hidden="false" customHeight="true" outlineLevel="0" collapsed="false">
      <c r="A829" s="73"/>
      <c r="B829" s="74"/>
      <c r="C829" s="74"/>
      <c r="D829" s="73"/>
      <c r="E829" s="73"/>
      <c r="F829" s="73"/>
      <c r="G829" s="75"/>
      <c r="H829" s="75"/>
      <c r="I829" s="73"/>
      <c r="J829" s="31"/>
      <c r="K829" s="32"/>
    </row>
    <row r="830" customFormat="false" ht="15" hidden="false" customHeight="true" outlineLevel="0" collapsed="false">
      <c r="A830" s="9"/>
      <c r="B830" s="76"/>
      <c r="C830" s="76"/>
      <c r="D830" s="9"/>
      <c r="E830" s="9"/>
      <c r="F830" s="9"/>
      <c r="G830" s="33"/>
      <c r="H830" s="33"/>
      <c r="I830" s="9"/>
      <c r="J830" s="33"/>
      <c r="K830" s="9"/>
    </row>
    <row r="831" customFormat="false" ht="15" hidden="false" customHeight="true" outlineLevel="0" collapsed="false">
      <c r="A831" s="73"/>
      <c r="B831" s="74"/>
      <c r="C831" s="74"/>
      <c r="D831" s="73"/>
      <c r="E831" s="73"/>
      <c r="F831" s="73"/>
      <c r="G831" s="75"/>
      <c r="H831" s="75"/>
      <c r="I831" s="73"/>
      <c r="J831" s="31"/>
      <c r="K831" s="32"/>
    </row>
    <row r="832" customFormat="false" ht="15" hidden="false" customHeight="true" outlineLevel="0" collapsed="false">
      <c r="A832" s="9"/>
      <c r="B832" s="76"/>
      <c r="C832" s="76"/>
      <c r="D832" s="9"/>
      <c r="E832" s="9"/>
      <c r="F832" s="9"/>
      <c r="G832" s="33"/>
      <c r="H832" s="33"/>
      <c r="I832" s="9"/>
      <c r="J832" s="33"/>
      <c r="K832" s="9"/>
    </row>
    <row r="833" customFormat="false" ht="15" hidden="false" customHeight="true" outlineLevel="0" collapsed="false">
      <c r="A833" s="73"/>
      <c r="B833" s="74"/>
      <c r="C833" s="74"/>
      <c r="D833" s="73"/>
      <c r="E833" s="73"/>
      <c r="F833" s="73"/>
      <c r="G833" s="75"/>
      <c r="H833" s="75"/>
      <c r="I833" s="73"/>
      <c r="J833" s="31"/>
      <c r="K833" s="32"/>
    </row>
    <row r="834" customFormat="false" ht="15" hidden="false" customHeight="true" outlineLevel="0" collapsed="false">
      <c r="A834" s="9"/>
      <c r="B834" s="76"/>
      <c r="C834" s="76"/>
      <c r="D834" s="9"/>
      <c r="E834" s="9"/>
      <c r="F834" s="9"/>
      <c r="G834" s="33"/>
      <c r="H834" s="33"/>
      <c r="I834" s="9"/>
      <c r="J834" s="33"/>
      <c r="K834" s="9"/>
    </row>
    <row r="835" customFormat="false" ht="15" hidden="false" customHeight="true" outlineLevel="0" collapsed="false">
      <c r="A835" s="73"/>
      <c r="B835" s="74"/>
      <c r="C835" s="74"/>
      <c r="D835" s="73"/>
      <c r="E835" s="73"/>
      <c r="F835" s="73"/>
      <c r="G835" s="75"/>
      <c r="H835" s="75"/>
      <c r="I835" s="73"/>
      <c r="J835" s="31"/>
      <c r="K835" s="32"/>
    </row>
    <row r="836" customFormat="false" ht="15" hidden="false" customHeight="true" outlineLevel="0" collapsed="false">
      <c r="A836" s="9"/>
      <c r="B836" s="76"/>
      <c r="C836" s="76"/>
      <c r="D836" s="9"/>
      <c r="E836" s="9"/>
      <c r="F836" s="9"/>
      <c r="G836" s="33"/>
      <c r="H836" s="33"/>
      <c r="I836" s="9"/>
      <c r="J836" s="33"/>
      <c r="K836" s="9"/>
    </row>
    <row r="837" customFormat="false" ht="15" hidden="false" customHeight="true" outlineLevel="0" collapsed="false">
      <c r="A837" s="73"/>
      <c r="B837" s="74"/>
      <c r="C837" s="74"/>
      <c r="D837" s="73"/>
      <c r="E837" s="73"/>
      <c r="F837" s="73"/>
      <c r="G837" s="75"/>
      <c r="H837" s="75"/>
      <c r="I837" s="73"/>
      <c r="J837" s="31"/>
      <c r="K837" s="32"/>
    </row>
    <row r="838" customFormat="false" ht="15" hidden="false" customHeight="true" outlineLevel="0" collapsed="false">
      <c r="A838" s="9"/>
      <c r="B838" s="76"/>
      <c r="C838" s="76"/>
      <c r="D838" s="9"/>
      <c r="E838" s="9"/>
      <c r="F838" s="9"/>
      <c r="G838" s="33"/>
      <c r="H838" s="33"/>
      <c r="I838" s="9"/>
      <c r="J838" s="33"/>
      <c r="K838" s="9"/>
    </row>
    <row r="839" customFormat="false" ht="15" hidden="false" customHeight="true" outlineLevel="0" collapsed="false">
      <c r="A839" s="73"/>
      <c r="B839" s="74"/>
      <c r="C839" s="74"/>
      <c r="D839" s="73"/>
      <c r="E839" s="73"/>
      <c r="F839" s="73"/>
      <c r="G839" s="75"/>
      <c r="H839" s="75"/>
      <c r="I839" s="73"/>
      <c r="J839" s="31"/>
      <c r="K839" s="32"/>
    </row>
    <row r="840" customFormat="false" ht="15" hidden="false" customHeight="true" outlineLevel="0" collapsed="false">
      <c r="A840" s="9"/>
      <c r="B840" s="76"/>
      <c r="C840" s="76"/>
      <c r="D840" s="9"/>
      <c r="E840" s="9"/>
      <c r="F840" s="9"/>
      <c r="G840" s="33"/>
      <c r="H840" s="33"/>
      <c r="I840" s="9"/>
      <c r="J840" s="33"/>
      <c r="K840" s="9"/>
    </row>
    <row r="841" customFormat="false" ht="15" hidden="false" customHeight="true" outlineLevel="0" collapsed="false">
      <c r="A841" s="73"/>
      <c r="B841" s="74"/>
      <c r="C841" s="74"/>
      <c r="D841" s="73"/>
      <c r="E841" s="73"/>
      <c r="F841" s="73"/>
      <c r="G841" s="75"/>
      <c r="H841" s="75"/>
      <c r="I841" s="73"/>
      <c r="J841" s="31"/>
      <c r="K841" s="32"/>
    </row>
    <row r="842" customFormat="false" ht="15" hidden="false" customHeight="true" outlineLevel="0" collapsed="false">
      <c r="A842" s="9"/>
      <c r="B842" s="76"/>
      <c r="C842" s="76"/>
      <c r="D842" s="9"/>
      <c r="E842" s="9"/>
      <c r="F842" s="9"/>
      <c r="G842" s="33"/>
      <c r="H842" s="33"/>
      <c r="I842" s="9"/>
      <c r="J842" s="33"/>
      <c r="K842" s="9"/>
    </row>
    <row r="843" customFormat="false" ht="15" hidden="false" customHeight="true" outlineLevel="0" collapsed="false">
      <c r="A843" s="73"/>
      <c r="B843" s="74"/>
      <c r="C843" s="74"/>
      <c r="D843" s="73"/>
      <c r="E843" s="73"/>
      <c r="F843" s="73"/>
      <c r="G843" s="75"/>
      <c r="H843" s="75"/>
      <c r="I843" s="73"/>
      <c r="J843" s="31"/>
      <c r="K843" s="32"/>
    </row>
    <row r="844" customFormat="false" ht="15" hidden="false" customHeight="true" outlineLevel="0" collapsed="false">
      <c r="A844" s="9"/>
      <c r="B844" s="76"/>
      <c r="C844" s="76"/>
      <c r="D844" s="9"/>
      <c r="E844" s="9"/>
      <c r="F844" s="9"/>
      <c r="G844" s="33"/>
      <c r="H844" s="33"/>
      <c r="I844" s="9"/>
      <c r="J844" s="33"/>
      <c r="K844" s="9"/>
    </row>
    <row r="845" customFormat="false" ht="15" hidden="false" customHeight="true" outlineLevel="0" collapsed="false">
      <c r="A845" s="73"/>
      <c r="B845" s="74"/>
      <c r="C845" s="74"/>
      <c r="D845" s="73"/>
      <c r="E845" s="73"/>
      <c r="F845" s="73"/>
      <c r="G845" s="75"/>
      <c r="H845" s="75"/>
      <c r="I845" s="73"/>
      <c r="J845" s="31"/>
      <c r="K845" s="32"/>
    </row>
    <row r="846" customFormat="false" ht="15" hidden="false" customHeight="true" outlineLevel="0" collapsed="false">
      <c r="A846" s="9"/>
      <c r="B846" s="76"/>
      <c r="C846" s="76"/>
      <c r="D846" s="9"/>
      <c r="E846" s="9"/>
      <c r="F846" s="9"/>
      <c r="G846" s="33"/>
      <c r="H846" s="33"/>
      <c r="I846" s="9"/>
      <c r="J846" s="33"/>
      <c r="K846" s="9"/>
    </row>
    <row r="847" customFormat="false" ht="15" hidden="false" customHeight="true" outlineLevel="0" collapsed="false">
      <c r="A847" s="73"/>
      <c r="B847" s="74"/>
      <c r="C847" s="74"/>
      <c r="D847" s="73"/>
      <c r="E847" s="73"/>
      <c r="F847" s="73"/>
      <c r="G847" s="75"/>
      <c r="H847" s="75"/>
      <c r="I847" s="73"/>
      <c r="J847" s="31"/>
      <c r="K847" s="32"/>
    </row>
    <row r="848" customFormat="false" ht="15" hidden="false" customHeight="true" outlineLevel="0" collapsed="false">
      <c r="A848" s="9"/>
      <c r="B848" s="76"/>
      <c r="C848" s="76"/>
      <c r="D848" s="9"/>
      <c r="E848" s="9"/>
      <c r="F848" s="9"/>
      <c r="G848" s="33"/>
      <c r="H848" s="33"/>
      <c r="I848" s="9"/>
      <c r="J848" s="33"/>
      <c r="K848" s="9"/>
    </row>
    <row r="849" customFormat="false" ht="15" hidden="false" customHeight="true" outlineLevel="0" collapsed="false">
      <c r="A849" s="73"/>
      <c r="B849" s="74"/>
      <c r="C849" s="74"/>
      <c r="D849" s="73"/>
      <c r="E849" s="73"/>
      <c r="F849" s="73"/>
      <c r="G849" s="75"/>
      <c r="H849" s="75"/>
      <c r="I849" s="73"/>
      <c r="J849" s="31"/>
      <c r="K849" s="32"/>
    </row>
    <row r="850" customFormat="false" ht="15" hidden="false" customHeight="true" outlineLevel="0" collapsed="false">
      <c r="A850" s="9"/>
      <c r="B850" s="76"/>
      <c r="C850" s="76"/>
      <c r="D850" s="9"/>
      <c r="E850" s="9"/>
      <c r="F850" s="9"/>
      <c r="G850" s="33"/>
      <c r="H850" s="33"/>
      <c r="I850" s="9"/>
      <c r="J850" s="33"/>
      <c r="K850" s="9"/>
    </row>
    <row r="851" customFormat="false" ht="15" hidden="false" customHeight="true" outlineLevel="0" collapsed="false">
      <c r="A851" s="73"/>
      <c r="B851" s="74"/>
      <c r="C851" s="74"/>
      <c r="D851" s="73"/>
      <c r="E851" s="73"/>
      <c r="F851" s="73"/>
      <c r="G851" s="75"/>
      <c r="H851" s="75"/>
      <c r="I851" s="73"/>
      <c r="J851" s="31"/>
      <c r="K851" s="32"/>
    </row>
    <row r="852" customFormat="false" ht="15" hidden="false" customHeight="true" outlineLevel="0" collapsed="false">
      <c r="A852" s="9"/>
      <c r="B852" s="76"/>
      <c r="C852" s="76"/>
      <c r="D852" s="9"/>
      <c r="E852" s="9"/>
      <c r="F852" s="9"/>
      <c r="G852" s="33"/>
      <c r="H852" s="33"/>
      <c r="I852" s="9"/>
      <c r="J852" s="33"/>
      <c r="K852" s="9"/>
    </row>
    <row r="853" customFormat="false" ht="15" hidden="false" customHeight="true" outlineLevel="0" collapsed="false">
      <c r="A853" s="73"/>
      <c r="B853" s="74"/>
      <c r="C853" s="74"/>
      <c r="D853" s="73"/>
      <c r="E853" s="73"/>
      <c r="F853" s="73"/>
      <c r="G853" s="75"/>
      <c r="H853" s="75"/>
      <c r="I853" s="73"/>
      <c r="J853" s="31"/>
      <c r="K853" s="32"/>
    </row>
    <row r="854" customFormat="false" ht="15" hidden="false" customHeight="true" outlineLevel="0" collapsed="false">
      <c r="A854" s="9"/>
      <c r="B854" s="76"/>
      <c r="C854" s="76"/>
      <c r="D854" s="9"/>
      <c r="E854" s="9"/>
      <c r="F854" s="9"/>
      <c r="G854" s="33"/>
      <c r="H854" s="33"/>
      <c r="I854" s="9"/>
      <c r="J854" s="33"/>
      <c r="K854" s="9"/>
    </row>
    <row r="855" customFormat="false" ht="15" hidden="false" customHeight="true" outlineLevel="0" collapsed="false">
      <c r="A855" s="73"/>
      <c r="B855" s="74"/>
      <c r="C855" s="74"/>
      <c r="D855" s="73"/>
      <c r="E855" s="73"/>
      <c r="F855" s="73"/>
      <c r="G855" s="75"/>
      <c r="H855" s="75"/>
      <c r="I855" s="73"/>
      <c r="J855" s="31"/>
      <c r="K855" s="32"/>
    </row>
    <row r="856" customFormat="false" ht="15" hidden="false" customHeight="true" outlineLevel="0" collapsed="false">
      <c r="A856" s="9"/>
      <c r="B856" s="76"/>
      <c r="C856" s="76"/>
      <c r="D856" s="9"/>
      <c r="E856" s="9"/>
      <c r="F856" s="9"/>
      <c r="G856" s="33"/>
      <c r="H856" s="33"/>
      <c r="I856" s="9"/>
      <c r="J856" s="33"/>
      <c r="K856" s="9"/>
    </row>
    <row r="857" customFormat="false" ht="15" hidden="false" customHeight="true" outlineLevel="0" collapsed="false">
      <c r="A857" s="73"/>
      <c r="B857" s="74"/>
      <c r="C857" s="74"/>
      <c r="D857" s="73"/>
      <c r="E857" s="73"/>
      <c r="F857" s="73"/>
      <c r="G857" s="75"/>
      <c r="H857" s="75"/>
      <c r="I857" s="73"/>
      <c r="J857" s="31"/>
      <c r="K857" s="32"/>
    </row>
    <row r="858" customFormat="false" ht="15" hidden="false" customHeight="true" outlineLevel="0" collapsed="false">
      <c r="A858" s="9"/>
      <c r="B858" s="76"/>
      <c r="C858" s="76"/>
      <c r="D858" s="9"/>
      <c r="E858" s="9"/>
      <c r="F858" s="9"/>
      <c r="G858" s="33"/>
      <c r="H858" s="33"/>
      <c r="I858" s="9"/>
      <c r="J858" s="33"/>
      <c r="K858" s="9"/>
    </row>
    <row r="859" customFormat="false" ht="15" hidden="false" customHeight="true" outlineLevel="0" collapsed="false">
      <c r="A859" s="73"/>
      <c r="B859" s="74"/>
      <c r="C859" s="74"/>
      <c r="D859" s="73"/>
      <c r="E859" s="73"/>
      <c r="F859" s="73"/>
      <c r="G859" s="75"/>
      <c r="H859" s="75"/>
      <c r="I859" s="73"/>
      <c r="J859" s="31"/>
      <c r="K859" s="32"/>
    </row>
    <row r="860" customFormat="false" ht="15" hidden="false" customHeight="true" outlineLevel="0" collapsed="false">
      <c r="A860" s="9"/>
      <c r="B860" s="76"/>
      <c r="C860" s="76"/>
      <c r="D860" s="9"/>
      <c r="E860" s="9"/>
      <c r="F860" s="9"/>
      <c r="G860" s="33"/>
      <c r="H860" s="33"/>
      <c r="I860" s="9"/>
      <c r="J860" s="33"/>
      <c r="K860" s="9"/>
    </row>
    <row r="861" customFormat="false" ht="15" hidden="false" customHeight="true" outlineLevel="0" collapsed="false">
      <c r="A861" s="73"/>
      <c r="B861" s="74"/>
      <c r="C861" s="74"/>
      <c r="D861" s="73"/>
      <c r="E861" s="73"/>
      <c r="F861" s="73"/>
      <c r="G861" s="75"/>
      <c r="H861" s="75"/>
      <c r="I861" s="73"/>
      <c r="J861" s="31"/>
      <c r="K861" s="32"/>
    </row>
    <row r="862" customFormat="false" ht="15" hidden="false" customHeight="true" outlineLevel="0" collapsed="false">
      <c r="A862" s="9"/>
      <c r="B862" s="76"/>
      <c r="C862" s="76"/>
      <c r="D862" s="9"/>
      <c r="E862" s="9"/>
      <c r="F862" s="9"/>
      <c r="G862" s="33"/>
      <c r="H862" s="33"/>
      <c r="I862" s="9"/>
      <c r="J862" s="33"/>
      <c r="K862" s="9"/>
    </row>
    <row r="863" customFormat="false" ht="15" hidden="false" customHeight="true" outlineLevel="0" collapsed="false">
      <c r="A863" s="73"/>
      <c r="B863" s="74"/>
      <c r="C863" s="74"/>
      <c r="D863" s="73"/>
      <c r="E863" s="73"/>
      <c r="F863" s="73"/>
      <c r="G863" s="75"/>
      <c r="H863" s="75"/>
      <c r="I863" s="73"/>
      <c r="J863" s="31"/>
      <c r="K863" s="32"/>
    </row>
    <row r="864" customFormat="false" ht="15" hidden="false" customHeight="true" outlineLevel="0" collapsed="false">
      <c r="A864" s="9"/>
      <c r="B864" s="76"/>
      <c r="C864" s="76"/>
      <c r="D864" s="9"/>
      <c r="E864" s="9"/>
      <c r="F864" s="9"/>
      <c r="G864" s="33"/>
      <c r="H864" s="33"/>
      <c r="I864" s="9"/>
      <c r="J864" s="33"/>
      <c r="K864" s="9"/>
    </row>
    <row r="865" customFormat="false" ht="15" hidden="false" customHeight="true" outlineLevel="0" collapsed="false">
      <c r="A865" s="73"/>
      <c r="B865" s="74"/>
      <c r="C865" s="74"/>
      <c r="D865" s="73"/>
      <c r="E865" s="73"/>
      <c r="F865" s="73"/>
      <c r="G865" s="75"/>
      <c r="H865" s="75"/>
      <c r="I865" s="73"/>
      <c r="J865" s="31"/>
      <c r="K865" s="32"/>
    </row>
    <row r="866" customFormat="false" ht="15" hidden="false" customHeight="true" outlineLevel="0" collapsed="false">
      <c r="A866" s="9"/>
      <c r="B866" s="76"/>
      <c r="C866" s="76"/>
      <c r="D866" s="9"/>
      <c r="E866" s="9"/>
      <c r="F866" s="9"/>
      <c r="G866" s="33"/>
      <c r="H866" s="33"/>
      <c r="I866" s="9"/>
      <c r="J866" s="33"/>
      <c r="K866" s="9"/>
    </row>
    <row r="867" customFormat="false" ht="15" hidden="false" customHeight="true" outlineLevel="0" collapsed="false">
      <c r="A867" s="73"/>
      <c r="B867" s="74"/>
      <c r="C867" s="74"/>
      <c r="D867" s="73"/>
      <c r="E867" s="73"/>
      <c r="F867" s="73"/>
      <c r="G867" s="75"/>
      <c r="H867" s="75"/>
      <c r="I867" s="73"/>
      <c r="J867" s="31"/>
      <c r="K867" s="32"/>
    </row>
    <row r="868" customFormat="false" ht="15" hidden="false" customHeight="true" outlineLevel="0" collapsed="false">
      <c r="A868" s="9"/>
      <c r="B868" s="76"/>
      <c r="C868" s="76"/>
      <c r="D868" s="9"/>
      <c r="E868" s="9"/>
      <c r="F868" s="9"/>
      <c r="G868" s="33"/>
      <c r="H868" s="33"/>
      <c r="I868" s="9"/>
      <c r="J868" s="33"/>
      <c r="K868" s="9"/>
    </row>
    <row r="869" customFormat="false" ht="15" hidden="false" customHeight="true" outlineLevel="0" collapsed="false">
      <c r="A869" s="73"/>
      <c r="B869" s="74"/>
      <c r="C869" s="74"/>
      <c r="D869" s="73"/>
      <c r="E869" s="73"/>
      <c r="F869" s="73"/>
      <c r="G869" s="75"/>
      <c r="H869" s="75"/>
      <c r="I869" s="73"/>
      <c r="J869" s="31"/>
      <c r="K869" s="32"/>
    </row>
    <row r="870" customFormat="false" ht="15" hidden="false" customHeight="true" outlineLevel="0" collapsed="false">
      <c r="A870" s="9"/>
      <c r="B870" s="76"/>
      <c r="C870" s="76"/>
      <c r="D870" s="9"/>
      <c r="E870" s="9"/>
      <c r="F870" s="9"/>
      <c r="G870" s="33"/>
      <c r="H870" s="33"/>
      <c r="I870" s="9"/>
      <c r="J870" s="33"/>
      <c r="K870" s="9"/>
    </row>
    <row r="871" customFormat="false" ht="15" hidden="false" customHeight="true" outlineLevel="0" collapsed="false">
      <c r="A871" s="73"/>
      <c r="B871" s="74"/>
      <c r="C871" s="74"/>
      <c r="D871" s="73"/>
      <c r="E871" s="73"/>
      <c r="F871" s="73"/>
      <c r="G871" s="75"/>
      <c r="H871" s="75"/>
      <c r="I871" s="73"/>
      <c r="J871" s="31"/>
      <c r="K871" s="32"/>
    </row>
    <row r="872" customFormat="false" ht="15" hidden="false" customHeight="true" outlineLevel="0" collapsed="false">
      <c r="A872" s="9"/>
      <c r="B872" s="76"/>
      <c r="C872" s="76"/>
      <c r="D872" s="9"/>
      <c r="E872" s="9"/>
      <c r="F872" s="9"/>
      <c r="G872" s="33"/>
      <c r="H872" s="33"/>
      <c r="I872" s="9"/>
      <c r="J872" s="33"/>
      <c r="K872" s="9"/>
    </row>
    <row r="873" customFormat="false" ht="15" hidden="false" customHeight="true" outlineLevel="0" collapsed="false">
      <c r="A873" s="73"/>
      <c r="B873" s="74"/>
      <c r="C873" s="74"/>
      <c r="D873" s="73"/>
      <c r="E873" s="73"/>
      <c r="F873" s="73"/>
      <c r="G873" s="75"/>
      <c r="H873" s="75"/>
      <c r="I873" s="73"/>
      <c r="J873" s="31"/>
      <c r="K873" s="32"/>
    </row>
    <row r="874" customFormat="false" ht="15" hidden="false" customHeight="true" outlineLevel="0" collapsed="false">
      <c r="A874" s="9"/>
      <c r="B874" s="76"/>
      <c r="C874" s="76"/>
      <c r="D874" s="9"/>
      <c r="E874" s="9"/>
      <c r="F874" s="9"/>
      <c r="G874" s="33"/>
      <c r="H874" s="33"/>
      <c r="I874" s="9"/>
      <c r="J874" s="33"/>
      <c r="K874" s="9"/>
    </row>
    <row r="875" customFormat="false" ht="15" hidden="false" customHeight="true" outlineLevel="0" collapsed="false">
      <c r="A875" s="73"/>
      <c r="B875" s="74"/>
      <c r="C875" s="74"/>
      <c r="D875" s="73"/>
      <c r="E875" s="73"/>
      <c r="F875" s="73"/>
      <c r="G875" s="75"/>
      <c r="H875" s="75"/>
      <c r="I875" s="73"/>
      <c r="J875" s="31"/>
      <c r="K875" s="32"/>
    </row>
    <row r="876" customFormat="false" ht="15" hidden="false" customHeight="true" outlineLevel="0" collapsed="false">
      <c r="A876" s="9"/>
      <c r="B876" s="76"/>
      <c r="C876" s="76"/>
      <c r="D876" s="9"/>
      <c r="E876" s="9"/>
      <c r="F876" s="9"/>
      <c r="G876" s="33"/>
      <c r="H876" s="33"/>
      <c r="I876" s="9"/>
      <c r="J876" s="33"/>
      <c r="K876" s="9"/>
    </row>
    <row r="877" customFormat="false" ht="15" hidden="false" customHeight="true" outlineLevel="0" collapsed="false">
      <c r="A877" s="73"/>
      <c r="B877" s="74"/>
      <c r="C877" s="74"/>
      <c r="D877" s="73"/>
      <c r="E877" s="73"/>
      <c r="F877" s="73"/>
      <c r="G877" s="75"/>
      <c r="H877" s="75"/>
      <c r="I877" s="73"/>
      <c r="J877" s="31"/>
      <c r="K877" s="32"/>
    </row>
    <row r="878" customFormat="false" ht="15" hidden="false" customHeight="true" outlineLevel="0" collapsed="false">
      <c r="A878" s="9"/>
      <c r="B878" s="76"/>
      <c r="C878" s="76"/>
      <c r="D878" s="9"/>
      <c r="E878" s="9"/>
      <c r="F878" s="9"/>
      <c r="G878" s="33"/>
      <c r="H878" s="33"/>
      <c r="I878" s="9"/>
      <c r="J878" s="33"/>
      <c r="K878" s="9"/>
    </row>
    <row r="879" customFormat="false" ht="15" hidden="false" customHeight="true" outlineLevel="0" collapsed="false">
      <c r="A879" s="73"/>
      <c r="B879" s="74"/>
      <c r="C879" s="74"/>
      <c r="D879" s="73"/>
      <c r="E879" s="73"/>
      <c r="F879" s="73"/>
      <c r="G879" s="75"/>
      <c r="H879" s="75"/>
      <c r="I879" s="73"/>
      <c r="J879" s="31"/>
      <c r="K879" s="32"/>
    </row>
    <row r="880" customFormat="false" ht="15" hidden="false" customHeight="true" outlineLevel="0" collapsed="false">
      <c r="A880" s="9"/>
      <c r="B880" s="76"/>
      <c r="C880" s="76"/>
      <c r="D880" s="9"/>
      <c r="E880" s="9"/>
      <c r="F880" s="9"/>
      <c r="G880" s="33"/>
      <c r="H880" s="33"/>
      <c r="I880" s="9"/>
      <c r="J880" s="33"/>
      <c r="K880" s="9"/>
    </row>
    <row r="881" customFormat="false" ht="15" hidden="false" customHeight="true" outlineLevel="0" collapsed="false">
      <c r="A881" s="73"/>
      <c r="B881" s="74"/>
      <c r="C881" s="74"/>
      <c r="D881" s="73"/>
      <c r="E881" s="73"/>
      <c r="F881" s="73"/>
      <c r="G881" s="75"/>
      <c r="H881" s="75"/>
      <c r="I881" s="73"/>
      <c r="J881" s="31"/>
      <c r="K881" s="32"/>
    </row>
    <row r="882" customFormat="false" ht="15" hidden="false" customHeight="true" outlineLevel="0" collapsed="false">
      <c r="A882" s="9"/>
      <c r="B882" s="76"/>
      <c r="C882" s="76"/>
      <c r="D882" s="9"/>
      <c r="E882" s="9"/>
      <c r="F882" s="9"/>
      <c r="G882" s="33"/>
      <c r="H882" s="33"/>
      <c r="I882" s="9"/>
      <c r="J882" s="33"/>
      <c r="K882" s="9"/>
    </row>
    <row r="883" customFormat="false" ht="15" hidden="false" customHeight="true" outlineLevel="0" collapsed="false">
      <c r="A883" s="73"/>
      <c r="B883" s="74"/>
      <c r="C883" s="74"/>
      <c r="D883" s="73"/>
      <c r="E883" s="73"/>
      <c r="F883" s="73"/>
      <c r="G883" s="75"/>
      <c r="H883" s="75"/>
      <c r="I883" s="73"/>
      <c r="J883" s="31"/>
      <c r="K883" s="32"/>
    </row>
    <row r="884" customFormat="false" ht="15" hidden="false" customHeight="true" outlineLevel="0" collapsed="false">
      <c r="A884" s="9"/>
      <c r="B884" s="76"/>
      <c r="C884" s="76"/>
      <c r="D884" s="9"/>
      <c r="E884" s="9"/>
      <c r="F884" s="9"/>
      <c r="G884" s="33"/>
      <c r="H884" s="33"/>
      <c r="I884" s="9"/>
      <c r="J884" s="33"/>
      <c r="K884" s="9"/>
    </row>
    <row r="885" customFormat="false" ht="15" hidden="false" customHeight="true" outlineLevel="0" collapsed="false">
      <c r="A885" s="73"/>
      <c r="B885" s="74"/>
      <c r="C885" s="74"/>
      <c r="D885" s="73"/>
      <c r="E885" s="73"/>
      <c r="F885" s="73"/>
      <c r="G885" s="75"/>
      <c r="H885" s="75"/>
      <c r="I885" s="73"/>
      <c r="J885" s="31"/>
      <c r="K885" s="32"/>
    </row>
    <row r="886" customFormat="false" ht="15" hidden="false" customHeight="true" outlineLevel="0" collapsed="false">
      <c r="A886" s="9"/>
      <c r="B886" s="76"/>
      <c r="C886" s="76"/>
      <c r="D886" s="9"/>
      <c r="E886" s="9"/>
      <c r="F886" s="9"/>
      <c r="G886" s="33"/>
      <c r="H886" s="33"/>
      <c r="I886" s="9"/>
      <c r="J886" s="33"/>
      <c r="K886" s="9"/>
    </row>
    <row r="887" customFormat="false" ht="15" hidden="false" customHeight="true" outlineLevel="0" collapsed="false">
      <c r="A887" s="73"/>
      <c r="B887" s="74"/>
      <c r="C887" s="74"/>
      <c r="D887" s="73"/>
      <c r="E887" s="73"/>
      <c r="F887" s="73"/>
      <c r="G887" s="75"/>
      <c r="H887" s="75"/>
      <c r="I887" s="73"/>
      <c r="J887" s="31"/>
      <c r="K887" s="32"/>
    </row>
    <row r="888" customFormat="false" ht="15" hidden="false" customHeight="true" outlineLevel="0" collapsed="false">
      <c r="A888" s="9"/>
      <c r="B888" s="76"/>
      <c r="C888" s="76"/>
      <c r="D888" s="9"/>
      <c r="E888" s="9"/>
      <c r="F888" s="9"/>
      <c r="G888" s="33"/>
      <c r="H888" s="33"/>
      <c r="I888" s="9"/>
      <c r="J888" s="33"/>
      <c r="K888" s="9"/>
    </row>
    <row r="889" customFormat="false" ht="15" hidden="false" customHeight="true" outlineLevel="0" collapsed="false">
      <c r="A889" s="73"/>
      <c r="B889" s="74"/>
      <c r="C889" s="74"/>
      <c r="D889" s="73"/>
      <c r="E889" s="73"/>
      <c r="F889" s="73"/>
      <c r="G889" s="75"/>
      <c r="H889" s="75"/>
      <c r="I889" s="73"/>
      <c r="J889" s="31"/>
      <c r="K889" s="32"/>
    </row>
    <row r="890" customFormat="false" ht="15" hidden="false" customHeight="true" outlineLevel="0" collapsed="false">
      <c r="A890" s="9"/>
      <c r="B890" s="76"/>
      <c r="C890" s="76"/>
      <c r="D890" s="9"/>
      <c r="E890" s="9"/>
      <c r="F890" s="9"/>
      <c r="G890" s="33"/>
      <c r="H890" s="33"/>
      <c r="I890" s="9"/>
      <c r="J890" s="33"/>
      <c r="K890" s="9"/>
    </row>
    <row r="891" customFormat="false" ht="15" hidden="false" customHeight="true" outlineLevel="0" collapsed="false">
      <c r="A891" s="73"/>
      <c r="B891" s="74"/>
      <c r="C891" s="74"/>
      <c r="D891" s="73"/>
      <c r="E891" s="73"/>
      <c r="F891" s="73"/>
      <c r="G891" s="75"/>
      <c r="H891" s="75"/>
      <c r="I891" s="73"/>
      <c r="J891" s="31"/>
      <c r="K891" s="32"/>
    </row>
    <row r="892" customFormat="false" ht="15" hidden="false" customHeight="true" outlineLevel="0" collapsed="false">
      <c r="A892" s="9"/>
      <c r="B892" s="76"/>
      <c r="C892" s="76"/>
      <c r="D892" s="9"/>
      <c r="E892" s="9"/>
      <c r="F892" s="9"/>
      <c r="G892" s="33"/>
      <c r="H892" s="33"/>
      <c r="I892" s="9"/>
      <c r="J892" s="33"/>
      <c r="K892" s="9"/>
    </row>
    <row r="893" customFormat="false" ht="15" hidden="false" customHeight="true" outlineLevel="0" collapsed="false">
      <c r="A893" s="73"/>
      <c r="B893" s="74"/>
      <c r="C893" s="74"/>
      <c r="D893" s="73"/>
      <c r="E893" s="73"/>
      <c r="F893" s="73"/>
      <c r="G893" s="75"/>
      <c r="H893" s="75"/>
      <c r="I893" s="73"/>
      <c r="J893" s="31"/>
      <c r="K893" s="32"/>
    </row>
    <row r="894" customFormat="false" ht="15" hidden="false" customHeight="true" outlineLevel="0" collapsed="false">
      <c r="A894" s="9"/>
      <c r="B894" s="76"/>
      <c r="C894" s="76"/>
      <c r="D894" s="9"/>
      <c r="E894" s="9"/>
      <c r="F894" s="9"/>
      <c r="G894" s="33"/>
      <c r="H894" s="33"/>
      <c r="I894" s="9"/>
      <c r="J894" s="33"/>
      <c r="K894" s="9"/>
    </row>
    <row r="895" customFormat="false" ht="15" hidden="false" customHeight="true" outlineLevel="0" collapsed="false">
      <c r="A895" s="73"/>
      <c r="B895" s="74"/>
      <c r="C895" s="74"/>
      <c r="D895" s="73"/>
      <c r="E895" s="73"/>
      <c r="F895" s="73"/>
      <c r="G895" s="75"/>
      <c r="H895" s="75"/>
      <c r="I895" s="73"/>
      <c r="J895" s="31"/>
      <c r="K895" s="32"/>
    </row>
    <row r="896" customFormat="false" ht="15" hidden="false" customHeight="true" outlineLevel="0" collapsed="false">
      <c r="A896" s="9"/>
      <c r="B896" s="76"/>
      <c r="C896" s="76"/>
      <c r="D896" s="9"/>
      <c r="E896" s="9"/>
      <c r="F896" s="9"/>
      <c r="G896" s="33"/>
      <c r="H896" s="33"/>
      <c r="I896" s="9"/>
      <c r="J896" s="33"/>
      <c r="K896" s="9"/>
    </row>
    <row r="897" customFormat="false" ht="15" hidden="false" customHeight="true" outlineLevel="0" collapsed="false">
      <c r="A897" s="73"/>
      <c r="B897" s="74"/>
      <c r="C897" s="74"/>
      <c r="D897" s="73"/>
      <c r="E897" s="73"/>
      <c r="F897" s="73"/>
      <c r="G897" s="75"/>
      <c r="H897" s="75"/>
      <c r="I897" s="73"/>
      <c r="J897" s="31"/>
      <c r="K897" s="32"/>
    </row>
    <row r="898" customFormat="false" ht="15" hidden="false" customHeight="true" outlineLevel="0" collapsed="false">
      <c r="A898" s="9"/>
      <c r="B898" s="76"/>
      <c r="C898" s="76"/>
      <c r="D898" s="9"/>
      <c r="E898" s="9"/>
      <c r="F898" s="9"/>
      <c r="G898" s="33"/>
      <c r="H898" s="33"/>
      <c r="I898" s="9"/>
      <c r="J898" s="33"/>
      <c r="K898" s="9"/>
    </row>
    <row r="899" customFormat="false" ht="15" hidden="false" customHeight="true" outlineLevel="0" collapsed="false">
      <c r="A899" s="73"/>
      <c r="B899" s="74"/>
      <c r="C899" s="74"/>
      <c r="D899" s="73"/>
      <c r="E899" s="73"/>
      <c r="F899" s="73"/>
      <c r="G899" s="75"/>
      <c r="H899" s="75"/>
      <c r="I899" s="73"/>
      <c r="J899" s="31"/>
      <c r="K899" s="32"/>
    </row>
    <row r="900" customFormat="false" ht="15" hidden="false" customHeight="true" outlineLevel="0" collapsed="false">
      <c r="A900" s="9"/>
      <c r="B900" s="76"/>
      <c r="C900" s="76"/>
      <c r="D900" s="9"/>
      <c r="E900" s="9"/>
      <c r="F900" s="9"/>
      <c r="G900" s="33"/>
      <c r="H900" s="33"/>
      <c r="I900" s="9"/>
      <c r="J900" s="33"/>
      <c r="K900" s="9"/>
    </row>
    <row r="901" customFormat="false" ht="15" hidden="false" customHeight="true" outlineLevel="0" collapsed="false">
      <c r="A901" s="73"/>
      <c r="B901" s="74"/>
      <c r="C901" s="74"/>
      <c r="D901" s="73"/>
      <c r="E901" s="73"/>
      <c r="F901" s="73"/>
      <c r="G901" s="75"/>
      <c r="H901" s="75"/>
      <c r="I901" s="73"/>
      <c r="J901" s="31"/>
      <c r="K901" s="32"/>
    </row>
    <row r="902" customFormat="false" ht="15" hidden="false" customHeight="true" outlineLevel="0" collapsed="false">
      <c r="A902" s="9"/>
      <c r="B902" s="76"/>
      <c r="C902" s="76"/>
      <c r="D902" s="9"/>
      <c r="E902" s="9"/>
      <c r="F902" s="9"/>
      <c r="G902" s="33"/>
      <c r="H902" s="33"/>
      <c r="I902" s="9"/>
      <c r="J902" s="33"/>
      <c r="K902" s="9"/>
    </row>
    <row r="903" customFormat="false" ht="15" hidden="false" customHeight="true" outlineLevel="0" collapsed="false">
      <c r="A903" s="73"/>
      <c r="B903" s="74"/>
      <c r="C903" s="74"/>
      <c r="D903" s="73"/>
      <c r="E903" s="73"/>
      <c r="F903" s="73"/>
      <c r="G903" s="75"/>
      <c r="H903" s="75"/>
      <c r="I903" s="73"/>
      <c r="J903" s="31"/>
      <c r="K903" s="32"/>
    </row>
    <row r="904" customFormat="false" ht="15" hidden="false" customHeight="true" outlineLevel="0" collapsed="false">
      <c r="A904" s="9"/>
      <c r="B904" s="76"/>
      <c r="C904" s="76"/>
      <c r="D904" s="9"/>
      <c r="E904" s="9"/>
      <c r="F904" s="9"/>
      <c r="G904" s="33"/>
      <c r="H904" s="33"/>
      <c r="I904" s="9"/>
      <c r="J904" s="33"/>
      <c r="K904" s="9"/>
    </row>
    <row r="905" customFormat="false" ht="15" hidden="false" customHeight="true" outlineLevel="0" collapsed="false">
      <c r="A905" s="73"/>
      <c r="B905" s="74"/>
      <c r="C905" s="74"/>
      <c r="D905" s="73"/>
      <c r="E905" s="73"/>
      <c r="F905" s="73"/>
      <c r="G905" s="75"/>
      <c r="H905" s="75"/>
      <c r="I905" s="73"/>
      <c r="J905" s="31"/>
      <c r="K905" s="32"/>
    </row>
    <row r="906" customFormat="false" ht="15" hidden="false" customHeight="true" outlineLevel="0" collapsed="false">
      <c r="A906" s="9"/>
      <c r="B906" s="76"/>
      <c r="C906" s="76"/>
      <c r="D906" s="9"/>
      <c r="E906" s="9"/>
      <c r="F906" s="9"/>
      <c r="G906" s="33"/>
      <c r="H906" s="33"/>
      <c r="I906" s="9"/>
      <c r="J906" s="33"/>
      <c r="K906" s="9"/>
    </row>
    <row r="907" customFormat="false" ht="15" hidden="false" customHeight="true" outlineLevel="0" collapsed="false">
      <c r="A907" s="73"/>
      <c r="B907" s="74"/>
      <c r="C907" s="74"/>
      <c r="D907" s="73"/>
      <c r="E907" s="73"/>
      <c r="F907" s="73"/>
      <c r="G907" s="75"/>
      <c r="H907" s="75"/>
      <c r="I907" s="73"/>
      <c r="J907" s="31"/>
      <c r="K907" s="32"/>
    </row>
    <row r="908" customFormat="false" ht="15" hidden="false" customHeight="true" outlineLevel="0" collapsed="false">
      <c r="A908" s="9"/>
      <c r="B908" s="76"/>
      <c r="C908" s="76"/>
      <c r="D908" s="9"/>
      <c r="E908" s="9"/>
      <c r="F908" s="9"/>
      <c r="G908" s="33"/>
      <c r="H908" s="33"/>
      <c r="I908" s="9"/>
      <c r="J908" s="33"/>
      <c r="K908" s="9"/>
    </row>
    <row r="909" customFormat="false" ht="15" hidden="false" customHeight="true" outlineLevel="0" collapsed="false">
      <c r="A909" s="73"/>
      <c r="B909" s="74"/>
      <c r="C909" s="74"/>
      <c r="D909" s="73"/>
      <c r="E909" s="73"/>
      <c r="F909" s="73"/>
      <c r="G909" s="75"/>
      <c r="H909" s="75"/>
      <c r="I909" s="73"/>
      <c r="J909" s="31"/>
      <c r="K909" s="32"/>
    </row>
    <row r="910" customFormat="false" ht="15" hidden="false" customHeight="true" outlineLevel="0" collapsed="false">
      <c r="A910" s="9"/>
      <c r="B910" s="76"/>
      <c r="C910" s="76"/>
      <c r="D910" s="9"/>
      <c r="E910" s="9"/>
      <c r="F910" s="9"/>
      <c r="G910" s="33"/>
      <c r="H910" s="33"/>
      <c r="I910" s="9"/>
      <c r="J910" s="33"/>
      <c r="K910" s="9"/>
    </row>
    <row r="911" customFormat="false" ht="15" hidden="false" customHeight="true" outlineLevel="0" collapsed="false">
      <c r="A911" s="73"/>
      <c r="B911" s="74"/>
      <c r="C911" s="74"/>
      <c r="D911" s="73"/>
      <c r="E911" s="73"/>
      <c r="F911" s="73"/>
      <c r="G911" s="75"/>
      <c r="H911" s="75"/>
      <c r="I911" s="73"/>
      <c r="J911" s="31"/>
      <c r="K911" s="32"/>
    </row>
    <row r="912" customFormat="false" ht="15" hidden="false" customHeight="true" outlineLevel="0" collapsed="false">
      <c r="A912" s="9"/>
      <c r="B912" s="76"/>
      <c r="C912" s="76"/>
      <c r="D912" s="9"/>
      <c r="E912" s="9"/>
      <c r="F912" s="9"/>
      <c r="G912" s="33"/>
      <c r="H912" s="33"/>
      <c r="I912" s="9"/>
      <c r="J912" s="33"/>
      <c r="K912" s="9"/>
    </row>
    <row r="913" customFormat="false" ht="15" hidden="false" customHeight="true" outlineLevel="0" collapsed="false">
      <c r="A913" s="73"/>
      <c r="B913" s="74"/>
      <c r="C913" s="74"/>
      <c r="D913" s="73"/>
      <c r="E913" s="73"/>
      <c r="F913" s="73"/>
      <c r="G913" s="75"/>
      <c r="H913" s="75"/>
      <c r="I913" s="73"/>
      <c r="J913" s="31"/>
      <c r="K913" s="32"/>
    </row>
    <row r="914" customFormat="false" ht="15" hidden="false" customHeight="true" outlineLevel="0" collapsed="false">
      <c r="A914" s="9"/>
      <c r="B914" s="76"/>
      <c r="C914" s="76"/>
      <c r="D914" s="9"/>
      <c r="E914" s="9"/>
      <c r="F914" s="9"/>
      <c r="G914" s="33"/>
      <c r="H914" s="33"/>
      <c r="I914" s="9"/>
      <c r="J914" s="33"/>
      <c r="K914" s="9"/>
    </row>
    <row r="915" customFormat="false" ht="15" hidden="false" customHeight="true" outlineLevel="0" collapsed="false">
      <c r="A915" s="73"/>
      <c r="B915" s="74"/>
      <c r="C915" s="74"/>
      <c r="D915" s="73"/>
      <c r="E915" s="73"/>
      <c r="F915" s="73"/>
      <c r="G915" s="75"/>
      <c r="H915" s="75"/>
      <c r="I915" s="73"/>
      <c r="J915" s="31"/>
      <c r="K915" s="32"/>
    </row>
    <row r="916" customFormat="false" ht="15" hidden="false" customHeight="true" outlineLevel="0" collapsed="false">
      <c r="A916" s="9"/>
      <c r="B916" s="76"/>
      <c r="C916" s="76"/>
      <c r="D916" s="9"/>
      <c r="E916" s="9"/>
      <c r="F916" s="9"/>
      <c r="G916" s="33"/>
      <c r="H916" s="33"/>
      <c r="I916" s="9"/>
      <c r="J916" s="33"/>
      <c r="K916" s="9"/>
    </row>
    <row r="917" customFormat="false" ht="15" hidden="false" customHeight="true" outlineLevel="0" collapsed="false">
      <c r="A917" s="73"/>
      <c r="B917" s="74"/>
      <c r="C917" s="74"/>
      <c r="D917" s="73"/>
      <c r="E917" s="73"/>
      <c r="F917" s="73"/>
      <c r="G917" s="75"/>
      <c r="H917" s="75"/>
      <c r="I917" s="73"/>
      <c r="J917" s="31"/>
      <c r="K917" s="32"/>
    </row>
    <row r="918" customFormat="false" ht="15" hidden="false" customHeight="true" outlineLevel="0" collapsed="false">
      <c r="A918" s="9"/>
      <c r="B918" s="76"/>
      <c r="C918" s="76"/>
      <c r="D918" s="9"/>
      <c r="E918" s="9"/>
      <c r="F918" s="9"/>
      <c r="G918" s="33"/>
      <c r="H918" s="33"/>
      <c r="I918" s="9"/>
      <c r="J918" s="33"/>
      <c r="K918" s="9"/>
    </row>
    <row r="919" customFormat="false" ht="15" hidden="false" customHeight="true" outlineLevel="0" collapsed="false">
      <c r="A919" s="73"/>
      <c r="B919" s="74"/>
      <c r="C919" s="74"/>
      <c r="D919" s="73"/>
      <c r="E919" s="73"/>
      <c r="F919" s="73"/>
      <c r="G919" s="75"/>
      <c r="H919" s="75"/>
      <c r="I919" s="73"/>
      <c r="J919" s="31"/>
      <c r="K919" s="32"/>
    </row>
    <row r="920" customFormat="false" ht="15" hidden="false" customHeight="true" outlineLevel="0" collapsed="false">
      <c r="A920" s="9"/>
      <c r="B920" s="76"/>
      <c r="C920" s="76"/>
      <c r="D920" s="9"/>
      <c r="E920" s="9"/>
      <c r="F920" s="9"/>
      <c r="G920" s="33"/>
      <c r="H920" s="33"/>
      <c r="I920" s="9"/>
      <c r="J920" s="33"/>
      <c r="K920" s="9"/>
    </row>
    <row r="921" customFormat="false" ht="15" hidden="false" customHeight="true" outlineLevel="0" collapsed="false">
      <c r="A921" s="73"/>
      <c r="B921" s="74"/>
      <c r="C921" s="74"/>
      <c r="D921" s="73"/>
      <c r="E921" s="73"/>
      <c r="F921" s="73"/>
      <c r="G921" s="75"/>
      <c r="H921" s="75"/>
      <c r="I921" s="73"/>
      <c r="J921" s="31"/>
      <c r="K921" s="32"/>
    </row>
    <row r="922" customFormat="false" ht="15" hidden="false" customHeight="true" outlineLevel="0" collapsed="false">
      <c r="A922" s="9"/>
      <c r="B922" s="76"/>
      <c r="C922" s="76"/>
      <c r="D922" s="9"/>
      <c r="E922" s="9"/>
      <c r="F922" s="9"/>
      <c r="G922" s="33"/>
      <c r="H922" s="33"/>
      <c r="I922" s="9"/>
      <c r="J922" s="33"/>
      <c r="K922" s="9"/>
    </row>
    <row r="923" customFormat="false" ht="15" hidden="false" customHeight="true" outlineLevel="0" collapsed="false">
      <c r="A923" s="73"/>
      <c r="B923" s="74"/>
      <c r="C923" s="74"/>
      <c r="D923" s="73"/>
      <c r="E923" s="73"/>
      <c r="F923" s="73"/>
      <c r="G923" s="75"/>
      <c r="H923" s="75"/>
      <c r="I923" s="73"/>
      <c r="J923" s="31"/>
      <c r="K923" s="32"/>
    </row>
    <row r="924" customFormat="false" ht="15" hidden="false" customHeight="true" outlineLevel="0" collapsed="false">
      <c r="A924" s="9"/>
      <c r="B924" s="76"/>
      <c r="C924" s="76"/>
      <c r="D924" s="9"/>
      <c r="E924" s="9"/>
      <c r="F924" s="9"/>
      <c r="G924" s="33"/>
      <c r="H924" s="33"/>
      <c r="I924" s="9"/>
      <c r="J924" s="33"/>
      <c r="K924" s="9"/>
    </row>
    <row r="925" customFormat="false" ht="15" hidden="false" customHeight="true" outlineLevel="0" collapsed="false">
      <c r="A925" s="73"/>
      <c r="B925" s="74"/>
      <c r="C925" s="74"/>
      <c r="D925" s="73"/>
      <c r="E925" s="73"/>
      <c r="F925" s="73"/>
      <c r="G925" s="75"/>
      <c r="H925" s="75"/>
      <c r="I925" s="73"/>
      <c r="J925" s="31"/>
      <c r="K925" s="32"/>
    </row>
    <row r="926" customFormat="false" ht="15" hidden="false" customHeight="true" outlineLevel="0" collapsed="false">
      <c r="A926" s="9"/>
      <c r="B926" s="76"/>
      <c r="C926" s="76"/>
      <c r="D926" s="9"/>
      <c r="E926" s="9"/>
      <c r="F926" s="9"/>
      <c r="G926" s="33"/>
      <c r="H926" s="33"/>
      <c r="I926" s="9"/>
      <c r="J926" s="33"/>
      <c r="K926" s="9"/>
    </row>
    <row r="927" customFormat="false" ht="15" hidden="false" customHeight="true" outlineLevel="0" collapsed="false">
      <c r="A927" s="73"/>
      <c r="B927" s="74"/>
      <c r="C927" s="74"/>
      <c r="D927" s="73"/>
      <c r="E927" s="73"/>
      <c r="F927" s="73"/>
      <c r="G927" s="75"/>
      <c r="H927" s="75"/>
      <c r="I927" s="73"/>
      <c r="J927" s="31"/>
      <c r="K927" s="32"/>
    </row>
    <row r="928" customFormat="false" ht="15" hidden="false" customHeight="true" outlineLevel="0" collapsed="false">
      <c r="A928" s="9"/>
      <c r="B928" s="76"/>
      <c r="C928" s="76"/>
      <c r="D928" s="9"/>
      <c r="E928" s="9"/>
      <c r="F928" s="9"/>
      <c r="G928" s="33"/>
      <c r="H928" s="33"/>
      <c r="I928" s="9"/>
      <c r="J928" s="33"/>
      <c r="K928" s="9"/>
    </row>
    <row r="929" customFormat="false" ht="15" hidden="false" customHeight="true" outlineLevel="0" collapsed="false">
      <c r="A929" s="73"/>
      <c r="B929" s="74"/>
      <c r="C929" s="74"/>
      <c r="D929" s="73"/>
      <c r="E929" s="73"/>
      <c r="F929" s="73"/>
      <c r="G929" s="75"/>
      <c r="H929" s="75"/>
      <c r="I929" s="73"/>
      <c r="J929" s="31"/>
      <c r="K929" s="32"/>
    </row>
    <row r="930" customFormat="false" ht="15" hidden="false" customHeight="true" outlineLevel="0" collapsed="false">
      <c r="A930" s="9"/>
      <c r="B930" s="76"/>
      <c r="C930" s="76"/>
      <c r="D930" s="9"/>
      <c r="E930" s="9"/>
      <c r="F930" s="9"/>
      <c r="G930" s="33"/>
      <c r="H930" s="33"/>
      <c r="I930" s="9"/>
      <c r="J930" s="33"/>
      <c r="K930" s="9"/>
    </row>
    <row r="931" customFormat="false" ht="15" hidden="false" customHeight="true" outlineLevel="0" collapsed="false">
      <c r="A931" s="73"/>
      <c r="B931" s="74"/>
      <c r="C931" s="74"/>
      <c r="D931" s="73"/>
      <c r="E931" s="73"/>
      <c r="F931" s="73"/>
      <c r="G931" s="75"/>
      <c r="H931" s="75"/>
      <c r="I931" s="73"/>
      <c r="J931" s="31"/>
      <c r="K931" s="32"/>
    </row>
    <row r="932" customFormat="false" ht="15" hidden="false" customHeight="true" outlineLevel="0" collapsed="false">
      <c r="A932" s="9"/>
      <c r="B932" s="76"/>
      <c r="C932" s="76"/>
      <c r="D932" s="9"/>
      <c r="E932" s="9"/>
      <c r="F932" s="9"/>
      <c r="G932" s="33"/>
      <c r="H932" s="33"/>
      <c r="I932" s="9"/>
      <c r="J932" s="33"/>
      <c r="K932" s="9"/>
    </row>
    <row r="933" customFormat="false" ht="15" hidden="false" customHeight="true" outlineLevel="0" collapsed="false">
      <c r="A933" s="73"/>
      <c r="B933" s="74"/>
      <c r="C933" s="74"/>
      <c r="D933" s="73"/>
      <c r="E933" s="73"/>
      <c r="F933" s="73"/>
      <c r="G933" s="75"/>
      <c r="H933" s="75"/>
      <c r="I933" s="73"/>
      <c r="J933" s="31"/>
      <c r="K933" s="32"/>
    </row>
    <row r="934" customFormat="false" ht="15" hidden="false" customHeight="true" outlineLevel="0" collapsed="false">
      <c r="A934" s="9"/>
      <c r="B934" s="76"/>
      <c r="C934" s="76"/>
      <c r="D934" s="9"/>
      <c r="E934" s="9"/>
      <c r="F934" s="9"/>
      <c r="G934" s="33"/>
      <c r="H934" s="33"/>
      <c r="I934" s="9"/>
      <c r="J934" s="33"/>
      <c r="K934" s="9"/>
    </row>
    <row r="935" customFormat="false" ht="15" hidden="false" customHeight="true" outlineLevel="0" collapsed="false">
      <c r="A935" s="73"/>
      <c r="B935" s="74"/>
      <c r="C935" s="74"/>
      <c r="D935" s="73"/>
      <c r="E935" s="73"/>
      <c r="F935" s="73"/>
      <c r="G935" s="75"/>
      <c r="H935" s="75"/>
      <c r="I935" s="73"/>
      <c r="J935" s="31"/>
      <c r="K935" s="32"/>
    </row>
    <row r="936" customFormat="false" ht="15" hidden="false" customHeight="true" outlineLevel="0" collapsed="false">
      <c r="A936" s="9"/>
      <c r="B936" s="76"/>
      <c r="C936" s="76"/>
      <c r="D936" s="9"/>
      <c r="E936" s="9"/>
      <c r="F936" s="9"/>
      <c r="G936" s="33"/>
      <c r="H936" s="33"/>
      <c r="I936" s="9"/>
      <c r="J936" s="33"/>
      <c r="K936" s="9"/>
    </row>
    <row r="937" customFormat="false" ht="15" hidden="false" customHeight="true" outlineLevel="0" collapsed="false">
      <c r="A937" s="73"/>
      <c r="B937" s="74"/>
      <c r="C937" s="74"/>
      <c r="D937" s="73"/>
      <c r="E937" s="73"/>
      <c r="F937" s="73"/>
      <c r="G937" s="75"/>
      <c r="H937" s="75"/>
      <c r="I937" s="73"/>
      <c r="J937" s="31"/>
      <c r="K937" s="32"/>
    </row>
    <row r="938" customFormat="false" ht="15" hidden="false" customHeight="true" outlineLevel="0" collapsed="false">
      <c r="A938" s="9"/>
      <c r="B938" s="76"/>
      <c r="C938" s="76"/>
      <c r="D938" s="9"/>
      <c r="E938" s="9"/>
      <c r="F938" s="9"/>
      <c r="G938" s="33"/>
      <c r="H938" s="33"/>
      <c r="I938" s="9"/>
      <c r="J938" s="33"/>
      <c r="K938" s="9"/>
    </row>
    <row r="939" customFormat="false" ht="15" hidden="false" customHeight="true" outlineLevel="0" collapsed="false">
      <c r="A939" s="73"/>
      <c r="B939" s="74"/>
      <c r="C939" s="74"/>
      <c r="D939" s="73"/>
      <c r="E939" s="73"/>
      <c r="F939" s="73"/>
      <c r="G939" s="75"/>
      <c r="H939" s="75"/>
      <c r="I939" s="73"/>
      <c r="J939" s="31"/>
      <c r="K939" s="32"/>
    </row>
    <row r="940" customFormat="false" ht="15" hidden="false" customHeight="true" outlineLevel="0" collapsed="false">
      <c r="A940" s="9"/>
      <c r="B940" s="76"/>
      <c r="C940" s="76"/>
      <c r="D940" s="9"/>
      <c r="E940" s="9"/>
      <c r="F940" s="9"/>
      <c r="G940" s="33"/>
      <c r="H940" s="33"/>
      <c r="I940" s="9"/>
      <c r="J940" s="33"/>
      <c r="K940" s="9"/>
    </row>
    <row r="941" customFormat="false" ht="15" hidden="false" customHeight="true" outlineLevel="0" collapsed="false">
      <c r="A941" s="73"/>
      <c r="B941" s="74"/>
      <c r="C941" s="74"/>
      <c r="D941" s="73"/>
      <c r="E941" s="73"/>
      <c r="F941" s="73"/>
      <c r="G941" s="75"/>
      <c r="H941" s="75"/>
      <c r="I941" s="73"/>
      <c r="J941" s="31"/>
      <c r="K941" s="32"/>
    </row>
    <row r="942" customFormat="false" ht="15" hidden="false" customHeight="true" outlineLevel="0" collapsed="false">
      <c r="A942" s="9"/>
      <c r="B942" s="76"/>
      <c r="C942" s="76"/>
      <c r="D942" s="9"/>
      <c r="E942" s="9"/>
      <c r="F942" s="9"/>
      <c r="G942" s="33"/>
      <c r="H942" s="33"/>
      <c r="I942" s="9"/>
      <c r="J942" s="33"/>
      <c r="K942" s="9"/>
    </row>
    <row r="943" customFormat="false" ht="15" hidden="false" customHeight="true" outlineLevel="0" collapsed="false">
      <c r="A943" s="73"/>
      <c r="B943" s="74"/>
      <c r="C943" s="74"/>
      <c r="D943" s="73"/>
      <c r="E943" s="73"/>
      <c r="F943" s="73"/>
      <c r="G943" s="75"/>
      <c r="H943" s="75"/>
      <c r="I943" s="73"/>
      <c r="J943" s="31"/>
      <c r="K943" s="32"/>
    </row>
    <row r="944" customFormat="false" ht="15" hidden="false" customHeight="true" outlineLevel="0" collapsed="false">
      <c r="A944" s="9"/>
      <c r="B944" s="76"/>
      <c r="C944" s="76"/>
      <c r="D944" s="9"/>
      <c r="E944" s="9"/>
      <c r="F944" s="9"/>
      <c r="G944" s="33"/>
      <c r="H944" s="33"/>
      <c r="I944" s="9"/>
      <c r="J944" s="33"/>
      <c r="K944" s="9"/>
    </row>
    <row r="945" customFormat="false" ht="15" hidden="false" customHeight="true" outlineLevel="0" collapsed="false">
      <c r="A945" s="73"/>
      <c r="B945" s="74"/>
      <c r="C945" s="74"/>
      <c r="D945" s="73"/>
      <c r="E945" s="73"/>
      <c r="F945" s="73"/>
      <c r="G945" s="75"/>
      <c r="H945" s="75"/>
      <c r="I945" s="73"/>
      <c r="J945" s="31"/>
      <c r="K945" s="32"/>
    </row>
    <row r="946" customFormat="false" ht="15" hidden="false" customHeight="true" outlineLevel="0" collapsed="false">
      <c r="A946" s="9"/>
      <c r="B946" s="76"/>
      <c r="C946" s="76"/>
      <c r="D946" s="9"/>
      <c r="E946" s="9"/>
      <c r="F946" s="9"/>
      <c r="G946" s="33"/>
      <c r="H946" s="33"/>
      <c r="I946" s="9"/>
      <c r="J946" s="33"/>
      <c r="K946" s="9"/>
    </row>
    <row r="947" customFormat="false" ht="15" hidden="false" customHeight="true" outlineLevel="0" collapsed="false">
      <c r="A947" s="73"/>
      <c r="B947" s="74"/>
      <c r="C947" s="74"/>
      <c r="D947" s="73"/>
      <c r="E947" s="73"/>
      <c r="F947" s="73"/>
      <c r="G947" s="75"/>
      <c r="H947" s="75"/>
      <c r="I947" s="73"/>
      <c r="J947" s="31"/>
      <c r="K947" s="32"/>
    </row>
    <row r="948" customFormat="false" ht="15" hidden="false" customHeight="true" outlineLevel="0" collapsed="false">
      <c r="A948" s="9"/>
      <c r="B948" s="76"/>
      <c r="C948" s="76"/>
      <c r="D948" s="9"/>
      <c r="E948" s="9"/>
      <c r="F948" s="9"/>
      <c r="G948" s="33"/>
      <c r="H948" s="33"/>
      <c r="I948" s="9"/>
      <c r="J948" s="33"/>
      <c r="K948" s="9"/>
    </row>
    <row r="949" customFormat="false" ht="15" hidden="false" customHeight="true" outlineLevel="0" collapsed="false">
      <c r="A949" s="73"/>
      <c r="B949" s="74"/>
      <c r="C949" s="74"/>
      <c r="D949" s="73"/>
      <c r="E949" s="73"/>
      <c r="F949" s="73"/>
      <c r="G949" s="75"/>
      <c r="H949" s="75"/>
      <c r="I949" s="73"/>
      <c r="J949" s="31"/>
      <c r="K949" s="32"/>
    </row>
    <row r="950" customFormat="false" ht="15" hidden="false" customHeight="true" outlineLevel="0" collapsed="false">
      <c r="A950" s="9"/>
      <c r="B950" s="76"/>
      <c r="C950" s="76"/>
      <c r="D950" s="9"/>
      <c r="E950" s="9"/>
      <c r="F950" s="9"/>
      <c r="G950" s="33"/>
      <c r="H950" s="33"/>
      <c r="I950" s="9"/>
      <c r="J950" s="33"/>
      <c r="K950" s="9"/>
    </row>
    <row r="951" customFormat="false" ht="15" hidden="false" customHeight="true" outlineLevel="0" collapsed="false">
      <c r="A951" s="73"/>
      <c r="B951" s="74"/>
      <c r="C951" s="74"/>
      <c r="D951" s="73"/>
      <c r="E951" s="73"/>
      <c r="F951" s="73"/>
      <c r="G951" s="75"/>
      <c r="H951" s="75"/>
      <c r="I951" s="73"/>
      <c r="J951" s="31"/>
      <c r="K951" s="32"/>
    </row>
    <row r="952" customFormat="false" ht="15" hidden="false" customHeight="true" outlineLevel="0" collapsed="false">
      <c r="A952" s="9"/>
      <c r="B952" s="76"/>
      <c r="C952" s="76"/>
      <c r="D952" s="9"/>
      <c r="E952" s="9"/>
      <c r="F952" s="9"/>
      <c r="G952" s="33"/>
      <c r="H952" s="33"/>
      <c r="I952" s="9"/>
      <c r="J952" s="33"/>
      <c r="K952" s="9"/>
    </row>
    <row r="953" customFormat="false" ht="15" hidden="false" customHeight="true" outlineLevel="0" collapsed="false">
      <c r="A953" s="73"/>
      <c r="B953" s="74"/>
      <c r="C953" s="74"/>
      <c r="D953" s="73"/>
      <c r="E953" s="73"/>
      <c r="F953" s="73"/>
      <c r="G953" s="75"/>
      <c r="H953" s="75"/>
      <c r="I953" s="73"/>
      <c r="J953" s="31"/>
      <c r="K953" s="32"/>
    </row>
    <row r="954" customFormat="false" ht="15" hidden="false" customHeight="true" outlineLevel="0" collapsed="false">
      <c r="A954" s="9"/>
      <c r="B954" s="76"/>
      <c r="C954" s="76"/>
      <c r="D954" s="9"/>
      <c r="E954" s="9"/>
      <c r="F954" s="9"/>
      <c r="G954" s="33"/>
      <c r="H954" s="33"/>
      <c r="I954" s="9"/>
      <c r="J954" s="33"/>
      <c r="K954" s="9"/>
    </row>
    <row r="955" customFormat="false" ht="15" hidden="false" customHeight="true" outlineLevel="0" collapsed="false">
      <c r="A955" s="73"/>
      <c r="B955" s="74"/>
      <c r="C955" s="74"/>
      <c r="D955" s="73"/>
      <c r="E955" s="73"/>
      <c r="F955" s="73"/>
      <c r="G955" s="75"/>
      <c r="H955" s="75"/>
      <c r="I955" s="73"/>
      <c r="J955" s="31"/>
      <c r="K955" s="32"/>
    </row>
    <row r="956" customFormat="false" ht="15" hidden="false" customHeight="true" outlineLevel="0" collapsed="false">
      <c r="A956" s="9"/>
      <c r="B956" s="76"/>
      <c r="C956" s="76"/>
      <c r="D956" s="9"/>
      <c r="E956" s="9"/>
      <c r="F956" s="9"/>
      <c r="G956" s="33"/>
      <c r="H956" s="33"/>
      <c r="I956" s="9"/>
      <c r="J956" s="33"/>
      <c r="K956" s="9"/>
    </row>
    <row r="957" customFormat="false" ht="15" hidden="false" customHeight="true" outlineLevel="0" collapsed="false">
      <c r="A957" s="73"/>
      <c r="B957" s="74"/>
      <c r="C957" s="74"/>
      <c r="D957" s="73"/>
      <c r="E957" s="73"/>
      <c r="F957" s="73"/>
      <c r="G957" s="75"/>
      <c r="H957" s="75"/>
      <c r="I957" s="73"/>
      <c r="J957" s="31"/>
      <c r="K957" s="32"/>
    </row>
    <row r="958" customFormat="false" ht="15" hidden="false" customHeight="true" outlineLevel="0" collapsed="false">
      <c r="A958" s="9"/>
      <c r="B958" s="76"/>
      <c r="C958" s="76"/>
      <c r="D958" s="9"/>
      <c r="E958" s="9"/>
      <c r="F958" s="9"/>
      <c r="G958" s="33"/>
      <c r="H958" s="33"/>
      <c r="I958" s="9"/>
      <c r="J958" s="33"/>
      <c r="K958" s="9"/>
    </row>
    <row r="959" customFormat="false" ht="15" hidden="false" customHeight="true" outlineLevel="0" collapsed="false">
      <c r="A959" s="73"/>
      <c r="B959" s="74"/>
      <c r="C959" s="74"/>
      <c r="D959" s="73"/>
      <c r="E959" s="73"/>
      <c r="F959" s="73"/>
      <c r="G959" s="75"/>
      <c r="H959" s="75"/>
      <c r="I959" s="73"/>
      <c r="J959" s="31"/>
      <c r="K959" s="32"/>
    </row>
    <row r="960" customFormat="false" ht="15" hidden="false" customHeight="true" outlineLevel="0" collapsed="false">
      <c r="A960" s="9"/>
      <c r="B960" s="76"/>
      <c r="C960" s="76"/>
      <c r="D960" s="9"/>
      <c r="E960" s="9"/>
      <c r="F960" s="9"/>
      <c r="G960" s="33"/>
      <c r="H960" s="33"/>
      <c r="I960" s="9"/>
      <c r="J960" s="33"/>
      <c r="K960" s="9"/>
    </row>
    <row r="961" customFormat="false" ht="15" hidden="false" customHeight="true" outlineLevel="0" collapsed="false">
      <c r="A961" s="73"/>
      <c r="B961" s="74"/>
      <c r="C961" s="74"/>
      <c r="D961" s="73"/>
      <c r="E961" s="73"/>
      <c r="F961" s="73"/>
      <c r="G961" s="75"/>
      <c r="H961" s="75"/>
      <c r="I961" s="73"/>
      <c r="J961" s="31"/>
      <c r="K961" s="32"/>
    </row>
    <row r="962" customFormat="false" ht="15" hidden="false" customHeight="true" outlineLevel="0" collapsed="false">
      <c r="A962" s="9"/>
      <c r="B962" s="76"/>
      <c r="C962" s="76"/>
      <c r="D962" s="9"/>
      <c r="E962" s="9"/>
      <c r="F962" s="9"/>
      <c r="G962" s="33"/>
      <c r="H962" s="33"/>
      <c r="I962" s="9"/>
      <c r="J962" s="33"/>
      <c r="K962" s="9"/>
    </row>
    <row r="963" customFormat="false" ht="15" hidden="false" customHeight="true" outlineLevel="0" collapsed="false">
      <c r="A963" s="73"/>
      <c r="B963" s="74"/>
      <c r="C963" s="74"/>
      <c r="D963" s="73"/>
      <c r="E963" s="73"/>
      <c r="F963" s="73"/>
      <c r="G963" s="75"/>
      <c r="H963" s="75"/>
      <c r="I963" s="73"/>
      <c r="J963" s="31"/>
      <c r="K963" s="32"/>
    </row>
    <row r="964" customFormat="false" ht="15" hidden="false" customHeight="true" outlineLevel="0" collapsed="false">
      <c r="A964" s="9"/>
      <c r="B964" s="76"/>
      <c r="C964" s="76"/>
      <c r="D964" s="9"/>
      <c r="E964" s="9"/>
      <c r="F964" s="9"/>
      <c r="G964" s="33"/>
      <c r="H964" s="33"/>
      <c r="I964" s="9"/>
      <c r="J964" s="33"/>
      <c r="K964" s="9"/>
    </row>
    <row r="965" customFormat="false" ht="15" hidden="false" customHeight="true" outlineLevel="0" collapsed="false">
      <c r="A965" s="73"/>
      <c r="B965" s="74"/>
      <c r="C965" s="74"/>
      <c r="D965" s="73"/>
      <c r="E965" s="73"/>
      <c r="F965" s="73"/>
      <c r="G965" s="75"/>
      <c r="H965" s="75"/>
      <c r="I965" s="73"/>
      <c r="J965" s="31"/>
      <c r="K965" s="32"/>
    </row>
    <row r="966" customFormat="false" ht="15" hidden="false" customHeight="true" outlineLevel="0" collapsed="false">
      <c r="A966" s="9"/>
      <c r="B966" s="76"/>
      <c r="C966" s="76"/>
      <c r="D966" s="9"/>
      <c r="E966" s="9"/>
      <c r="F966" s="9"/>
      <c r="G966" s="33"/>
      <c r="H966" s="33"/>
      <c r="I966" s="9"/>
      <c r="J966" s="33"/>
      <c r="K966" s="9"/>
    </row>
    <row r="967" customFormat="false" ht="15" hidden="false" customHeight="true" outlineLevel="0" collapsed="false">
      <c r="A967" s="73"/>
      <c r="B967" s="74"/>
      <c r="C967" s="74"/>
      <c r="D967" s="73"/>
      <c r="E967" s="73"/>
      <c r="F967" s="73"/>
      <c r="G967" s="75"/>
      <c r="H967" s="75"/>
      <c r="I967" s="73"/>
      <c r="J967" s="31"/>
      <c r="K967" s="32"/>
    </row>
    <row r="968" customFormat="false" ht="15" hidden="false" customHeight="true" outlineLevel="0" collapsed="false">
      <c r="A968" s="9"/>
      <c r="B968" s="76"/>
      <c r="C968" s="76"/>
      <c r="D968" s="9"/>
      <c r="E968" s="9"/>
      <c r="F968" s="9"/>
      <c r="G968" s="33"/>
      <c r="H968" s="33"/>
      <c r="I968" s="9"/>
      <c r="J968" s="33"/>
      <c r="K968" s="9"/>
    </row>
    <row r="969" customFormat="false" ht="15" hidden="false" customHeight="true" outlineLevel="0" collapsed="false">
      <c r="A969" s="73"/>
      <c r="B969" s="74"/>
      <c r="C969" s="74"/>
      <c r="D969" s="73"/>
      <c r="E969" s="73"/>
      <c r="F969" s="73"/>
      <c r="G969" s="75"/>
      <c r="H969" s="75"/>
      <c r="I969" s="73"/>
      <c r="J969" s="31"/>
      <c r="K969" s="32"/>
    </row>
    <row r="970" customFormat="false" ht="15" hidden="false" customHeight="true" outlineLevel="0" collapsed="false">
      <c r="A970" s="9"/>
      <c r="B970" s="76"/>
      <c r="C970" s="76"/>
      <c r="D970" s="9"/>
      <c r="E970" s="9"/>
      <c r="F970" s="9"/>
      <c r="G970" s="33"/>
      <c r="H970" s="33"/>
      <c r="I970" s="9"/>
      <c r="J970" s="33"/>
      <c r="K970" s="9"/>
    </row>
    <row r="971" customFormat="false" ht="15" hidden="false" customHeight="true" outlineLevel="0" collapsed="false">
      <c r="A971" s="73"/>
      <c r="B971" s="74"/>
      <c r="C971" s="74"/>
      <c r="D971" s="73"/>
      <c r="E971" s="73"/>
      <c r="F971" s="73"/>
      <c r="G971" s="75"/>
      <c r="H971" s="75"/>
      <c r="I971" s="73"/>
      <c r="J971" s="31"/>
      <c r="K971" s="32"/>
    </row>
    <row r="972" customFormat="false" ht="15" hidden="false" customHeight="true" outlineLevel="0" collapsed="false">
      <c r="A972" s="9"/>
      <c r="B972" s="76"/>
      <c r="C972" s="76"/>
      <c r="D972" s="9"/>
      <c r="E972" s="9"/>
      <c r="F972" s="9"/>
      <c r="G972" s="33"/>
      <c r="H972" s="33"/>
      <c r="I972" s="9"/>
      <c r="J972" s="33"/>
      <c r="K972" s="9"/>
    </row>
    <row r="973" customFormat="false" ht="15" hidden="false" customHeight="true" outlineLevel="0" collapsed="false">
      <c r="A973" s="73"/>
      <c r="B973" s="74"/>
      <c r="C973" s="74"/>
      <c r="D973" s="73"/>
      <c r="E973" s="73"/>
      <c r="F973" s="73"/>
      <c r="G973" s="75"/>
      <c r="H973" s="75"/>
      <c r="I973" s="73"/>
      <c r="J973" s="31"/>
      <c r="K973" s="32"/>
    </row>
    <row r="974" customFormat="false" ht="15" hidden="false" customHeight="true" outlineLevel="0" collapsed="false">
      <c r="A974" s="9"/>
      <c r="B974" s="76"/>
      <c r="C974" s="76"/>
      <c r="D974" s="9"/>
      <c r="E974" s="9"/>
      <c r="F974" s="9"/>
      <c r="G974" s="33"/>
      <c r="H974" s="33"/>
      <c r="I974" s="9"/>
      <c r="J974" s="33"/>
      <c r="K974" s="9"/>
    </row>
    <row r="975" customFormat="false" ht="15" hidden="false" customHeight="true" outlineLevel="0" collapsed="false">
      <c r="A975" s="73"/>
      <c r="B975" s="74"/>
      <c r="C975" s="74"/>
      <c r="D975" s="73"/>
      <c r="E975" s="73"/>
      <c r="F975" s="73"/>
      <c r="G975" s="75"/>
      <c r="H975" s="75"/>
      <c r="I975" s="73"/>
      <c r="J975" s="31"/>
      <c r="K975" s="32"/>
    </row>
    <row r="976" customFormat="false" ht="15" hidden="false" customHeight="true" outlineLevel="0" collapsed="false">
      <c r="A976" s="9"/>
      <c r="B976" s="76"/>
      <c r="C976" s="76"/>
      <c r="D976" s="9"/>
      <c r="E976" s="9"/>
      <c r="F976" s="9"/>
      <c r="G976" s="33"/>
      <c r="H976" s="33"/>
      <c r="I976" s="9"/>
      <c r="J976" s="33"/>
      <c r="K976" s="9"/>
    </row>
    <row r="977" customFormat="false" ht="15" hidden="false" customHeight="true" outlineLevel="0" collapsed="false">
      <c r="A977" s="73"/>
      <c r="B977" s="74"/>
      <c r="C977" s="74"/>
      <c r="D977" s="73"/>
      <c r="E977" s="73"/>
      <c r="F977" s="73"/>
      <c r="G977" s="75"/>
      <c r="H977" s="75"/>
      <c r="I977" s="73"/>
      <c r="J977" s="31"/>
      <c r="K977" s="32"/>
    </row>
    <row r="978" customFormat="false" ht="15" hidden="false" customHeight="true" outlineLevel="0" collapsed="false">
      <c r="A978" s="9"/>
      <c r="B978" s="76"/>
      <c r="C978" s="76"/>
      <c r="D978" s="9"/>
      <c r="E978" s="9"/>
      <c r="F978" s="9"/>
      <c r="G978" s="33"/>
      <c r="H978" s="33"/>
      <c r="I978" s="9"/>
      <c r="J978" s="33"/>
      <c r="K978" s="9"/>
    </row>
    <row r="979" customFormat="false" ht="15" hidden="false" customHeight="true" outlineLevel="0" collapsed="false">
      <c r="A979" s="73"/>
      <c r="B979" s="74"/>
      <c r="C979" s="74"/>
      <c r="D979" s="73"/>
      <c r="E979" s="73"/>
      <c r="F979" s="73"/>
      <c r="G979" s="75"/>
      <c r="H979" s="75"/>
      <c r="I979" s="73"/>
      <c r="J979" s="31"/>
      <c r="K979" s="32"/>
    </row>
    <row r="980" customFormat="false" ht="15" hidden="false" customHeight="true" outlineLevel="0" collapsed="false">
      <c r="A980" s="9"/>
      <c r="B980" s="76"/>
      <c r="C980" s="76"/>
      <c r="D980" s="9"/>
      <c r="E980" s="9"/>
      <c r="F980" s="9"/>
      <c r="G980" s="33"/>
      <c r="H980" s="33"/>
      <c r="I980" s="9"/>
      <c r="J980" s="33"/>
      <c r="K980" s="9"/>
    </row>
    <row r="981" customFormat="false" ht="15" hidden="false" customHeight="true" outlineLevel="0" collapsed="false">
      <c r="A981" s="73"/>
      <c r="B981" s="74"/>
      <c r="C981" s="74"/>
      <c r="D981" s="73"/>
      <c r="E981" s="73"/>
      <c r="F981" s="73"/>
      <c r="G981" s="75"/>
      <c r="H981" s="75"/>
      <c r="I981" s="73"/>
      <c r="J981" s="31"/>
      <c r="K981" s="32"/>
    </row>
    <row r="982" customFormat="false" ht="15" hidden="false" customHeight="true" outlineLevel="0" collapsed="false">
      <c r="A982" s="9"/>
      <c r="B982" s="76"/>
      <c r="C982" s="76"/>
      <c r="D982" s="9"/>
      <c r="E982" s="9"/>
      <c r="F982" s="9"/>
      <c r="G982" s="33"/>
      <c r="H982" s="33"/>
      <c r="I982" s="9"/>
      <c r="J982" s="33"/>
      <c r="K982" s="9"/>
    </row>
    <row r="983" customFormat="false" ht="15" hidden="false" customHeight="true" outlineLevel="0" collapsed="false">
      <c r="A983" s="73"/>
      <c r="B983" s="74"/>
      <c r="C983" s="74"/>
      <c r="D983" s="73"/>
      <c r="E983" s="73"/>
      <c r="F983" s="73"/>
      <c r="G983" s="75"/>
      <c r="H983" s="75"/>
      <c r="I983" s="73"/>
      <c r="J983" s="31"/>
      <c r="K983" s="32"/>
    </row>
    <row r="984" customFormat="false" ht="15" hidden="false" customHeight="true" outlineLevel="0" collapsed="false">
      <c r="A984" s="9"/>
      <c r="B984" s="76"/>
      <c r="C984" s="76"/>
      <c r="D984" s="9"/>
      <c r="E984" s="9"/>
      <c r="F984" s="9"/>
      <c r="G984" s="33"/>
      <c r="H984" s="33"/>
      <c r="I984" s="9"/>
      <c r="J984" s="33"/>
      <c r="K984" s="9"/>
    </row>
    <row r="985" customFormat="false" ht="15" hidden="false" customHeight="true" outlineLevel="0" collapsed="false">
      <c r="A985" s="73"/>
      <c r="B985" s="74"/>
      <c r="C985" s="74"/>
      <c r="D985" s="73"/>
      <c r="E985" s="73"/>
      <c r="F985" s="73"/>
      <c r="G985" s="75"/>
      <c r="H985" s="75"/>
      <c r="I985" s="73"/>
      <c r="J985" s="31"/>
      <c r="K985" s="32"/>
    </row>
    <row r="986" customFormat="false" ht="15" hidden="false" customHeight="true" outlineLevel="0" collapsed="false">
      <c r="A986" s="9"/>
      <c r="B986" s="76"/>
      <c r="C986" s="76"/>
      <c r="D986" s="9"/>
      <c r="E986" s="9"/>
      <c r="F986" s="9"/>
      <c r="G986" s="33"/>
      <c r="H986" s="33"/>
      <c r="I986" s="9"/>
      <c r="J986" s="33"/>
      <c r="K986" s="9"/>
    </row>
    <row r="987" customFormat="false" ht="15" hidden="false" customHeight="true" outlineLevel="0" collapsed="false">
      <c r="A987" s="73"/>
      <c r="B987" s="74"/>
      <c r="C987" s="74"/>
      <c r="D987" s="73"/>
      <c r="E987" s="73"/>
      <c r="F987" s="73"/>
      <c r="G987" s="75"/>
      <c r="H987" s="75"/>
      <c r="I987" s="73"/>
      <c r="J987" s="31"/>
      <c r="K987" s="32"/>
    </row>
    <row r="988" customFormat="false" ht="15" hidden="false" customHeight="true" outlineLevel="0" collapsed="false">
      <c r="A988" s="9"/>
      <c r="B988" s="76"/>
      <c r="C988" s="76"/>
      <c r="D988" s="9"/>
      <c r="E988" s="9"/>
      <c r="F988" s="9"/>
      <c r="G988" s="33"/>
      <c r="H988" s="33"/>
      <c r="I988" s="9"/>
      <c r="J988" s="33"/>
      <c r="K988" s="9"/>
    </row>
    <row r="989" customFormat="false" ht="15" hidden="false" customHeight="true" outlineLevel="0" collapsed="false">
      <c r="A989" s="73"/>
      <c r="B989" s="74"/>
      <c r="C989" s="74"/>
      <c r="D989" s="73"/>
      <c r="E989" s="73"/>
      <c r="F989" s="73"/>
      <c r="G989" s="75"/>
      <c r="H989" s="75"/>
      <c r="I989" s="73"/>
      <c r="J989" s="31"/>
      <c r="K989" s="32"/>
    </row>
    <row r="990" customFormat="false" ht="15" hidden="false" customHeight="true" outlineLevel="0" collapsed="false">
      <c r="A990" s="9"/>
      <c r="B990" s="76"/>
      <c r="C990" s="76"/>
      <c r="D990" s="9"/>
      <c r="E990" s="9"/>
      <c r="F990" s="9"/>
      <c r="G990" s="33"/>
      <c r="H990" s="33"/>
      <c r="I990" s="9"/>
      <c r="J990" s="33"/>
      <c r="K990" s="9"/>
    </row>
    <row r="991" customFormat="false" ht="15" hidden="false" customHeight="true" outlineLevel="0" collapsed="false">
      <c r="A991" s="73"/>
      <c r="B991" s="74"/>
      <c r="C991" s="74"/>
      <c r="D991" s="73"/>
      <c r="E991" s="73"/>
      <c r="F991" s="73"/>
      <c r="G991" s="75"/>
      <c r="H991" s="75"/>
      <c r="I991" s="73"/>
      <c r="J991" s="31"/>
      <c r="K991" s="32"/>
    </row>
    <row r="992" customFormat="false" ht="15" hidden="false" customHeight="true" outlineLevel="0" collapsed="false">
      <c r="A992" s="9"/>
      <c r="B992" s="76"/>
      <c r="C992" s="76"/>
      <c r="D992" s="9"/>
      <c r="E992" s="9"/>
      <c r="F992" s="9"/>
      <c r="G992" s="33"/>
      <c r="H992" s="33"/>
      <c r="I992" s="9"/>
      <c r="J992" s="33"/>
      <c r="K992" s="9"/>
    </row>
    <row r="993" customFormat="false" ht="15" hidden="false" customHeight="true" outlineLevel="0" collapsed="false">
      <c r="A993" s="73"/>
      <c r="B993" s="74"/>
      <c r="C993" s="74"/>
      <c r="D993" s="73"/>
      <c r="E993" s="73"/>
      <c r="F993" s="73"/>
      <c r="G993" s="75"/>
      <c r="H993" s="75"/>
      <c r="I993" s="73"/>
      <c r="J993" s="31"/>
      <c r="K993" s="32"/>
    </row>
    <row r="994" customFormat="false" ht="15" hidden="false" customHeight="true" outlineLevel="0" collapsed="false">
      <c r="A994" s="9"/>
      <c r="B994" s="76"/>
      <c r="C994" s="76"/>
      <c r="D994" s="9"/>
      <c r="E994" s="9"/>
      <c r="F994" s="9"/>
      <c r="G994" s="33"/>
      <c r="H994" s="33"/>
      <c r="I994" s="9"/>
      <c r="J994" s="33"/>
      <c r="K994" s="9"/>
    </row>
    <row r="995" customFormat="false" ht="15" hidden="false" customHeight="true" outlineLevel="0" collapsed="false">
      <c r="A995" s="73"/>
      <c r="B995" s="74"/>
      <c r="C995" s="74"/>
      <c r="D995" s="73"/>
      <c r="E995" s="73"/>
      <c r="F995" s="73"/>
      <c r="G995" s="75"/>
      <c r="H995" s="75"/>
      <c r="I995" s="73"/>
      <c r="J995" s="31"/>
      <c r="K995" s="32"/>
    </row>
    <row r="996" customFormat="false" ht="15" hidden="false" customHeight="true" outlineLevel="0" collapsed="false">
      <c r="A996" s="9"/>
      <c r="B996" s="76"/>
      <c r="C996" s="76"/>
      <c r="D996" s="9"/>
      <c r="E996" s="9"/>
      <c r="F996" s="9"/>
      <c r="G996" s="33"/>
      <c r="H996" s="33"/>
      <c r="I996" s="9"/>
      <c r="J996" s="33"/>
      <c r="K996" s="9"/>
    </row>
    <row r="997" customFormat="false" ht="15" hidden="false" customHeight="true" outlineLevel="0" collapsed="false">
      <c r="A997" s="73"/>
      <c r="B997" s="74"/>
      <c r="C997" s="74"/>
      <c r="D997" s="73"/>
      <c r="E997" s="73"/>
      <c r="F997" s="73"/>
      <c r="G997" s="75"/>
      <c r="H997" s="75"/>
      <c r="I997" s="73"/>
      <c r="J997" s="31"/>
      <c r="K997" s="32"/>
    </row>
    <row r="998" customFormat="false" ht="15" hidden="false" customHeight="true" outlineLevel="0" collapsed="false">
      <c r="A998" s="9"/>
      <c r="B998" s="76"/>
      <c r="C998" s="76"/>
      <c r="D998" s="9"/>
      <c r="E998" s="9"/>
      <c r="F998" s="9"/>
      <c r="G998" s="33"/>
      <c r="H998" s="33"/>
      <c r="I998" s="9"/>
      <c r="J998" s="33"/>
      <c r="K998" s="9"/>
    </row>
    <row r="999" customFormat="false" ht="15" hidden="false" customHeight="true" outlineLevel="0" collapsed="false">
      <c r="A999" s="73"/>
      <c r="B999" s="74"/>
      <c r="C999" s="74"/>
      <c r="D999" s="73"/>
      <c r="E999" s="73"/>
      <c r="F999" s="73"/>
      <c r="G999" s="75"/>
      <c r="H999" s="75"/>
      <c r="I999" s="73"/>
      <c r="J999" s="31"/>
      <c r="K999" s="32"/>
    </row>
    <row r="1000" customFormat="false" ht="15" hidden="false" customHeight="true" outlineLevel="0" collapsed="false">
      <c r="A1000" s="9"/>
      <c r="B1000" s="76"/>
      <c r="C1000" s="76"/>
      <c r="D1000" s="9"/>
      <c r="E1000" s="9"/>
      <c r="F1000" s="9"/>
      <c r="G1000" s="33"/>
      <c r="H1000" s="33"/>
      <c r="I1000" s="9"/>
      <c r="J1000" s="33"/>
      <c r="K1000" s="9"/>
    </row>
    <row r="1001" customFormat="false" ht="15" hidden="false" customHeight="true" outlineLevel="0" collapsed="false">
      <c r="A1001" s="73"/>
      <c r="B1001" s="74"/>
      <c r="C1001" s="74"/>
      <c r="D1001" s="73"/>
      <c r="E1001" s="73"/>
      <c r="F1001" s="73"/>
      <c r="G1001" s="75"/>
      <c r="H1001" s="75"/>
      <c r="I1001" s="73"/>
      <c r="J1001" s="31"/>
      <c r="K1001" s="32"/>
    </row>
    <row r="1002" customFormat="false" ht="15" hidden="false" customHeight="true" outlineLevel="0" collapsed="false">
      <c r="A1002" s="9"/>
      <c r="B1002" s="76"/>
      <c r="C1002" s="76"/>
      <c r="D1002" s="9"/>
      <c r="E1002" s="9"/>
      <c r="F1002" s="9"/>
      <c r="G1002" s="33"/>
      <c r="H1002" s="33"/>
      <c r="I1002" s="9"/>
      <c r="J1002" s="33"/>
      <c r="K1002" s="9"/>
    </row>
    <row r="1003" customFormat="false" ht="15" hidden="false" customHeight="true" outlineLevel="0" collapsed="false">
      <c r="A1003" s="73"/>
      <c r="B1003" s="74"/>
      <c r="C1003" s="74"/>
      <c r="D1003" s="73"/>
      <c r="E1003" s="73"/>
      <c r="F1003" s="73"/>
      <c r="G1003" s="75"/>
      <c r="H1003" s="75"/>
      <c r="I1003" s="73"/>
      <c r="J1003" s="31"/>
      <c r="K1003" s="32"/>
    </row>
    <row r="1004" customFormat="false" ht="15" hidden="false" customHeight="true" outlineLevel="0" collapsed="false">
      <c r="A1004" s="9"/>
      <c r="B1004" s="76"/>
      <c r="C1004" s="76"/>
      <c r="D1004" s="9"/>
      <c r="E1004" s="9"/>
      <c r="F1004" s="9"/>
      <c r="G1004" s="33"/>
      <c r="H1004" s="33"/>
      <c r="I1004" s="9"/>
      <c r="J1004" s="33"/>
      <c r="K1004" s="9"/>
    </row>
    <row r="1005" customFormat="false" ht="15" hidden="false" customHeight="true" outlineLevel="0" collapsed="false">
      <c r="A1005" s="73"/>
      <c r="B1005" s="74"/>
      <c r="C1005" s="74"/>
      <c r="D1005" s="73"/>
      <c r="E1005" s="73"/>
      <c r="F1005" s="73"/>
      <c r="G1005" s="75"/>
      <c r="H1005" s="75"/>
      <c r="I1005" s="73"/>
      <c r="J1005" s="31"/>
      <c r="K1005" s="32"/>
    </row>
    <row r="1006" customFormat="false" ht="15" hidden="false" customHeight="true" outlineLevel="0" collapsed="false">
      <c r="A1006" s="9"/>
      <c r="B1006" s="76"/>
      <c r="C1006" s="76"/>
      <c r="D1006" s="9"/>
      <c r="E1006" s="9"/>
      <c r="F1006" s="9"/>
      <c r="G1006" s="33"/>
      <c r="H1006" s="33"/>
      <c r="I1006" s="9"/>
      <c r="J1006" s="33"/>
      <c r="K1006" s="9"/>
    </row>
    <row r="1007" customFormat="false" ht="15" hidden="false" customHeight="true" outlineLevel="0" collapsed="false">
      <c r="A1007" s="73"/>
      <c r="B1007" s="74"/>
      <c r="C1007" s="74"/>
      <c r="D1007" s="73"/>
      <c r="E1007" s="73"/>
      <c r="F1007" s="73"/>
      <c r="G1007" s="75"/>
      <c r="H1007" s="75"/>
      <c r="I1007" s="73"/>
      <c r="J1007" s="31"/>
      <c r="K1007" s="32"/>
    </row>
    <row r="1008" customFormat="false" ht="15" hidden="false" customHeight="true" outlineLevel="0" collapsed="false">
      <c r="A1008" s="9"/>
      <c r="B1008" s="76"/>
      <c r="C1008" s="76"/>
      <c r="D1008" s="9"/>
      <c r="E1008" s="9"/>
      <c r="F1008" s="9"/>
      <c r="G1008" s="33"/>
      <c r="H1008" s="33"/>
      <c r="I1008" s="9"/>
      <c r="J1008" s="33"/>
      <c r="K1008" s="9"/>
    </row>
    <row r="1009" customFormat="false" ht="15" hidden="false" customHeight="true" outlineLevel="0" collapsed="false">
      <c r="A1009" s="73"/>
      <c r="B1009" s="74"/>
      <c r="C1009" s="74"/>
      <c r="D1009" s="73"/>
      <c r="E1009" s="73"/>
      <c r="F1009" s="73"/>
      <c r="G1009" s="75"/>
      <c r="H1009" s="75"/>
      <c r="I1009" s="73"/>
      <c r="J1009" s="31"/>
      <c r="K1009" s="32"/>
    </row>
    <row r="1010" customFormat="false" ht="15" hidden="false" customHeight="true" outlineLevel="0" collapsed="false">
      <c r="A1010" s="9"/>
      <c r="B1010" s="76"/>
      <c r="C1010" s="76"/>
      <c r="D1010" s="9"/>
      <c r="E1010" s="9"/>
      <c r="F1010" s="9"/>
      <c r="G1010" s="33"/>
      <c r="H1010" s="33"/>
      <c r="I1010" s="9"/>
      <c r="J1010" s="33"/>
      <c r="K1010" s="9"/>
    </row>
    <row r="1011" customFormat="false" ht="15" hidden="false" customHeight="true" outlineLevel="0" collapsed="false">
      <c r="A1011" s="73"/>
      <c r="B1011" s="74"/>
      <c r="C1011" s="74"/>
      <c r="D1011" s="73"/>
      <c r="E1011" s="73"/>
      <c r="F1011" s="73"/>
      <c r="G1011" s="75"/>
      <c r="H1011" s="75"/>
      <c r="I1011" s="73"/>
      <c r="J1011" s="31"/>
      <c r="K1011" s="32"/>
    </row>
    <row r="1012" customFormat="false" ht="15" hidden="false" customHeight="true" outlineLevel="0" collapsed="false">
      <c r="A1012" s="9"/>
      <c r="B1012" s="76"/>
      <c r="C1012" s="76"/>
      <c r="D1012" s="9"/>
      <c r="E1012" s="9"/>
      <c r="F1012" s="9"/>
      <c r="G1012" s="33"/>
      <c r="H1012" s="33"/>
      <c r="I1012" s="9"/>
      <c r="J1012" s="33"/>
      <c r="K1012" s="9"/>
    </row>
    <row r="1013" customFormat="false" ht="15" hidden="false" customHeight="true" outlineLevel="0" collapsed="false">
      <c r="A1013" s="73"/>
      <c r="B1013" s="74"/>
      <c r="C1013" s="74"/>
      <c r="D1013" s="73"/>
      <c r="E1013" s="73"/>
      <c r="F1013" s="73"/>
      <c r="G1013" s="75"/>
      <c r="H1013" s="75"/>
      <c r="I1013" s="73"/>
      <c r="J1013" s="31"/>
      <c r="K1013" s="32"/>
    </row>
    <row r="1014" customFormat="false" ht="15" hidden="false" customHeight="true" outlineLevel="0" collapsed="false">
      <c r="A1014" s="9"/>
      <c r="B1014" s="76"/>
      <c r="C1014" s="76"/>
      <c r="D1014" s="9"/>
      <c r="E1014" s="9"/>
      <c r="F1014" s="9"/>
      <c r="G1014" s="33"/>
      <c r="H1014" s="33"/>
      <c r="I1014" s="9"/>
      <c r="J1014" s="33"/>
      <c r="K1014" s="9"/>
    </row>
    <row r="1015" customFormat="false" ht="15" hidden="false" customHeight="true" outlineLevel="0" collapsed="false">
      <c r="A1015" s="73"/>
      <c r="B1015" s="74"/>
      <c r="C1015" s="74"/>
      <c r="D1015" s="73"/>
      <c r="E1015" s="73"/>
      <c r="F1015" s="73"/>
      <c r="G1015" s="75"/>
      <c r="H1015" s="75"/>
      <c r="I1015" s="73"/>
      <c r="J1015" s="31"/>
      <c r="K1015" s="32"/>
    </row>
    <row r="1016" customFormat="false" ht="15" hidden="false" customHeight="true" outlineLevel="0" collapsed="false">
      <c r="A1016" s="9"/>
      <c r="B1016" s="76"/>
      <c r="C1016" s="76"/>
      <c r="D1016" s="9"/>
      <c r="E1016" s="9"/>
      <c r="F1016" s="9"/>
      <c r="G1016" s="33"/>
      <c r="H1016" s="33"/>
      <c r="I1016" s="9"/>
      <c r="J1016" s="33"/>
      <c r="K1016" s="9"/>
    </row>
    <row r="1017" customFormat="false" ht="15" hidden="false" customHeight="true" outlineLevel="0" collapsed="false">
      <c r="A1017" s="73"/>
      <c r="B1017" s="74"/>
      <c r="C1017" s="74"/>
      <c r="D1017" s="73"/>
      <c r="E1017" s="73"/>
      <c r="F1017" s="73"/>
      <c r="G1017" s="75"/>
      <c r="H1017" s="75"/>
      <c r="I1017" s="73"/>
      <c r="J1017" s="31"/>
      <c r="K1017" s="32"/>
    </row>
    <row r="1018" customFormat="false" ht="15" hidden="false" customHeight="true" outlineLevel="0" collapsed="false">
      <c r="A1018" s="9"/>
      <c r="B1018" s="76"/>
      <c r="C1018" s="76"/>
      <c r="D1018" s="9"/>
      <c r="E1018" s="9"/>
      <c r="F1018" s="9"/>
      <c r="G1018" s="33"/>
      <c r="H1018" s="33"/>
      <c r="I1018" s="9"/>
      <c r="J1018" s="33"/>
      <c r="K1018" s="9"/>
    </row>
    <row r="1019" customFormat="false" ht="15" hidden="false" customHeight="true" outlineLevel="0" collapsed="false">
      <c r="A1019" s="73"/>
      <c r="B1019" s="74"/>
      <c r="C1019" s="74"/>
      <c r="D1019" s="73"/>
      <c r="E1019" s="73"/>
      <c r="F1019" s="73"/>
      <c r="G1019" s="75"/>
      <c r="H1019" s="75"/>
      <c r="I1019" s="73"/>
      <c r="J1019" s="31"/>
      <c r="K1019" s="32"/>
    </row>
    <row r="1020" customFormat="false" ht="15" hidden="false" customHeight="true" outlineLevel="0" collapsed="false">
      <c r="A1020" s="9"/>
      <c r="B1020" s="76"/>
      <c r="C1020" s="76"/>
      <c r="D1020" s="9"/>
      <c r="E1020" s="9"/>
      <c r="F1020" s="9"/>
      <c r="G1020" s="33"/>
      <c r="H1020" s="33"/>
      <c r="I1020" s="9"/>
      <c r="J1020" s="33"/>
      <c r="K1020" s="9"/>
    </row>
    <row r="1021" customFormat="false" ht="15" hidden="false" customHeight="true" outlineLevel="0" collapsed="false">
      <c r="A1021" s="73"/>
      <c r="B1021" s="74"/>
      <c r="C1021" s="74"/>
      <c r="D1021" s="73"/>
      <c r="E1021" s="73"/>
      <c r="F1021" s="73"/>
      <c r="G1021" s="75"/>
      <c r="H1021" s="75"/>
      <c r="I1021" s="73"/>
      <c r="J1021" s="31"/>
      <c r="K1021" s="32"/>
    </row>
    <row r="1022" customFormat="false" ht="15" hidden="false" customHeight="true" outlineLevel="0" collapsed="false">
      <c r="A1022" s="9"/>
      <c r="B1022" s="76"/>
      <c r="C1022" s="76"/>
      <c r="D1022" s="9"/>
      <c r="E1022" s="9"/>
      <c r="F1022" s="9"/>
      <c r="G1022" s="33"/>
      <c r="H1022" s="33"/>
      <c r="I1022" s="9"/>
      <c r="J1022" s="33"/>
      <c r="K1022" s="9"/>
    </row>
    <row r="1023" customFormat="false" ht="15" hidden="false" customHeight="true" outlineLevel="0" collapsed="false">
      <c r="A1023" s="73"/>
      <c r="B1023" s="74"/>
      <c r="C1023" s="74"/>
      <c r="D1023" s="73"/>
      <c r="E1023" s="73"/>
      <c r="F1023" s="73"/>
      <c r="G1023" s="75"/>
      <c r="H1023" s="75"/>
      <c r="I1023" s="73"/>
      <c r="J1023" s="31"/>
      <c r="K1023" s="32"/>
    </row>
    <row r="1024" customFormat="false" ht="15" hidden="false" customHeight="true" outlineLevel="0" collapsed="false">
      <c r="A1024" s="9"/>
      <c r="B1024" s="76"/>
      <c r="C1024" s="76"/>
      <c r="D1024" s="9"/>
      <c r="E1024" s="9"/>
      <c r="F1024" s="9"/>
      <c r="G1024" s="33"/>
      <c r="H1024" s="33"/>
      <c r="I1024" s="9"/>
      <c r="J1024" s="33"/>
      <c r="K1024" s="9"/>
    </row>
    <row r="1025" customFormat="false" ht="15" hidden="false" customHeight="true" outlineLevel="0" collapsed="false">
      <c r="A1025" s="73"/>
      <c r="B1025" s="74"/>
      <c r="C1025" s="74"/>
      <c r="D1025" s="73"/>
      <c r="E1025" s="73"/>
      <c r="F1025" s="73"/>
      <c r="G1025" s="75"/>
      <c r="H1025" s="75"/>
      <c r="I1025" s="73"/>
      <c r="J1025" s="31"/>
      <c r="K1025" s="32"/>
    </row>
    <row r="1026" customFormat="false" ht="15" hidden="false" customHeight="true" outlineLevel="0" collapsed="false">
      <c r="A1026" s="9"/>
      <c r="B1026" s="76"/>
      <c r="C1026" s="76"/>
      <c r="D1026" s="9"/>
      <c r="E1026" s="9"/>
      <c r="F1026" s="9"/>
      <c r="G1026" s="33"/>
      <c r="H1026" s="33"/>
      <c r="I1026" s="9"/>
      <c r="J1026" s="33"/>
      <c r="K1026" s="9"/>
    </row>
    <row r="1027" customFormat="false" ht="15" hidden="false" customHeight="true" outlineLevel="0" collapsed="false">
      <c r="A1027" s="73"/>
      <c r="B1027" s="74"/>
      <c r="C1027" s="74"/>
      <c r="D1027" s="73"/>
      <c r="E1027" s="73"/>
      <c r="F1027" s="73"/>
      <c r="G1027" s="75"/>
      <c r="H1027" s="75"/>
      <c r="I1027" s="73"/>
      <c r="J1027" s="31"/>
      <c r="K1027" s="32"/>
    </row>
    <row r="1028" customFormat="false" ht="15" hidden="false" customHeight="true" outlineLevel="0" collapsed="false">
      <c r="A1028" s="9"/>
      <c r="B1028" s="76"/>
      <c r="C1028" s="76"/>
      <c r="D1028" s="9"/>
      <c r="E1028" s="9"/>
      <c r="F1028" s="9"/>
      <c r="G1028" s="33"/>
      <c r="H1028" s="33"/>
      <c r="I1028" s="9"/>
      <c r="J1028" s="33"/>
      <c r="K1028" s="9"/>
    </row>
    <row r="1029" customFormat="false" ht="15" hidden="false" customHeight="true" outlineLevel="0" collapsed="false">
      <c r="A1029" s="73"/>
      <c r="B1029" s="74"/>
      <c r="C1029" s="74"/>
      <c r="D1029" s="73"/>
      <c r="E1029" s="73"/>
      <c r="F1029" s="73"/>
      <c r="G1029" s="75"/>
      <c r="H1029" s="75"/>
      <c r="I1029" s="73"/>
      <c r="J1029" s="31"/>
      <c r="K1029" s="32"/>
    </row>
    <row r="1030" customFormat="false" ht="15" hidden="false" customHeight="true" outlineLevel="0" collapsed="false">
      <c r="A1030" s="9"/>
      <c r="B1030" s="76"/>
      <c r="C1030" s="76"/>
      <c r="D1030" s="9"/>
      <c r="E1030" s="9"/>
      <c r="F1030" s="9"/>
      <c r="G1030" s="33"/>
      <c r="H1030" s="33"/>
      <c r="I1030" s="9"/>
      <c r="J1030" s="33"/>
      <c r="K1030" s="9"/>
    </row>
    <row r="1031" customFormat="false" ht="15" hidden="false" customHeight="true" outlineLevel="0" collapsed="false">
      <c r="A1031" s="73"/>
      <c r="B1031" s="74"/>
      <c r="C1031" s="74"/>
      <c r="D1031" s="73"/>
      <c r="E1031" s="73"/>
      <c r="F1031" s="73"/>
      <c r="G1031" s="75"/>
      <c r="H1031" s="75"/>
      <c r="I1031" s="73"/>
      <c r="J1031" s="31"/>
      <c r="K1031" s="32"/>
    </row>
    <row r="1032" customFormat="false" ht="15" hidden="false" customHeight="true" outlineLevel="0" collapsed="false">
      <c r="A1032" s="9"/>
      <c r="B1032" s="76"/>
      <c r="C1032" s="76"/>
      <c r="D1032" s="9"/>
      <c r="E1032" s="9"/>
      <c r="F1032" s="9"/>
      <c r="G1032" s="33"/>
      <c r="H1032" s="33"/>
      <c r="I1032" s="9"/>
      <c r="J1032" s="33"/>
      <c r="K1032" s="9"/>
    </row>
    <row r="1033" customFormat="false" ht="15" hidden="false" customHeight="true" outlineLevel="0" collapsed="false">
      <c r="A1033" s="73"/>
      <c r="B1033" s="74"/>
      <c r="C1033" s="74"/>
      <c r="D1033" s="73"/>
      <c r="E1033" s="73"/>
      <c r="F1033" s="73"/>
      <c r="G1033" s="75"/>
      <c r="H1033" s="75"/>
      <c r="I1033" s="73"/>
      <c r="J1033" s="31"/>
      <c r="K1033" s="32"/>
    </row>
    <row r="1034" customFormat="false" ht="15" hidden="false" customHeight="true" outlineLevel="0" collapsed="false">
      <c r="A1034" s="9"/>
      <c r="B1034" s="76"/>
      <c r="C1034" s="76"/>
      <c r="D1034" s="9"/>
      <c r="E1034" s="9"/>
      <c r="F1034" s="9"/>
      <c r="G1034" s="33"/>
      <c r="H1034" s="33"/>
      <c r="I1034" s="9"/>
      <c r="J1034" s="33"/>
      <c r="K1034" s="9"/>
    </row>
    <row r="1035" customFormat="false" ht="15" hidden="false" customHeight="true" outlineLevel="0" collapsed="false">
      <c r="A1035" s="73"/>
      <c r="B1035" s="74"/>
      <c r="C1035" s="74"/>
      <c r="D1035" s="73"/>
      <c r="E1035" s="73"/>
      <c r="F1035" s="73"/>
      <c r="G1035" s="75"/>
      <c r="H1035" s="75"/>
      <c r="I1035" s="73"/>
      <c r="J1035" s="31"/>
      <c r="K1035" s="32"/>
    </row>
    <row r="1036" customFormat="false" ht="15" hidden="false" customHeight="true" outlineLevel="0" collapsed="false">
      <c r="A1036" s="9"/>
      <c r="B1036" s="76"/>
      <c r="C1036" s="76"/>
      <c r="D1036" s="9"/>
      <c r="E1036" s="9"/>
      <c r="F1036" s="9"/>
      <c r="G1036" s="33"/>
      <c r="H1036" s="33"/>
      <c r="I1036" s="9"/>
      <c r="J1036" s="33"/>
      <c r="K1036" s="9"/>
    </row>
    <row r="1037" customFormat="false" ht="15" hidden="false" customHeight="true" outlineLevel="0" collapsed="false">
      <c r="A1037" s="73"/>
      <c r="B1037" s="74"/>
      <c r="C1037" s="74"/>
      <c r="D1037" s="73"/>
      <c r="E1037" s="73"/>
      <c r="F1037" s="73"/>
      <c r="G1037" s="75"/>
      <c r="H1037" s="75"/>
      <c r="I1037" s="73"/>
      <c r="J1037" s="31"/>
      <c r="K1037" s="32"/>
    </row>
    <row r="1038" customFormat="false" ht="15" hidden="false" customHeight="true" outlineLevel="0" collapsed="false">
      <c r="A1038" s="9"/>
      <c r="B1038" s="76"/>
      <c r="C1038" s="76"/>
      <c r="D1038" s="9"/>
      <c r="E1038" s="9"/>
      <c r="F1038" s="9"/>
      <c r="G1038" s="33"/>
      <c r="H1038" s="33"/>
      <c r="I1038" s="9"/>
      <c r="J1038" s="33"/>
      <c r="K1038" s="9"/>
    </row>
    <row r="1039" customFormat="false" ht="15" hidden="false" customHeight="true" outlineLevel="0" collapsed="false">
      <c r="A1039" s="73"/>
      <c r="B1039" s="74"/>
      <c r="C1039" s="74"/>
      <c r="D1039" s="73"/>
      <c r="E1039" s="73"/>
      <c r="F1039" s="73"/>
      <c r="G1039" s="75"/>
      <c r="H1039" s="75"/>
      <c r="I1039" s="73"/>
      <c r="J1039" s="31"/>
      <c r="K1039" s="32"/>
    </row>
    <row r="1040" customFormat="false" ht="15" hidden="false" customHeight="true" outlineLevel="0" collapsed="false">
      <c r="A1040" s="9"/>
      <c r="B1040" s="76"/>
      <c r="C1040" s="76"/>
      <c r="D1040" s="9"/>
      <c r="E1040" s="9"/>
      <c r="F1040" s="9"/>
      <c r="G1040" s="33"/>
      <c r="H1040" s="33"/>
      <c r="I1040" s="9"/>
      <c r="J1040" s="33"/>
      <c r="K1040" s="9"/>
    </row>
    <row r="1041" customFormat="false" ht="15" hidden="false" customHeight="true" outlineLevel="0" collapsed="false">
      <c r="A1041" s="73"/>
      <c r="B1041" s="74"/>
      <c r="C1041" s="74"/>
      <c r="D1041" s="73"/>
      <c r="E1041" s="73"/>
      <c r="F1041" s="73"/>
      <c r="G1041" s="75"/>
      <c r="H1041" s="75"/>
      <c r="I1041" s="73"/>
      <c r="J1041" s="31"/>
      <c r="K1041" s="32"/>
    </row>
    <row r="1042" customFormat="false" ht="15" hidden="false" customHeight="true" outlineLevel="0" collapsed="false">
      <c r="A1042" s="9"/>
      <c r="B1042" s="76"/>
      <c r="C1042" s="76"/>
      <c r="D1042" s="9"/>
      <c r="E1042" s="9"/>
      <c r="F1042" s="9"/>
      <c r="G1042" s="33"/>
      <c r="H1042" s="33"/>
      <c r="I1042" s="9"/>
      <c r="J1042" s="33"/>
      <c r="K1042" s="9"/>
    </row>
    <row r="1043" customFormat="false" ht="15" hidden="false" customHeight="true" outlineLevel="0" collapsed="false">
      <c r="A1043" s="73"/>
      <c r="B1043" s="74"/>
      <c r="C1043" s="74"/>
      <c r="D1043" s="73"/>
      <c r="E1043" s="73"/>
      <c r="F1043" s="73"/>
      <c r="G1043" s="75"/>
      <c r="H1043" s="75"/>
      <c r="I1043" s="73"/>
      <c r="J1043" s="31"/>
      <c r="K1043" s="32"/>
    </row>
    <row r="1044" customFormat="false" ht="15" hidden="false" customHeight="true" outlineLevel="0" collapsed="false">
      <c r="A1044" s="9"/>
      <c r="B1044" s="76"/>
      <c r="C1044" s="76"/>
      <c r="D1044" s="9"/>
      <c r="E1044" s="9"/>
      <c r="F1044" s="9"/>
      <c r="G1044" s="33"/>
      <c r="H1044" s="33"/>
      <c r="I1044" s="9"/>
      <c r="J1044" s="33"/>
      <c r="K1044" s="9"/>
    </row>
    <row r="1045" customFormat="false" ht="15" hidden="false" customHeight="true" outlineLevel="0" collapsed="false">
      <c r="A1045" s="73"/>
      <c r="B1045" s="74"/>
      <c r="C1045" s="74"/>
      <c r="D1045" s="73"/>
      <c r="E1045" s="73"/>
      <c r="F1045" s="73"/>
      <c r="G1045" s="75"/>
      <c r="H1045" s="75"/>
      <c r="I1045" s="73"/>
      <c r="J1045" s="31"/>
      <c r="K1045" s="32"/>
    </row>
    <row r="1046" customFormat="false" ht="15" hidden="false" customHeight="true" outlineLevel="0" collapsed="false">
      <c r="A1046" s="9"/>
      <c r="B1046" s="76"/>
      <c r="C1046" s="76"/>
      <c r="D1046" s="9"/>
      <c r="E1046" s="9"/>
      <c r="F1046" s="9"/>
      <c r="G1046" s="33"/>
      <c r="H1046" s="33"/>
      <c r="I1046" s="9"/>
      <c r="J1046" s="33"/>
      <c r="K1046" s="9"/>
    </row>
    <row r="1047" customFormat="false" ht="15" hidden="false" customHeight="true" outlineLevel="0" collapsed="false">
      <c r="A1047" s="73"/>
      <c r="B1047" s="74"/>
      <c r="C1047" s="74"/>
      <c r="D1047" s="73"/>
      <c r="E1047" s="73"/>
      <c r="F1047" s="73"/>
      <c r="G1047" s="75"/>
      <c r="H1047" s="75"/>
      <c r="I1047" s="73"/>
      <c r="J1047" s="31"/>
      <c r="K1047" s="32"/>
    </row>
    <row r="1048" customFormat="false" ht="15" hidden="false" customHeight="true" outlineLevel="0" collapsed="false">
      <c r="A1048" s="9"/>
      <c r="B1048" s="76"/>
      <c r="C1048" s="76"/>
      <c r="D1048" s="9"/>
      <c r="E1048" s="9"/>
      <c r="F1048" s="9"/>
      <c r="G1048" s="33"/>
      <c r="H1048" s="33"/>
      <c r="I1048" s="9"/>
      <c r="J1048" s="33"/>
      <c r="K1048" s="9"/>
    </row>
    <row r="1049" customFormat="false" ht="15" hidden="false" customHeight="true" outlineLevel="0" collapsed="false">
      <c r="A1049" s="73"/>
      <c r="B1049" s="74"/>
      <c r="C1049" s="74"/>
      <c r="D1049" s="73"/>
      <c r="E1049" s="73"/>
      <c r="F1049" s="73"/>
      <c r="G1049" s="75"/>
      <c r="H1049" s="75"/>
      <c r="I1049" s="73"/>
      <c r="J1049" s="31"/>
      <c r="K1049" s="32"/>
    </row>
    <row r="1050" customFormat="false" ht="15" hidden="false" customHeight="true" outlineLevel="0" collapsed="false">
      <c r="A1050" s="9"/>
      <c r="B1050" s="76"/>
      <c r="C1050" s="76"/>
      <c r="D1050" s="9"/>
      <c r="E1050" s="9"/>
      <c r="F1050" s="9"/>
      <c r="G1050" s="33"/>
      <c r="H1050" s="33"/>
      <c r="I1050" s="9"/>
      <c r="J1050" s="33"/>
      <c r="K1050" s="9"/>
    </row>
    <row r="1051" customFormat="false" ht="15" hidden="false" customHeight="true" outlineLevel="0" collapsed="false">
      <c r="A1051" s="73"/>
      <c r="B1051" s="74"/>
      <c r="C1051" s="74"/>
      <c r="D1051" s="73"/>
      <c r="E1051" s="73"/>
      <c r="F1051" s="73"/>
      <c r="G1051" s="75"/>
      <c r="H1051" s="75"/>
      <c r="I1051" s="73"/>
      <c r="J1051" s="31"/>
      <c r="K1051" s="32"/>
    </row>
    <row r="1052" customFormat="false" ht="15" hidden="false" customHeight="true" outlineLevel="0" collapsed="false">
      <c r="A1052" s="9"/>
      <c r="B1052" s="76"/>
      <c r="C1052" s="76"/>
      <c r="D1052" s="9"/>
      <c r="E1052" s="9"/>
      <c r="F1052" s="9"/>
      <c r="G1052" s="33"/>
      <c r="H1052" s="33"/>
      <c r="I1052" s="9"/>
      <c r="J1052" s="33"/>
      <c r="K1052" s="9"/>
    </row>
    <row r="1053" customFormat="false" ht="15" hidden="false" customHeight="true" outlineLevel="0" collapsed="false">
      <c r="A1053" s="73"/>
      <c r="B1053" s="74"/>
      <c r="C1053" s="74"/>
      <c r="D1053" s="73"/>
      <c r="E1053" s="73"/>
      <c r="F1053" s="73"/>
      <c r="G1053" s="75"/>
      <c r="H1053" s="75"/>
      <c r="I1053" s="73"/>
      <c r="J1053" s="31"/>
      <c r="K1053" s="32"/>
    </row>
    <row r="1054" customFormat="false" ht="15" hidden="false" customHeight="true" outlineLevel="0" collapsed="false">
      <c r="A1054" s="9"/>
      <c r="B1054" s="76"/>
      <c r="C1054" s="76"/>
      <c r="D1054" s="9"/>
      <c r="E1054" s="9"/>
      <c r="F1054" s="9"/>
      <c r="G1054" s="33"/>
      <c r="H1054" s="33"/>
      <c r="I1054" s="9"/>
      <c r="J1054" s="33"/>
      <c r="K1054" s="9"/>
    </row>
    <row r="1055" customFormat="false" ht="15" hidden="false" customHeight="true" outlineLevel="0" collapsed="false">
      <c r="A1055" s="73"/>
      <c r="B1055" s="74"/>
      <c r="C1055" s="74"/>
      <c r="D1055" s="73"/>
      <c r="E1055" s="73"/>
      <c r="F1055" s="73"/>
      <c r="G1055" s="75"/>
      <c r="H1055" s="75"/>
      <c r="I1055" s="73"/>
      <c r="J1055" s="31"/>
      <c r="K1055" s="32"/>
    </row>
    <row r="1056" customFormat="false" ht="15" hidden="false" customHeight="true" outlineLevel="0" collapsed="false">
      <c r="A1056" s="9"/>
      <c r="B1056" s="76"/>
      <c r="C1056" s="76"/>
      <c r="D1056" s="9"/>
      <c r="E1056" s="9"/>
      <c r="F1056" s="9"/>
      <c r="G1056" s="33"/>
      <c r="H1056" s="33"/>
      <c r="I1056" s="9"/>
      <c r="J1056" s="33"/>
      <c r="K1056" s="9"/>
    </row>
    <row r="1057" customFormat="false" ht="15" hidden="false" customHeight="true" outlineLevel="0" collapsed="false">
      <c r="A1057" s="73"/>
      <c r="B1057" s="74"/>
      <c r="C1057" s="74"/>
      <c r="D1057" s="73"/>
      <c r="E1057" s="73"/>
      <c r="F1057" s="73"/>
      <c r="G1057" s="75"/>
      <c r="H1057" s="75"/>
      <c r="I1057" s="73"/>
      <c r="J1057" s="31"/>
      <c r="K1057" s="32"/>
    </row>
    <row r="1058" customFormat="false" ht="15" hidden="false" customHeight="true" outlineLevel="0" collapsed="false">
      <c r="A1058" s="9"/>
      <c r="B1058" s="76"/>
      <c r="C1058" s="76"/>
      <c r="D1058" s="9"/>
      <c r="E1058" s="9"/>
      <c r="F1058" s="9"/>
      <c r="G1058" s="33"/>
      <c r="H1058" s="33"/>
      <c r="I1058" s="9"/>
      <c r="J1058" s="33"/>
      <c r="K1058" s="9"/>
    </row>
    <row r="1059" customFormat="false" ht="15" hidden="false" customHeight="true" outlineLevel="0" collapsed="false">
      <c r="A1059" s="73"/>
      <c r="B1059" s="74"/>
      <c r="C1059" s="74"/>
      <c r="D1059" s="73"/>
      <c r="E1059" s="73"/>
      <c r="F1059" s="73"/>
      <c r="G1059" s="75"/>
      <c r="H1059" s="75"/>
      <c r="I1059" s="73"/>
      <c r="J1059" s="31"/>
      <c r="K1059" s="32"/>
    </row>
    <row r="1060" customFormat="false" ht="15" hidden="false" customHeight="true" outlineLevel="0" collapsed="false">
      <c r="A1060" s="9"/>
      <c r="B1060" s="76"/>
      <c r="C1060" s="76"/>
      <c r="D1060" s="9"/>
      <c r="E1060" s="9"/>
      <c r="F1060" s="9"/>
      <c r="G1060" s="33"/>
      <c r="H1060" s="33"/>
      <c r="I1060" s="9"/>
      <c r="J1060" s="33"/>
      <c r="K1060" s="9"/>
    </row>
    <row r="1061" customFormat="false" ht="15" hidden="false" customHeight="true" outlineLevel="0" collapsed="false">
      <c r="A1061" s="73"/>
      <c r="B1061" s="74"/>
      <c r="C1061" s="74"/>
      <c r="D1061" s="73"/>
      <c r="E1061" s="73"/>
      <c r="F1061" s="73"/>
      <c r="G1061" s="75"/>
      <c r="H1061" s="75"/>
      <c r="I1061" s="73"/>
      <c r="J1061" s="31"/>
      <c r="K1061" s="32"/>
    </row>
    <row r="1062" customFormat="false" ht="15" hidden="false" customHeight="true" outlineLevel="0" collapsed="false">
      <c r="A1062" s="9"/>
      <c r="B1062" s="76"/>
      <c r="C1062" s="76"/>
      <c r="D1062" s="9"/>
      <c r="E1062" s="9"/>
      <c r="F1062" s="9"/>
      <c r="G1062" s="33"/>
      <c r="H1062" s="33"/>
      <c r="I1062" s="9"/>
      <c r="J1062" s="33"/>
      <c r="K1062" s="9"/>
    </row>
    <row r="1063" customFormat="false" ht="15" hidden="false" customHeight="true" outlineLevel="0" collapsed="false">
      <c r="A1063" s="73"/>
      <c r="B1063" s="74"/>
      <c r="C1063" s="74"/>
      <c r="D1063" s="73"/>
      <c r="E1063" s="73"/>
      <c r="F1063" s="73"/>
      <c r="G1063" s="75"/>
      <c r="H1063" s="75"/>
      <c r="I1063" s="73"/>
      <c r="J1063" s="31"/>
      <c r="K1063" s="32"/>
    </row>
    <row r="1064" customFormat="false" ht="15" hidden="false" customHeight="true" outlineLevel="0" collapsed="false">
      <c r="A1064" s="9"/>
      <c r="B1064" s="76"/>
      <c r="C1064" s="76"/>
      <c r="D1064" s="9"/>
      <c r="E1064" s="9"/>
      <c r="F1064" s="9"/>
      <c r="G1064" s="33"/>
      <c r="H1064" s="33"/>
      <c r="I1064" s="9"/>
      <c r="J1064" s="33"/>
      <c r="K1064" s="9"/>
    </row>
    <row r="1065" customFormat="false" ht="15" hidden="false" customHeight="true" outlineLevel="0" collapsed="false">
      <c r="A1065" s="73"/>
      <c r="B1065" s="74"/>
      <c r="C1065" s="74"/>
      <c r="D1065" s="73"/>
      <c r="E1065" s="73"/>
      <c r="F1065" s="73"/>
      <c r="G1065" s="75"/>
      <c r="H1065" s="75"/>
      <c r="I1065" s="73"/>
      <c r="J1065" s="31"/>
      <c r="K1065" s="32"/>
    </row>
    <row r="1066" customFormat="false" ht="15" hidden="false" customHeight="true" outlineLevel="0" collapsed="false">
      <c r="A1066" s="9"/>
      <c r="B1066" s="76"/>
      <c r="C1066" s="76"/>
      <c r="D1066" s="9"/>
      <c r="E1066" s="9"/>
      <c r="F1066" s="9"/>
      <c r="G1066" s="33"/>
      <c r="H1066" s="33"/>
      <c r="I1066" s="9"/>
      <c r="J1066" s="33"/>
      <c r="K1066" s="9"/>
    </row>
    <row r="1067" customFormat="false" ht="15" hidden="false" customHeight="true" outlineLevel="0" collapsed="false">
      <c r="A1067" s="73"/>
      <c r="B1067" s="74"/>
      <c r="C1067" s="74"/>
      <c r="D1067" s="73"/>
      <c r="E1067" s="73"/>
      <c r="F1067" s="73"/>
      <c r="G1067" s="75"/>
      <c r="H1067" s="75"/>
      <c r="I1067" s="73"/>
      <c r="J1067" s="31"/>
      <c r="K1067" s="32"/>
    </row>
    <row r="1068" customFormat="false" ht="15" hidden="false" customHeight="true" outlineLevel="0" collapsed="false">
      <c r="A1068" s="9"/>
      <c r="B1068" s="76"/>
      <c r="C1068" s="76"/>
      <c r="D1068" s="9"/>
      <c r="E1068" s="9"/>
      <c r="F1068" s="9"/>
      <c r="G1068" s="33"/>
      <c r="H1068" s="33"/>
      <c r="I1068" s="9"/>
      <c r="J1068" s="33"/>
      <c r="K1068" s="9"/>
    </row>
    <row r="1069" customFormat="false" ht="15" hidden="false" customHeight="true" outlineLevel="0" collapsed="false">
      <c r="A1069" s="73"/>
      <c r="B1069" s="74"/>
      <c r="C1069" s="74"/>
      <c r="D1069" s="73"/>
      <c r="E1069" s="73"/>
      <c r="F1069" s="73"/>
      <c r="G1069" s="75"/>
      <c r="H1069" s="75"/>
      <c r="I1069" s="73"/>
      <c r="J1069" s="31"/>
      <c r="K1069" s="32"/>
    </row>
    <row r="1070" customFormat="false" ht="15" hidden="false" customHeight="true" outlineLevel="0" collapsed="false">
      <c r="A1070" s="9"/>
      <c r="B1070" s="76"/>
      <c r="C1070" s="76"/>
      <c r="D1070" s="9"/>
      <c r="E1070" s="9"/>
      <c r="F1070" s="9"/>
      <c r="G1070" s="33"/>
      <c r="H1070" s="33"/>
      <c r="I1070" s="9"/>
      <c r="J1070" s="33"/>
      <c r="K1070" s="9"/>
    </row>
    <row r="1071" customFormat="false" ht="15" hidden="false" customHeight="true" outlineLevel="0" collapsed="false">
      <c r="A1071" s="73"/>
      <c r="B1071" s="74"/>
      <c r="C1071" s="74"/>
      <c r="D1071" s="73"/>
      <c r="E1071" s="73"/>
      <c r="F1071" s="73"/>
      <c r="G1071" s="75"/>
      <c r="H1071" s="75"/>
      <c r="I1071" s="73"/>
      <c r="J1071" s="31"/>
      <c r="K1071" s="32"/>
    </row>
    <row r="1072" customFormat="false" ht="15" hidden="false" customHeight="true" outlineLevel="0" collapsed="false">
      <c r="A1072" s="9"/>
      <c r="B1072" s="76"/>
      <c r="C1072" s="76"/>
      <c r="D1072" s="9"/>
      <c r="E1072" s="9"/>
      <c r="F1072" s="9"/>
      <c r="G1072" s="33"/>
      <c r="H1072" s="33"/>
      <c r="I1072" s="9"/>
      <c r="J1072" s="33"/>
      <c r="K1072" s="9"/>
    </row>
    <row r="1073" customFormat="false" ht="15" hidden="false" customHeight="true" outlineLevel="0" collapsed="false">
      <c r="A1073" s="73"/>
      <c r="B1073" s="74"/>
      <c r="C1073" s="74"/>
      <c r="D1073" s="73"/>
      <c r="E1073" s="73"/>
      <c r="F1073" s="73"/>
      <c r="G1073" s="75"/>
      <c r="H1073" s="75"/>
      <c r="I1073" s="73"/>
      <c r="J1073" s="31"/>
      <c r="K1073" s="32"/>
    </row>
    <row r="1074" customFormat="false" ht="15" hidden="false" customHeight="true" outlineLevel="0" collapsed="false">
      <c r="A1074" s="9"/>
      <c r="B1074" s="76"/>
      <c r="C1074" s="76"/>
      <c r="D1074" s="9"/>
      <c r="E1074" s="9"/>
      <c r="F1074" s="9"/>
      <c r="G1074" s="33"/>
      <c r="H1074" s="33"/>
      <c r="I1074" s="9"/>
      <c r="J1074" s="33"/>
      <c r="K1074" s="9"/>
    </row>
    <row r="1075" customFormat="false" ht="15" hidden="false" customHeight="true" outlineLevel="0" collapsed="false">
      <c r="A1075" s="73"/>
      <c r="B1075" s="74"/>
      <c r="C1075" s="74"/>
      <c r="D1075" s="73"/>
      <c r="E1075" s="73"/>
      <c r="F1075" s="73"/>
      <c r="G1075" s="75"/>
      <c r="H1075" s="75"/>
      <c r="I1075" s="73"/>
      <c r="J1075" s="31"/>
      <c r="K1075" s="32"/>
    </row>
    <row r="1076" customFormat="false" ht="15" hidden="false" customHeight="true" outlineLevel="0" collapsed="false">
      <c r="A1076" s="9"/>
      <c r="B1076" s="76"/>
      <c r="C1076" s="76"/>
      <c r="D1076" s="9"/>
      <c r="E1076" s="9"/>
      <c r="F1076" s="9"/>
      <c r="G1076" s="33"/>
      <c r="H1076" s="33"/>
      <c r="I1076" s="9"/>
      <c r="J1076" s="33"/>
      <c r="K1076" s="9"/>
    </row>
    <row r="1077" customFormat="false" ht="15" hidden="false" customHeight="true" outlineLevel="0" collapsed="false">
      <c r="A1077" s="73"/>
      <c r="B1077" s="74"/>
      <c r="C1077" s="74"/>
      <c r="D1077" s="73"/>
      <c r="E1077" s="73"/>
      <c r="F1077" s="73"/>
      <c r="G1077" s="75"/>
      <c r="H1077" s="75"/>
      <c r="I1077" s="73"/>
      <c r="J1077" s="31"/>
      <c r="K1077" s="32"/>
    </row>
    <row r="1078" customFormat="false" ht="15" hidden="false" customHeight="true" outlineLevel="0" collapsed="false">
      <c r="A1078" s="9"/>
      <c r="B1078" s="76"/>
      <c r="C1078" s="76"/>
      <c r="D1078" s="9"/>
      <c r="E1078" s="9"/>
      <c r="F1078" s="9"/>
      <c r="G1078" s="33"/>
      <c r="H1078" s="33"/>
      <c r="I1078" s="9"/>
      <c r="J1078" s="33"/>
      <c r="K1078" s="9"/>
    </row>
    <row r="1079" customFormat="false" ht="15" hidden="false" customHeight="true" outlineLevel="0" collapsed="false">
      <c r="A1079" s="73"/>
      <c r="B1079" s="74"/>
      <c r="C1079" s="74"/>
      <c r="D1079" s="73"/>
      <c r="E1079" s="73"/>
      <c r="F1079" s="73"/>
      <c r="G1079" s="75"/>
      <c r="H1079" s="75"/>
      <c r="I1079" s="73"/>
      <c r="J1079" s="31"/>
      <c r="K1079" s="32"/>
    </row>
    <row r="1080" customFormat="false" ht="15" hidden="false" customHeight="true" outlineLevel="0" collapsed="false">
      <c r="A1080" s="9"/>
      <c r="B1080" s="76"/>
      <c r="C1080" s="76"/>
      <c r="D1080" s="9"/>
      <c r="E1080" s="9"/>
      <c r="F1080" s="9"/>
      <c r="G1080" s="33"/>
      <c r="H1080" s="33"/>
      <c r="I1080" s="9"/>
      <c r="J1080" s="33"/>
      <c r="K1080" s="9"/>
    </row>
    <row r="1081" customFormat="false" ht="15" hidden="false" customHeight="true" outlineLevel="0" collapsed="false">
      <c r="A1081" s="73"/>
      <c r="B1081" s="74"/>
      <c r="C1081" s="74"/>
      <c r="D1081" s="73"/>
      <c r="E1081" s="73"/>
      <c r="F1081" s="73"/>
      <c r="G1081" s="75"/>
      <c r="H1081" s="75"/>
      <c r="I1081" s="73"/>
      <c r="J1081" s="31"/>
      <c r="K1081" s="32"/>
    </row>
    <row r="1082" customFormat="false" ht="15" hidden="false" customHeight="true" outlineLevel="0" collapsed="false">
      <c r="A1082" s="9"/>
      <c r="B1082" s="76"/>
      <c r="C1082" s="76"/>
      <c r="D1082" s="9"/>
      <c r="E1082" s="9"/>
      <c r="F1082" s="9"/>
      <c r="G1082" s="33"/>
      <c r="H1082" s="33"/>
      <c r="I1082" s="9"/>
      <c r="J1082" s="33"/>
      <c r="K1082" s="9"/>
    </row>
    <row r="1083" customFormat="false" ht="15" hidden="false" customHeight="true" outlineLevel="0" collapsed="false">
      <c r="A1083" s="73"/>
      <c r="B1083" s="74"/>
      <c r="C1083" s="74"/>
      <c r="D1083" s="73"/>
      <c r="E1083" s="73"/>
      <c r="F1083" s="73"/>
      <c r="G1083" s="75"/>
      <c r="H1083" s="75"/>
      <c r="I1083" s="73"/>
      <c r="J1083" s="31"/>
      <c r="K1083" s="32"/>
    </row>
    <row r="1084" customFormat="false" ht="15" hidden="false" customHeight="true" outlineLevel="0" collapsed="false">
      <c r="A1084" s="9"/>
      <c r="B1084" s="76"/>
      <c r="C1084" s="76"/>
      <c r="D1084" s="9"/>
      <c r="E1084" s="9"/>
      <c r="F1084" s="9"/>
      <c r="G1084" s="33"/>
      <c r="H1084" s="33"/>
      <c r="I1084" s="9"/>
      <c r="J1084" s="33"/>
      <c r="K1084" s="9"/>
    </row>
    <row r="1085" customFormat="false" ht="15" hidden="false" customHeight="true" outlineLevel="0" collapsed="false">
      <c r="A1085" s="73"/>
      <c r="B1085" s="74"/>
      <c r="C1085" s="74"/>
      <c r="D1085" s="73"/>
      <c r="E1085" s="73"/>
      <c r="F1085" s="73"/>
      <c r="G1085" s="75"/>
      <c r="H1085" s="75"/>
      <c r="I1085" s="73"/>
      <c r="J1085" s="31"/>
      <c r="K1085" s="32"/>
    </row>
    <row r="1086" customFormat="false" ht="15" hidden="false" customHeight="true" outlineLevel="0" collapsed="false">
      <c r="A1086" s="9"/>
      <c r="B1086" s="76"/>
      <c r="C1086" s="76"/>
      <c r="D1086" s="9"/>
      <c r="E1086" s="9"/>
      <c r="F1086" s="9"/>
      <c r="G1086" s="33"/>
      <c r="H1086" s="33"/>
      <c r="I1086" s="9"/>
      <c r="J1086" s="33"/>
      <c r="K1086" s="9"/>
    </row>
    <row r="1087" customFormat="false" ht="15" hidden="false" customHeight="true" outlineLevel="0" collapsed="false">
      <c r="A1087" s="73"/>
      <c r="B1087" s="74"/>
      <c r="C1087" s="74"/>
      <c r="D1087" s="73"/>
      <c r="E1087" s="73"/>
      <c r="F1087" s="73"/>
      <c r="G1087" s="75"/>
      <c r="H1087" s="75"/>
      <c r="I1087" s="73"/>
      <c r="J1087" s="31"/>
      <c r="K1087" s="32"/>
    </row>
    <row r="1088" customFormat="false" ht="15" hidden="false" customHeight="true" outlineLevel="0" collapsed="false">
      <c r="A1088" s="9"/>
      <c r="B1088" s="76"/>
      <c r="C1088" s="76"/>
      <c r="D1088" s="9"/>
      <c r="E1088" s="9"/>
      <c r="F1088" s="9"/>
      <c r="G1088" s="33"/>
      <c r="H1088" s="33"/>
      <c r="I1088" s="9"/>
      <c r="J1088" s="33"/>
      <c r="K1088" s="9"/>
    </row>
    <row r="1089" customFormat="false" ht="15" hidden="false" customHeight="true" outlineLevel="0" collapsed="false">
      <c r="A1089" s="73"/>
      <c r="B1089" s="74"/>
      <c r="C1089" s="74"/>
      <c r="D1089" s="73"/>
      <c r="E1089" s="73"/>
      <c r="F1089" s="73"/>
      <c r="G1089" s="75"/>
      <c r="H1089" s="75"/>
      <c r="I1089" s="73"/>
      <c r="J1089" s="31"/>
      <c r="K1089" s="32"/>
    </row>
    <row r="1090" customFormat="false" ht="15" hidden="false" customHeight="true" outlineLevel="0" collapsed="false">
      <c r="A1090" s="9"/>
      <c r="B1090" s="76"/>
      <c r="C1090" s="76"/>
      <c r="D1090" s="9"/>
      <c r="E1090" s="9"/>
      <c r="F1090" s="9"/>
      <c r="G1090" s="33"/>
      <c r="H1090" s="33"/>
      <c r="I1090" s="9"/>
      <c r="J1090" s="33"/>
      <c r="K1090" s="9"/>
    </row>
    <row r="1091" customFormat="false" ht="15" hidden="false" customHeight="true" outlineLevel="0" collapsed="false">
      <c r="A1091" s="73"/>
      <c r="B1091" s="74"/>
      <c r="C1091" s="74"/>
      <c r="D1091" s="73"/>
      <c r="E1091" s="73"/>
      <c r="F1091" s="73"/>
      <c r="G1091" s="75"/>
      <c r="H1091" s="75"/>
      <c r="I1091" s="73"/>
      <c r="J1091" s="31"/>
      <c r="K1091" s="32"/>
    </row>
    <row r="1092" customFormat="false" ht="15" hidden="false" customHeight="true" outlineLevel="0" collapsed="false">
      <c r="A1092" s="9"/>
      <c r="B1092" s="76"/>
      <c r="C1092" s="76"/>
      <c r="D1092" s="9"/>
      <c r="E1092" s="9"/>
      <c r="F1092" s="9"/>
      <c r="G1092" s="33"/>
      <c r="H1092" s="33"/>
      <c r="I1092" s="9"/>
      <c r="J1092" s="33"/>
      <c r="K1092" s="9"/>
    </row>
    <row r="1093" customFormat="false" ht="15" hidden="false" customHeight="true" outlineLevel="0" collapsed="false">
      <c r="A1093" s="73"/>
      <c r="B1093" s="74"/>
      <c r="C1093" s="74"/>
      <c r="D1093" s="73"/>
      <c r="E1093" s="73"/>
      <c r="F1093" s="73"/>
      <c r="G1093" s="75"/>
      <c r="H1093" s="75"/>
      <c r="I1093" s="73"/>
      <c r="J1093" s="31"/>
      <c r="K1093" s="32"/>
    </row>
    <row r="1094" customFormat="false" ht="15" hidden="false" customHeight="true" outlineLevel="0" collapsed="false">
      <c r="A1094" s="9"/>
      <c r="B1094" s="76"/>
      <c r="C1094" s="76"/>
      <c r="D1094" s="9"/>
      <c r="E1094" s="9"/>
      <c r="F1094" s="9"/>
      <c r="G1094" s="33"/>
      <c r="H1094" s="33"/>
      <c r="I1094" s="9"/>
      <c r="J1094" s="33"/>
      <c r="K1094" s="9"/>
    </row>
    <row r="1095" customFormat="false" ht="15" hidden="false" customHeight="true" outlineLevel="0" collapsed="false">
      <c r="A1095" s="73"/>
      <c r="B1095" s="74"/>
      <c r="C1095" s="74"/>
      <c r="D1095" s="73"/>
      <c r="E1095" s="73"/>
      <c r="F1095" s="73"/>
      <c r="G1095" s="75"/>
      <c r="H1095" s="75"/>
      <c r="I1095" s="73"/>
      <c r="J1095" s="31"/>
      <c r="K1095" s="32"/>
    </row>
    <row r="1096" customFormat="false" ht="15" hidden="false" customHeight="true" outlineLevel="0" collapsed="false">
      <c r="A1096" s="9"/>
      <c r="B1096" s="76"/>
      <c r="C1096" s="76"/>
      <c r="D1096" s="9"/>
      <c r="E1096" s="9"/>
      <c r="F1096" s="9"/>
      <c r="G1096" s="33"/>
      <c r="H1096" s="33"/>
      <c r="I1096" s="9"/>
      <c r="J1096" s="33"/>
      <c r="K1096" s="9"/>
    </row>
    <row r="1097" customFormat="false" ht="15" hidden="false" customHeight="true" outlineLevel="0" collapsed="false">
      <c r="A1097" s="73"/>
      <c r="B1097" s="74"/>
      <c r="C1097" s="74"/>
      <c r="D1097" s="73"/>
      <c r="E1097" s="73"/>
      <c r="F1097" s="73"/>
      <c r="G1097" s="75"/>
      <c r="H1097" s="75"/>
      <c r="I1097" s="73"/>
      <c r="J1097" s="31"/>
      <c r="K1097" s="32"/>
    </row>
    <row r="1098" customFormat="false" ht="15" hidden="false" customHeight="true" outlineLevel="0" collapsed="false">
      <c r="A1098" s="9"/>
      <c r="B1098" s="76"/>
      <c r="C1098" s="76"/>
      <c r="D1098" s="9"/>
      <c r="E1098" s="9"/>
      <c r="F1098" s="9"/>
      <c r="G1098" s="33"/>
      <c r="H1098" s="33"/>
      <c r="I1098" s="9"/>
      <c r="J1098" s="33"/>
      <c r="K1098" s="9"/>
    </row>
    <row r="1099" customFormat="false" ht="15" hidden="false" customHeight="true" outlineLevel="0" collapsed="false">
      <c r="A1099" s="73"/>
      <c r="B1099" s="74"/>
      <c r="C1099" s="74"/>
      <c r="D1099" s="73"/>
      <c r="E1099" s="73"/>
      <c r="F1099" s="73"/>
      <c r="G1099" s="75"/>
      <c r="H1099" s="75"/>
      <c r="I1099" s="73"/>
      <c r="J1099" s="31"/>
      <c r="K1099" s="32"/>
    </row>
    <row r="1100" customFormat="false" ht="15" hidden="false" customHeight="true" outlineLevel="0" collapsed="false">
      <c r="A1100" s="9"/>
      <c r="B1100" s="76"/>
      <c r="C1100" s="76"/>
      <c r="D1100" s="9"/>
      <c r="E1100" s="9"/>
      <c r="F1100" s="9"/>
      <c r="G1100" s="33"/>
      <c r="H1100" s="33"/>
      <c r="I1100" s="9"/>
      <c r="J1100" s="33"/>
      <c r="K1100" s="9"/>
    </row>
    <row r="1101" customFormat="false" ht="15" hidden="false" customHeight="true" outlineLevel="0" collapsed="false">
      <c r="A1101" s="73"/>
      <c r="B1101" s="74"/>
      <c r="C1101" s="74"/>
      <c r="D1101" s="73"/>
      <c r="E1101" s="73"/>
      <c r="F1101" s="73"/>
      <c r="G1101" s="75"/>
      <c r="H1101" s="75"/>
      <c r="I1101" s="73"/>
      <c r="J1101" s="31"/>
      <c r="K1101" s="32"/>
    </row>
    <row r="1102" customFormat="false" ht="15" hidden="false" customHeight="true" outlineLevel="0" collapsed="false">
      <c r="A1102" s="9"/>
      <c r="B1102" s="76"/>
      <c r="C1102" s="76"/>
      <c r="D1102" s="9"/>
      <c r="E1102" s="9"/>
      <c r="F1102" s="9"/>
      <c r="G1102" s="33"/>
      <c r="H1102" s="33"/>
      <c r="I1102" s="9"/>
      <c r="J1102" s="33"/>
      <c r="K1102" s="9"/>
    </row>
    <row r="1103" customFormat="false" ht="15" hidden="false" customHeight="true" outlineLevel="0" collapsed="false">
      <c r="A1103" s="73"/>
      <c r="B1103" s="74"/>
      <c r="C1103" s="74"/>
      <c r="D1103" s="73"/>
      <c r="E1103" s="73"/>
      <c r="F1103" s="73"/>
      <c r="G1103" s="75"/>
      <c r="H1103" s="75"/>
      <c r="I1103" s="73"/>
      <c r="J1103" s="31"/>
      <c r="K1103" s="32"/>
    </row>
    <row r="1104" customFormat="false" ht="15" hidden="false" customHeight="true" outlineLevel="0" collapsed="false">
      <c r="A1104" s="9"/>
      <c r="B1104" s="76"/>
      <c r="C1104" s="76"/>
      <c r="D1104" s="9"/>
      <c r="E1104" s="9"/>
      <c r="F1104" s="9"/>
      <c r="G1104" s="33"/>
      <c r="H1104" s="33"/>
      <c r="I1104" s="9"/>
      <c r="J1104" s="33"/>
      <c r="K1104" s="9"/>
    </row>
    <row r="1105" customFormat="false" ht="15" hidden="false" customHeight="true" outlineLevel="0" collapsed="false">
      <c r="A1105" s="73"/>
      <c r="B1105" s="74"/>
      <c r="C1105" s="74"/>
      <c r="D1105" s="73"/>
      <c r="E1105" s="73"/>
      <c r="F1105" s="73"/>
      <c r="G1105" s="75"/>
      <c r="H1105" s="75"/>
      <c r="I1105" s="73"/>
      <c r="J1105" s="31"/>
      <c r="K1105" s="32"/>
    </row>
    <row r="1106" customFormat="false" ht="15" hidden="false" customHeight="true" outlineLevel="0" collapsed="false">
      <c r="A1106" s="9"/>
      <c r="B1106" s="76"/>
      <c r="C1106" s="76"/>
      <c r="D1106" s="9"/>
      <c r="E1106" s="9"/>
      <c r="F1106" s="9"/>
      <c r="G1106" s="33"/>
      <c r="H1106" s="33"/>
      <c r="I1106" s="9"/>
      <c r="J1106" s="33"/>
      <c r="K1106" s="9"/>
    </row>
    <row r="1107" customFormat="false" ht="15" hidden="false" customHeight="true" outlineLevel="0" collapsed="false">
      <c r="A1107" s="73"/>
      <c r="B1107" s="74"/>
      <c r="C1107" s="74"/>
      <c r="D1107" s="73"/>
      <c r="E1107" s="73"/>
      <c r="F1107" s="73"/>
      <c r="G1107" s="75"/>
      <c r="H1107" s="75"/>
      <c r="I1107" s="73"/>
      <c r="J1107" s="31"/>
      <c r="K1107" s="32"/>
    </row>
    <row r="1108" customFormat="false" ht="15" hidden="false" customHeight="true" outlineLevel="0" collapsed="false">
      <c r="A1108" s="9"/>
      <c r="B1108" s="76"/>
      <c r="C1108" s="76"/>
      <c r="D1108" s="9"/>
      <c r="E1108" s="9"/>
      <c r="F1108" s="9"/>
      <c r="G1108" s="33"/>
      <c r="H1108" s="33"/>
      <c r="I1108" s="9"/>
      <c r="J1108" s="33"/>
      <c r="K1108" s="9"/>
    </row>
    <row r="1109" customFormat="false" ht="15" hidden="false" customHeight="true" outlineLevel="0" collapsed="false">
      <c r="A1109" s="73"/>
      <c r="B1109" s="74"/>
      <c r="C1109" s="74"/>
      <c r="D1109" s="73"/>
      <c r="E1109" s="73"/>
      <c r="F1109" s="73"/>
      <c r="G1109" s="75"/>
      <c r="H1109" s="75"/>
      <c r="I1109" s="73"/>
      <c r="J1109" s="31"/>
      <c r="K1109" s="32"/>
    </row>
    <row r="1110" customFormat="false" ht="15" hidden="false" customHeight="true" outlineLevel="0" collapsed="false">
      <c r="A1110" s="9"/>
      <c r="B1110" s="76"/>
      <c r="C1110" s="76"/>
      <c r="D1110" s="9"/>
      <c r="E1110" s="9"/>
      <c r="F1110" s="9"/>
      <c r="G1110" s="33"/>
      <c r="H1110" s="33"/>
      <c r="I1110" s="9"/>
      <c r="J1110" s="33"/>
      <c r="K1110" s="9"/>
    </row>
    <row r="1111" customFormat="false" ht="15" hidden="false" customHeight="true" outlineLevel="0" collapsed="false">
      <c r="A1111" s="73"/>
      <c r="B1111" s="74"/>
      <c r="C1111" s="74"/>
      <c r="D1111" s="73"/>
      <c r="E1111" s="73"/>
      <c r="F1111" s="73"/>
      <c r="G1111" s="75"/>
      <c r="H1111" s="75"/>
      <c r="I1111" s="73"/>
      <c r="J1111" s="31"/>
      <c r="K1111" s="32"/>
    </row>
    <row r="1112" customFormat="false" ht="15" hidden="false" customHeight="true" outlineLevel="0" collapsed="false">
      <c r="A1112" s="9"/>
      <c r="B1112" s="76"/>
      <c r="C1112" s="76"/>
      <c r="D1112" s="9"/>
      <c r="E1112" s="9"/>
      <c r="F1112" s="9"/>
      <c r="G1112" s="33"/>
      <c r="H1112" s="33"/>
      <c r="I1112" s="9"/>
      <c r="J1112" s="33"/>
      <c r="K1112" s="9"/>
    </row>
    <row r="1113" customFormat="false" ht="15" hidden="false" customHeight="true" outlineLevel="0" collapsed="false">
      <c r="A1113" s="73"/>
      <c r="B1113" s="74"/>
      <c r="C1113" s="74"/>
      <c r="D1113" s="73"/>
      <c r="E1113" s="73"/>
      <c r="F1113" s="73"/>
      <c r="G1113" s="75"/>
      <c r="H1113" s="75"/>
      <c r="I1113" s="73"/>
      <c r="J1113" s="31"/>
      <c r="K1113" s="32"/>
    </row>
    <row r="1114" customFormat="false" ht="15" hidden="false" customHeight="true" outlineLevel="0" collapsed="false">
      <c r="A1114" s="9"/>
      <c r="B1114" s="76"/>
      <c r="C1114" s="76"/>
      <c r="D1114" s="9"/>
      <c r="E1114" s="9"/>
      <c r="F1114" s="9"/>
      <c r="G1114" s="33"/>
      <c r="H1114" s="33"/>
      <c r="I1114" s="9"/>
      <c r="J1114" s="33"/>
      <c r="K1114" s="9"/>
    </row>
    <row r="1115" customFormat="false" ht="15" hidden="false" customHeight="true" outlineLevel="0" collapsed="false">
      <c r="A1115" s="73"/>
      <c r="B1115" s="74"/>
      <c r="C1115" s="74"/>
      <c r="D1115" s="73"/>
      <c r="E1115" s="73"/>
      <c r="F1115" s="73"/>
      <c r="G1115" s="75"/>
      <c r="H1115" s="75"/>
      <c r="I1115" s="73"/>
      <c r="J1115" s="31"/>
      <c r="K1115" s="32"/>
    </row>
    <row r="1116" customFormat="false" ht="15" hidden="false" customHeight="true" outlineLevel="0" collapsed="false">
      <c r="A1116" s="9"/>
      <c r="B1116" s="76"/>
      <c r="C1116" s="76"/>
      <c r="D1116" s="9"/>
      <c r="E1116" s="9"/>
      <c r="F1116" s="9"/>
      <c r="G1116" s="33"/>
      <c r="H1116" s="33"/>
      <c r="I1116" s="9"/>
      <c r="J1116" s="33"/>
      <c r="K1116" s="9"/>
    </row>
    <row r="1117" customFormat="false" ht="15" hidden="false" customHeight="true" outlineLevel="0" collapsed="false">
      <c r="A1117" s="73"/>
      <c r="B1117" s="74"/>
      <c r="C1117" s="74"/>
      <c r="D1117" s="73"/>
      <c r="E1117" s="73"/>
      <c r="F1117" s="73"/>
      <c r="G1117" s="75"/>
      <c r="H1117" s="75"/>
      <c r="I1117" s="73"/>
      <c r="J1117" s="31"/>
      <c r="K1117" s="32"/>
    </row>
    <row r="1118" customFormat="false" ht="15" hidden="false" customHeight="true" outlineLevel="0" collapsed="false">
      <c r="A1118" s="9"/>
      <c r="B1118" s="76"/>
      <c r="C1118" s="76"/>
      <c r="D1118" s="9"/>
      <c r="E1118" s="9"/>
      <c r="F1118" s="9"/>
      <c r="G1118" s="33"/>
      <c r="H1118" s="33"/>
      <c r="I1118" s="9"/>
      <c r="J1118" s="33"/>
      <c r="K1118" s="9"/>
    </row>
    <row r="1119" customFormat="false" ht="15" hidden="false" customHeight="true" outlineLevel="0" collapsed="false">
      <c r="A1119" s="73"/>
      <c r="B1119" s="74"/>
      <c r="C1119" s="74"/>
      <c r="D1119" s="73"/>
      <c r="E1119" s="73"/>
      <c r="F1119" s="73"/>
      <c r="G1119" s="75"/>
      <c r="H1119" s="75"/>
      <c r="I1119" s="73"/>
      <c r="J1119" s="31"/>
      <c r="K1119" s="32"/>
    </row>
    <row r="1120" customFormat="false" ht="15" hidden="false" customHeight="true" outlineLevel="0" collapsed="false">
      <c r="A1120" s="9"/>
      <c r="B1120" s="76"/>
      <c r="C1120" s="76"/>
      <c r="D1120" s="9"/>
      <c r="E1120" s="9"/>
      <c r="F1120" s="9"/>
      <c r="G1120" s="33"/>
      <c r="H1120" s="33"/>
      <c r="I1120" s="9"/>
      <c r="J1120" s="33"/>
      <c r="K1120" s="9"/>
    </row>
    <row r="1121" customFormat="false" ht="15" hidden="false" customHeight="true" outlineLevel="0" collapsed="false">
      <c r="A1121" s="73"/>
      <c r="B1121" s="74"/>
      <c r="C1121" s="74"/>
      <c r="D1121" s="73"/>
      <c r="E1121" s="73"/>
      <c r="F1121" s="73"/>
      <c r="G1121" s="75"/>
      <c r="H1121" s="75"/>
      <c r="I1121" s="73"/>
      <c r="J1121" s="31"/>
      <c r="K1121" s="32"/>
    </row>
    <row r="1122" customFormat="false" ht="15" hidden="false" customHeight="true" outlineLevel="0" collapsed="false">
      <c r="A1122" s="9"/>
      <c r="B1122" s="76"/>
      <c r="C1122" s="76"/>
      <c r="D1122" s="9"/>
      <c r="E1122" s="9"/>
      <c r="F1122" s="9"/>
      <c r="G1122" s="33"/>
      <c r="H1122" s="33"/>
      <c r="I1122" s="9"/>
      <c r="J1122" s="33"/>
      <c r="K1122" s="9"/>
    </row>
    <row r="1123" customFormat="false" ht="15" hidden="false" customHeight="true" outlineLevel="0" collapsed="false">
      <c r="A1123" s="73"/>
      <c r="B1123" s="74"/>
      <c r="C1123" s="74"/>
      <c r="D1123" s="73"/>
      <c r="E1123" s="73"/>
      <c r="F1123" s="73"/>
      <c r="G1123" s="75"/>
      <c r="H1123" s="75"/>
      <c r="I1123" s="73"/>
      <c r="J1123" s="31"/>
      <c r="K1123" s="32"/>
    </row>
    <row r="1124" customFormat="false" ht="15" hidden="false" customHeight="true" outlineLevel="0" collapsed="false">
      <c r="A1124" s="9"/>
      <c r="B1124" s="76"/>
      <c r="C1124" s="76"/>
      <c r="D1124" s="9"/>
      <c r="E1124" s="9"/>
      <c r="F1124" s="9"/>
      <c r="G1124" s="33"/>
      <c r="H1124" s="33"/>
      <c r="I1124" s="9"/>
      <c r="J1124" s="33"/>
      <c r="K1124" s="9"/>
    </row>
    <row r="1125" customFormat="false" ht="15" hidden="false" customHeight="true" outlineLevel="0" collapsed="false">
      <c r="A1125" s="73"/>
      <c r="B1125" s="74"/>
      <c r="C1125" s="74"/>
      <c r="D1125" s="73"/>
      <c r="E1125" s="73"/>
      <c r="F1125" s="73"/>
      <c r="G1125" s="75"/>
      <c r="H1125" s="75"/>
      <c r="I1125" s="73"/>
      <c r="J1125" s="31"/>
      <c r="K1125" s="32"/>
    </row>
    <row r="1126" customFormat="false" ht="15" hidden="false" customHeight="true" outlineLevel="0" collapsed="false">
      <c r="A1126" s="9"/>
      <c r="B1126" s="76"/>
      <c r="C1126" s="76"/>
      <c r="D1126" s="9"/>
      <c r="E1126" s="9"/>
      <c r="F1126" s="9"/>
      <c r="G1126" s="33"/>
      <c r="H1126" s="33"/>
      <c r="I1126" s="9"/>
      <c r="J1126" s="33"/>
      <c r="K1126" s="9"/>
    </row>
    <row r="1127" customFormat="false" ht="15" hidden="false" customHeight="true" outlineLevel="0" collapsed="false">
      <c r="A1127" s="73"/>
      <c r="B1127" s="74"/>
      <c r="C1127" s="74"/>
      <c r="D1127" s="73"/>
      <c r="E1127" s="73"/>
      <c r="F1127" s="73"/>
      <c r="G1127" s="75"/>
      <c r="H1127" s="75"/>
      <c r="I1127" s="73"/>
      <c r="J1127" s="31"/>
      <c r="K1127" s="32"/>
    </row>
    <row r="1128" customFormat="false" ht="15" hidden="false" customHeight="true" outlineLevel="0" collapsed="false">
      <c r="A1128" s="9"/>
      <c r="B1128" s="76"/>
      <c r="C1128" s="76"/>
      <c r="D1128" s="9"/>
      <c r="E1128" s="9"/>
      <c r="F1128" s="9"/>
      <c r="G1128" s="33"/>
      <c r="H1128" s="33"/>
      <c r="I1128" s="9"/>
      <c r="J1128" s="33"/>
      <c r="K1128" s="9"/>
    </row>
    <row r="1129" customFormat="false" ht="15" hidden="false" customHeight="true" outlineLevel="0" collapsed="false">
      <c r="A1129" s="73"/>
      <c r="B1129" s="74"/>
      <c r="C1129" s="74"/>
      <c r="D1129" s="73"/>
      <c r="E1129" s="73"/>
      <c r="F1129" s="73"/>
      <c r="G1129" s="75"/>
      <c r="H1129" s="75"/>
      <c r="I1129" s="73"/>
      <c r="J1129" s="31"/>
      <c r="K1129" s="32"/>
    </row>
    <row r="1130" customFormat="false" ht="15" hidden="false" customHeight="true" outlineLevel="0" collapsed="false">
      <c r="A1130" s="9"/>
      <c r="B1130" s="76"/>
      <c r="C1130" s="76"/>
      <c r="D1130" s="9"/>
      <c r="E1130" s="9"/>
      <c r="F1130" s="9"/>
      <c r="G1130" s="33"/>
      <c r="H1130" s="33"/>
      <c r="I1130" s="9"/>
      <c r="J1130" s="33"/>
      <c r="K1130" s="9"/>
    </row>
    <row r="1131" customFormat="false" ht="15" hidden="false" customHeight="true" outlineLevel="0" collapsed="false">
      <c r="A1131" s="73"/>
      <c r="B1131" s="74"/>
      <c r="C1131" s="74"/>
      <c r="D1131" s="73"/>
      <c r="E1131" s="73"/>
      <c r="F1131" s="73"/>
      <c r="G1131" s="75"/>
      <c r="H1131" s="75"/>
      <c r="I1131" s="73"/>
      <c r="J1131" s="31"/>
      <c r="K1131" s="32"/>
    </row>
    <row r="1132" customFormat="false" ht="15" hidden="false" customHeight="true" outlineLevel="0" collapsed="false">
      <c r="A1132" s="9"/>
      <c r="B1132" s="76"/>
      <c r="C1132" s="76"/>
      <c r="D1132" s="9"/>
      <c r="E1132" s="9"/>
      <c r="F1132" s="9"/>
      <c r="G1132" s="33"/>
      <c r="H1132" s="33"/>
      <c r="I1132" s="9"/>
      <c r="J1132" s="33"/>
      <c r="K1132" s="9"/>
    </row>
    <row r="1133" customFormat="false" ht="15" hidden="false" customHeight="true" outlineLevel="0" collapsed="false">
      <c r="A1133" s="73"/>
      <c r="B1133" s="74"/>
      <c r="C1133" s="74"/>
      <c r="D1133" s="73"/>
      <c r="E1133" s="73"/>
      <c r="F1133" s="73"/>
      <c r="G1133" s="75"/>
      <c r="H1133" s="75"/>
      <c r="I1133" s="73"/>
      <c r="J1133" s="31"/>
      <c r="K1133" s="32"/>
    </row>
    <row r="1134" customFormat="false" ht="15" hidden="false" customHeight="true" outlineLevel="0" collapsed="false">
      <c r="A1134" s="9"/>
      <c r="B1134" s="76"/>
      <c r="C1134" s="76"/>
      <c r="D1134" s="9"/>
      <c r="E1134" s="9"/>
      <c r="F1134" s="9"/>
      <c r="G1134" s="33"/>
      <c r="H1134" s="33"/>
      <c r="I1134" s="9"/>
      <c r="J1134" s="33"/>
      <c r="K1134" s="9"/>
    </row>
    <row r="1135" customFormat="false" ht="15" hidden="false" customHeight="true" outlineLevel="0" collapsed="false">
      <c r="A1135" s="73"/>
      <c r="B1135" s="74"/>
      <c r="C1135" s="74"/>
      <c r="D1135" s="73"/>
      <c r="E1135" s="73"/>
      <c r="F1135" s="73"/>
      <c r="G1135" s="75"/>
      <c r="H1135" s="75"/>
      <c r="I1135" s="73"/>
      <c r="J1135" s="31"/>
      <c r="K1135" s="32"/>
    </row>
    <row r="1136" customFormat="false" ht="15" hidden="false" customHeight="true" outlineLevel="0" collapsed="false">
      <c r="A1136" s="9"/>
      <c r="B1136" s="76"/>
      <c r="C1136" s="76"/>
      <c r="D1136" s="9"/>
      <c r="E1136" s="9"/>
      <c r="F1136" s="9"/>
      <c r="G1136" s="33"/>
      <c r="H1136" s="33"/>
      <c r="I1136" s="9"/>
      <c r="J1136" s="33"/>
      <c r="K1136" s="9"/>
    </row>
    <row r="1137" customFormat="false" ht="15" hidden="false" customHeight="true" outlineLevel="0" collapsed="false">
      <c r="A1137" s="73"/>
      <c r="B1137" s="74"/>
      <c r="C1137" s="74"/>
      <c r="D1137" s="73"/>
      <c r="E1137" s="73"/>
      <c r="F1137" s="73"/>
      <c r="G1137" s="75"/>
      <c r="H1137" s="75"/>
      <c r="I1137" s="73"/>
      <c r="J1137" s="31"/>
      <c r="K1137" s="32"/>
    </row>
    <row r="1138" customFormat="false" ht="15" hidden="false" customHeight="true" outlineLevel="0" collapsed="false">
      <c r="A1138" s="9"/>
      <c r="B1138" s="76"/>
      <c r="C1138" s="76"/>
      <c r="D1138" s="9"/>
      <c r="E1138" s="9"/>
      <c r="F1138" s="9"/>
      <c r="G1138" s="33"/>
      <c r="H1138" s="33"/>
      <c r="I1138" s="9"/>
      <c r="J1138" s="33"/>
      <c r="K1138" s="9"/>
    </row>
    <row r="1139" customFormat="false" ht="15" hidden="false" customHeight="true" outlineLevel="0" collapsed="false">
      <c r="A1139" s="73"/>
      <c r="B1139" s="74"/>
      <c r="C1139" s="74"/>
      <c r="D1139" s="73"/>
      <c r="E1139" s="73"/>
      <c r="F1139" s="73"/>
      <c r="G1139" s="75"/>
      <c r="H1139" s="75"/>
      <c r="I1139" s="73"/>
      <c r="J1139" s="31"/>
      <c r="K1139" s="32"/>
    </row>
    <row r="1140" customFormat="false" ht="15" hidden="false" customHeight="true" outlineLevel="0" collapsed="false">
      <c r="A1140" s="9"/>
      <c r="B1140" s="76"/>
      <c r="C1140" s="76"/>
      <c r="D1140" s="9"/>
      <c r="E1140" s="9"/>
      <c r="F1140" s="9"/>
      <c r="G1140" s="33"/>
      <c r="H1140" s="33"/>
      <c r="I1140" s="9"/>
      <c r="J1140" s="33"/>
      <c r="K1140" s="9"/>
    </row>
    <row r="1141" customFormat="false" ht="15" hidden="false" customHeight="true" outlineLevel="0" collapsed="false">
      <c r="A1141" s="73"/>
      <c r="B1141" s="74"/>
      <c r="C1141" s="74"/>
      <c r="D1141" s="73"/>
      <c r="E1141" s="73"/>
      <c r="F1141" s="73"/>
      <c r="G1141" s="75"/>
      <c r="H1141" s="75"/>
      <c r="I1141" s="73"/>
      <c r="J1141" s="31"/>
      <c r="K1141" s="32"/>
    </row>
    <row r="1142" customFormat="false" ht="15" hidden="false" customHeight="true" outlineLevel="0" collapsed="false">
      <c r="A1142" s="9"/>
      <c r="B1142" s="76"/>
      <c r="C1142" s="76"/>
      <c r="D1142" s="9"/>
      <c r="E1142" s="9"/>
      <c r="F1142" s="9"/>
      <c r="G1142" s="33"/>
      <c r="H1142" s="33"/>
      <c r="I1142" s="9"/>
      <c r="J1142" s="33"/>
      <c r="K1142" s="9"/>
    </row>
    <row r="1143" customFormat="false" ht="15" hidden="false" customHeight="true" outlineLevel="0" collapsed="false">
      <c r="A1143" s="73"/>
      <c r="B1143" s="74"/>
      <c r="C1143" s="74"/>
      <c r="D1143" s="73"/>
      <c r="E1143" s="73"/>
      <c r="F1143" s="73"/>
      <c r="G1143" s="75"/>
      <c r="H1143" s="75"/>
      <c r="I1143" s="73"/>
      <c r="J1143" s="31"/>
      <c r="K1143" s="32"/>
    </row>
    <row r="1144" customFormat="false" ht="15" hidden="false" customHeight="true" outlineLevel="0" collapsed="false">
      <c r="A1144" s="9"/>
      <c r="B1144" s="76"/>
      <c r="C1144" s="76"/>
      <c r="D1144" s="9"/>
      <c r="E1144" s="9"/>
      <c r="F1144" s="9"/>
      <c r="G1144" s="33"/>
      <c r="H1144" s="33"/>
      <c r="I1144" s="9"/>
      <c r="J1144" s="33"/>
      <c r="K1144" s="9"/>
    </row>
    <row r="1145" customFormat="false" ht="15" hidden="false" customHeight="true" outlineLevel="0" collapsed="false">
      <c r="A1145" s="73"/>
      <c r="B1145" s="74"/>
      <c r="C1145" s="74"/>
      <c r="D1145" s="73"/>
      <c r="E1145" s="73"/>
      <c r="F1145" s="73"/>
      <c r="G1145" s="75"/>
      <c r="H1145" s="75"/>
      <c r="I1145" s="73"/>
      <c r="J1145" s="31"/>
      <c r="K1145" s="32"/>
    </row>
    <row r="1146" customFormat="false" ht="15" hidden="false" customHeight="true" outlineLevel="0" collapsed="false">
      <c r="A1146" s="9"/>
      <c r="B1146" s="76"/>
      <c r="C1146" s="76"/>
      <c r="D1146" s="9"/>
      <c r="E1146" s="9"/>
      <c r="F1146" s="9"/>
      <c r="G1146" s="33"/>
      <c r="H1146" s="33"/>
      <c r="I1146" s="9"/>
      <c r="J1146" s="33"/>
      <c r="K1146" s="9"/>
    </row>
    <row r="1147" customFormat="false" ht="15" hidden="false" customHeight="true" outlineLevel="0" collapsed="false">
      <c r="A1147" s="73"/>
      <c r="B1147" s="74"/>
      <c r="C1147" s="74"/>
      <c r="D1147" s="73"/>
      <c r="E1147" s="73"/>
      <c r="F1147" s="73"/>
      <c r="G1147" s="75"/>
      <c r="H1147" s="75"/>
      <c r="I1147" s="73"/>
      <c r="J1147" s="31"/>
      <c r="K1147" s="32"/>
    </row>
    <row r="1148" customFormat="false" ht="15" hidden="false" customHeight="true" outlineLevel="0" collapsed="false">
      <c r="A1148" s="9"/>
      <c r="B1148" s="76"/>
      <c r="C1148" s="76"/>
      <c r="D1148" s="9"/>
      <c r="E1148" s="9"/>
      <c r="F1148" s="9"/>
      <c r="G1148" s="33"/>
      <c r="H1148" s="33"/>
      <c r="I1148" s="9"/>
      <c r="J1148" s="33"/>
      <c r="K1148" s="9"/>
    </row>
    <row r="1149" customFormat="false" ht="15" hidden="false" customHeight="true" outlineLevel="0" collapsed="false">
      <c r="A1149" s="73"/>
      <c r="B1149" s="74"/>
      <c r="C1149" s="74"/>
      <c r="D1149" s="73"/>
      <c r="E1149" s="73"/>
      <c r="F1149" s="73"/>
      <c r="G1149" s="75"/>
      <c r="H1149" s="75"/>
      <c r="I1149" s="73"/>
      <c r="J1149" s="31"/>
      <c r="K1149" s="32"/>
    </row>
    <row r="1150" customFormat="false" ht="15" hidden="false" customHeight="true" outlineLevel="0" collapsed="false">
      <c r="A1150" s="9"/>
      <c r="B1150" s="76"/>
      <c r="C1150" s="76"/>
      <c r="D1150" s="9"/>
      <c r="E1150" s="9"/>
      <c r="F1150" s="9"/>
      <c r="G1150" s="33"/>
      <c r="H1150" s="33"/>
      <c r="I1150" s="9"/>
      <c r="J1150" s="33"/>
      <c r="K1150" s="9"/>
    </row>
    <row r="1151" customFormat="false" ht="15" hidden="false" customHeight="true" outlineLevel="0" collapsed="false">
      <c r="A1151" s="73"/>
      <c r="B1151" s="74"/>
      <c r="C1151" s="74"/>
      <c r="D1151" s="73"/>
      <c r="E1151" s="73"/>
      <c r="F1151" s="73"/>
      <c r="G1151" s="75"/>
      <c r="H1151" s="75"/>
      <c r="I1151" s="73"/>
      <c r="J1151" s="31"/>
      <c r="K1151" s="32"/>
    </row>
    <row r="1152" customFormat="false" ht="15" hidden="false" customHeight="true" outlineLevel="0" collapsed="false">
      <c r="A1152" s="9"/>
      <c r="B1152" s="76"/>
      <c r="C1152" s="76"/>
      <c r="D1152" s="9"/>
      <c r="E1152" s="9"/>
      <c r="F1152" s="9"/>
      <c r="G1152" s="33"/>
      <c r="H1152" s="33"/>
      <c r="I1152" s="9"/>
      <c r="J1152" s="33"/>
      <c r="K1152" s="9"/>
    </row>
    <row r="1153" customFormat="false" ht="15" hidden="false" customHeight="true" outlineLevel="0" collapsed="false">
      <c r="A1153" s="73"/>
      <c r="B1153" s="74"/>
      <c r="C1153" s="74"/>
      <c r="D1153" s="73"/>
      <c r="E1153" s="73"/>
      <c r="F1153" s="73"/>
      <c r="G1153" s="75"/>
      <c r="H1153" s="75"/>
      <c r="I1153" s="73"/>
      <c r="J1153" s="31"/>
      <c r="K1153" s="32"/>
    </row>
    <row r="1154" customFormat="false" ht="15" hidden="false" customHeight="true" outlineLevel="0" collapsed="false">
      <c r="A1154" s="9"/>
      <c r="B1154" s="76"/>
      <c r="C1154" s="76"/>
      <c r="D1154" s="9"/>
      <c r="E1154" s="9"/>
      <c r="F1154" s="9"/>
      <c r="G1154" s="33"/>
      <c r="H1154" s="33"/>
      <c r="I1154" s="9"/>
      <c r="J1154" s="33"/>
      <c r="K1154" s="9"/>
    </row>
    <row r="1155" customFormat="false" ht="15" hidden="false" customHeight="true" outlineLevel="0" collapsed="false">
      <c r="A1155" s="73"/>
      <c r="B1155" s="74"/>
      <c r="C1155" s="74"/>
      <c r="D1155" s="73"/>
      <c r="E1155" s="73"/>
      <c r="F1155" s="73"/>
      <c r="G1155" s="75"/>
      <c r="H1155" s="75"/>
      <c r="I1155" s="73"/>
      <c r="J1155" s="31"/>
      <c r="K1155" s="32"/>
    </row>
    <row r="1156" customFormat="false" ht="15" hidden="false" customHeight="true" outlineLevel="0" collapsed="false">
      <c r="A1156" s="9"/>
      <c r="B1156" s="76"/>
      <c r="C1156" s="76"/>
      <c r="D1156" s="9"/>
      <c r="E1156" s="9"/>
      <c r="F1156" s="9"/>
      <c r="G1156" s="33"/>
      <c r="H1156" s="33"/>
      <c r="I1156" s="9"/>
      <c r="J1156" s="33"/>
      <c r="K1156" s="9"/>
    </row>
    <row r="1157" customFormat="false" ht="15" hidden="false" customHeight="true" outlineLevel="0" collapsed="false">
      <c r="A1157" s="73"/>
      <c r="B1157" s="74"/>
      <c r="C1157" s="74"/>
      <c r="D1157" s="73"/>
      <c r="E1157" s="73"/>
      <c r="F1157" s="73"/>
      <c r="G1157" s="75"/>
      <c r="H1157" s="75"/>
      <c r="I1157" s="73"/>
      <c r="J1157" s="31"/>
      <c r="K1157" s="32"/>
    </row>
    <row r="1158" customFormat="false" ht="15" hidden="false" customHeight="true" outlineLevel="0" collapsed="false">
      <c r="A1158" s="9"/>
      <c r="B1158" s="76"/>
      <c r="C1158" s="76"/>
      <c r="D1158" s="9"/>
      <c r="E1158" s="9"/>
      <c r="F1158" s="9"/>
      <c r="G1158" s="33"/>
      <c r="H1158" s="33"/>
      <c r="I1158" s="9"/>
      <c r="J1158" s="33"/>
      <c r="K1158" s="9"/>
    </row>
    <row r="1159" customFormat="false" ht="15" hidden="false" customHeight="true" outlineLevel="0" collapsed="false">
      <c r="A1159" s="73"/>
      <c r="B1159" s="74"/>
      <c r="C1159" s="74"/>
      <c r="D1159" s="73"/>
      <c r="E1159" s="73"/>
      <c r="F1159" s="73"/>
      <c r="G1159" s="75"/>
      <c r="H1159" s="75"/>
      <c r="I1159" s="73"/>
      <c r="J1159" s="31"/>
      <c r="K1159" s="32"/>
    </row>
    <row r="1160" customFormat="false" ht="15" hidden="false" customHeight="true" outlineLevel="0" collapsed="false">
      <c r="A1160" s="9"/>
      <c r="B1160" s="76"/>
      <c r="C1160" s="76"/>
      <c r="D1160" s="9"/>
      <c r="E1160" s="9"/>
      <c r="F1160" s="9"/>
      <c r="G1160" s="33"/>
      <c r="H1160" s="33"/>
      <c r="I1160" s="9"/>
      <c r="J1160" s="33"/>
      <c r="K1160" s="9"/>
    </row>
    <row r="1161" customFormat="false" ht="15" hidden="false" customHeight="true" outlineLevel="0" collapsed="false">
      <c r="A1161" s="73"/>
      <c r="B1161" s="74"/>
      <c r="C1161" s="74"/>
      <c r="D1161" s="73"/>
      <c r="E1161" s="73"/>
      <c r="F1161" s="73"/>
      <c r="G1161" s="75"/>
      <c r="H1161" s="75"/>
      <c r="I1161" s="73"/>
      <c r="J1161" s="31"/>
      <c r="K1161" s="32"/>
    </row>
    <row r="1162" customFormat="false" ht="15" hidden="false" customHeight="true" outlineLevel="0" collapsed="false">
      <c r="A1162" s="9"/>
      <c r="B1162" s="76"/>
      <c r="C1162" s="76"/>
      <c r="D1162" s="9"/>
      <c r="E1162" s="9"/>
      <c r="F1162" s="9"/>
      <c r="G1162" s="33"/>
      <c r="H1162" s="33"/>
      <c r="I1162" s="9"/>
      <c r="J1162" s="33"/>
      <c r="K1162" s="9"/>
    </row>
    <row r="1163" customFormat="false" ht="15" hidden="false" customHeight="true" outlineLevel="0" collapsed="false">
      <c r="A1163" s="73"/>
      <c r="B1163" s="74"/>
      <c r="C1163" s="74"/>
      <c r="D1163" s="73"/>
      <c r="E1163" s="73"/>
      <c r="F1163" s="73"/>
      <c r="G1163" s="75"/>
      <c r="H1163" s="75"/>
      <c r="I1163" s="73"/>
      <c r="J1163" s="31"/>
      <c r="K1163" s="32"/>
    </row>
    <row r="1164" customFormat="false" ht="15" hidden="false" customHeight="true" outlineLevel="0" collapsed="false">
      <c r="A1164" s="9"/>
      <c r="B1164" s="76"/>
      <c r="C1164" s="76"/>
      <c r="D1164" s="9"/>
      <c r="E1164" s="9"/>
      <c r="F1164" s="9"/>
      <c r="G1164" s="33"/>
      <c r="H1164" s="33"/>
      <c r="I1164" s="9"/>
      <c r="J1164" s="33"/>
      <c r="K1164" s="9"/>
    </row>
    <row r="1165" customFormat="false" ht="15" hidden="false" customHeight="true" outlineLevel="0" collapsed="false">
      <c r="A1165" s="73"/>
      <c r="B1165" s="74"/>
      <c r="C1165" s="74"/>
      <c r="D1165" s="73"/>
      <c r="E1165" s="73"/>
      <c r="F1165" s="73"/>
      <c r="G1165" s="75"/>
      <c r="H1165" s="75"/>
      <c r="I1165" s="73"/>
      <c r="J1165" s="31"/>
      <c r="K1165" s="32"/>
    </row>
    <row r="1166" customFormat="false" ht="15" hidden="false" customHeight="true" outlineLevel="0" collapsed="false">
      <c r="A1166" s="9"/>
      <c r="B1166" s="76"/>
      <c r="C1166" s="76"/>
      <c r="D1166" s="9"/>
      <c r="E1166" s="9"/>
      <c r="F1166" s="9"/>
      <c r="G1166" s="33"/>
      <c r="H1166" s="33"/>
      <c r="I1166" s="9"/>
      <c r="J1166" s="33"/>
      <c r="K1166" s="9"/>
    </row>
    <row r="1167" customFormat="false" ht="15" hidden="false" customHeight="true" outlineLevel="0" collapsed="false">
      <c r="A1167" s="73"/>
      <c r="B1167" s="74"/>
      <c r="C1167" s="74"/>
      <c r="D1167" s="73"/>
      <c r="E1167" s="73"/>
      <c r="F1167" s="73"/>
      <c r="G1167" s="75"/>
      <c r="H1167" s="75"/>
      <c r="I1167" s="73"/>
      <c r="J1167" s="31"/>
      <c r="K1167" s="32"/>
    </row>
    <row r="1168" customFormat="false" ht="15" hidden="false" customHeight="true" outlineLevel="0" collapsed="false">
      <c r="A1168" s="9"/>
      <c r="B1168" s="76"/>
      <c r="C1168" s="76"/>
      <c r="D1168" s="9"/>
      <c r="E1168" s="9"/>
      <c r="F1168" s="9"/>
      <c r="G1168" s="33"/>
      <c r="H1168" s="33"/>
      <c r="I1168" s="9"/>
      <c r="J1168" s="33"/>
      <c r="K1168" s="9"/>
    </row>
    <row r="1169" customFormat="false" ht="15" hidden="false" customHeight="true" outlineLevel="0" collapsed="false">
      <c r="A1169" s="73"/>
      <c r="B1169" s="74"/>
      <c r="C1169" s="74"/>
      <c r="D1169" s="73"/>
      <c r="E1169" s="73"/>
      <c r="F1169" s="73"/>
      <c r="G1169" s="75"/>
      <c r="H1169" s="75"/>
      <c r="I1169" s="73"/>
      <c r="J1169" s="31"/>
      <c r="K1169" s="32"/>
    </row>
    <row r="1170" customFormat="false" ht="15" hidden="false" customHeight="true" outlineLevel="0" collapsed="false">
      <c r="A1170" s="9"/>
      <c r="B1170" s="76"/>
      <c r="C1170" s="76"/>
      <c r="D1170" s="9"/>
      <c r="E1170" s="9"/>
      <c r="F1170" s="9"/>
      <c r="G1170" s="33"/>
      <c r="H1170" s="33"/>
      <c r="I1170" s="9"/>
      <c r="J1170" s="33"/>
      <c r="K1170" s="9"/>
    </row>
    <row r="1171" customFormat="false" ht="15" hidden="false" customHeight="true" outlineLevel="0" collapsed="false">
      <c r="A1171" s="73"/>
      <c r="B1171" s="74"/>
      <c r="C1171" s="74"/>
      <c r="D1171" s="73"/>
      <c r="E1171" s="73"/>
      <c r="F1171" s="73"/>
      <c r="G1171" s="75"/>
      <c r="H1171" s="75"/>
      <c r="I1171" s="73"/>
      <c r="J1171" s="31"/>
      <c r="K1171" s="32"/>
    </row>
    <row r="1172" customFormat="false" ht="15" hidden="false" customHeight="true" outlineLevel="0" collapsed="false">
      <c r="A1172" s="9"/>
      <c r="B1172" s="76"/>
      <c r="C1172" s="76"/>
      <c r="D1172" s="9"/>
      <c r="E1172" s="9"/>
      <c r="F1172" s="9"/>
      <c r="G1172" s="33"/>
      <c r="H1172" s="33"/>
      <c r="I1172" s="9"/>
      <c r="J1172" s="33"/>
      <c r="K1172" s="9"/>
    </row>
    <row r="1173" customFormat="false" ht="15" hidden="false" customHeight="true" outlineLevel="0" collapsed="false">
      <c r="A1173" s="73"/>
      <c r="B1173" s="74"/>
      <c r="C1173" s="74"/>
      <c r="D1173" s="73"/>
      <c r="E1173" s="73"/>
      <c r="F1173" s="73"/>
      <c r="G1173" s="75"/>
      <c r="H1173" s="75"/>
      <c r="I1173" s="73"/>
      <c r="J1173" s="31"/>
      <c r="K1173" s="32"/>
    </row>
    <row r="1174" customFormat="false" ht="15" hidden="false" customHeight="true" outlineLevel="0" collapsed="false">
      <c r="A1174" s="9"/>
      <c r="B1174" s="76"/>
      <c r="C1174" s="76"/>
      <c r="D1174" s="9"/>
      <c r="E1174" s="9"/>
      <c r="F1174" s="9"/>
      <c r="G1174" s="33"/>
      <c r="H1174" s="33"/>
      <c r="I1174" s="9"/>
      <c r="J1174" s="33"/>
      <c r="K1174" s="9"/>
    </row>
    <row r="1175" customFormat="false" ht="15" hidden="false" customHeight="true" outlineLevel="0" collapsed="false">
      <c r="A1175" s="73"/>
      <c r="B1175" s="74"/>
      <c r="C1175" s="74"/>
      <c r="D1175" s="73"/>
      <c r="E1175" s="73"/>
      <c r="F1175" s="73"/>
      <c r="G1175" s="75"/>
      <c r="H1175" s="75"/>
      <c r="I1175" s="73"/>
      <c r="J1175" s="31"/>
      <c r="K1175" s="32"/>
    </row>
    <row r="1176" customFormat="false" ht="15" hidden="false" customHeight="true" outlineLevel="0" collapsed="false">
      <c r="A1176" s="9"/>
      <c r="B1176" s="76"/>
      <c r="C1176" s="76"/>
      <c r="D1176" s="9"/>
      <c r="E1176" s="9"/>
      <c r="F1176" s="9"/>
      <c r="G1176" s="33"/>
      <c r="H1176" s="33"/>
      <c r="I1176" s="9"/>
      <c r="J1176" s="33"/>
      <c r="K1176" s="9"/>
    </row>
    <row r="1177" customFormat="false" ht="15" hidden="false" customHeight="true" outlineLevel="0" collapsed="false">
      <c r="A1177" s="73"/>
      <c r="B1177" s="74"/>
      <c r="C1177" s="74"/>
      <c r="D1177" s="73"/>
      <c r="E1177" s="73"/>
      <c r="F1177" s="73"/>
      <c r="G1177" s="75"/>
      <c r="H1177" s="75"/>
      <c r="I1177" s="73"/>
      <c r="J1177" s="31"/>
      <c r="K1177" s="32"/>
    </row>
    <row r="1178" customFormat="false" ht="15" hidden="false" customHeight="true" outlineLevel="0" collapsed="false">
      <c r="A1178" s="9"/>
      <c r="B1178" s="76"/>
      <c r="C1178" s="76"/>
      <c r="D1178" s="9"/>
      <c r="E1178" s="9"/>
      <c r="F1178" s="9"/>
      <c r="G1178" s="33"/>
      <c r="H1178" s="33"/>
      <c r="I1178" s="9"/>
      <c r="J1178" s="33"/>
      <c r="K1178" s="9"/>
    </row>
    <row r="1179" customFormat="false" ht="15" hidden="false" customHeight="true" outlineLevel="0" collapsed="false">
      <c r="A1179" s="73"/>
      <c r="B1179" s="74"/>
      <c r="C1179" s="74"/>
      <c r="D1179" s="73"/>
      <c r="E1179" s="73"/>
      <c r="F1179" s="73"/>
      <c r="G1179" s="75"/>
      <c r="H1179" s="75"/>
      <c r="I1179" s="73"/>
      <c r="J1179" s="31"/>
      <c r="K1179" s="32"/>
    </row>
    <row r="1180" customFormat="false" ht="15" hidden="false" customHeight="true" outlineLevel="0" collapsed="false">
      <c r="A1180" s="9"/>
      <c r="B1180" s="76"/>
      <c r="C1180" s="76"/>
      <c r="D1180" s="9"/>
      <c r="E1180" s="9"/>
      <c r="F1180" s="9"/>
      <c r="G1180" s="33"/>
      <c r="H1180" s="33"/>
      <c r="I1180" s="9"/>
      <c r="J1180" s="33"/>
      <c r="K1180" s="9"/>
    </row>
    <row r="1181" customFormat="false" ht="15" hidden="false" customHeight="true" outlineLevel="0" collapsed="false">
      <c r="A1181" s="73"/>
      <c r="B1181" s="74"/>
      <c r="C1181" s="74"/>
      <c r="D1181" s="73"/>
      <c r="E1181" s="73"/>
      <c r="F1181" s="73"/>
      <c r="G1181" s="75"/>
      <c r="H1181" s="75"/>
      <c r="I1181" s="73"/>
      <c r="J1181" s="31"/>
      <c r="K1181" s="32"/>
    </row>
    <row r="1182" customFormat="false" ht="15" hidden="false" customHeight="true" outlineLevel="0" collapsed="false">
      <c r="A1182" s="9"/>
      <c r="B1182" s="76"/>
      <c r="C1182" s="76"/>
      <c r="D1182" s="9"/>
      <c r="E1182" s="9"/>
      <c r="F1182" s="9"/>
      <c r="G1182" s="33"/>
      <c r="H1182" s="33"/>
      <c r="I1182" s="9"/>
      <c r="J1182" s="33"/>
      <c r="K1182" s="9"/>
    </row>
    <row r="1183" customFormat="false" ht="15" hidden="false" customHeight="true" outlineLevel="0" collapsed="false">
      <c r="A1183" s="73"/>
      <c r="B1183" s="74"/>
      <c r="C1183" s="74"/>
      <c r="D1183" s="73"/>
      <c r="E1183" s="73"/>
      <c r="F1183" s="73"/>
      <c r="G1183" s="75"/>
      <c r="H1183" s="75"/>
      <c r="I1183" s="73"/>
      <c r="J1183" s="31"/>
      <c r="K1183" s="32"/>
    </row>
    <row r="1184" customFormat="false" ht="15" hidden="false" customHeight="true" outlineLevel="0" collapsed="false">
      <c r="A1184" s="9"/>
      <c r="B1184" s="76"/>
      <c r="C1184" s="76"/>
      <c r="D1184" s="9"/>
      <c r="E1184" s="9"/>
      <c r="F1184" s="9"/>
      <c r="G1184" s="33"/>
      <c r="H1184" s="33"/>
      <c r="I1184" s="9"/>
      <c r="J1184" s="33"/>
      <c r="K1184" s="9"/>
    </row>
    <row r="1185" customFormat="false" ht="15" hidden="false" customHeight="true" outlineLevel="0" collapsed="false">
      <c r="A1185" s="73"/>
      <c r="B1185" s="74"/>
      <c r="C1185" s="74"/>
      <c r="D1185" s="73"/>
      <c r="E1185" s="73"/>
      <c r="F1185" s="73"/>
      <c r="G1185" s="75"/>
      <c r="H1185" s="75"/>
      <c r="I1185" s="73"/>
      <c r="J1185" s="31"/>
      <c r="K1185" s="32"/>
    </row>
    <row r="1186" customFormat="false" ht="15" hidden="false" customHeight="true" outlineLevel="0" collapsed="false">
      <c r="A1186" s="9"/>
      <c r="B1186" s="76"/>
      <c r="C1186" s="76"/>
      <c r="D1186" s="9"/>
      <c r="E1186" s="9"/>
      <c r="F1186" s="9"/>
      <c r="G1186" s="33"/>
      <c r="H1186" s="33"/>
      <c r="I1186" s="9"/>
      <c r="J1186" s="33"/>
      <c r="K1186" s="9"/>
    </row>
    <row r="1187" customFormat="false" ht="15" hidden="false" customHeight="true" outlineLevel="0" collapsed="false">
      <c r="A1187" s="73"/>
      <c r="B1187" s="74"/>
      <c r="C1187" s="74"/>
      <c r="D1187" s="73"/>
      <c r="E1187" s="73"/>
      <c r="F1187" s="73"/>
      <c r="G1187" s="75"/>
      <c r="H1187" s="75"/>
      <c r="I1187" s="73"/>
      <c r="J1187" s="31"/>
      <c r="K1187" s="32"/>
    </row>
    <row r="1188" customFormat="false" ht="15" hidden="false" customHeight="true" outlineLevel="0" collapsed="false">
      <c r="A1188" s="9"/>
      <c r="B1188" s="76"/>
      <c r="C1188" s="76"/>
      <c r="D1188" s="9"/>
      <c r="E1188" s="9"/>
      <c r="F1188" s="9"/>
      <c r="G1188" s="33"/>
      <c r="H1188" s="33"/>
      <c r="I1188" s="9"/>
      <c r="J1188" s="33"/>
      <c r="K1188" s="9"/>
    </row>
    <row r="1189" customFormat="false" ht="15" hidden="false" customHeight="true" outlineLevel="0" collapsed="false">
      <c r="A1189" s="73"/>
      <c r="B1189" s="74"/>
      <c r="C1189" s="74"/>
      <c r="D1189" s="73"/>
      <c r="E1189" s="73"/>
      <c r="F1189" s="73"/>
      <c r="G1189" s="75"/>
      <c r="H1189" s="75"/>
      <c r="I1189" s="73"/>
      <c r="J1189" s="31"/>
      <c r="K1189" s="32"/>
    </row>
    <row r="1190" customFormat="false" ht="15" hidden="false" customHeight="true" outlineLevel="0" collapsed="false">
      <c r="A1190" s="9"/>
      <c r="B1190" s="76"/>
      <c r="C1190" s="76"/>
      <c r="D1190" s="9"/>
      <c r="E1190" s="9"/>
      <c r="F1190" s="9"/>
      <c r="G1190" s="33"/>
      <c r="H1190" s="33"/>
      <c r="I1190" s="9"/>
      <c r="J1190" s="33"/>
      <c r="K1190" s="9"/>
    </row>
    <row r="1191" customFormat="false" ht="15" hidden="false" customHeight="true" outlineLevel="0" collapsed="false">
      <c r="A1191" s="73"/>
      <c r="B1191" s="74"/>
      <c r="C1191" s="74"/>
      <c r="D1191" s="73"/>
      <c r="E1191" s="73"/>
      <c r="F1191" s="73"/>
      <c r="G1191" s="75"/>
      <c r="H1191" s="75"/>
      <c r="I1191" s="73"/>
      <c r="J1191" s="31"/>
      <c r="K1191" s="32"/>
    </row>
    <row r="1192" customFormat="false" ht="15" hidden="false" customHeight="true" outlineLevel="0" collapsed="false">
      <c r="A1192" s="9"/>
      <c r="B1192" s="76"/>
      <c r="C1192" s="76"/>
      <c r="D1192" s="9"/>
      <c r="E1192" s="9"/>
      <c r="F1192" s="9"/>
      <c r="G1192" s="33"/>
      <c r="H1192" s="33"/>
      <c r="I1192" s="9"/>
      <c r="J1192" s="33"/>
      <c r="K1192" s="9"/>
    </row>
    <row r="1193" customFormat="false" ht="15" hidden="false" customHeight="true" outlineLevel="0" collapsed="false">
      <c r="A1193" s="73"/>
      <c r="B1193" s="74"/>
      <c r="C1193" s="74"/>
      <c r="D1193" s="73"/>
      <c r="E1193" s="73"/>
      <c r="F1193" s="73"/>
      <c r="G1193" s="75"/>
      <c r="H1193" s="75"/>
      <c r="I1193" s="73"/>
      <c r="J1193" s="31"/>
      <c r="K1193" s="32"/>
    </row>
    <row r="1194" customFormat="false" ht="15" hidden="false" customHeight="true" outlineLevel="0" collapsed="false">
      <c r="A1194" s="9"/>
      <c r="B1194" s="76"/>
      <c r="C1194" s="76"/>
      <c r="D1194" s="9"/>
      <c r="E1194" s="9"/>
      <c r="F1194" s="9"/>
      <c r="G1194" s="33"/>
      <c r="H1194" s="33"/>
      <c r="I1194" s="9"/>
      <c r="J1194" s="33"/>
      <c r="K1194" s="9"/>
    </row>
    <row r="1195" customFormat="false" ht="15" hidden="false" customHeight="true" outlineLevel="0" collapsed="false">
      <c r="A1195" s="73"/>
      <c r="B1195" s="74"/>
      <c r="C1195" s="74"/>
      <c r="D1195" s="73"/>
      <c r="E1195" s="73"/>
      <c r="F1195" s="73"/>
      <c r="G1195" s="75"/>
      <c r="H1195" s="75"/>
      <c r="I1195" s="73"/>
      <c r="J1195" s="31"/>
      <c r="K1195" s="32"/>
    </row>
    <row r="1196" customFormat="false" ht="15" hidden="false" customHeight="true" outlineLevel="0" collapsed="false">
      <c r="A1196" s="9"/>
      <c r="B1196" s="76"/>
      <c r="C1196" s="76"/>
      <c r="D1196" s="9"/>
      <c r="E1196" s="9"/>
      <c r="F1196" s="9"/>
      <c r="G1196" s="33"/>
      <c r="H1196" s="33"/>
      <c r="I1196" s="9"/>
      <c r="J1196" s="33"/>
      <c r="K1196" s="9"/>
    </row>
    <row r="1197" customFormat="false" ht="15" hidden="false" customHeight="true" outlineLevel="0" collapsed="false">
      <c r="A1197" s="73"/>
      <c r="B1197" s="74"/>
      <c r="C1197" s="74"/>
      <c r="D1197" s="73"/>
      <c r="E1197" s="73"/>
      <c r="F1197" s="73"/>
      <c r="G1197" s="75"/>
      <c r="H1197" s="75"/>
      <c r="I1197" s="73"/>
      <c r="J1197" s="31"/>
      <c r="K1197" s="32"/>
    </row>
    <row r="1198" customFormat="false" ht="15" hidden="false" customHeight="true" outlineLevel="0" collapsed="false">
      <c r="A1198" s="9"/>
      <c r="B1198" s="76"/>
      <c r="C1198" s="76"/>
      <c r="D1198" s="9"/>
      <c r="E1198" s="9"/>
      <c r="F1198" s="9"/>
      <c r="G1198" s="33"/>
      <c r="H1198" s="33"/>
      <c r="I1198" s="9"/>
      <c r="J1198" s="33"/>
      <c r="K1198" s="9"/>
    </row>
    <row r="1199" customFormat="false" ht="15" hidden="false" customHeight="true" outlineLevel="0" collapsed="false">
      <c r="A1199" s="73"/>
      <c r="B1199" s="74"/>
      <c r="C1199" s="74"/>
      <c r="D1199" s="73"/>
      <c r="E1199" s="73"/>
      <c r="F1199" s="73"/>
      <c r="G1199" s="75"/>
      <c r="H1199" s="75"/>
      <c r="I1199" s="73"/>
      <c r="J1199" s="31"/>
      <c r="K1199" s="32"/>
    </row>
    <row r="1200" customFormat="false" ht="15" hidden="false" customHeight="true" outlineLevel="0" collapsed="false">
      <c r="A1200" s="9"/>
      <c r="B1200" s="76"/>
      <c r="C1200" s="76"/>
      <c r="D1200" s="9"/>
      <c r="E1200" s="9"/>
      <c r="F1200" s="9"/>
      <c r="G1200" s="33"/>
      <c r="H1200" s="33"/>
      <c r="I1200" s="9"/>
      <c r="J1200" s="33"/>
      <c r="K1200" s="9"/>
    </row>
    <row r="1201" customFormat="false" ht="15" hidden="false" customHeight="true" outlineLevel="0" collapsed="false">
      <c r="A1201" s="73"/>
      <c r="B1201" s="74"/>
      <c r="C1201" s="74"/>
      <c r="D1201" s="73"/>
      <c r="E1201" s="73"/>
      <c r="F1201" s="73"/>
      <c r="G1201" s="75"/>
      <c r="H1201" s="75"/>
      <c r="I1201" s="73"/>
      <c r="J1201" s="31"/>
      <c r="K1201" s="32"/>
    </row>
    <row r="1202" customFormat="false" ht="15" hidden="false" customHeight="true" outlineLevel="0" collapsed="false">
      <c r="A1202" s="9"/>
      <c r="B1202" s="76"/>
      <c r="C1202" s="76"/>
      <c r="D1202" s="9"/>
      <c r="E1202" s="9"/>
      <c r="F1202" s="9"/>
      <c r="G1202" s="33"/>
      <c r="H1202" s="33"/>
      <c r="I1202" s="9"/>
      <c r="J1202" s="33"/>
      <c r="K1202" s="9"/>
    </row>
    <row r="1203" customFormat="false" ht="15" hidden="false" customHeight="true" outlineLevel="0" collapsed="false">
      <c r="A1203" s="73"/>
      <c r="B1203" s="74"/>
      <c r="C1203" s="74"/>
      <c r="D1203" s="73"/>
      <c r="E1203" s="73"/>
      <c r="F1203" s="73"/>
      <c r="G1203" s="75"/>
      <c r="H1203" s="75"/>
      <c r="I1203" s="73"/>
      <c r="J1203" s="31"/>
      <c r="K1203" s="32"/>
    </row>
    <row r="1204" customFormat="false" ht="15" hidden="false" customHeight="true" outlineLevel="0" collapsed="false">
      <c r="A1204" s="9"/>
      <c r="B1204" s="76"/>
      <c r="C1204" s="76"/>
      <c r="D1204" s="9"/>
      <c r="E1204" s="9"/>
      <c r="F1204" s="9"/>
      <c r="G1204" s="33"/>
      <c r="H1204" s="33"/>
      <c r="I1204" s="9"/>
      <c r="J1204" s="33"/>
      <c r="K1204" s="9"/>
    </row>
    <row r="1205" customFormat="false" ht="15" hidden="false" customHeight="true" outlineLevel="0" collapsed="false">
      <c r="A1205" s="73"/>
      <c r="B1205" s="74"/>
      <c r="C1205" s="74"/>
      <c r="D1205" s="73"/>
      <c r="E1205" s="73"/>
      <c r="F1205" s="73"/>
      <c r="G1205" s="75"/>
      <c r="H1205" s="75"/>
      <c r="I1205" s="73"/>
      <c r="J1205" s="31"/>
      <c r="K1205" s="32"/>
    </row>
    <row r="1206" customFormat="false" ht="15" hidden="false" customHeight="true" outlineLevel="0" collapsed="false">
      <c r="A1206" s="9"/>
      <c r="B1206" s="76"/>
      <c r="C1206" s="76"/>
      <c r="D1206" s="9"/>
      <c r="E1206" s="9"/>
      <c r="F1206" s="9"/>
      <c r="G1206" s="33"/>
      <c r="H1206" s="33"/>
      <c r="I1206" s="9"/>
      <c r="J1206" s="33"/>
      <c r="K1206" s="9"/>
    </row>
    <row r="1207" customFormat="false" ht="15" hidden="false" customHeight="true" outlineLevel="0" collapsed="false">
      <c r="A1207" s="73"/>
      <c r="B1207" s="74"/>
      <c r="C1207" s="74"/>
      <c r="D1207" s="73"/>
      <c r="E1207" s="73"/>
      <c r="F1207" s="73"/>
      <c r="G1207" s="75"/>
      <c r="H1207" s="75"/>
      <c r="I1207" s="73"/>
      <c r="J1207" s="31"/>
      <c r="K1207" s="32"/>
    </row>
    <row r="1208" customFormat="false" ht="15" hidden="false" customHeight="true" outlineLevel="0" collapsed="false">
      <c r="A1208" s="9"/>
      <c r="B1208" s="76"/>
      <c r="C1208" s="76"/>
      <c r="D1208" s="9"/>
      <c r="E1208" s="9"/>
      <c r="F1208" s="9"/>
      <c r="G1208" s="33"/>
      <c r="H1208" s="33"/>
      <c r="I1208" s="9"/>
      <c r="J1208" s="33"/>
      <c r="K1208" s="9"/>
    </row>
    <row r="1209" customFormat="false" ht="15" hidden="false" customHeight="true" outlineLevel="0" collapsed="false">
      <c r="A1209" s="73"/>
      <c r="B1209" s="74"/>
      <c r="C1209" s="74"/>
      <c r="D1209" s="73"/>
      <c r="E1209" s="73"/>
      <c r="F1209" s="73"/>
      <c r="G1209" s="75"/>
      <c r="H1209" s="75"/>
      <c r="I1209" s="73"/>
      <c r="J1209" s="31"/>
      <c r="K1209" s="32"/>
    </row>
    <row r="1210" customFormat="false" ht="15" hidden="false" customHeight="true" outlineLevel="0" collapsed="false">
      <c r="A1210" s="9"/>
      <c r="B1210" s="76"/>
      <c r="C1210" s="76"/>
      <c r="D1210" s="9"/>
      <c r="E1210" s="9"/>
      <c r="F1210" s="9"/>
      <c r="G1210" s="33"/>
      <c r="H1210" s="33"/>
      <c r="I1210" s="9"/>
      <c r="J1210" s="33"/>
      <c r="K1210" s="9"/>
    </row>
    <row r="1211" customFormat="false" ht="15" hidden="false" customHeight="true" outlineLevel="0" collapsed="false">
      <c r="A1211" s="73"/>
      <c r="B1211" s="74"/>
      <c r="C1211" s="74"/>
      <c r="D1211" s="73"/>
      <c r="E1211" s="73"/>
      <c r="F1211" s="73"/>
      <c r="G1211" s="75"/>
      <c r="H1211" s="75"/>
      <c r="I1211" s="73"/>
      <c r="J1211" s="31"/>
      <c r="K1211" s="32"/>
    </row>
    <row r="1212" customFormat="false" ht="15" hidden="false" customHeight="true" outlineLevel="0" collapsed="false">
      <c r="A1212" s="9"/>
      <c r="B1212" s="76"/>
      <c r="C1212" s="76"/>
      <c r="D1212" s="9"/>
      <c r="E1212" s="9"/>
      <c r="F1212" s="9"/>
      <c r="G1212" s="33"/>
      <c r="H1212" s="33"/>
      <c r="I1212" s="9"/>
      <c r="J1212" s="33"/>
      <c r="K1212" s="9"/>
    </row>
    <row r="1213" customFormat="false" ht="15" hidden="false" customHeight="true" outlineLevel="0" collapsed="false">
      <c r="A1213" s="73"/>
      <c r="B1213" s="74"/>
      <c r="C1213" s="74"/>
      <c r="D1213" s="73"/>
      <c r="E1213" s="73"/>
      <c r="F1213" s="73"/>
      <c r="G1213" s="75"/>
      <c r="H1213" s="75"/>
      <c r="I1213" s="73"/>
      <c r="J1213" s="31"/>
      <c r="K1213" s="32"/>
    </row>
    <row r="1214" customFormat="false" ht="15" hidden="false" customHeight="true" outlineLevel="0" collapsed="false">
      <c r="A1214" s="9"/>
      <c r="B1214" s="76"/>
      <c r="C1214" s="76"/>
      <c r="D1214" s="9"/>
      <c r="E1214" s="9"/>
      <c r="F1214" s="9"/>
      <c r="G1214" s="33"/>
      <c r="H1214" s="33"/>
      <c r="I1214" s="9"/>
      <c r="J1214" s="33"/>
      <c r="K1214" s="9"/>
    </row>
    <row r="1215" customFormat="false" ht="15" hidden="false" customHeight="true" outlineLevel="0" collapsed="false">
      <c r="A1215" s="73"/>
      <c r="B1215" s="74"/>
      <c r="C1215" s="74"/>
      <c r="D1215" s="73"/>
      <c r="E1215" s="73"/>
      <c r="F1215" s="73"/>
      <c r="G1215" s="75"/>
      <c r="H1215" s="75"/>
      <c r="I1215" s="73"/>
      <c r="J1215" s="31"/>
      <c r="K1215" s="32"/>
    </row>
    <row r="1216" customFormat="false" ht="15" hidden="false" customHeight="true" outlineLevel="0" collapsed="false">
      <c r="A1216" s="9"/>
      <c r="B1216" s="76"/>
      <c r="C1216" s="76"/>
      <c r="D1216" s="9"/>
      <c r="E1216" s="9"/>
      <c r="F1216" s="9"/>
      <c r="G1216" s="33"/>
      <c r="H1216" s="33"/>
      <c r="I1216" s="9"/>
      <c r="J1216" s="33"/>
      <c r="K1216" s="9"/>
    </row>
    <row r="1217" customFormat="false" ht="15" hidden="false" customHeight="true" outlineLevel="0" collapsed="false">
      <c r="A1217" s="73"/>
      <c r="B1217" s="74"/>
      <c r="C1217" s="74"/>
      <c r="D1217" s="73"/>
      <c r="E1217" s="73"/>
      <c r="F1217" s="73"/>
      <c r="G1217" s="75"/>
      <c r="H1217" s="75"/>
      <c r="I1217" s="73"/>
      <c r="J1217" s="31"/>
      <c r="K1217" s="32"/>
    </row>
    <row r="1218" customFormat="false" ht="15" hidden="false" customHeight="true" outlineLevel="0" collapsed="false">
      <c r="A1218" s="9"/>
      <c r="B1218" s="76"/>
      <c r="C1218" s="76"/>
      <c r="D1218" s="9"/>
      <c r="E1218" s="9"/>
      <c r="F1218" s="9"/>
      <c r="G1218" s="33"/>
      <c r="H1218" s="33"/>
      <c r="I1218" s="9"/>
      <c r="J1218" s="33"/>
      <c r="K1218" s="9"/>
    </row>
    <row r="1219" customFormat="false" ht="15" hidden="false" customHeight="true" outlineLevel="0" collapsed="false">
      <c r="A1219" s="73"/>
      <c r="B1219" s="74"/>
      <c r="C1219" s="74"/>
      <c r="D1219" s="73"/>
      <c r="E1219" s="73"/>
      <c r="F1219" s="73"/>
      <c r="G1219" s="75"/>
      <c r="H1219" s="75"/>
      <c r="I1219" s="73"/>
      <c r="J1219" s="31"/>
      <c r="K1219" s="32"/>
    </row>
    <row r="1220" customFormat="false" ht="15" hidden="false" customHeight="true" outlineLevel="0" collapsed="false">
      <c r="A1220" s="9"/>
      <c r="B1220" s="76"/>
      <c r="C1220" s="76"/>
      <c r="D1220" s="9"/>
      <c r="E1220" s="9"/>
      <c r="F1220" s="9"/>
      <c r="G1220" s="33"/>
      <c r="H1220" s="33"/>
      <c r="I1220" s="9"/>
      <c r="J1220" s="33"/>
      <c r="K1220" s="9"/>
    </row>
    <row r="1221" customFormat="false" ht="15" hidden="false" customHeight="true" outlineLevel="0" collapsed="false">
      <c r="A1221" s="73"/>
      <c r="B1221" s="74"/>
      <c r="C1221" s="74"/>
      <c r="D1221" s="73"/>
      <c r="E1221" s="73"/>
      <c r="F1221" s="73"/>
      <c r="G1221" s="75"/>
      <c r="H1221" s="75"/>
      <c r="I1221" s="73"/>
      <c r="J1221" s="31"/>
      <c r="K1221" s="32"/>
    </row>
    <row r="1222" customFormat="false" ht="15" hidden="false" customHeight="true" outlineLevel="0" collapsed="false">
      <c r="A1222" s="9"/>
      <c r="B1222" s="76"/>
      <c r="C1222" s="76"/>
      <c r="D1222" s="9"/>
      <c r="E1222" s="9"/>
      <c r="F1222" s="9"/>
      <c r="G1222" s="33"/>
      <c r="H1222" s="33"/>
      <c r="I1222" s="9"/>
      <c r="J1222" s="33"/>
      <c r="K1222" s="9"/>
    </row>
    <row r="1223" customFormat="false" ht="15" hidden="false" customHeight="true" outlineLevel="0" collapsed="false">
      <c r="A1223" s="73"/>
      <c r="B1223" s="74"/>
      <c r="C1223" s="74"/>
      <c r="D1223" s="73"/>
      <c r="E1223" s="73"/>
      <c r="F1223" s="73"/>
      <c r="G1223" s="75"/>
      <c r="H1223" s="75"/>
      <c r="I1223" s="73"/>
      <c r="J1223" s="31"/>
      <c r="K1223" s="32"/>
    </row>
    <row r="1224" customFormat="false" ht="15" hidden="false" customHeight="true" outlineLevel="0" collapsed="false">
      <c r="A1224" s="9"/>
      <c r="B1224" s="76"/>
      <c r="C1224" s="76"/>
      <c r="D1224" s="9"/>
      <c r="E1224" s="9"/>
      <c r="F1224" s="9"/>
      <c r="G1224" s="33"/>
      <c r="H1224" s="33"/>
      <c r="I1224" s="9"/>
      <c r="J1224" s="33"/>
      <c r="K1224" s="9"/>
    </row>
    <row r="1225" customFormat="false" ht="15" hidden="false" customHeight="true" outlineLevel="0" collapsed="false">
      <c r="A1225" s="73"/>
      <c r="B1225" s="74"/>
      <c r="C1225" s="74"/>
      <c r="D1225" s="73"/>
      <c r="E1225" s="73"/>
      <c r="F1225" s="73"/>
      <c r="G1225" s="75"/>
      <c r="H1225" s="75"/>
      <c r="I1225" s="73"/>
      <c r="J1225" s="31"/>
      <c r="K1225" s="32"/>
    </row>
    <row r="1226" customFormat="false" ht="15" hidden="false" customHeight="true" outlineLevel="0" collapsed="false">
      <c r="A1226" s="9"/>
      <c r="B1226" s="76"/>
      <c r="C1226" s="76"/>
      <c r="D1226" s="9"/>
      <c r="E1226" s="9"/>
      <c r="F1226" s="9"/>
      <c r="G1226" s="33"/>
      <c r="H1226" s="33"/>
      <c r="I1226" s="9"/>
      <c r="J1226" s="33"/>
      <c r="K1226" s="9"/>
    </row>
    <row r="1227" customFormat="false" ht="15" hidden="false" customHeight="true" outlineLevel="0" collapsed="false">
      <c r="A1227" s="73"/>
      <c r="B1227" s="74"/>
      <c r="C1227" s="74"/>
      <c r="D1227" s="73"/>
      <c r="E1227" s="73"/>
      <c r="F1227" s="73"/>
      <c r="G1227" s="75"/>
      <c r="H1227" s="75"/>
      <c r="I1227" s="73"/>
      <c r="J1227" s="31"/>
      <c r="K1227" s="32"/>
    </row>
    <row r="1228" customFormat="false" ht="15" hidden="false" customHeight="true" outlineLevel="0" collapsed="false">
      <c r="A1228" s="9"/>
      <c r="B1228" s="76"/>
      <c r="C1228" s="76"/>
      <c r="D1228" s="9"/>
      <c r="E1228" s="9"/>
      <c r="F1228" s="9"/>
      <c r="G1228" s="33"/>
      <c r="H1228" s="33"/>
      <c r="I1228" s="9"/>
      <c r="J1228" s="33"/>
      <c r="K1228" s="9"/>
    </row>
    <row r="1229" customFormat="false" ht="15" hidden="false" customHeight="true" outlineLevel="0" collapsed="false">
      <c r="A1229" s="73"/>
      <c r="B1229" s="74"/>
      <c r="C1229" s="74"/>
      <c r="D1229" s="73"/>
      <c r="E1229" s="73"/>
      <c r="F1229" s="73"/>
      <c r="G1229" s="75"/>
      <c r="H1229" s="75"/>
      <c r="I1229" s="73"/>
      <c r="J1229" s="31"/>
      <c r="K1229" s="32"/>
    </row>
    <row r="1230" customFormat="false" ht="15" hidden="false" customHeight="true" outlineLevel="0" collapsed="false">
      <c r="A1230" s="9"/>
      <c r="B1230" s="76"/>
      <c r="C1230" s="76"/>
      <c r="D1230" s="9"/>
      <c r="E1230" s="9"/>
      <c r="F1230" s="9"/>
      <c r="G1230" s="33"/>
      <c r="H1230" s="33"/>
      <c r="I1230" s="9"/>
      <c r="J1230" s="33"/>
      <c r="K1230" s="9"/>
    </row>
    <row r="1231" customFormat="false" ht="15" hidden="false" customHeight="true" outlineLevel="0" collapsed="false">
      <c r="A1231" s="73"/>
      <c r="B1231" s="74"/>
      <c r="C1231" s="74"/>
      <c r="D1231" s="73"/>
      <c r="E1231" s="73"/>
      <c r="F1231" s="73"/>
      <c r="G1231" s="75"/>
      <c r="H1231" s="75"/>
      <c r="I1231" s="73"/>
      <c r="J1231" s="31"/>
      <c r="K1231" s="32"/>
    </row>
    <row r="1232" customFormat="false" ht="15" hidden="false" customHeight="true" outlineLevel="0" collapsed="false">
      <c r="A1232" s="9"/>
      <c r="B1232" s="76"/>
      <c r="C1232" s="76"/>
      <c r="D1232" s="9"/>
      <c r="E1232" s="9"/>
      <c r="F1232" s="9"/>
      <c r="G1232" s="33"/>
      <c r="H1232" s="33"/>
      <c r="I1232" s="9"/>
      <c r="J1232" s="33"/>
      <c r="K1232" s="9"/>
    </row>
    <row r="1233" customFormat="false" ht="15" hidden="false" customHeight="true" outlineLevel="0" collapsed="false">
      <c r="A1233" s="73"/>
      <c r="B1233" s="74"/>
      <c r="C1233" s="74"/>
      <c r="D1233" s="73"/>
      <c r="E1233" s="73"/>
      <c r="F1233" s="73"/>
      <c r="G1233" s="75"/>
      <c r="H1233" s="75"/>
      <c r="I1233" s="73"/>
      <c r="J1233" s="31"/>
      <c r="K1233" s="32"/>
    </row>
    <row r="1234" customFormat="false" ht="15" hidden="false" customHeight="true" outlineLevel="0" collapsed="false">
      <c r="A1234" s="9"/>
      <c r="B1234" s="76"/>
      <c r="C1234" s="76"/>
      <c r="D1234" s="9"/>
      <c r="E1234" s="9"/>
      <c r="F1234" s="9"/>
      <c r="G1234" s="33"/>
      <c r="H1234" s="33"/>
      <c r="I1234" s="9"/>
      <c r="J1234" s="33"/>
      <c r="K1234" s="9"/>
    </row>
    <row r="1235" customFormat="false" ht="15" hidden="false" customHeight="true" outlineLevel="0" collapsed="false">
      <c r="A1235" s="73"/>
      <c r="B1235" s="74"/>
      <c r="C1235" s="74"/>
      <c r="D1235" s="73"/>
      <c r="E1235" s="73"/>
      <c r="F1235" s="73"/>
      <c r="G1235" s="75"/>
      <c r="H1235" s="75"/>
      <c r="I1235" s="73"/>
      <c r="J1235" s="31"/>
      <c r="K1235" s="32"/>
    </row>
    <row r="1236" customFormat="false" ht="15" hidden="false" customHeight="true" outlineLevel="0" collapsed="false">
      <c r="A1236" s="9"/>
      <c r="B1236" s="76"/>
      <c r="C1236" s="76"/>
      <c r="D1236" s="9"/>
      <c r="E1236" s="9"/>
      <c r="F1236" s="9"/>
      <c r="G1236" s="33"/>
      <c r="H1236" s="33"/>
      <c r="I1236" s="9"/>
      <c r="J1236" s="33"/>
      <c r="K1236" s="9"/>
    </row>
    <row r="1237" customFormat="false" ht="15" hidden="false" customHeight="true" outlineLevel="0" collapsed="false">
      <c r="A1237" s="73"/>
      <c r="B1237" s="74"/>
      <c r="C1237" s="74"/>
      <c r="D1237" s="73"/>
      <c r="E1237" s="73"/>
      <c r="F1237" s="73"/>
      <c r="G1237" s="75"/>
      <c r="H1237" s="75"/>
      <c r="I1237" s="73"/>
      <c r="J1237" s="31"/>
      <c r="K1237" s="32"/>
    </row>
    <row r="1238" customFormat="false" ht="15" hidden="false" customHeight="true" outlineLevel="0" collapsed="false">
      <c r="A1238" s="9"/>
      <c r="B1238" s="76"/>
      <c r="C1238" s="76"/>
      <c r="D1238" s="9"/>
      <c r="E1238" s="9"/>
      <c r="F1238" s="9"/>
      <c r="G1238" s="33"/>
      <c r="H1238" s="33"/>
      <c r="I1238" s="9"/>
      <c r="J1238" s="33"/>
      <c r="K1238" s="9"/>
    </row>
    <row r="1239" customFormat="false" ht="15" hidden="false" customHeight="true" outlineLevel="0" collapsed="false">
      <c r="A1239" s="73"/>
      <c r="B1239" s="74"/>
      <c r="C1239" s="74"/>
      <c r="D1239" s="73"/>
      <c r="E1239" s="73"/>
      <c r="F1239" s="73"/>
      <c r="G1239" s="75"/>
      <c r="H1239" s="75"/>
      <c r="I1239" s="73"/>
      <c r="J1239" s="31"/>
      <c r="K1239" s="32"/>
    </row>
    <row r="1240" customFormat="false" ht="15" hidden="false" customHeight="true" outlineLevel="0" collapsed="false">
      <c r="A1240" s="9"/>
      <c r="B1240" s="76"/>
      <c r="C1240" s="76"/>
      <c r="D1240" s="9"/>
      <c r="E1240" s="9"/>
      <c r="F1240" s="9"/>
      <c r="G1240" s="33"/>
      <c r="H1240" s="33"/>
      <c r="I1240" s="9"/>
      <c r="J1240" s="33"/>
      <c r="K1240" s="9"/>
    </row>
    <row r="1241" customFormat="false" ht="15" hidden="false" customHeight="true" outlineLevel="0" collapsed="false">
      <c r="A1241" s="73"/>
      <c r="B1241" s="74"/>
      <c r="C1241" s="74"/>
      <c r="D1241" s="73"/>
      <c r="E1241" s="73"/>
      <c r="F1241" s="73"/>
      <c r="G1241" s="75"/>
      <c r="H1241" s="75"/>
      <c r="I1241" s="73"/>
      <c r="J1241" s="31"/>
      <c r="K1241" s="32"/>
    </row>
    <row r="1242" customFormat="false" ht="15" hidden="false" customHeight="true" outlineLevel="0" collapsed="false">
      <c r="A1242" s="9"/>
      <c r="B1242" s="76"/>
      <c r="C1242" s="76"/>
      <c r="D1242" s="9"/>
      <c r="E1242" s="9"/>
      <c r="F1242" s="9"/>
      <c r="G1242" s="33"/>
      <c r="H1242" s="33"/>
      <c r="I1242" s="9"/>
      <c r="J1242" s="33"/>
      <c r="K1242" s="9"/>
    </row>
    <row r="1243" customFormat="false" ht="15" hidden="false" customHeight="true" outlineLevel="0" collapsed="false">
      <c r="A1243" s="73"/>
      <c r="B1243" s="74"/>
      <c r="C1243" s="74"/>
      <c r="D1243" s="73"/>
      <c r="E1243" s="73"/>
      <c r="F1243" s="73"/>
      <c r="G1243" s="75"/>
      <c r="H1243" s="75"/>
      <c r="I1243" s="73"/>
      <c r="J1243" s="31"/>
      <c r="K1243" s="32"/>
    </row>
    <row r="1244" customFormat="false" ht="15" hidden="false" customHeight="true" outlineLevel="0" collapsed="false">
      <c r="A1244" s="9"/>
      <c r="B1244" s="76"/>
      <c r="C1244" s="76"/>
      <c r="D1244" s="9"/>
      <c r="E1244" s="9"/>
      <c r="F1244" s="9"/>
      <c r="G1244" s="33"/>
      <c r="H1244" s="33"/>
      <c r="I1244" s="9"/>
      <c r="J1244" s="33"/>
      <c r="K1244" s="9"/>
    </row>
    <row r="1245" customFormat="false" ht="15" hidden="false" customHeight="true" outlineLevel="0" collapsed="false">
      <c r="A1245" s="73"/>
      <c r="B1245" s="74"/>
      <c r="C1245" s="74"/>
      <c r="D1245" s="73"/>
      <c r="E1245" s="73"/>
      <c r="F1245" s="73"/>
      <c r="G1245" s="75"/>
      <c r="H1245" s="75"/>
      <c r="I1245" s="73"/>
      <c r="J1245" s="31"/>
      <c r="K1245" s="32"/>
    </row>
    <row r="1246" customFormat="false" ht="15" hidden="false" customHeight="true" outlineLevel="0" collapsed="false">
      <c r="A1246" s="9"/>
      <c r="B1246" s="76"/>
      <c r="C1246" s="76"/>
      <c r="D1246" s="9"/>
      <c r="E1246" s="9"/>
      <c r="F1246" s="9"/>
      <c r="G1246" s="33"/>
      <c r="H1246" s="33"/>
      <c r="I1246" s="9"/>
      <c r="J1246" s="33"/>
      <c r="K1246" s="9"/>
    </row>
    <row r="1247" customFormat="false" ht="15" hidden="false" customHeight="true" outlineLevel="0" collapsed="false">
      <c r="A1247" s="73"/>
      <c r="B1247" s="74"/>
      <c r="C1247" s="74"/>
      <c r="D1247" s="73"/>
      <c r="E1247" s="73"/>
      <c r="F1247" s="73"/>
      <c r="G1247" s="75"/>
      <c r="H1247" s="75"/>
      <c r="I1247" s="73"/>
      <c r="J1247" s="31"/>
      <c r="K1247" s="32"/>
    </row>
    <row r="1248" customFormat="false" ht="15" hidden="false" customHeight="true" outlineLevel="0" collapsed="false">
      <c r="A1248" s="9"/>
      <c r="B1248" s="76"/>
      <c r="C1248" s="76"/>
      <c r="D1248" s="9"/>
      <c r="E1248" s="9"/>
      <c r="F1248" s="9"/>
      <c r="G1248" s="33"/>
      <c r="H1248" s="33"/>
      <c r="I1248" s="9"/>
      <c r="J1248" s="33"/>
      <c r="K1248" s="9"/>
    </row>
    <row r="1249" customFormat="false" ht="15" hidden="false" customHeight="true" outlineLevel="0" collapsed="false">
      <c r="A1249" s="73"/>
      <c r="B1249" s="74"/>
      <c r="C1249" s="74"/>
      <c r="D1249" s="73"/>
      <c r="E1249" s="73"/>
      <c r="F1249" s="73"/>
      <c r="G1249" s="75"/>
      <c r="H1249" s="75"/>
      <c r="I1249" s="73"/>
      <c r="J1249" s="31"/>
      <c r="K1249" s="32"/>
    </row>
    <row r="1250" customFormat="false" ht="15" hidden="false" customHeight="true" outlineLevel="0" collapsed="false">
      <c r="A1250" s="9"/>
      <c r="B1250" s="76"/>
      <c r="C1250" s="76"/>
      <c r="D1250" s="9"/>
      <c r="E1250" s="9"/>
      <c r="F1250" s="9"/>
      <c r="G1250" s="33"/>
      <c r="H1250" s="33"/>
      <c r="I1250" s="9"/>
      <c r="J1250" s="33"/>
      <c r="K1250" s="9"/>
    </row>
    <row r="1251" customFormat="false" ht="15" hidden="false" customHeight="true" outlineLevel="0" collapsed="false">
      <c r="A1251" s="73"/>
      <c r="B1251" s="74"/>
      <c r="C1251" s="74"/>
      <c r="D1251" s="73"/>
      <c r="E1251" s="73"/>
      <c r="F1251" s="73"/>
      <c r="G1251" s="75"/>
      <c r="H1251" s="75"/>
      <c r="I1251" s="73"/>
      <c r="J1251" s="31"/>
      <c r="K1251" s="32"/>
    </row>
    <row r="1252" customFormat="false" ht="15" hidden="false" customHeight="true" outlineLevel="0" collapsed="false">
      <c r="A1252" s="9"/>
      <c r="B1252" s="76"/>
      <c r="C1252" s="76"/>
      <c r="D1252" s="9"/>
      <c r="E1252" s="9"/>
      <c r="F1252" s="9"/>
      <c r="G1252" s="33"/>
      <c r="H1252" s="33"/>
      <c r="I1252" s="9"/>
      <c r="J1252" s="33"/>
      <c r="K1252" s="9"/>
    </row>
    <row r="1253" customFormat="false" ht="15" hidden="false" customHeight="true" outlineLevel="0" collapsed="false">
      <c r="A1253" s="73"/>
      <c r="B1253" s="74"/>
      <c r="C1253" s="74"/>
      <c r="D1253" s="73"/>
      <c r="E1253" s="73"/>
      <c r="F1253" s="73"/>
      <c r="G1253" s="75"/>
      <c r="H1253" s="75"/>
      <c r="I1253" s="73"/>
      <c r="J1253" s="31"/>
      <c r="K1253" s="32"/>
    </row>
    <row r="1254" customFormat="false" ht="15" hidden="false" customHeight="true" outlineLevel="0" collapsed="false">
      <c r="A1254" s="9"/>
      <c r="B1254" s="76"/>
      <c r="C1254" s="76"/>
      <c r="D1254" s="9"/>
      <c r="E1254" s="9"/>
      <c r="F1254" s="9"/>
      <c r="G1254" s="33"/>
      <c r="H1254" s="33"/>
      <c r="I1254" s="9"/>
      <c r="J1254" s="33"/>
      <c r="K1254" s="9"/>
    </row>
    <row r="1255" customFormat="false" ht="15" hidden="false" customHeight="true" outlineLevel="0" collapsed="false">
      <c r="A1255" s="73"/>
      <c r="B1255" s="74"/>
      <c r="C1255" s="74"/>
      <c r="D1255" s="73"/>
      <c r="E1255" s="73"/>
      <c r="F1255" s="73"/>
      <c r="G1255" s="75"/>
      <c r="H1255" s="75"/>
      <c r="I1255" s="73"/>
      <c r="J1255" s="31"/>
      <c r="K1255" s="32"/>
    </row>
    <row r="1256" customFormat="false" ht="15" hidden="false" customHeight="true" outlineLevel="0" collapsed="false">
      <c r="A1256" s="9"/>
      <c r="B1256" s="76"/>
      <c r="C1256" s="76"/>
      <c r="D1256" s="9"/>
      <c r="E1256" s="9"/>
      <c r="F1256" s="9"/>
      <c r="G1256" s="33"/>
      <c r="H1256" s="33"/>
      <c r="I1256" s="9"/>
      <c r="J1256" s="33"/>
      <c r="K1256" s="9"/>
    </row>
    <row r="1257" customFormat="false" ht="15" hidden="false" customHeight="true" outlineLevel="0" collapsed="false">
      <c r="A1257" s="73"/>
      <c r="B1257" s="74"/>
      <c r="C1257" s="74"/>
      <c r="D1257" s="73"/>
      <c r="E1257" s="73"/>
      <c r="F1257" s="73"/>
      <c r="G1257" s="75"/>
      <c r="H1257" s="75"/>
      <c r="I1257" s="73"/>
      <c r="J1257" s="31"/>
      <c r="K1257" s="32"/>
    </row>
    <row r="1258" customFormat="false" ht="15" hidden="false" customHeight="true" outlineLevel="0" collapsed="false">
      <c r="A1258" s="9"/>
      <c r="B1258" s="76"/>
      <c r="C1258" s="76"/>
      <c r="D1258" s="9"/>
      <c r="E1258" s="9"/>
      <c r="F1258" s="9"/>
      <c r="G1258" s="33"/>
      <c r="H1258" s="33"/>
      <c r="I1258" s="9"/>
      <c r="J1258" s="33"/>
      <c r="K1258" s="9"/>
    </row>
    <row r="1259" customFormat="false" ht="15" hidden="false" customHeight="true" outlineLevel="0" collapsed="false">
      <c r="A1259" s="73"/>
      <c r="B1259" s="74"/>
      <c r="C1259" s="74"/>
      <c r="D1259" s="73"/>
      <c r="E1259" s="73"/>
      <c r="F1259" s="73"/>
      <c r="G1259" s="75"/>
      <c r="H1259" s="75"/>
      <c r="I1259" s="73"/>
      <c r="J1259" s="31"/>
      <c r="K1259" s="32"/>
    </row>
    <row r="1260" customFormat="false" ht="15" hidden="false" customHeight="true" outlineLevel="0" collapsed="false">
      <c r="A1260" s="9"/>
      <c r="B1260" s="76"/>
      <c r="C1260" s="76"/>
      <c r="D1260" s="9"/>
      <c r="E1260" s="9"/>
      <c r="F1260" s="9"/>
      <c r="G1260" s="33"/>
      <c r="H1260" s="33"/>
      <c r="I1260" s="9"/>
      <c r="J1260" s="33"/>
      <c r="K1260" s="9"/>
    </row>
    <row r="1261" customFormat="false" ht="15" hidden="false" customHeight="true" outlineLevel="0" collapsed="false">
      <c r="A1261" s="73"/>
      <c r="B1261" s="74"/>
      <c r="C1261" s="74"/>
      <c r="D1261" s="73"/>
      <c r="E1261" s="73"/>
      <c r="F1261" s="73"/>
      <c r="G1261" s="75"/>
      <c r="H1261" s="75"/>
      <c r="I1261" s="73"/>
      <c r="J1261" s="31"/>
      <c r="K1261" s="32"/>
    </row>
    <row r="1262" customFormat="false" ht="15" hidden="false" customHeight="true" outlineLevel="0" collapsed="false">
      <c r="A1262" s="9"/>
      <c r="B1262" s="76"/>
      <c r="C1262" s="76"/>
      <c r="D1262" s="9"/>
      <c r="E1262" s="9"/>
      <c r="F1262" s="9"/>
      <c r="G1262" s="33"/>
      <c r="H1262" s="33"/>
      <c r="I1262" s="9"/>
      <c r="J1262" s="33"/>
      <c r="K1262" s="9"/>
    </row>
    <row r="1263" customFormat="false" ht="15" hidden="false" customHeight="true" outlineLevel="0" collapsed="false">
      <c r="A1263" s="73"/>
      <c r="B1263" s="74"/>
      <c r="C1263" s="74"/>
      <c r="D1263" s="73"/>
      <c r="E1263" s="73"/>
      <c r="F1263" s="73"/>
      <c r="G1263" s="75"/>
      <c r="H1263" s="75"/>
      <c r="I1263" s="73"/>
      <c r="J1263" s="31"/>
      <c r="K1263" s="32"/>
    </row>
    <row r="1264" customFormat="false" ht="15" hidden="false" customHeight="true" outlineLevel="0" collapsed="false">
      <c r="A1264" s="9"/>
      <c r="B1264" s="76"/>
      <c r="C1264" s="76"/>
      <c r="D1264" s="9"/>
      <c r="E1264" s="9"/>
      <c r="F1264" s="9"/>
      <c r="G1264" s="33"/>
      <c r="H1264" s="33"/>
      <c r="I1264" s="9"/>
      <c r="J1264" s="33"/>
      <c r="K1264" s="9"/>
    </row>
    <row r="1265" customFormat="false" ht="15" hidden="false" customHeight="true" outlineLevel="0" collapsed="false">
      <c r="A1265" s="73"/>
      <c r="B1265" s="74"/>
      <c r="C1265" s="74"/>
      <c r="D1265" s="73"/>
      <c r="E1265" s="73"/>
      <c r="F1265" s="73"/>
      <c r="G1265" s="75"/>
      <c r="H1265" s="75"/>
      <c r="I1265" s="73"/>
      <c r="J1265" s="31"/>
      <c r="K1265" s="32"/>
    </row>
    <row r="1266" customFormat="false" ht="15" hidden="false" customHeight="true" outlineLevel="0" collapsed="false">
      <c r="A1266" s="9"/>
      <c r="B1266" s="76"/>
      <c r="C1266" s="76"/>
      <c r="D1266" s="9"/>
      <c r="E1266" s="9"/>
      <c r="F1266" s="9"/>
      <c r="G1266" s="33"/>
      <c r="H1266" s="33"/>
      <c r="I1266" s="9"/>
      <c r="J1266" s="33"/>
      <c r="K1266" s="9"/>
    </row>
    <row r="1267" customFormat="false" ht="15" hidden="false" customHeight="true" outlineLevel="0" collapsed="false">
      <c r="A1267" s="73"/>
      <c r="B1267" s="74"/>
      <c r="C1267" s="74"/>
      <c r="D1267" s="73"/>
      <c r="E1267" s="73"/>
      <c r="F1267" s="73"/>
      <c r="G1267" s="75"/>
      <c r="H1267" s="75"/>
      <c r="I1267" s="73"/>
      <c r="J1267" s="31"/>
      <c r="K1267" s="32"/>
    </row>
    <row r="1268" customFormat="false" ht="15" hidden="false" customHeight="true" outlineLevel="0" collapsed="false">
      <c r="A1268" s="9"/>
      <c r="B1268" s="76"/>
      <c r="C1268" s="76"/>
      <c r="D1268" s="9"/>
      <c r="E1268" s="9"/>
      <c r="F1268" s="9"/>
      <c r="G1268" s="33"/>
      <c r="H1268" s="33"/>
      <c r="I1268" s="9"/>
      <c r="J1268" s="33"/>
      <c r="K1268" s="9"/>
    </row>
    <row r="1269" customFormat="false" ht="15" hidden="false" customHeight="true" outlineLevel="0" collapsed="false">
      <c r="A1269" s="73"/>
      <c r="B1269" s="74"/>
      <c r="C1269" s="74"/>
      <c r="D1269" s="73"/>
      <c r="E1269" s="73"/>
      <c r="F1269" s="73"/>
      <c r="G1269" s="75"/>
      <c r="H1269" s="75"/>
      <c r="I1269" s="73"/>
      <c r="J1269" s="31"/>
      <c r="K1269" s="32"/>
    </row>
    <row r="1270" customFormat="false" ht="15" hidden="false" customHeight="true" outlineLevel="0" collapsed="false">
      <c r="A1270" s="9"/>
      <c r="B1270" s="76"/>
      <c r="C1270" s="76"/>
      <c r="D1270" s="9"/>
      <c r="E1270" s="9"/>
      <c r="F1270" s="9"/>
      <c r="G1270" s="33"/>
      <c r="H1270" s="33"/>
      <c r="I1270" s="9"/>
      <c r="J1270" s="33"/>
      <c r="K1270" s="9"/>
    </row>
    <row r="1271" customFormat="false" ht="15" hidden="false" customHeight="true" outlineLevel="0" collapsed="false">
      <c r="A1271" s="73"/>
      <c r="B1271" s="74"/>
      <c r="C1271" s="74"/>
      <c r="D1271" s="73"/>
      <c r="E1271" s="73"/>
      <c r="F1271" s="73"/>
      <c r="G1271" s="75"/>
      <c r="H1271" s="75"/>
      <c r="I1271" s="73"/>
      <c r="J1271" s="31"/>
      <c r="K1271" s="32"/>
    </row>
    <row r="1272" customFormat="false" ht="15" hidden="false" customHeight="true" outlineLevel="0" collapsed="false">
      <c r="A1272" s="9"/>
      <c r="B1272" s="76"/>
      <c r="C1272" s="76"/>
      <c r="D1272" s="9"/>
      <c r="E1272" s="9"/>
      <c r="F1272" s="9"/>
      <c r="G1272" s="33"/>
      <c r="H1272" s="33"/>
      <c r="I1272" s="9"/>
      <c r="J1272" s="33"/>
      <c r="K1272" s="9"/>
    </row>
    <row r="1273" customFormat="false" ht="15" hidden="false" customHeight="true" outlineLevel="0" collapsed="false">
      <c r="A1273" s="73"/>
      <c r="B1273" s="74"/>
      <c r="C1273" s="74"/>
      <c r="D1273" s="73"/>
      <c r="E1273" s="73"/>
      <c r="F1273" s="73"/>
      <c r="G1273" s="75"/>
      <c r="H1273" s="75"/>
      <c r="I1273" s="73"/>
      <c r="J1273" s="31"/>
      <c r="K1273" s="32"/>
    </row>
    <row r="1274" customFormat="false" ht="15" hidden="false" customHeight="true" outlineLevel="0" collapsed="false">
      <c r="A1274" s="9"/>
      <c r="B1274" s="76"/>
      <c r="C1274" s="76"/>
      <c r="D1274" s="9"/>
      <c r="E1274" s="9"/>
      <c r="F1274" s="9"/>
      <c r="G1274" s="33"/>
      <c r="H1274" s="33"/>
      <c r="I1274" s="9"/>
      <c r="J1274" s="33"/>
      <c r="K1274" s="9"/>
    </row>
    <row r="1275" customFormat="false" ht="15" hidden="false" customHeight="true" outlineLevel="0" collapsed="false">
      <c r="A1275" s="73"/>
      <c r="B1275" s="74"/>
      <c r="C1275" s="74"/>
      <c r="D1275" s="73"/>
      <c r="E1275" s="73"/>
      <c r="F1275" s="73"/>
      <c r="G1275" s="75"/>
      <c r="H1275" s="75"/>
      <c r="I1275" s="73"/>
      <c r="J1275" s="31"/>
      <c r="K1275" s="32"/>
    </row>
    <row r="1276" customFormat="false" ht="15" hidden="false" customHeight="true" outlineLevel="0" collapsed="false">
      <c r="A1276" s="9"/>
      <c r="B1276" s="76"/>
      <c r="C1276" s="76"/>
      <c r="D1276" s="9"/>
      <c r="E1276" s="9"/>
      <c r="F1276" s="9"/>
      <c r="G1276" s="33"/>
      <c r="H1276" s="33"/>
      <c r="I1276" s="9"/>
      <c r="J1276" s="33"/>
      <c r="K1276" s="9"/>
    </row>
    <row r="1277" customFormat="false" ht="15" hidden="false" customHeight="true" outlineLevel="0" collapsed="false">
      <c r="A1277" s="73"/>
      <c r="B1277" s="74"/>
      <c r="C1277" s="74"/>
      <c r="D1277" s="73"/>
      <c r="E1277" s="73"/>
      <c r="F1277" s="73"/>
      <c r="G1277" s="75"/>
      <c r="H1277" s="75"/>
      <c r="I1277" s="73"/>
      <c r="J1277" s="31"/>
      <c r="K1277" s="32"/>
    </row>
    <row r="1278" customFormat="false" ht="15" hidden="false" customHeight="true" outlineLevel="0" collapsed="false">
      <c r="A1278" s="9"/>
      <c r="B1278" s="76"/>
      <c r="C1278" s="76"/>
      <c r="D1278" s="9"/>
      <c r="E1278" s="9"/>
      <c r="F1278" s="9"/>
      <c r="G1278" s="33"/>
      <c r="H1278" s="33"/>
      <c r="I1278" s="9"/>
      <c r="J1278" s="33"/>
      <c r="K1278" s="9"/>
    </row>
    <row r="1279" customFormat="false" ht="15" hidden="false" customHeight="true" outlineLevel="0" collapsed="false">
      <c r="A1279" s="73"/>
      <c r="B1279" s="74"/>
      <c r="C1279" s="74"/>
      <c r="D1279" s="73"/>
      <c r="E1279" s="73"/>
      <c r="F1279" s="73"/>
      <c r="G1279" s="75"/>
      <c r="H1279" s="75"/>
      <c r="I1279" s="73"/>
      <c r="J1279" s="31"/>
      <c r="K1279" s="32"/>
    </row>
    <row r="1280" customFormat="false" ht="15" hidden="false" customHeight="true" outlineLevel="0" collapsed="false">
      <c r="A1280" s="9"/>
      <c r="B1280" s="76"/>
      <c r="C1280" s="76"/>
      <c r="D1280" s="9"/>
      <c r="E1280" s="9"/>
      <c r="F1280" s="9"/>
      <c r="G1280" s="33"/>
      <c r="H1280" s="33"/>
      <c r="I1280" s="9"/>
      <c r="J1280" s="33"/>
      <c r="K1280" s="9"/>
    </row>
    <row r="1281" customFormat="false" ht="15" hidden="false" customHeight="true" outlineLevel="0" collapsed="false">
      <c r="A1281" s="73"/>
      <c r="B1281" s="74"/>
      <c r="C1281" s="74"/>
      <c r="D1281" s="73"/>
      <c r="E1281" s="73"/>
      <c r="F1281" s="73"/>
      <c r="G1281" s="75"/>
      <c r="H1281" s="75"/>
      <c r="I1281" s="73"/>
      <c r="J1281" s="31"/>
      <c r="K1281" s="32"/>
    </row>
    <row r="1282" customFormat="false" ht="15" hidden="false" customHeight="true" outlineLevel="0" collapsed="false">
      <c r="A1282" s="9"/>
      <c r="B1282" s="76"/>
      <c r="C1282" s="76"/>
      <c r="D1282" s="9"/>
      <c r="E1282" s="9"/>
      <c r="F1282" s="9"/>
      <c r="G1282" s="33"/>
      <c r="H1282" s="33"/>
      <c r="I1282" s="9"/>
      <c r="J1282" s="33"/>
      <c r="K1282" s="9"/>
    </row>
    <row r="1283" customFormat="false" ht="15" hidden="false" customHeight="true" outlineLevel="0" collapsed="false">
      <c r="A1283" s="73"/>
      <c r="B1283" s="74"/>
      <c r="C1283" s="74"/>
      <c r="D1283" s="73"/>
      <c r="E1283" s="73"/>
      <c r="F1283" s="73"/>
      <c r="G1283" s="75"/>
      <c r="H1283" s="75"/>
      <c r="I1283" s="73"/>
      <c r="J1283" s="31"/>
      <c r="K1283" s="32"/>
    </row>
    <row r="1284" customFormat="false" ht="15" hidden="false" customHeight="true" outlineLevel="0" collapsed="false">
      <c r="A1284" s="9"/>
      <c r="B1284" s="76"/>
      <c r="C1284" s="76"/>
      <c r="D1284" s="9"/>
      <c r="E1284" s="9"/>
      <c r="F1284" s="9"/>
      <c r="G1284" s="33"/>
      <c r="H1284" s="33"/>
      <c r="I1284" s="9"/>
      <c r="J1284" s="33"/>
      <c r="K1284" s="9"/>
    </row>
    <row r="1285" customFormat="false" ht="15" hidden="false" customHeight="true" outlineLevel="0" collapsed="false">
      <c r="A1285" s="73"/>
      <c r="B1285" s="74"/>
      <c r="C1285" s="74"/>
      <c r="D1285" s="73"/>
      <c r="E1285" s="73"/>
      <c r="F1285" s="73"/>
      <c r="G1285" s="75"/>
      <c r="H1285" s="75"/>
      <c r="I1285" s="73"/>
      <c r="J1285" s="31"/>
      <c r="K1285" s="32"/>
    </row>
    <row r="1286" customFormat="false" ht="15" hidden="false" customHeight="true" outlineLevel="0" collapsed="false">
      <c r="A1286" s="9"/>
      <c r="B1286" s="76"/>
      <c r="C1286" s="76"/>
      <c r="D1286" s="9"/>
      <c r="E1286" s="9"/>
      <c r="F1286" s="9"/>
      <c r="G1286" s="33"/>
      <c r="H1286" s="33"/>
      <c r="I1286" s="9"/>
      <c r="J1286" s="33"/>
      <c r="K1286" s="9"/>
    </row>
    <row r="1287" customFormat="false" ht="15" hidden="false" customHeight="true" outlineLevel="0" collapsed="false">
      <c r="A1287" s="73"/>
      <c r="B1287" s="74"/>
      <c r="C1287" s="74"/>
      <c r="D1287" s="73"/>
      <c r="E1287" s="73"/>
      <c r="F1287" s="73"/>
      <c r="G1287" s="75"/>
      <c r="H1287" s="75"/>
      <c r="I1287" s="73"/>
      <c r="J1287" s="31"/>
      <c r="K1287" s="32"/>
    </row>
    <row r="1288" customFormat="false" ht="15" hidden="false" customHeight="true" outlineLevel="0" collapsed="false">
      <c r="A1288" s="9"/>
      <c r="B1288" s="76"/>
      <c r="C1288" s="76"/>
      <c r="D1288" s="9"/>
      <c r="E1288" s="9"/>
      <c r="F1288" s="9"/>
      <c r="G1288" s="33"/>
      <c r="H1288" s="33"/>
      <c r="I1288" s="9"/>
      <c r="J1288" s="33"/>
      <c r="K1288" s="9"/>
    </row>
    <row r="1289" customFormat="false" ht="15" hidden="false" customHeight="true" outlineLevel="0" collapsed="false">
      <c r="A1289" s="73"/>
      <c r="B1289" s="74"/>
      <c r="C1289" s="74"/>
      <c r="D1289" s="73"/>
      <c r="E1289" s="73"/>
      <c r="F1289" s="73"/>
      <c r="G1289" s="75"/>
      <c r="H1289" s="75"/>
      <c r="I1289" s="73"/>
      <c r="J1289" s="31"/>
      <c r="K1289" s="32"/>
    </row>
    <row r="1290" customFormat="false" ht="15" hidden="false" customHeight="true" outlineLevel="0" collapsed="false">
      <c r="A1290" s="9"/>
      <c r="B1290" s="76"/>
      <c r="C1290" s="76"/>
      <c r="D1290" s="9"/>
      <c r="E1290" s="9"/>
      <c r="F1290" s="9"/>
      <c r="G1290" s="33"/>
      <c r="H1290" s="33"/>
      <c r="I1290" s="9"/>
      <c r="J1290" s="33"/>
      <c r="K1290" s="9"/>
    </row>
    <row r="1291" customFormat="false" ht="15" hidden="false" customHeight="true" outlineLevel="0" collapsed="false">
      <c r="A1291" s="73"/>
      <c r="B1291" s="74"/>
      <c r="C1291" s="74"/>
      <c r="D1291" s="73"/>
      <c r="E1291" s="73"/>
      <c r="F1291" s="73"/>
      <c r="G1291" s="75"/>
      <c r="H1291" s="75"/>
      <c r="I1291" s="73"/>
      <c r="J1291" s="31"/>
      <c r="K1291" s="32"/>
    </row>
    <row r="1292" customFormat="false" ht="15" hidden="false" customHeight="true" outlineLevel="0" collapsed="false">
      <c r="A1292" s="9"/>
      <c r="B1292" s="76"/>
      <c r="C1292" s="76"/>
      <c r="D1292" s="9"/>
      <c r="E1292" s="9"/>
      <c r="F1292" s="9"/>
      <c r="G1292" s="33"/>
      <c r="H1292" s="33"/>
      <c r="I1292" s="9"/>
      <c r="J1292" s="33"/>
      <c r="K1292" s="9"/>
    </row>
    <row r="1293" customFormat="false" ht="15" hidden="false" customHeight="true" outlineLevel="0" collapsed="false">
      <c r="A1293" s="73"/>
      <c r="B1293" s="74"/>
      <c r="C1293" s="74"/>
      <c r="D1293" s="73"/>
      <c r="E1293" s="73"/>
      <c r="F1293" s="73"/>
      <c r="G1293" s="75"/>
      <c r="H1293" s="75"/>
      <c r="I1293" s="73"/>
      <c r="J1293" s="31"/>
      <c r="K1293" s="32"/>
    </row>
    <row r="1294" customFormat="false" ht="15" hidden="false" customHeight="true" outlineLevel="0" collapsed="false">
      <c r="A1294" s="9"/>
      <c r="B1294" s="76"/>
      <c r="C1294" s="76"/>
      <c r="D1294" s="9"/>
      <c r="E1294" s="9"/>
      <c r="F1294" s="9"/>
      <c r="G1294" s="33"/>
      <c r="H1294" s="33"/>
      <c r="I1294" s="9"/>
      <c r="J1294" s="33"/>
      <c r="K1294" s="9"/>
    </row>
    <row r="1295" customFormat="false" ht="15" hidden="false" customHeight="true" outlineLevel="0" collapsed="false">
      <c r="A1295" s="73"/>
      <c r="B1295" s="74"/>
      <c r="C1295" s="74"/>
      <c r="D1295" s="73"/>
      <c r="E1295" s="73"/>
      <c r="F1295" s="73"/>
      <c r="G1295" s="75"/>
      <c r="H1295" s="75"/>
      <c r="I1295" s="73"/>
      <c r="J1295" s="31"/>
      <c r="K1295" s="32"/>
    </row>
    <row r="1296" customFormat="false" ht="15" hidden="false" customHeight="true" outlineLevel="0" collapsed="false">
      <c r="A1296" s="9"/>
      <c r="B1296" s="76"/>
      <c r="C1296" s="76"/>
      <c r="D1296" s="9"/>
      <c r="E1296" s="9"/>
      <c r="F1296" s="9"/>
      <c r="G1296" s="33"/>
      <c r="H1296" s="33"/>
      <c r="I1296" s="9"/>
      <c r="J1296" s="33"/>
      <c r="K1296" s="9"/>
    </row>
    <row r="1297" customFormat="false" ht="15" hidden="false" customHeight="true" outlineLevel="0" collapsed="false">
      <c r="A1297" s="73"/>
      <c r="B1297" s="74"/>
      <c r="C1297" s="74"/>
      <c r="D1297" s="73"/>
      <c r="E1297" s="73"/>
      <c r="F1297" s="73"/>
      <c r="G1297" s="75"/>
      <c r="H1297" s="75"/>
      <c r="I1297" s="73"/>
      <c r="J1297" s="31"/>
      <c r="K1297" s="32"/>
    </row>
    <row r="1298" customFormat="false" ht="15" hidden="false" customHeight="true" outlineLevel="0" collapsed="false">
      <c r="A1298" s="9"/>
      <c r="B1298" s="76"/>
      <c r="C1298" s="76"/>
      <c r="D1298" s="9"/>
      <c r="E1298" s="9"/>
      <c r="F1298" s="9"/>
      <c r="G1298" s="33"/>
      <c r="H1298" s="33"/>
      <c r="I1298" s="9"/>
      <c r="J1298" s="33"/>
      <c r="K1298" s="9"/>
    </row>
    <row r="1299" customFormat="false" ht="15" hidden="false" customHeight="true" outlineLevel="0" collapsed="false">
      <c r="A1299" s="73"/>
      <c r="B1299" s="74"/>
      <c r="C1299" s="74"/>
      <c r="D1299" s="73"/>
      <c r="E1299" s="73"/>
      <c r="F1299" s="73"/>
      <c r="G1299" s="75"/>
      <c r="H1299" s="75"/>
      <c r="I1299" s="73"/>
      <c r="J1299" s="31"/>
      <c r="K1299" s="32"/>
    </row>
    <row r="1300" customFormat="false" ht="15" hidden="false" customHeight="true" outlineLevel="0" collapsed="false">
      <c r="A1300" s="9"/>
      <c r="B1300" s="76"/>
      <c r="C1300" s="76"/>
      <c r="D1300" s="9"/>
      <c r="E1300" s="9"/>
      <c r="F1300" s="9"/>
      <c r="G1300" s="33"/>
      <c r="H1300" s="33"/>
      <c r="I1300" s="9"/>
      <c r="J1300" s="33"/>
      <c r="K1300" s="9"/>
    </row>
    <row r="1301" customFormat="false" ht="15" hidden="false" customHeight="true" outlineLevel="0" collapsed="false">
      <c r="A1301" s="73"/>
      <c r="B1301" s="74"/>
      <c r="C1301" s="74"/>
      <c r="D1301" s="73"/>
      <c r="E1301" s="73"/>
      <c r="F1301" s="73"/>
      <c r="G1301" s="75"/>
      <c r="H1301" s="75"/>
      <c r="I1301" s="73"/>
      <c r="J1301" s="31"/>
      <c r="K1301" s="32"/>
    </row>
    <row r="1302" customFormat="false" ht="15" hidden="false" customHeight="true" outlineLevel="0" collapsed="false">
      <c r="A1302" s="9"/>
      <c r="B1302" s="76"/>
      <c r="C1302" s="76"/>
      <c r="D1302" s="9"/>
      <c r="E1302" s="9"/>
      <c r="F1302" s="9"/>
      <c r="G1302" s="33"/>
      <c r="H1302" s="33"/>
      <c r="I1302" s="9"/>
      <c r="J1302" s="33"/>
      <c r="K1302" s="9"/>
    </row>
    <row r="1303" customFormat="false" ht="15" hidden="false" customHeight="true" outlineLevel="0" collapsed="false">
      <c r="A1303" s="73"/>
      <c r="B1303" s="74"/>
      <c r="C1303" s="74"/>
      <c r="D1303" s="73"/>
      <c r="E1303" s="73"/>
      <c r="F1303" s="73"/>
      <c r="G1303" s="75"/>
      <c r="H1303" s="75"/>
      <c r="I1303" s="73"/>
      <c r="J1303" s="31"/>
      <c r="K1303" s="32"/>
    </row>
    <row r="1304" customFormat="false" ht="15" hidden="false" customHeight="true" outlineLevel="0" collapsed="false">
      <c r="A1304" s="9"/>
      <c r="B1304" s="76"/>
      <c r="C1304" s="76"/>
      <c r="D1304" s="9"/>
      <c r="E1304" s="9"/>
      <c r="F1304" s="9"/>
      <c r="G1304" s="33"/>
      <c r="H1304" s="33"/>
      <c r="I1304" s="9"/>
      <c r="J1304" s="33"/>
      <c r="K1304" s="9"/>
    </row>
    <row r="1305" customFormat="false" ht="15" hidden="false" customHeight="true" outlineLevel="0" collapsed="false">
      <c r="A1305" s="73"/>
      <c r="B1305" s="74"/>
      <c r="C1305" s="74"/>
      <c r="D1305" s="73"/>
      <c r="E1305" s="73"/>
      <c r="F1305" s="73"/>
      <c r="G1305" s="75"/>
      <c r="H1305" s="75"/>
      <c r="I1305" s="73"/>
      <c r="J1305" s="31"/>
      <c r="K1305" s="32"/>
    </row>
    <row r="1306" customFormat="false" ht="15" hidden="false" customHeight="true" outlineLevel="0" collapsed="false">
      <c r="A1306" s="9"/>
      <c r="B1306" s="76"/>
      <c r="C1306" s="76"/>
      <c r="D1306" s="9"/>
      <c r="E1306" s="9"/>
      <c r="F1306" s="9"/>
      <c r="G1306" s="33"/>
      <c r="H1306" s="33"/>
      <c r="I1306" s="9"/>
      <c r="J1306" s="33"/>
      <c r="K1306" s="9"/>
    </row>
    <row r="1307" customFormat="false" ht="15" hidden="false" customHeight="true" outlineLevel="0" collapsed="false">
      <c r="A1307" s="73"/>
      <c r="B1307" s="74"/>
      <c r="C1307" s="74"/>
      <c r="D1307" s="73"/>
      <c r="E1307" s="73"/>
      <c r="F1307" s="73"/>
      <c r="G1307" s="75"/>
      <c r="H1307" s="75"/>
      <c r="I1307" s="73"/>
      <c r="J1307" s="31"/>
      <c r="K1307" s="32"/>
    </row>
    <row r="1308" customFormat="false" ht="15" hidden="false" customHeight="true" outlineLevel="0" collapsed="false">
      <c r="A1308" s="9"/>
      <c r="B1308" s="76"/>
      <c r="C1308" s="76"/>
      <c r="D1308" s="9"/>
      <c r="E1308" s="9"/>
      <c r="F1308" s="9"/>
      <c r="G1308" s="33"/>
      <c r="H1308" s="33"/>
      <c r="I1308" s="9"/>
      <c r="J1308" s="33"/>
      <c r="K1308" s="9"/>
    </row>
    <row r="1309" customFormat="false" ht="15" hidden="false" customHeight="true" outlineLevel="0" collapsed="false">
      <c r="A1309" s="73"/>
      <c r="B1309" s="74"/>
      <c r="C1309" s="74"/>
      <c r="D1309" s="73"/>
      <c r="E1309" s="73"/>
      <c r="F1309" s="73"/>
      <c r="G1309" s="75"/>
      <c r="H1309" s="75"/>
      <c r="I1309" s="73"/>
      <c r="J1309" s="31"/>
      <c r="K1309" s="32"/>
    </row>
    <row r="1310" customFormat="false" ht="15" hidden="false" customHeight="true" outlineLevel="0" collapsed="false">
      <c r="A1310" s="9"/>
      <c r="B1310" s="76"/>
      <c r="C1310" s="76"/>
      <c r="D1310" s="9"/>
      <c r="E1310" s="9"/>
      <c r="F1310" s="9"/>
      <c r="G1310" s="33"/>
      <c r="H1310" s="33"/>
      <c r="I1310" s="9"/>
      <c r="J1310" s="33"/>
      <c r="K1310" s="9"/>
    </row>
    <row r="1311" customFormat="false" ht="15" hidden="false" customHeight="true" outlineLevel="0" collapsed="false">
      <c r="A1311" s="73"/>
      <c r="B1311" s="74"/>
      <c r="C1311" s="74"/>
      <c r="D1311" s="73"/>
      <c r="E1311" s="73"/>
      <c r="F1311" s="73"/>
      <c r="G1311" s="75"/>
      <c r="H1311" s="75"/>
      <c r="I1311" s="73"/>
      <c r="J1311" s="31"/>
      <c r="K1311" s="32"/>
    </row>
    <row r="1312" customFormat="false" ht="15" hidden="false" customHeight="true" outlineLevel="0" collapsed="false">
      <c r="A1312" s="9"/>
      <c r="B1312" s="76"/>
      <c r="C1312" s="76"/>
      <c r="D1312" s="9"/>
      <c r="E1312" s="9"/>
      <c r="F1312" s="9"/>
      <c r="G1312" s="33"/>
      <c r="H1312" s="33"/>
      <c r="I1312" s="9"/>
      <c r="J1312" s="33"/>
      <c r="K1312" s="9"/>
    </row>
    <row r="1313" customFormat="false" ht="15" hidden="false" customHeight="true" outlineLevel="0" collapsed="false">
      <c r="A1313" s="73"/>
      <c r="B1313" s="74"/>
      <c r="C1313" s="74"/>
      <c r="D1313" s="73"/>
      <c r="E1313" s="73"/>
      <c r="F1313" s="73"/>
      <c r="G1313" s="75"/>
      <c r="H1313" s="75"/>
      <c r="I1313" s="73"/>
      <c r="J1313" s="31"/>
      <c r="K1313" s="32"/>
    </row>
    <row r="1314" customFormat="false" ht="15" hidden="false" customHeight="true" outlineLevel="0" collapsed="false">
      <c r="A1314" s="9"/>
      <c r="B1314" s="76"/>
      <c r="C1314" s="76"/>
      <c r="D1314" s="9"/>
      <c r="E1314" s="9"/>
      <c r="F1314" s="9"/>
      <c r="G1314" s="33"/>
      <c r="H1314" s="33"/>
      <c r="I1314" s="9"/>
      <c r="J1314" s="33"/>
      <c r="K1314" s="9"/>
    </row>
    <row r="1315" customFormat="false" ht="15" hidden="false" customHeight="true" outlineLevel="0" collapsed="false">
      <c r="A1315" s="73"/>
      <c r="B1315" s="74"/>
      <c r="C1315" s="74"/>
      <c r="D1315" s="73"/>
      <c r="E1315" s="73"/>
      <c r="F1315" s="73"/>
      <c r="G1315" s="75"/>
      <c r="H1315" s="75"/>
      <c r="I1315" s="73"/>
      <c r="J1315" s="31"/>
      <c r="K1315" s="32"/>
    </row>
    <row r="1316" customFormat="false" ht="15" hidden="false" customHeight="true" outlineLevel="0" collapsed="false">
      <c r="A1316" s="9"/>
      <c r="B1316" s="76"/>
      <c r="C1316" s="76"/>
      <c r="D1316" s="9"/>
      <c r="E1316" s="9"/>
      <c r="F1316" s="9"/>
      <c r="G1316" s="33"/>
      <c r="H1316" s="33"/>
      <c r="I1316" s="9"/>
      <c r="J1316" s="33"/>
      <c r="K1316" s="9"/>
    </row>
    <row r="1317" customFormat="false" ht="15" hidden="false" customHeight="true" outlineLevel="0" collapsed="false">
      <c r="A1317" s="73"/>
      <c r="B1317" s="74"/>
      <c r="C1317" s="74"/>
      <c r="D1317" s="73"/>
      <c r="E1317" s="73"/>
      <c r="F1317" s="73"/>
      <c r="G1317" s="75"/>
      <c r="H1317" s="75"/>
      <c r="I1317" s="73"/>
      <c r="J1317" s="31"/>
      <c r="K1317" s="32"/>
    </row>
    <row r="1318" customFormat="false" ht="15" hidden="false" customHeight="true" outlineLevel="0" collapsed="false">
      <c r="A1318" s="9"/>
      <c r="B1318" s="76"/>
      <c r="C1318" s="76"/>
      <c r="D1318" s="9"/>
      <c r="E1318" s="9"/>
      <c r="F1318" s="9"/>
      <c r="G1318" s="33"/>
      <c r="H1318" s="33"/>
      <c r="I1318" s="9"/>
      <c r="J1318" s="33"/>
      <c r="K1318" s="9"/>
    </row>
    <row r="1319" customFormat="false" ht="15" hidden="false" customHeight="true" outlineLevel="0" collapsed="false">
      <c r="A1319" s="73"/>
      <c r="B1319" s="74"/>
      <c r="C1319" s="74"/>
      <c r="D1319" s="73"/>
      <c r="E1319" s="73"/>
      <c r="F1319" s="73"/>
      <c r="G1319" s="75"/>
      <c r="H1319" s="75"/>
      <c r="I1319" s="73"/>
      <c r="J1319" s="31"/>
      <c r="K1319" s="32"/>
    </row>
    <row r="1320" customFormat="false" ht="15" hidden="false" customHeight="true" outlineLevel="0" collapsed="false">
      <c r="A1320" s="9"/>
      <c r="B1320" s="76"/>
      <c r="C1320" s="76"/>
      <c r="D1320" s="9"/>
      <c r="E1320" s="9"/>
      <c r="F1320" s="9"/>
      <c r="G1320" s="33"/>
      <c r="H1320" s="33"/>
      <c r="I1320" s="9"/>
      <c r="J1320" s="33"/>
      <c r="K1320" s="9"/>
    </row>
    <row r="1321" customFormat="false" ht="15" hidden="false" customHeight="true" outlineLevel="0" collapsed="false">
      <c r="A1321" s="73"/>
      <c r="B1321" s="74"/>
      <c r="C1321" s="74"/>
      <c r="D1321" s="73"/>
      <c r="E1321" s="73"/>
      <c r="F1321" s="73"/>
      <c r="G1321" s="75"/>
      <c r="H1321" s="75"/>
      <c r="I1321" s="73"/>
      <c r="J1321" s="31"/>
      <c r="K1321" s="32"/>
    </row>
    <row r="1322" customFormat="false" ht="15" hidden="false" customHeight="true" outlineLevel="0" collapsed="false">
      <c r="A1322" s="9"/>
      <c r="B1322" s="76"/>
      <c r="C1322" s="76"/>
      <c r="D1322" s="9"/>
      <c r="E1322" s="9"/>
      <c r="F1322" s="9"/>
      <c r="G1322" s="33"/>
      <c r="H1322" s="33"/>
      <c r="I1322" s="9"/>
      <c r="J1322" s="33"/>
      <c r="K1322" s="9"/>
    </row>
    <row r="1323" customFormat="false" ht="15" hidden="false" customHeight="true" outlineLevel="0" collapsed="false">
      <c r="A1323" s="73"/>
      <c r="B1323" s="74"/>
      <c r="C1323" s="74"/>
      <c r="D1323" s="73"/>
      <c r="E1323" s="73"/>
      <c r="F1323" s="73"/>
      <c r="G1323" s="75"/>
      <c r="H1323" s="75"/>
      <c r="I1323" s="73"/>
      <c r="J1323" s="31"/>
      <c r="K1323" s="32"/>
    </row>
    <row r="1324" customFormat="false" ht="15" hidden="false" customHeight="true" outlineLevel="0" collapsed="false">
      <c r="A1324" s="9"/>
      <c r="B1324" s="76"/>
      <c r="C1324" s="76"/>
      <c r="D1324" s="9"/>
      <c r="E1324" s="9"/>
      <c r="F1324" s="9"/>
      <c r="G1324" s="33"/>
      <c r="H1324" s="33"/>
      <c r="I1324" s="9"/>
      <c r="J1324" s="33"/>
      <c r="K1324" s="9"/>
    </row>
    <row r="1325" customFormat="false" ht="15" hidden="false" customHeight="true" outlineLevel="0" collapsed="false">
      <c r="A1325" s="73"/>
      <c r="B1325" s="74"/>
      <c r="C1325" s="74"/>
      <c r="D1325" s="73"/>
      <c r="E1325" s="73"/>
      <c r="F1325" s="73"/>
      <c r="G1325" s="75"/>
      <c r="H1325" s="75"/>
      <c r="I1325" s="73"/>
      <c r="J1325" s="31"/>
      <c r="K1325" s="32"/>
    </row>
    <row r="1326" customFormat="false" ht="15" hidden="false" customHeight="true" outlineLevel="0" collapsed="false">
      <c r="A1326" s="9"/>
      <c r="B1326" s="76"/>
      <c r="C1326" s="76"/>
      <c r="D1326" s="9"/>
      <c r="E1326" s="9"/>
      <c r="F1326" s="9"/>
      <c r="G1326" s="33"/>
      <c r="H1326" s="33"/>
      <c r="I1326" s="9"/>
      <c r="J1326" s="33"/>
      <c r="K1326" s="9"/>
    </row>
    <row r="1327" customFormat="false" ht="15" hidden="false" customHeight="true" outlineLevel="0" collapsed="false">
      <c r="A1327" s="73"/>
      <c r="B1327" s="74"/>
      <c r="C1327" s="74"/>
      <c r="D1327" s="73"/>
      <c r="E1327" s="73"/>
      <c r="F1327" s="73"/>
      <c r="G1327" s="75"/>
      <c r="H1327" s="75"/>
      <c r="I1327" s="73"/>
      <c r="J1327" s="31"/>
      <c r="K1327" s="32"/>
    </row>
    <row r="1328" customFormat="false" ht="15" hidden="false" customHeight="true" outlineLevel="0" collapsed="false">
      <c r="A1328" s="9"/>
      <c r="B1328" s="76"/>
      <c r="C1328" s="76"/>
      <c r="D1328" s="9"/>
      <c r="E1328" s="9"/>
      <c r="F1328" s="9"/>
      <c r="G1328" s="33"/>
      <c r="H1328" s="33"/>
      <c r="I1328" s="9"/>
      <c r="J1328" s="33"/>
      <c r="K1328" s="9"/>
    </row>
    <row r="1329" customFormat="false" ht="15" hidden="false" customHeight="true" outlineLevel="0" collapsed="false">
      <c r="A1329" s="73"/>
      <c r="B1329" s="74"/>
      <c r="C1329" s="74"/>
      <c r="D1329" s="73"/>
      <c r="E1329" s="73"/>
      <c r="F1329" s="73"/>
      <c r="G1329" s="75"/>
      <c r="H1329" s="75"/>
      <c r="I1329" s="73"/>
      <c r="J1329" s="31"/>
      <c r="K1329" s="32"/>
    </row>
    <row r="1330" customFormat="false" ht="15" hidden="false" customHeight="true" outlineLevel="0" collapsed="false">
      <c r="A1330" s="9"/>
      <c r="B1330" s="76"/>
      <c r="C1330" s="76"/>
      <c r="D1330" s="9"/>
      <c r="E1330" s="9"/>
      <c r="F1330" s="9"/>
      <c r="G1330" s="33"/>
      <c r="H1330" s="33"/>
      <c r="I1330" s="9"/>
      <c r="J1330" s="33"/>
      <c r="K1330" s="9"/>
    </row>
    <row r="1331" customFormat="false" ht="15" hidden="false" customHeight="true" outlineLevel="0" collapsed="false">
      <c r="A1331" s="73"/>
      <c r="B1331" s="74"/>
      <c r="C1331" s="74"/>
      <c r="D1331" s="73"/>
      <c r="E1331" s="73"/>
      <c r="F1331" s="73"/>
      <c r="G1331" s="75"/>
      <c r="H1331" s="75"/>
      <c r="I1331" s="73"/>
      <c r="J1331" s="31"/>
      <c r="K1331" s="32"/>
    </row>
    <row r="1332" customFormat="false" ht="15" hidden="false" customHeight="true" outlineLevel="0" collapsed="false">
      <c r="A1332" s="9"/>
      <c r="B1332" s="76"/>
      <c r="C1332" s="76"/>
      <c r="D1332" s="9"/>
      <c r="E1332" s="9"/>
      <c r="F1332" s="9"/>
      <c r="G1332" s="33"/>
      <c r="H1332" s="33"/>
      <c r="I1332" s="9"/>
      <c r="J1332" s="33"/>
      <c r="K1332" s="9"/>
    </row>
    <row r="1333" customFormat="false" ht="15" hidden="false" customHeight="true" outlineLevel="0" collapsed="false">
      <c r="A1333" s="73"/>
      <c r="B1333" s="74"/>
      <c r="C1333" s="74"/>
      <c r="D1333" s="73"/>
      <c r="E1333" s="73"/>
      <c r="F1333" s="73"/>
      <c r="G1333" s="75"/>
      <c r="H1333" s="75"/>
      <c r="I1333" s="73"/>
      <c r="J1333" s="31"/>
      <c r="K1333" s="32"/>
    </row>
    <row r="1334" customFormat="false" ht="15" hidden="false" customHeight="true" outlineLevel="0" collapsed="false">
      <c r="A1334" s="9"/>
      <c r="B1334" s="76"/>
      <c r="C1334" s="76"/>
      <c r="D1334" s="9"/>
      <c r="E1334" s="9"/>
      <c r="F1334" s="9"/>
      <c r="G1334" s="33"/>
      <c r="H1334" s="33"/>
      <c r="I1334" s="9"/>
      <c r="J1334" s="33"/>
      <c r="K1334" s="9"/>
    </row>
    <row r="1335" customFormat="false" ht="15" hidden="false" customHeight="true" outlineLevel="0" collapsed="false">
      <c r="A1335" s="73"/>
      <c r="B1335" s="74"/>
      <c r="C1335" s="74"/>
      <c r="D1335" s="73"/>
      <c r="E1335" s="73"/>
      <c r="F1335" s="73"/>
      <c r="G1335" s="75"/>
      <c r="H1335" s="75"/>
      <c r="I1335" s="73"/>
      <c r="J1335" s="31"/>
      <c r="K1335" s="32"/>
    </row>
    <row r="1336" customFormat="false" ht="15" hidden="false" customHeight="true" outlineLevel="0" collapsed="false">
      <c r="A1336" s="9"/>
      <c r="B1336" s="76"/>
      <c r="C1336" s="76"/>
      <c r="D1336" s="9"/>
      <c r="E1336" s="9"/>
      <c r="F1336" s="9"/>
      <c r="G1336" s="33"/>
      <c r="H1336" s="33"/>
      <c r="I1336" s="9"/>
      <c r="J1336" s="33"/>
      <c r="K1336" s="9"/>
    </row>
    <row r="1337" customFormat="false" ht="15" hidden="false" customHeight="true" outlineLevel="0" collapsed="false">
      <c r="A1337" s="73"/>
      <c r="B1337" s="74"/>
      <c r="C1337" s="74"/>
      <c r="D1337" s="73"/>
      <c r="E1337" s="73"/>
      <c r="F1337" s="73"/>
      <c r="G1337" s="75"/>
      <c r="H1337" s="75"/>
      <c r="I1337" s="73"/>
      <c r="J1337" s="31"/>
      <c r="K1337" s="32"/>
    </row>
    <row r="1338" customFormat="false" ht="15" hidden="false" customHeight="true" outlineLevel="0" collapsed="false">
      <c r="A1338" s="9"/>
      <c r="B1338" s="76"/>
      <c r="C1338" s="76"/>
      <c r="D1338" s="9"/>
      <c r="E1338" s="9"/>
      <c r="F1338" s="9"/>
      <c r="G1338" s="33"/>
      <c r="H1338" s="33"/>
      <c r="I1338" s="9"/>
      <c r="J1338" s="33"/>
      <c r="K1338" s="9"/>
    </row>
    <row r="1339" customFormat="false" ht="15" hidden="false" customHeight="true" outlineLevel="0" collapsed="false">
      <c r="A1339" s="73"/>
      <c r="B1339" s="74"/>
      <c r="C1339" s="74"/>
      <c r="D1339" s="73"/>
      <c r="E1339" s="73"/>
      <c r="F1339" s="73"/>
      <c r="G1339" s="75"/>
      <c r="H1339" s="75"/>
      <c r="I1339" s="73"/>
      <c r="J1339" s="31"/>
      <c r="K1339" s="32"/>
    </row>
    <row r="1340" customFormat="false" ht="15" hidden="false" customHeight="true" outlineLevel="0" collapsed="false">
      <c r="A1340" s="9"/>
      <c r="B1340" s="76"/>
      <c r="C1340" s="76"/>
      <c r="D1340" s="9"/>
      <c r="E1340" s="9"/>
      <c r="F1340" s="9"/>
      <c r="G1340" s="33"/>
      <c r="H1340" s="33"/>
      <c r="I1340" s="9"/>
      <c r="J1340" s="33"/>
      <c r="K1340" s="9"/>
    </row>
    <row r="1341" customFormat="false" ht="15" hidden="false" customHeight="true" outlineLevel="0" collapsed="false">
      <c r="A1341" s="73"/>
      <c r="B1341" s="74"/>
      <c r="C1341" s="74"/>
      <c r="D1341" s="73"/>
      <c r="E1341" s="73"/>
      <c r="F1341" s="73"/>
      <c r="G1341" s="75"/>
      <c r="H1341" s="75"/>
      <c r="I1341" s="73"/>
      <c r="J1341" s="31"/>
      <c r="K1341" s="32"/>
    </row>
    <row r="1342" customFormat="false" ht="15" hidden="false" customHeight="true" outlineLevel="0" collapsed="false">
      <c r="A1342" s="9"/>
      <c r="B1342" s="76"/>
      <c r="C1342" s="76"/>
      <c r="D1342" s="9"/>
      <c r="E1342" s="9"/>
      <c r="F1342" s="9"/>
      <c r="G1342" s="33"/>
      <c r="H1342" s="33"/>
      <c r="I1342" s="9"/>
      <c r="J1342" s="33"/>
      <c r="K1342" s="9"/>
    </row>
    <row r="1343" customFormat="false" ht="15" hidden="false" customHeight="true" outlineLevel="0" collapsed="false">
      <c r="A1343" s="73"/>
      <c r="B1343" s="74"/>
      <c r="C1343" s="74"/>
      <c r="D1343" s="73"/>
      <c r="E1343" s="73"/>
      <c r="F1343" s="73"/>
      <c r="G1343" s="75"/>
      <c r="H1343" s="75"/>
      <c r="I1343" s="73"/>
      <c r="J1343" s="31"/>
      <c r="K1343" s="32"/>
    </row>
    <row r="1344" customFormat="false" ht="15" hidden="false" customHeight="true" outlineLevel="0" collapsed="false">
      <c r="A1344" s="9"/>
      <c r="B1344" s="76"/>
      <c r="C1344" s="76"/>
      <c r="D1344" s="9"/>
      <c r="E1344" s="9"/>
      <c r="F1344" s="9"/>
      <c r="G1344" s="33"/>
      <c r="H1344" s="33"/>
      <c r="I1344" s="9"/>
      <c r="J1344" s="33"/>
      <c r="K1344" s="9"/>
    </row>
    <row r="1345" customFormat="false" ht="15" hidden="false" customHeight="true" outlineLevel="0" collapsed="false">
      <c r="A1345" s="73"/>
      <c r="B1345" s="74"/>
      <c r="C1345" s="74"/>
      <c r="D1345" s="73"/>
      <c r="E1345" s="73"/>
      <c r="F1345" s="73"/>
      <c r="G1345" s="75"/>
      <c r="H1345" s="75"/>
      <c r="I1345" s="73"/>
      <c r="J1345" s="31"/>
      <c r="K1345" s="32"/>
    </row>
    <row r="1346" customFormat="false" ht="15" hidden="false" customHeight="true" outlineLevel="0" collapsed="false">
      <c r="A1346" s="9"/>
      <c r="B1346" s="76"/>
      <c r="C1346" s="76"/>
      <c r="D1346" s="9"/>
      <c r="E1346" s="9"/>
      <c r="F1346" s="9"/>
      <c r="G1346" s="33"/>
      <c r="H1346" s="33"/>
      <c r="I1346" s="9"/>
      <c r="J1346" s="33"/>
      <c r="K1346" s="9"/>
    </row>
    <row r="1347" customFormat="false" ht="15" hidden="false" customHeight="true" outlineLevel="0" collapsed="false">
      <c r="A1347" s="73"/>
      <c r="B1347" s="74"/>
      <c r="C1347" s="74"/>
      <c r="D1347" s="73"/>
      <c r="E1347" s="73"/>
      <c r="F1347" s="73"/>
      <c r="G1347" s="75"/>
      <c r="H1347" s="75"/>
      <c r="I1347" s="73"/>
      <c r="J1347" s="31"/>
      <c r="K1347" s="32"/>
    </row>
    <row r="1348" customFormat="false" ht="15" hidden="false" customHeight="true" outlineLevel="0" collapsed="false">
      <c r="A1348" s="9"/>
      <c r="B1348" s="76"/>
      <c r="C1348" s="76"/>
      <c r="D1348" s="9"/>
      <c r="E1348" s="9"/>
      <c r="F1348" s="9"/>
      <c r="G1348" s="33"/>
      <c r="H1348" s="33"/>
      <c r="I1348" s="9"/>
      <c r="J1348" s="33"/>
      <c r="K1348" s="9"/>
    </row>
    <row r="1349" customFormat="false" ht="15" hidden="false" customHeight="true" outlineLevel="0" collapsed="false">
      <c r="A1349" s="73"/>
      <c r="B1349" s="74"/>
      <c r="C1349" s="74"/>
      <c r="D1349" s="73"/>
      <c r="E1349" s="73"/>
      <c r="F1349" s="73"/>
      <c r="G1349" s="75"/>
      <c r="H1349" s="75"/>
      <c r="I1349" s="73"/>
      <c r="J1349" s="31"/>
      <c r="K1349" s="32"/>
    </row>
    <row r="1350" customFormat="false" ht="15" hidden="false" customHeight="true" outlineLevel="0" collapsed="false">
      <c r="A1350" s="9"/>
      <c r="B1350" s="76"/>
      <c r="C1350" s="76"/>
      <c r="D1350" s="9"/>
      <c r="E1350" s="9"/>
      <c r="F1350" s="9"/>
      <c r="G1350" s="33"/>
      <c r="H1350" s="33"/>
      <c r="I1350" s="9"/>
      <c r="J1350" s="33"/>
      <c r="K1350" s="9"/>
    </row>
    <row r="1351" customFormat="false" ht="15" hidden="false" customHeight="true" outlineLevel="0" collapsed="false">
      <c r="A1351" s="73"/>
      <c r="B1351" s="74"/>
      <c r="C1351" s="74"/>
      <c r="D1351" s="73"/>
      <c r="E1351" s="73"/>
      <c r="F1351" s="73"/>
      <c r="G1351" s="75"/>
      <c r="H1351" s="75"/>
      <c r="I1351" s="73"/>
      <c r="J1351" s="31"/>
      <c r="K1351" s="32"/>
    </row>
    <row r="1352" customFormat="false" ht="15" hidden="false" customHeight="true" outlineLevel="0" collapsed="false">
      <c r="A1352" s="9"/>
      <c r="B1352" s="76"/>
      <c r="C1352" s="76"/>
      <c r="D1352" s="9"/>
      <c r="E1352" s="9"/>
      <c r="F1352" s="9"/>
      <c r="G1352" s="33"/>
      <c r="H1352" s="33"/>
      <c r="I1352" s="9"/>
      <c r="J1352" s="33"/>
      <c r="K1352" s="9"/>
    </row>
    <row r="1353" customFormat="false" ht="15" hidden="false" customHeight="true" outlineLevel="0" collapsed="false">
      <c r="A1353" s="73"/>
      <c r="B1353" s="74"/>
      <c r="C1353" s="74"/>
      <c r="D1353" s="73"/>
      <c r="E1353" s="73"/>
      <c r="F1353" s="73"/>
      <c r="G1353" s="75"/>
      <c r="H1353" s="75"/>
      <c r="I1353" s="73"/>
      <c r="J1353" s="31"/>
      <c r="K1353" s="32"/>
    </row>
    <row r="1354" customFormat="false" ht="15" hidden="false" customHeight="true" outlineLevel="0" collapsed="false">
      <c r="A1354" s="9"/>
      <c r="B1354" s="76"/>
      <c r="C1354" s="76"/>
      <c r="D1354" s="9"/>
      <c r="E1354" s="9"/>
      <c r="F1354" s="9"/>
      <c r="G1354" s="33"/>
      <c r="H1354" s="33"/>
      <c r="I1354" s="9"/>
      <c r="J1354" s="33"/>
      <c r="K1354" s="9"/>
    </row>
    <row r="1355" customFormat="false" ht="15" hidden="false" customHeight="true" outlineLevel="0" collapsed="false">
      <c r="A1355" s="73"/>
      <c r="B1355" s="74"/>
      <c r="C1355" s="74"/>
      <c r="D1355" s="73"/>
      <c r="E1355" s="73"/>
      <c r="F1355" s="73"/>
      <c r="G1355" s="75"/>
      <c r="H1355" s="75"/>
      <c r="I1355" s="73"/>
      <c r="J1355" s="31"/>
      <c r="K1355" s="32"/>
    </row>
    <row r="1356" customFormat="false" ht="15" hidden="false" customHeight="true" outlineLevel="0" collapsed="false">
      <c r="A1356" s="9"/>
      <c r="B1356" s="76"/>
      <c r="C1356" s="76"/>
      <c r="D1356" s="9"/>
      <c r="E1356" s="9"/>
      <c r="F1356" s="9"/>
      <c r="G1356" s="33"/>
      <c r="H1356" s="33"/>
      <c r="I1356" s="9"/>
      <c r="J1356" s="33"/>
      <c r="K1356" s="9"/>
    </row>
    <row r="1357" customFormat="false" ht="15" hidden="false" customHeight="true" outlineLevel="0" collapsed="false">
      <c r="A1357" s="73"/>
      <c r="B1357" s="74"/>
      <c r="C1357" s="74"/>
      <c r="D1357" s="73"/>
      <c r="E1357" s="73"/>
      <c r="F1357" s="73"/>
      <c r="G1357" s="75"/>
      <c r="H1357" s="75"/>
      <c r="I1357" s="73"/>
      <c r="J1357" s="31"/>
      <c r="K1357" s="32"/>
    </row>
    <row r="1358" customFormat="false" ht="15" hidden="false" customHeight="true" outlineLevel="0" collapsed="false">
      <c r="A1358" s="9"/>
      <c r="B1358" s="76"/>
      <c r="C1358" s="76"/>
      <c r="D1358" s="9"/>
      <c r="E1358" s="9"/>
      <c r="F1358" s="9"/>
      <c r="G1358" s="33"/>
      <c r="H1358" s="33"/>
      <c r="I1358" s="9"/>
      <c r="J1358" s="33"/>
      <c r="K1358" s="9"/>
    </row>
    <row r="1359" customFormat="false" ht="15" hidden="false" customHeight="true" outlineLevel="0" collapsed="false">
      <c r="A1359" s="73"/>
      <c r="B1359" s="74"/>
      <c r="C1359" s="74"/>
      <c r="D1359" s="73"/>
      <c r="E1359" s="73"/>
      <c r="F1359" s="73"/>
      <c r="G1359" s="75"/>
      <c r="H1359" s="75"/>
      <c r="I1359" s="73"/>
      <c r="J1359" s="31"/>
      <c r="K1359" s="32"/>
    </row>
    <row r="1360" customFormat="false" ht="15" hidden="false" customHeight="true" outlineLevel="0" collapsed="false">
      <c r="A1360" s="9"/>
      <c r="B1360" s="76"/>
      <c r="C1360" s="76"/>
      <c r="D1360" s="9"/>
      <c r="E1360" s="9"/>
      <c r="F1360" s="9"/>
      <c r="G1360" s="33"/>
      <c r="H1360" s="33"/>
      <c r="I1360" s="9"/>
      <c r="J1360" s="33"/>
      <c r="K1360" s="9"/>
    </row>
    <row r="1361" customFormat="false" ht="15" hidden="false" customHeight="true" outlineLevel="0" collapsed="false">
      <c r="A1361" s="73"/>
      <c r="B1361" s="74"/>
      <c r="C1361" s="74"/>
      <c r="D1361" s="73"/>
      <c r="E1361" s="73"/>
      <c r="F1361" s="73"/>
      <c r="G1361" s="75"/>
      <c r="H1361" s="75"/>
      <c r="I1361" s="73"/>
      <c r="J1361" s="31"/>
      <c r="K1361" s="32"/>
    </row>
    <row r="1362" customFormat="false" ht="15" hidden="false" customHeight="true" outlineLevel="0" collapsed="false">
      <c r="A1362" s="9"/>
      <c r="B1362" s="76"/>
      <c r="C1362" s="76"/>
      <c r="D1362" s="9"/>
      <c r="E1362" s="9"/>
      <c r="F1362" s="9"/>
      <c r="G1362" s="33"/>
      <c r="H1362" s="33"/>
      <c r="I1362" s="9"/>
      <c r="J1362" s="33"/>
      <c r="K1362" s="9"/>
    </row>
    <row r="1363" customFormat="false" ht="15" hidden="false" customHeight="true" outlineLevel="0" collapsed="false">
      <c r="A1363" s="73"/>
      <c r="B1363" s="74"/>
      <c r="C1363" s="74"/>
      <c r="D1363" s="73"/>
      <c r="E1363" s="73"/>
      <c r="F1363" s="73"/>
      <c r="G1363" s="75"/>
      <c r="H1363" s="75"/>
      <c r="I1363" s="73"/>
      <c r="J1363" s="31"/>
      <c r="K1363" s="32"/>
    </row>
    <row r="1364" customFormat="false" ht="15" hidden="false" customHeight="true" outlineLevel="0" collapsed="false">
      <c r="A1364" s="9"/>
      <c r="B1364" s="76"/>
      <c r="C1364" s="76"/>
      <c r="D1364" s="9"/>
      <c r="E1364" s="9"/>
      <c r="F1364" s="9"/>
      <c r="G1364" s="33"/>
      <c r="H1364" s="33"/>
      <c r="I1364" s="9"/>
      <c r="J1364" s="33"/>
      <c r="K1364" s="9"/>
    </row>
    <row r="1365" customFormat="false" ht="15" hidden="false" customHeight="true" outlineLevel="0" collapsed="false">
      <c r="A1365" s="73"/>
      <c r="B1365" s="74"/>
      <c r="C1365" s="74"/>
      <c r="D1365" s="73"/>
      <c r="E1365" s="73"/>
      <c r="F1365" s="73"/>
      <c r="G1365" s="75"/>
      <c r="H1365" s="75"/>
      <c r="I1365" s="73"/>
      <c r="J1365" s="31"/>
      <c r="K1365" s="32"/>
    </row>
    <row r="1366" customFormat="false" ht="15" hidden="false" customHeight="true" outlineLevel="0" collapsed="false">
      <c r="A1366" s="9"/>
      <c r="B1366" s="76"/>
      <c r="C1366" s="76"/>
      <c r="D1366" s="9"/>
      <c r="E1366" s="9"/>
      <c r="F1366" s="9"/>
      <c r="G1366" s="33"/>
      <c r="H1366" s="33"/>
      <c r="I1366" s="9"/>
      <c r="J1366" s="33"/>
      <c r="K1366" s="9"/>
    </row>
    <row r="1367" customFormat="false" ht="15" hidden="false" customHeight="true" outlineLevel="0" collapsed="false">
      <c r="A1367" s="73"/>
      <c r="B1367" s="74"/>
      <c r="C1367" s="74"/>
      <c r="D1367" s="73"/>
      <c r="E1367" s="73"/>
      <c r="F1367" s="73"/>
      <c r="G1367" s="75"/>
      <c r="H1367" s="75"/>
      <c r="I1367" s="73"/>
      <c r="J1367" s="31"/>
      <c r="K1367" s="32"/>
    </row>
    <row r="1368" customFormat="false" ht="15" hidden="false" customHeight="true" outlineLevel="0" collapsed="false">
      <c r="A1368" s="9"/>
      <c r="B1368" s="76"/>
      <c r="C1368" s="76"/>
      <c r="D1368" s="9"/>
      <c r="E1368" s="9"/>
      <c r="F1368" s="9"/>
      <c r="G1368" s="33"/>
      <c r="H1368" s="33"/>
      <c r="I1368" s="9"/>
      <c r="J1368" s="33"/>
      <c r="K1368" s="9"/>
    </row>
    <row r="1369" customFormat="false" ht="15" hidden="false" customHeight="true" outlineLevel="0" collapsed="false">
      <c r="A1369" s="73"/>
      <c r="B1369" s="74"/>
      <c r="C1369" s="74"/>
      <c r="D1369" s="73"/>
      <c r="E1369" s="73"/>
      <c r="F1369" s="73"/>
      <c r="G1369" s="75"/>
      <c r="H1369" s="75"/>
      <c r="I1369" s="73"/>
      <c r="J1369" s="31"/>
      <c r="K1369" s="32"/>
    </row>
    <row r="1370" customFormat="false" ht="15" hidden="false" customHeight="true" outlineLevel="0" collapsed="false">
      <c r="A1370" s="9"/>
      <c r="B1370" s="76"/>
      <c r="C1370" s="76"/>
      <c r="D1370" s="9"/>
      <c r="E1370" s="9"/>
      <c r="F1370" s="9"/>
      <c r="G1370" s="33"/>
      <c r="H1370" s="33"/>
      <c r="I1370" s="9"/>
      <c r="J1370" s="33"/>
      <c r="K1370" s="9"/>
    </row>
    <row r="1371" customFormat="false" ht="15" hidden="false" customHeight="true" outlineLevel="0" collapsed="false">
      <c r="A1371" s="73"/>
      <c r="B1371" s="74"/>
      <c r="C1371" s="74"/>
      <c r="D1371" s="73"/>
      <c r="E1371" s="73"/>
      <c r="F1371" s="73"/>
      <c r="G1371" s="75"/>
      <c r="H1371" s="75"/>
      <c r="I1371" s="73"/>
      <c r="J1371" s="31"/>
      <c r="K1371" s="32"/>
    </row>
    <row r="1372" customFormat="false" ht="15" hidden="false" customHeight="true" outlineLevel="0" collapsed="false">
      <c r="A1372" s="9"/>
      <c r="B1372" s="76"/>
      <c r="C1372" s="76"/>
      <c r="D1372" s="9"/>
      <c r="E1372" s="9"/>
      <c r="F1372" s="9"/>
      <c r="G1372" s="33"/>
      <c r="H1372" s="33"/>
      <c r="I1372" s="9"/>
      <c r="J1372" s="33"/>
      <c r="K1372" s="9"/>
    </row>
    <row r="1373" customFormat="false" ht="15" hidden="false" customHeight="true" outlineLevel="0" collapsed="false">
      <c r="A1373" s="73"/>
      <c r="B1373" s="74"/>
      <c r="C1373" s="74"/>
      <c r="D1373" s="73"/>
      <c r="E1373" s="73"/>
      <c r="F1373" s="73"/>
      <c r="G1373" s="75"/>
      <c r="H1373" s="75"/>
      <c r="I1373" s="73"/>
      <c r="J1373" s="31"/>
      <c r="K1373" s="32"/>
    </row>
    <row r="1374" customFormat="false" ht="15" hidden="false" customHeight="true" outlineLevel="0" collapsed="false">
      <c r="A1374" s="9"/>
      <c r="B1374" s="76"/>
      <c r="C1374" s="76"/>
      <c r="D1374" s="9"/>
      <c r="E1374" s="9"/>
      <c r="F1374" s="9"/>
      <c r="G1374" s="33"/>
      <c r="H1374" s="33"/>
      <c r="I1374" s="9"/>
      <c r="J1374" s="33"/>
      <c r="K1374" s="9"/>
    </row>
    <row r="1375" customFormat="false" ht="15" hidden="false" customHeight="true" outlineLevel="0" collapsed="false">
      <c r="A1375" s="73"/>
      <c r="B1375" s="74"/>
      <c r="C1375" s="74"/>
      <c r="D1375" s="73"/>
      <c r="E1375" s="73"/>
      <c r="F1375" s="73"/>
      <c r="G1375" s="75"/>
      <c r="H1375" s="75"/>
      <c r="I1375" s="73"/>
      <c r="J1375" s="31"/>
      <c r="K1375" s="32"/>
    </row>
    <row r="1376" customFormat="false" ht="15" hidden="false" customHeight="true" outlineLevel="0" collapsed="false">
      <c r="A1376" s="9"/>
      <c r="B1376" s="76"/>
      <c r="C1376" s="76"/>
      <c r="D1376" s="9"/>
      <c r="E1376" s="9"/>
      <c r="F1376" s="9"/>
      <c r="G1376" s="33"/>
      <c r="H1376" s="33"/>
      <c r="I1376" s="9"/>
      <c r="J1376" s="33"/>
      <c r="K1376" s="9"/>
    </row>
    <row r="1377" customFormat="false" ht="15" hidden="false" customHeight="true" outlineLevel="0" collapsed="false">
      <c r="A1377" s="73"/>
      <c r="B1377" s="74"/>
      <c r="C1377" s="74"/>
      <c r="D1377" s="73"/>
      <c r="E1377" s="73"/>
      <c r="F1377" s="73"/>
      <c r="G1377" s="75"/>
      <c r="H1377" s="75"/>
      <c r="I1377" s="73"/>
      <c r="J1377" s="31"/>
      <c r="K1377" s="32"/>
    </row>
    <row r="1378" customFormat="false" ht="15" hidden="false" customHeight="true" outlineLevel="0" collapsed="false">
      <c r="A1378" s="9"/>
      <c r="B1378" s="76"/>
      <c r="C1378" s="76"/>
      <c r="D1378" s="9"/>
      <c r="E1378" s="9"/>
      <c r="F1378" s="9"/>
      <c r="G1378" s="33"/>
      <c r="H1378" s="33"/>
      <c r="I1378" s="9"/>
      <c r="J1378" s="33"/>
      <c r="K1378" s="9"/>
    </row>
    <row r="1379" customFormat="false" ht="15" hidden="false" customHeight="true" outlineLevel="0" collapsed="false">
      <c r="A1379" s="73"/>
      <c r="B1379" s="74"/>
      <c r="C1379" s="74"/>
      <c r="D1379" s="73"/>
      <c r="E1379" s="73"/>
      <c r="F1379" s="73"/>
      <c r="G1379" s="75"/>
      <c r="H1379" s="75"/>
      <c r="I1379" s="73"/>
      <c r="J1379" s="31"/>
      <c r="K1379" s="32"/>
    </row>
    <row r="1380" customFormat="false" ht="15" hidden="false" customHeight="true" outlineLevel="0" collapsed="false">
      <c r="A1380" s="9"/>
      <c r="B1380" s="76"/>
      <c r="C1380" s="76"/>
      <c r="D1380" s="9"/>
      <c r="E1380" s="9"/>
      <c r="F1380" s="9"/>
      <c r="G1380" s="33"/>
      <c r="H1380" s="33"/>
      <c r="I1380" s="9"/>
      <c r="J1380" s="33"/>
      <c r="K1380" s="9"/>
    </row>
    <row r="1381" customFormat="false" ht="15" hidden="false" customHeight="true" outlineLevel="0" collapsed="false">
      <c r="A1381" s="73"/>
      <c r="B1381" s="74"/>
      <c r="C1381" s="74"/>
      <c r="D1381" s="73"/>
      <c r="E1381" s="73"/>
      <c r="F1381" s="73"/>
      <c r="G1381" s="75"/>
      <c r="H1381" s="75"/>
      <c r="I1381" s="73"/>
      <c r="J1381" s="31"/>
      <c r="K1381" s="32"/>
    </row>
    <row r="1382" customFormat="false" ht="15" hidden="false" customHeight="true" outlineLevel="0" collapsed="false">
      <c r="A1382" s="9"/>
      <c r="B1382" s="76"/>
      <c r="C1382" s="76"/>
      <c r="D1382" s="9"/>
      <c r="E1382" s="9"/>
      <c r="F1382" s="9"/>
      <c r="G1382" s="33"/>
      <c r="H1382" s="33"/>
      <c r="I1382" s="9"/>
      <c r="J1382" s="33"/>
      <c r="K1382" s="9"/>
    </row>
    <row r="1383" customFormat="false" ht="15" hidden="false" customHeight="true" outlineLevel="0" collapsed="false">
      <c r="A1383" s="73"/>
      <c r="B1383" s="74"/>
      <c r="C1383" s="74"/>
      <c r="D1383" s="73"/>
      <c r="E1383" s="73"/>
      <c r="F1383" s="73"/>
      <c r="G1383" s="75"/>
      <c r="H1383" s="75"/>
      <c r="I1383" s="73"/>
      <c r="J1383" s="31"/>
      <c r="K1383" s="32"/>
    </row>
    <row r="1384" customFormat="false" ht="15" hidden="false" customHeight="true" outlineLevel="0" collapsed="false">
      <c r="A1384" s="9"/>
      <c r="B1384" s="76"/>
      <c r="C1384" s="76"/>
      <c r="D1384" s="9"/>
      <c r="E1384" s="9"/>
      <c r="F1384" s="9"/>
      <c r="G1384" s="33"/>
      <c r="H1384" s="33"/>
      <c r="I1384" s="9"/>
      <c r="J1384" s="33"/>
      <c r="K1384" s="9"/>
    </row>
    <row r="1385" customFormat="false" ht="15" hidden="false" customHeight="true" outlineLevel="0" collapsed="false">
      <c r="A1385" s="73"/>
      <c r="B1385" s="74"/>
      <c r="C1385" s="74"/>
      <c r="D1385" s="73"/>
      <c r="E1385" s="73"/>
      <c r="F1385" s="73"/>
      <c r="G1385" s="75"/>
      <c r="H1385" s="75"/>
      <c r="I1385" s="73"/>
      <c r="J1385" s="31"/>
      <c r="K1385" s="32"/>
    </row>
    <row r="1386" customFormat="false" ht="15" hidden="false" customHeight="true" outlineLevel="0" collapsed="false">
      <c r="A1386" s="9"/>
      <c r="B1386" s="76"/>
      <c r="C1386" s="76"/>
      <c r="D1386" s="9"/>
      <c r="E1386" s="9"/>
      <c r="F1386" s="9"/>
      <c r="G1386" s="33"/>
      <c r="H1386" s="33"/>
      <c r="I1386" s="9"/>
      <c r="J1386" s="33"/>
      <c r="K1386" s="9"/>
    </row>
    <row r="1387" customFormat="false" ht="15" hidden="false" customHeight="true" outlineLevel="0" collapsed="false">
      <c r="A1387" s="73"/>
      <c r="B1387" s="74"/>
      <c r="C1387" s="74"/>
      <c r="D1387" s="73"/>
      <c r="E1387" s="73"/>
      <c r="F1387" s="73"/>
      <c r="G1387" s="75"/>
      <c r="H1387" s="75"/>
      <c r="I1387" s="73"/>
      <c r="J1387" s="31"/>
      <c r="K1387" s="32"/>
    </row>
    <row r="1388" customFormat="false" ht="15" hidden="false" customHeight="true" outlineLevel="0" collapsed="false">
      <c r="A1388" s="9"/>
      <c r="B1388" s="76"/>
      <c r="C1388" s="76"/>
      <c r="D1388" s="9"/>
      <c r="E1388" s="9"/>
      <c r="F1388" s="9"/>
      <c r="G1388" s="33"/>
      <c r="H1388" s="33"/>
      <c r="I1388" s="9"/>
      <c r="J1388" s="33"/>
      <c r="K1388" s="9"/>
    </row>
    <row r="1389" customFormat="false" ht="15" hidden="false" customHeight="true" outlineLevel="0" collapsed="false">
      <c r="A1389" s="73"/>
      <c r="B1389" s="74"/>
      <c r="C1389" s="74"/>
      <c r="D1389" s="73"/>
      <c r="E1389" s="73"/>
      <c r="F1389" s="73"/>
      <c r="G1389" s="75"/>
      <c r="H1389" s="75"/>
      <c r="I1389" s="73"/>
      <c r="J1389" s="31"/>
      <c r="K1389" s="32"/>
    </row>
    <row r="1390" customFormat="false" ht="15" hidden="false" customHeight="true" outlineLevel="0" collapsed="false">
      <c r="A1390" s="9"/>
      <c r="B1390" s="76"/>
      <c r="C1390" s="76"/>
      <c r="D1390" s="9"/>
      <c r="E1390" s="9"/>
      <c r="F1390" s="9"/>
      <c r="G1390" s="33"/>
      <c r="H1390" s="33"/>
      <c r="I1390" s="9"/>
      <c r="J1390" s="33"/>
      <c r="K1390" s="9"/>
    </row>
    <row r="1391" customFormat="false" ht="15" hidden="false" customHeight="true" outlineLevel="0" collapsed="false">
      <c r="A1391" s="73"/>
      <c r="B1391" s="74"/>
      <c r="C1391" s="74"/>
      <c r="D1391" s="73"/>
      <c r="E1391" s="73"/>
      <c r="F1391" s="73"/>
      <c r="G1391" s="75"/>
      <c r="H1391" s="75"/>
      <c r="I1391" s="73"/>
      <c r="J1391" s="31"/>
      <c r="K1391" s="32"/>
    </row>
    <row r="1392" customFormat="false" ht="15" hidden="false" customHeight="true" outlineLevel="0" collapsed="false">
      <c r="A1392" s="9"/>
      <c r="B1392" s="76"/>
      <c r="C1392" s="76"/>
      <c r="D1392" s="9"/>
      <c r="E1392" s="9"/>
      <c r="F1392" s="9"/>
      <c r="G1392" s="33"/>
      <c r="H1392" s="33"/>
      <c r="I1392" s="9"/>
      <c r="J1392" s="33"/>
      <c r="K1392" s="9"/>
    </row>
    <row r="1393" customFormat="false" ht="15" hidden="false" customHeight="true" outlineLevel="0" collapsed="false">
      <c r="A1393" s="73"/>
      <c r="B1393" s="74"/>
      <c r="C1393" s="74"/>
      <c r="D1393" s="73"/>
      <c r="E1393" s="73"/>
      <c r="F1393" s="73"/>
      <c r="G1393" s="75"/>
      <c r="H1393" s="75"/>
      <c r="I1393" s="73"/>
      <c r="J1393" s="31"/>
      <c r="K1393" s="32"/>
    </row>
    <row r="1394" customFormat="false" ht="15" hidden="false" customHeight="true" outlineLevel="0" collapsed="false">
      <c r="A1394" s="9"/>
      <c r="B1394" s="76"/>
      <c r="C1394" s="76"/>
      <c r="D1394" s="9"/>
      <c r="E1394" s="9"/>
      <c r="F1394" s="9"/>
      <c r="G1394" s="33"/>
      <c r="H1394" s="33"/>
      <c r="I1394" s="9"/>
      <c r="J1394" s="33"/>
      <c r="K1394" s="9"/>
    </row>
    <row r="1395" customFormat="false" ht="15" hidden="false" customHeight="true" outlineLevel="0" collapsed="false">
      <c r="A1395" s="73"/>
      <c r="B1395" s="74"/>
      <c r="C1395" s="74"/>
      <c r="D1395" s="73"/>
      <c r="E1395" s="73"/>
      <c r="F1395" s="73"/>
      <c r="G1395" s="75"/>
      <c r="H1395" s="75"/>
      <c r="I1395" s="73"/>
      <c r="J1395" s="31"/>
      <c r="K1395" s="32"/>
    </row>
    <row r="1396" customFormat="false" ht="15" hidden="false" customHeight="true" outlineLevel="0" collapsed="false">
      <c r="A1396" s="9"/>
      <c r="B1396" s="76"/>
      <c r="C1396" s="76"/>
      <c r="D1396" s="9"/>
      <c r="E1396" s="9"/>
      <c r="F1396" s="9"/>
      <c r="G1396" s="33"/>
      <c r="H1396" s="33"/>
      <c r="I1396" s="9"/>
      <c r="J1396" s="33"/>
      <c r="K1396" s="9"/>
    </row>
    <row r="1397" customFormat="false" ht="15" hidden="false" customHeight="true" outlineLevel="0" collapsed="false">
      <c r="A1397" s="73"/>
      <c r="B1397" s="74"/>
      <c r="C1397" s="74"/>
      <c r="D1397" s="73"/>
      <c r="E1397" s="73"/>
      <c r="F1397" s="73"/>
      <c r="G1397" s="75"/>
      <c r="H1397" s="75"/>
      <c r="I1397" s="73"/>
      <c r="J1397" s="31"/>
      <c r="K1397" s="32"/>
    </row>
    <row r="1398" customFormat="false" ht="15" hidden="false" customHeight="true" outlineLevel="0" collapsed="false">
      <c r="A1398" s="9"/>
      <c r="B1398" s="76"/>
      <c r="C1398" s="76"/>
      <c r="D1398" s="9"/>
      <c r="E1398" s="9"/>
      <c r="F1398" s="9"/>
      <c r="G1398" s="33"/>
      <c r="H1398" s="33"/>
      <c r="I1398" s="9"/>
      <c r="J1398" s="33"/>
      <c r="K1398" s="9"/>
    </row>
    <row r="1399" customFormat="false" ht="15" hidden="false" customHeight="true" outlineLevel="0" collapsed="false">
      <c r="A1399" s="73"/>
      <c r="B1399" s="74"/>
      <c r="C1399" s="74"/>
      <c r="D1399" s="73"/>
      <c r="E1399" s="73"/>
      <c r="F1399" s="73"/>
      <c r="G1399" s="75"/>
      <c r="H1399" s="75"/>
      <c r="I1399" s="73"/>
      <c r="J1399" s="31"/>
      <c r="K1399" s="32"/>
    </row>
    <row r="1400" customFormat="false" ht="15" hidden="false" customHeight="true" outlineLevel="0" collapsed="false">
      <c r="A1400" s="9"/>
      <c r="B1400" s="76"/>
      <c r="C1400" s="76"/>
      <c r="D1400" s="9"/>
      <c r="E1400" s="9"/>
      <c r="F1400" s="9"/>
      <c r="G1400" s="33"/>
      <c r="H1400" s="33"/>
      <c r="I1400" s="9"/>
      <c r="J1400" s="33"/>
      <c r="K1400" s="9"/>
    </row>
    <row r="1401" customFormat="false" ht="15" hidden="false" customHeight="true" outlineLevel="0" collapsed="false">
      <c r="A1401" s="73"/>
      <c r="B1401" s="74"/>
      <c r="C1401" s="74"/>
      <c r="D1401" s="73"/>
      <c r="E1401" s="73"/>
      <c r="F1401" s="73"/>
      <c r="G1401" s="75"/>
      <c r="H1401" s="75"/>
      <c r="I1401" s="73"/>
      <c r="J1401" s="31"/>
      <c r="K1401" s="32"/>
    </row>
    <row r="1402" customFormat="false" ht="15" hidden="false" customHeight="true" outlineLevel="0" collapsed="false">
      <c r="A1402" s="9"/>
      <c r="B1402" s="76"/>
      <c r="C1402" s="76"/>
      <c r="D1402" s="9"/>
      <c r="E1402" s="9"/>
      <c r="F1402" s="9"/>
      <c r="G1402" s="33"/>
      <c r="H1402" s="33"/>
      <c r="I1402" s="9"/>
      <c r="J1402" s="33"/>
      <c r="K1402" s="9"/>
    </row>
    <row r="1403" customFormat="false" ht="15" hidden="false" customHeight="true" outlineLevel="0" collapsed="false">
      <c r="A1403" s="73"/>
      <c r="B1403" s="74"/>
      <c r="C1403" s="74"/>
      <c r="D1403" s="73"/>
      <c r="E1403" s="73"/>
      <c r="F1403" s="73"/>
      <c r="G1403" s="75"/>
      <c r="H1403" s="75"/>
      <c r="I1403" s="73"/>
      <c r="J1403" s="31"/>
      <c r="K1403" s="32"/>
    </row>
    <row r="1404" customFormat="false" ht="15" hidden="false" customHeight="true" outlineLevel="0" collapsed="false">
      <c r="A1404" s="9"/>
      <c r="B1404" s="76"/>
      <c r="C1404" s="76"/>
      <c r="D1404" s="9"/>
      <c r="E1404" s="9"/>
      <c r="F1404" s="9"/>
      <c r="G1404" s="33"/>
      <c r="H1404" s="33"/>
      <c r="I1404" s="9"/>
      <c r="J1404" s="33"/>
      <c r="K1404" s="9"/>
    </row>
    <row r="1405" customFormat="false" ht="15" hidden="false" customHeight="true" outlineLevel="0" collapsed="false">
      <c r="A1405" s="73"/>
      <c r="B1405" s="74"/>
      <c r="C1405" s="74"/>
      <c r="D1405" s="73"/>
      <c r="E1405" s="73"/>
      <c r="F1405" s="73"/>
      <c r="G1405" s="75"/>
      <c r="H1405" s="75"/>
      <c r="I1405" s="73"/>
      <c r="J1405" s="31"/>
      <c r="K1405" s="32"/>
    </row>
    <row r="1406" customFormat="false" ht="15" hidden="false" customHeight="true" outlineLevel="0" collapsed="false">
      <c r="A1406" s="9"/>
      <c r="B1406" s="76"/>
      <c r="C1406" s="76"/>
      <c r="D1406" s="9"/>
      <c r="E1406" s="9"/>
      <c r="F1406" s="9"/>
      <c r="G1406" s="33"/>
      <c r="H1406" s="33"/>
      <c r="I1406" s="9"/>
      <c r="J1406" s="33"/>
      <c r="K1406" s="9"/>
    </row>
    <row r="1407" customFormat="false" ht="15" hidden="false" customHeight="true" outlineLevel="0" collapsed="false">
      <c r="A1407" s="73"/>
      <c r="B1407" s="74"/>
      <c r="C1407" s="74"/>
      <c r="D1407" s="73"/>
      <c r="E1407" s="73"/>
      <c r="F1407" s="73"/>
      <c r="G1407" s="75"/>
      <c r="H1407" s="75"/>
      <c r="I1407" s="73"/>
      <c r="J1407" s="31"/>
      <c r="K1407" s="32"/>
    </row>
    <row r="1408" customFormat="false" ht="15" hidden="false" customHeight="true" outlineLevel="0" collapsed="false">
      <c r="A1408" s="9"/>
      <c r="B1408" s="76"/>
      <c r="C1408" s="76"/>
      <c r="D1408" s="9"/>
      <c r="E1408" s="9"/>
      <c r="F1408" s="9"/>
      <c r="G1408" s="33"/>
      <c r="H1408" s="33"/>
      <c r="I1408" s="9"/>
      <c r="J1408" s="33"/>
      <c r="K1408" s="9"/>
    </row>
    <row r="1409" customFormat="false" ht="15" hidden="false" customHeight="true" outlineLevel="0" collapsed="false">
      <c r="A1409" s="73"/>
      <c r="B1409" s="74"/>
      <c r="C1409" s="74"/>
      <c r="D1409" s="73"/>
      <c r="E1409" s="73"/>
      <c r="F1409" s="73"/>
      <c r="G1409" s="75"/>
      <c r="H1409" s="75"/>
      <c r="I1409" s="73"/>
      <c r="J1409" s="31"/>
      <c r="K1409" s="32"/>
    </row>
    <row r="1410" customFormat="false" ht="15" hidden="false" customHeight="true" outlineLevel="0" collapsed="false">
      <c r="A1410" s="9"/>
      <c r="B1410" s="76"/>
      <c r="C1410" s="76"/>
      <c r="D1410" s="9"/>
      <c r="E1410" s="9"/>
      <c r="F1410" s="9"/>
      <c r="G1410" s="33"/>
      <c r="H1410" s="33"/>
      <c r="I1410" s="9"/>
      <c r="J1410" s="33"/>
      <c r="K1410" s="9"/>
    </row>
    <row r="1411" customFormat="false" ht="15" hidden="false" customHeight="true" outlineLevel="0" collapsed="false">
      <c r="A1411" s="73"/>
      <c r="B1411" s="74"/>
      <c r="C1411" s="74"/>
      <c r="D1411" s="73"/>
      <c r="E1411" s="73"/>
      <c r="F1411" s="73"/>
      <c r="G1411" s="75"/>
      <c r="H1411" s="75"/>
      <c r="I1411" s="73"/>
      <c r="J1411" s="31"/>
      <c r="K1411" s="32"/>
    </row>
    <row r="1412" customFormat="false" ht="15" hidden="false" customHeight="true" outlineLevel="0" collapsed="false">
      <c r="A1412" s="9"/>
      <c r="B1412" s="76"/>
      <c r="C1412" s="76"/>
      <c r="D1412" s="9"/>
      <c r="E1412" s="9"/>
      <c r="F1412" s="9"/>
      <c r="G1412" s="33"/>
      <c r="H1412" s="33"/>
      <c r="I1412" s="9"/>
      <c r="J1412" s="33"/>
      <c r="K1412" s="9"/>
    </row>
    <row r="1413" customFormat="false" ht="15" hidden="false" customHeight="true" outlineLevel="0" collapsed="false">
      <c r="A1413" s="73"/>
      <c r="B1413" s="74"/>
      <c r="C1413" s="74"/>
      <c r="D1413" s="73"/>
      <c r="E1413" s="73"/>
      <c r="F1413" s="73"/>
      <c r="G1413" s="75"/>
      <c r="H1413" s="75"/>
      <c r="I1413" s="73"/>
      <c r="J1413" s="31"/>
      <c r="K1413" s="32"/>
    </row>
    <row r="1414" customFormat="false" ht="15" hidden="false" customHeight="true" outlineLevel="0" collapsed="false">
      <c r="A1414" s="9"/>
      <c r="B1414" s="76"/>
      <c r="C1414" s="76"/>
      <c r="D1414" s="9"/>
      <c r="E1414" s="9"/>
      <c r="F1414" s="9"/>
      <c r="G1414" s="33"/>
      <c r="H1414" s="33"/>
      <c r="I1414" s="9"/>
      <c r="J1414" s="33"/>
      <c r="K1414" s="9"/>
    </row>
    <row r="1415" customFormat="false" ht="15" hidden="false" customHeight="true" outlineLevel="0" collapsed="false">
      <c r="A1415" s="73"/>
      <c r="B1415" s="74"/>
      <c r="C1415" s="74"/>
      <c r="D1415" s="73"/>
      <c r="E1415" s="73"/>
      <c r="F1415" s="73"/>
      <c r="G1415" s="75"/>
      <c r="H1415" s="75"/>
      <c r="I1415" s="73"/>
      <c r="J1415" s="31"/>
      <c r="K1415" s="32"/>
    </row>
    <row r="1416" customFormat="false" ht="15" hidden="false" customHeight="true" outlineLevel="0" collapsed="false">
      <c r="A1416" s="9"/>
      <c r="B1416" s="76"/>
      <c r="C1416" s="76"/>
      <c r="D1416" s="9"/>
      <c r="E1416" s="9"/>
      <c r="F1416" s="9"/>
      <c r="G1416" s="33"/>
      <c r="H1416" s="33"/>
      <c r="I1416" s="9"/>
      <c r="J1416" s="33"/>
      <c r="K1416" s="9"/>
    </row>
    <row r="1417" customFormat="false" ht="15" hidden="false" customHeight="true" outlineLevel="0" collapsed="false">
      <c r="A1417" s="73"/>
      <c r="B1417" s="74"/>
      <c r="C1417" s="74"/>
      <c r="D1417" s="73"/>
      <c r="E1417" s="73"/>
      <c r="F1417" s="73"/>
      <c r="G1417" s="75"/>
      <c r="H1417" s="75"/>
      <c r="I1417" s="73"/>
      <c r="J1417" s="31"/>
      <c r="K1417" s="32"/>
    </row>
    <row r="1418" customFormat="false" ht="15" hidden="false" customHeight="true" outlineLevel="0" collapsed="false">
      <c r="A1418" s="9"/>
      <c r="B1418" s="76"/>
      <c r="C1418" s="76"/>
      <c r="D1418" s="9"/>
      <c r="E1418" s="9"/>
      <c r="F1418" s="9"/>
      <c r="G1418" s="33"/>
      <c r="H1418" s="33"/>
      <c r="I1418" s="9"/>
      <c r="J1418" s="33"/>
      <c r="K1418" s="9"/>
    </row>
    <row r="1419" customFormat="false" ht="15" hidden="false" customHeight="true" outlineLevel="0" collapsed="false">
      <c r="A1419" s="73"/>
      <c r="B1419" s="74"/>
      <c r="C1419" s="74"/>
      <c r="D1419" s="73"/>
      <c r="E1419" s="73"/>
      <c r="F1419" s="73"/>
      <c r="G1419" s="75"/>
      <c r="H1419" s="75"/>
      <c r="I1419" s="73"/>
      <c r="J1419" s="31"/>
      <c r="K1419" s="32"/>
    </row>
    <row r="1420" customFormat="false" ht="15" hidden="false" customHeight="true" outlineLevel="0" collapsed="false">
      <c r="A1420" s="9"/>
      <c r="B1420" s="76"/>
      <c r="C1420" s="76"/>
      <c r="D1420" s="9"/>
      <c r="E1420" s="9"/>
      <c r="F1420" s="9"/>
      <c r="G1420" s="33"/>
      <c r="H1420" s="33"/>
      <c r="I1420" s="9"/>
      <c r="J1420" s="33"/>
      <c r="K1420" s="9"/>
    </row>
    <row r="1421" customFormat="false" ht="15" hidden="false" customHeight="true" outlineLevel="0" collapsed="false">
      <c r="A1421" s="73"/>
      <c r="B1421" s="74"/>
      <c r="C1421" s="74"/>
      <c r="D1421" s="73"/>
      <c r="E1421" s="73"/>
      <c r="F1421" s="73"/>
      <c r="G1421" s="75"/>
      <c r="H1421" s="75"/>
      <c r="I1421" s="73"/>
      <c r="J1421" s="31"/>
      <c r="K1421" s="32"/>
    </row>
    <row r="1422" customFormat="false" ht="15" hidden="false" customHeight="true" outlineLevel="0" collapsed="false">
      <c r="A1422" s="9"/>
      <c r="B1422" s="76"/>
      <c r="C1422" s="76"/>
      <c r="D1422" s="9"/>
      <c r="E1422" s="9"/>
      <c r="F1422" s="9"/>
      <c r="G1422" s="33"/>
      <c r="H1422" s="33"/>
      <c r="I1422" s="9"/>
      <c r="J1422" s="33"/>
      <c r="K1422" s="9"/>
    </row>
    <row r="1423" customFormat="false" ht="15" hidden="false" customHeight="true" outlineLevel="0" collapsed="false">
      <c r="A1423" s="73"/>
      <c r="B1423" s="74"/>
      <c r="C1423" s="74"/>
      <c r="D1423" s="73"/>
      <c r="E1423" s="73"/>
      <c r="F1423" s="73"/>
      <c r="G1423" s="75"/>
      <c r="H1423" s="75"/>
      <c r="I1423" s="73"/>
      <c r="J1423" s="31"/>
      <c r="K1423" s="32"/>
    </row>
    <row r="1424" customFormat="false" ht="15" hidden="false" customHeight="true" outlineLevel="0" collapsed="false">
      <c r="A1424" s="9"/>
      <c r="B1424" s="76"/>
      <c r="C1424" s="76"/>
      <c r="D1424" s="9"/>
      <c r="E1424" s="9"/>
      <c r="F1424" s="9"/>
      <c r="G1424" s="33"/>
      <c r="H1424" s="33"/>
      <c r="I1424" s="9"/>
      <c r="J1424" s="33"/>
      <c r="K1424" s="9"/>
    </row>
    <row r="1425" customFormat="false" ht="15" hidden="false" customHeight="true" outlineLevel="0" collapsed="false">
      <c r="A1425" s="73"/>
      <c r="B1425" s="74"/>
      <c r="C1425" s="74"/>
      <c r="D1425" s="73"/>
      <c r="E1425" s="73"/>
      <c r="F1425" s="73"/>
      <c r="G1425" s="75"/>
      <c r="H1425" s="75"/>
      <c r="I1425" s="73"/>
      <c r="J1425" s="31"/>
      <c r="K1425" s="32"/>
    </row>
    <row r="1426" customFormat="false" ht="15" hidden="false" customHeight="true" outlineLevel="0" collapsed="false">
      <c r="A1426" s="9"/>
      <c r="B1426" s="76"/>
      <c r="C1426" s="76"/>
      <c r="D1426" s="9"/>
      <c r="E1426" s="9"/>
      <c r="F1426" s="9"/>
      <c r="G1426" s="33"/>
      <c r="H1426" s="33"/>
      <c r="I1426" s="9"/>
      <c r="J1426" s="33"/>
      <c r="K1426" s="9"/>
    </row>
    <row r="1427" customFormat="false" ht="15" hidden="false" customHeight="true" outlineLevel="0" collapsed="false">
      <c r="A1427" s="73"/>
      <c r="B1427" s="74"/>
      <c r="C1427" s="74"/>
      <c r="D1427" s="73"/>
      <c r="E1427" s="73"/>
      <c r="F1427" s="73"/>
      <c r="G1427" s="75"/>
      <c r="H1427" s="75"/>
      <c r="I1427" s="73"/>
      <c r="J1427" s="31"/>
      <c r="K1427" s="32"/>
    </row>
    <row r="1428" customFormat="false" ht="15" hidden="false" customHeight="true" outlineLevel="0" collapsed="false">
      <c r="A1428" s="9"/>
      <c r="B1428" s="76"/>
      <c r="C1428" s="76"/>
      <c r="D1428" s="9"/>
      <c r="E1428" s="9"/>
      <c r="F1428" s="9"/>
      <c r="G1428" s="33"/>
      <c r="H1428" s="33"/>
      <c r="I1428" s="9"/>
      <c r="J1428" s="33"/>
      <c r="K1428" s="9"/>
    </row>
    <row r="1429" customFormat="false" ht="15" hidden="false" customHeight="true" outlineLevel="0" collapsed="false">
      <c r="A1429" s="73"/>
      <c r="B1429" s="74"/>
      <c r="C1429" s="74"/>
      <c r="D1429" s="73"/>
      <c r="E1429" s="73"/>
      <c r="F1429" s="73"/>
      <c r="G1429" s="75"/>
      <c r="H1429" s="75"/>
      <c r="I1429" s="73"/>
      <c r="J1429" s="31"/>
      <c r="K1429" s="32"/>
    </row>
    <row r="1430" customFormat="false" ht="15" hidden="false" customHeight="true" outlineLevel="0" collapsed="false">
      <c r="A1430" s="9"/>
      <c r="B1430" s="76"/>
      <c r="C1430" s="76"/>
      <c r="D1430" s="9"/>
      <c r="E1430" s="9"/>
      <c r="F1430" s="9"/>
      <c r="G1430" s="33"/>
      <c r="H1430" s="33"/>
      <c r="I1430" s="9"/>
      <c r="J1430" s="33"/>
      <c r="K1430" s="9"/>
    </row>
    <row r="1431" customFormat="false" ht="15" hidden="false" customHeight="true" outlineLevel="0" collapsed="false">
      <c r="A1431" s="73"/>
      <c r="B1431" s="74"/>
      <c r="C1431" s="74"/>
      <c r="D1431" s="73"/>
      <c r="E1431" s="73"/>
      <c r="F1431" s="73"/>
      <c r="G1431" s="75"/>
      <c r="H1431" s="75"/>
      <c r="I1431" s="73"/>
      <c r="J1431" s="31"/>
      <c r="K1431" s="32"/>
    </row>
    <row r="1432" customFormat="false" ht="15" hidden="false" customHeight="true" outlineLevel="0" collapsed="false">
      <c r="A1432" s="9"/>
      <c r="B1432" s="76"/>
      <c r="C1432" s="76"/>
      <c r="D1432" s="9"/>
      <c r="E1432" s="9"/>
      <c r="F1432" s="9"/>
      <c r="G1432" s="33"/>
      <c r="H1432" s="33"/>
      <c r="I1432" s="9"/>
      <c r="J1432" s="33"/>
      <c r="K1432" s="9"/>
    </row>
    <row r="1433" customFormat="false" ht="15" hidden="false" customHeight="true" outlineLevel="0" collapsed="false">
      <c r="A1433" s="73"/>
      <c r="B1433" s="74"/>
      <c r="C1433" s="74"/>
      <c r="D1433" s="73"/>
      <c r="E1433" s="73"/>
      <c r="F1433" s="73"/>
      <c r="G1433" s="75"/>
      <c r="H1433" s="75"/>
      <c r="I1433" s="73"/>
      <c r="J1433" s="31"/>
      <c r="K1433" s="32"/>
    </row>
    <row r="1434" customFormat="false" ht="15" hidden="false" customHeight="true" outlineLevel="0" collapsed="false">
      <c r="A1434" s="9"/>
      <c r="B1434" s="76"/>
      <c r="C1434" s="76"/>
      <c r="D1434" s="9"/>
      <c r="E1434" s="9"/>
      <c r="F1434" s="9"/>
      <c r="G1434" s="33"/>
      <c r="H1434" s="33"/>
      <c r="I1434" s="9"/>
      <c r="J1434" s="33"/>
      <c r="K1434" s="9"/>
    </row>
    <row r="1435" customFormat="false" ht="15" hidden="false" customHeight="true" outlineLevel="0" collapsed="false">
      <c r="A1435" s="73"/>
      <c r="B1435" s="74"/>
      <c r="C1435" s="74"/>
      <c r="D1435" s="73"/>
      <c r="E1435" s="73"/>
      <c r="F1435" s="73"/>
      <c r="G1435" s="75"/>
      <c r="H1435" s="75"/>
      <c r="I1435" s="73"/>
      <c r="J1435" s="31"/>
      <c r="K1435" s="32"/>
    </row>
    <row r="1436" customFormat="false" ht="15" hidden="false" customHeight="true" outlineLevel="0" collapsed="false">
      <c r="A1436" s="9"/>
      <c r="B1436" s="76"/>
      <c r="C1436" s="76"/>
      <c r="D1436" s="9"/>
      <c r="E1436" s="9"/>
      <c r="F1436" s="9"/>
      <c r="G1436" s="33"/>
      <c r="H1436" s="33"/>
      <c r="I1436" s="9"/>
      <c r="J1436" s="33"/>
      <c r="K1436" s="9"/>
    </row>
    <row r="1437" customFormat="false" ht="15" hidden="false" customHeight="true" outlineLevel="0" collapsed="false">
      <c r="A1437" s="73"/>
      <c r="B1437" s="74"/>
      <c r="C1437" s="74"/>
      <c r="D1437" s="73"/>
      <c r="E1437" s="73"/>
      <c r="F1437" s="73"/>
      <c r="G1437" s="75"/>
      <c r="H1437" s="75"/>
      <c r="I1437" s="73"/>
      <c r="J1437" s="31"/>
      <c r="K1437" s="32"/>
    </row>
    <row r="1438" customFormat="false" ht="15" hidden="false" customHeight="true" outlineLevel="0" collapsed="false">
      <c r="A1438" s="9"/>
      <c r="B1438" s="76"/>
      <c r="C1438" s="76"/>
      <c r="D1438" s="9"/>
      <c r="E1438" s="9"/>
      <c r="F1438" s="9"/>
      <c r="G1438" s="33"/>
      <c r="H1438" s="33"/>
      <c r="I1438" s="9"/>
      <c r="J1438" s="33"/>
      <c r="K1438" s="9"/>
    </row>
    <row r="1439" customFormat="false" ht="15" hidden="false" customHeight="true" outlineLevel="0" collapsed="false">
      <c r="A1439" s="73"/>
      <c r="B1439" s="74"/>
      <c r="C1439" s="74"/>
      <c r="D1439" s="73"/>
      <c r="E1439" s="73"/>
      <c r="F1439" s="73"/>
      <c r="G1439" s="75"/>
      <c r="H1439" s="75"/>
      <c r="I1439" s="73"/>
      <c r="J1439" s="31"/>
      <c r="K1439" s="32"/>
    </row>
    <row r="1440" customFormat="false" ht="15" hidden="false" customHeight="true" outlineLevel="0" collapsed="false">
      <c r="A1440" s="9"/>
      <c r="B1440" s="76"/>
      <c r="C1440" s="76"/>
      <c r="D1440" s="9"/>
      <c r="E1440" s="9"/>
      <c r="F1440" s="9"/>
      <c r="G1440" s="33"/>
      <c r="H1440" s="33"/>
      <c r="I1440" s="9"/>
      <c r="J1440" s="33"/>
      <c r="K1440" s="9"/>
    </row>
    <row r="1441" customFormat="false" ht="15" hidden="false" customHeight="true" outlineLevel="0" collapsed="false">
      <c r="A1441" s="73"/>
      <c r="B1441" s="74"/>
      <c r="C1441" s="74"/>
      <c r="D1441" s="73"/>
      <c r="E1441" s="73"/>
      <c r="F1441" s="73"/>
      <c r="G1441" s="75"/>
      <c r="H1441" s="75"/>
      <c r="I1441" s="73"/>
      <c r="J1441" s="31"/>
      <c r="K1441" s="32"/>
    </row>
    <row r="1442" customFormat="false" ht="15" hidden="false" customHeight="true" outlineLevel="0" collapsed="false">
      <c r="A1442" s="9"/>
      <c r="B1442" s="76"/>
      <c r="C1442" s="76"/>
      <c r="D1442" s="9"/>
      <c r="E1442" s="9"/>
      <c r="F1442" s="9"/>
      <c r="G1442" s="33"/>
      <c r="H1442" s="33"/>
      <c r="I1442" s="9"/>
      <c r="J1442" s="33"/>
      <c r="K1442" s="9"/>
    </row>
    <row r="1443" customFormat="false" ht="15" hidden="false" customHeight="true" outlineLevel="0" collapsed="false">
      <c r="A1443" s="73"/>
      <c r="B1443" s="74"/>
      <c r="C1443" s="74"/>
      <c r="D1443" s="73"/>
      <c r="E1443" s="73"/>
      <c r="F1443" s="73"/>
      <c r="G1443" s="75"/>
      <c r="H1443" s="75"/>
      <c r="I1443" s="73"/>
      <c r="J1443" s="31"/>
      <c r="K1443" s="32"/>
    </row>
    <row r="1444" customFormat="false" ht="15" hidden="false" customHeight="true" outlineLevel="0" collapsed="false">
      <c r="A1444" s="9"/>
      <c r="B1444" s="76"/>
      <c r="C1444" s="76"/>
      <c r="D1444" s="9"/>
      <c r="E1444" s="9"/>
      <c r="F1444" s="9"/>
      <c r="G1444" s="33"/>
      <c r="H1444" s="33"/>
      <c r="I1444" s="9"/>
      <c r="J1444" s="33"/>
      <c r="K1444" s="9"/>
    </row>
    <row r="1445" customFormat="false" ht="15" hidden="false" customHeight="true" outlineLevel="0" collapsed="false">
      <c r="A1445" s="73"/>
      <c r="B1445" s="74"/>
      <c r="C1445" s="74"/>
      <c r="D1445" s="73"/>
      <c r="E1445" s="73"/>
      <c r="F1445" s="73"/>
      <c r="G1445" s="75"/>
      <c r="H1445" s="75"/>
      <c r="I1445" s="73"/>
      <c r="J1445" s="31"/>
      <c r="K1445" s="32"/>
    </row>
    <row r="1446" customFormat="false" ht="15" hidden="false" customHeight="true" outlineLevel="0" collapsed="false">
      <c r="A1446" s="9"/>
      <c r="B1446" s="76"/>
      <c r="C1446" s="76"/>
      <c r="D1446" s="9"/>
      <c r="E1446" s="9"/>
      <c r="F1446" s="9"/>
      <c r="G1446" s="33"/>
      <c r="H1446" s="33"/>
      <c r="I1446" s="9"/>
      <c r="J1446" s="33"/>
      <c r="K1446" s="9"/>
    </row>
    <row r="1447" customFormat="false" ht="15" hidden="false" customHeight="true" outlineLevel="0" collapsed="false">
      <c r="A1447" s="73"/>
      <c r="B1447" s="74"/>
      <c r="C1447" s="74"/>
      <c r="D1447" s="73"/>
      <c r="E1447" s="73"/>
      <c r="F1447" s="73"/>
      <c r="G1447" s="75"/>
      <c r="H1447" s="75"/>
      <c r="I1447" s="73"/>
      <c r="J1447" s="31"/>
      <c r="K1447" s="32"/>
    </row>
    <row r="1448" customFormat="false" ht="15" hidden="false" customHeight="true" outlineLevel="0" collapsed="false">
      <c r="A1448" s="9"/>
      <c r="B1448" s="76"/>
      <c r="C1448" s="76"/>
      <c r="D1448" s="9"/>
      <c r="E1448" s="9"/>
      <c r="F1448" s="9"/>
      <c r="G1448" s="33"/>
      <c r="H1448" s="33"/>
      <c r="I1448" s="9"/>
      <c r="J1448" s="33"/>
      <c r="K1448" s="9"/>
    </row>
    <row r="1449" customFormat="false" ht="15" hidden="false" customHeight="true" outlineLevel="0" collapsed="false">
      <c r="A1449" s="73"/>
      <c r="B1449" s="74"/>
      <c r="C1449" s="74"/>
      <c r="D1449" s="73"/>
      <c r="E1449" s="73"/>
      <c r="F1449" s="73"/>
      <c r="G1449" s="75"/>
      <c r="H1449" s="75"/>
      <c r="I1449" s="73"/>
      <c r="J1449" s="31"/>
      <c r="K1449" s="32"/>
    </row>
    <row r="1450" customFormat="false" ht="15" hidden="false" customHeight="true" outlineLevel="0" collapsed="false">
      <c r="A1450" s="9"/>
      <c r="B1450" s="76"/>
      <c r="C1450" s="76"/>
      <c r="D1450" s="9"/>
      <c r="E1450" s="9"/>
      <c r="F1450" s="9"/>
      <c r="G1450" s="33"/>
      <c r="H1450" s="33"/>
      <c r="I1450" s="9"/>
      <c r="J1450" s="33"/>
      <c r="K1450" s="9"/>
    </row>
    <row r="1451" customFormat="false" ht="15" hidden="false" customHeight="true" outlineLevel="0" collapsed="false">
      <c r="A1451" s="73"/>
      <c r="B1451" s="74"/>
      <c r="C1451" s="74"/>
      <c r="D1451" s="73"/>
      <c r="E1451" s="73"/>
      <c r="F1451" s="73"/>
      <c r="G1451" s="75"/>
      <c r="H1451" s="75"/>
      <c r="I1451" s="73"/>
      <c r="J1451" s="31"/>
      <c r="K1451" s="32"/>
    </row>
    <row r="1452" customFormat="false" ht="15" hidden="false" customHeight="true" outlineLevel="0" collapsed="false">
      <c r="A1452" s="9"/>
      <c r="B1452" s="76"/>
      <c r="C1452" s="76"/>
      <c r="D1452" s="9"/>
      <c r="E1452" s="9"/>
      <c r="F1452" s="9"/>
      <c r="G1452" s="33"/>
      <c r="H1452" s="33"/>
      <c r="I1452" s="9"/>
      <c r="J1452" s="33"/>
      <c r="K1452" s="9"/>
    </row>
    <row r="1453" customFormat="false" ht="15" hidden="false" customHeight="true" outlineLevel="0" collapsed="false">
      <c r="A1453" s="73"/>
      <c r="B1453" s="74"/>
      <c r="C1453" s="74"/>
      <c r="D1453" s="73"/>
      <c r="E1453" s="73"/>
      <c r="F1453" s="73"/>
      <c r="G1453" s="75"/>
      <c r="H1453" s="75"/>
      <c r="I1453" s="73"/>
      <c r="J1453" s="31"/>
      <c r="K1453" s="32"/>
    </row>
    <row r="1454" customFormat="false" ht="15" hidden="false" customHeight="true" outlineLevel="0" collapsed="false">
      <c r="A1454" s="9"/>
      <c r="B1454" s="76"/>
      <c r="C1454" s="76"/>
      <c r="D1454" s="9"/>
      <c r="E1454" s="9"/>
      <c r="F1454" s="9"/>
      <c r="G1454" s="33"/>
      <c r="H1454" s="33"/>
      <c r="I1454" s="9"/>
      <c r="J1454" s="33"/>
      <c r="K1454" s="9"/>
    </row>
    <row r="1455" customFormat="false" ht="15" hidden="false" customHeight="true" outlineLevel="0" collapsed="false">
      <c r="A1455" s="73"/>
      <c r="B1455" s="74"/>
      <c r="C1455" s="74"/>
      <c r="D1455" s="73"/>
      <c r="E1455" s="73"/>
      <c r="F1455" s="73"/>
      <c r="G1455" s="75"/>
      <c r="H1455" s="75"/>
      <c r="I1455" s="73"/>
      <c r="J1455" s="31"/>
      <c r="K1455" s="32"/>
    </row>
    <row r="1456" customFormat="false" ht="15" hidden="false" customHeight="true" outlineLevel="0" collapsed="false">
      <c r="A1456" s="9"/>
      <c r="B1456" s="76"/>
      <c r="C1456" s="76"/>
      <c r="D1456" s="9"/>
      <c r="E1456" s="9"/>
      <c r="F1456" s="9"/>
      <c r="G1456" s="33"/>
      <c r="H1456" s="33"/>
      <c r="I1456" s="9"/>
      <c r="J1456" s="33"/>
      <c r="K1456" s="9"/>
    </row>
    <row r="1457" customFormat="false" ht="15" hidden="false" customHeight="true" outlineLevel="0" collapsed="false">
      <c r="A1457" s="73"/>
      <c r="B1457" s="74"/>
      <c r="C1457" s="74"/>
      <c r="D1457" s="73"/>
      <c r="E1457" s="73"/>
      <c r="F1457" s="73"/>
      <c r="G1457" s="75"/>
      <c r="H1457" s="75"/>
      <c r="I1457" s="73"/>
      <c r="J1457" s="31"/>
      <c r="K1457" s="32"/>
    </row>
    <row r="1458" customFormat="false" ht="15" hidden="false" customHeight="true" outlineLevel="0" collapsed="false">
      <c r="A1458" s="9"/>
      <c r="B1458" s="76"/>
      <c r="C1458" s="76"/>
      <c r="D1458" s="9"/>
      <c r="E1458" s="9"/>
      <c r="F1458" s="9"/>
      <c r="G1458" s="33"/>
      <c r="H1458" s="33"/>
      <c r="I1458" s="9"/>
      <c r="J1458" s="33"/>
      <c r="K1458" s="9"/>
    </row>
    <row r="1459" customFormat="false" ht="15" hidden="false" customHeight="true" outlineLevel="0" collapsed="false">
      <c r="A1459" s="73"/>
      <c r="B1459" s="74"/>
      <c r="C1459" s="74"/>
      <c r="D1459" s="73"/>
      <c r="E1459" s="73"/>
      <c r="F1459" s="73"/>
      <c r="G1459" s="75"/>
      <c r="H1459" s="75"/>
      <c r="I1459" s="73"/>
      <c r="J1459" s="31"/>
      <c r="K1459" s="32"/>
    </row>
    <row r="1460" customFormat="false" ht="15" hidden="false" customHeight="true" outlineLevel="0" collapsed="false">
      <c r="A1460" s="9"/>
      <c r="B1460" s="76"/>
      <c r="C1460" s="76"/>
      <c r="D1460" s="9"/>
      <c r="E1460" s="9"/>
      <c r="F1460" s="9"/>
      <c r="G1460" s="33"/>
      <c r="H1460" s="33"/>
      <c r="I1460" s="9"/>
      <c r="J1460" s="33"/>
      <c r="K1460" s="9"/>
    </row>
    <row r="1461" customFormat="false" ht="15" hidden="false" customHeight="true" outlineLevel="0" collapsed="false">
      <c r="A1461" s="73"/>
      <c r="B1461" s="74"/>
      <c r="C1461" s="74"/>
      <c r="D1461" s="73"/>
      <c r="E1461" s="73"/>
      <c r="F1461" s="73"/>
      <c r="G1461" s="75"/>
      <c r="H1461" s="75"/>
      <c r="I1461" s="73"/>
      <c r="J1461" s="31"/>
      <c r="K1461" s="32"/>
    </row>
    <row r="1462" customFormat="false" ht="15" hidden="false" customHeight="true" outlineLevel="0" collapsed="false">
      <c r="A1462" s="9"/>
      <c r="B1462" s="76"/>
      <c r="C1462" s="76"/>
      <c r="D1462" s="9"/>
      <c r="E1462" s="9"/>
      <c r="F1462" s="9"/>
      <c r="G1462" s="33"/>
      <c r="H1462" s="33"/>
      <c r="I1462" s="9"/>
      <c r="J1462" s="33"/>
      <c r="K1462" s="9"/>
    </row>
    <row r="1463" customFormat="false" ht="15" hidden="false" customHeight="true" outlineLevel="0" collapsed="false">
      <c r="A1463" s="73"/>
      <c r="B1463" s="74"/>
      <c r="C1463" s="74"/>
      <c r="D1463" s="73"/>
      <c r="E1463" s="73"/>
      <c r="F1463" s="73"/>
      <c r="G1463" s="75"/>
      <c r="H1463" s="75"/>
      <c r="I1463" s="73"/>
      <c r="J1463" s="31"/>
      <c r="K1463" s="32"/>
    </row>
    <row r="1464" customFormat="false" ht="15" hidden="false" customHeight="true" outlineLevel="0" collapsed="false">
      <c r="A1464" s="9"/>
      <c r="B1464" s="76"/>
      <c r="C1464" s="76"/>
      <c r="D1464" s="9"/>
      <c r="E1464" s="9"/>
      <c r="F1464" s="9"/>
      <c r="G1464" s="33"/>
      <c r="H1464" s="33"/>
      <c r="I1464" s="9"/>
      <c r="J1464" s="33"/>
      <c r="K1464" s="9"/>
    </row>
    <row r="1465" customFormat="false" ht="15" hidden="false" customHeight="true" outlineLevel="0" collapsed="false">
      <c r="A1465" s="73"/>
      <c r="B1465" s="74"/>
      <c r="C1465" s="74"/>
      <c r="D1465" s="73"/>
      <c r="E1465" s="73"/>
      <c r="F1465" s="73"/>
      <c r="G1465" s="75"/>
      <c r="H1465" s="75"/>
      <c r="I1465" s="73"/>
      <c r="J1465" s="31"/>
      <c r="K1465" s="32"/>
    </row>
    <row r="1466" customFormat="false" ht="15" hidden="false" customHeight="true" outlineLevel="0" collapsed="false">
      <c r="A1466" s="9"/>
      <c r="B1466" s="76"/>
      <c r="C1466" s="76"/>
      <c r="D1466" s="9"/>
      <c r="E1466" s="9"/>
      <c r="F1466" s="9"/>
      <c r="G1466" s="33"/>
      <c r="H1466" s="33"/>
      <c r="I1466" s="9"/>
      <c r="J1466" s="33"/>
      <c r="K1466" s="9"/>
    </row>
    <row r="1467" customFormat="false" ht="15" hidden="false" customHeight="true" outlineLevel="0" collapsed="false">
      <c r="A1467" s="73"/>
      <c r="B1467" s="74"/>
      <c r="C1467" s="74"/>
      <c r="D1467" s="73"/>
      <c r="E1467" s="73"/>
      <c r="F1467" s="73"/>
      <c r="G1467" s="75"/>
      <c r="H1467" s="75"/>
      <c r="I1467" s="73"/>
      <c r="J1467" s="31"/>
      <c r="K1467" s="32"/>
    </row>
    <row r="1468" customFormat="false" ht="15" hidden="false" customHeight="true" outlineLevel="0" collapsed="false">
      <c r="A1468" s="9"/>
      <c r="B1468" s="76"/>
      <c r="C1468" s="76"/>
      <c r="D1468" s="9"/>
      <c r="E1468" s="9"/>
      <c r="F1468" s="9"/>
      <c r="G1468" s="33"/>
      <c r="H1468" s="33"/>
      <c r="I1468" s="9"/>
      <c r="J1468" s="33"/>
      <c r="K1468" s="9"/>
    </row>
    <row r="1469" customFormat="false" ht="15" hidden="false" customHeight="true" outlineLevel="0" collapsed="false">
      <c r="A1469" s="73"/>
      <c r="B1469" s="74"/>
      <c r="C1469" s="74"/>
      <c r="D1469" s="73"/>
      <c r="E1469" s="73"/>
      <c r="F1469" s="73"/>
      <c r="G1469" s="75"/>
      <c r="H1469" s="75"/>
      <c r="I1469" s="73"/>
      <c r="J1469" s="31"/>
      <c r="K1469" s="32"/>
    </row>
    <row r="1470" customFormat="false" ht="15" hidden="false" customHeight="true" outlineLevel="0" collapsed="false">
      <c r="A1470" s="9"/>
      <c r="B1470" s="76"/>
      <c r="C1470" s="76"/>
      <c r="D1470" s="9"/>
      <c r="E1470" s="9"/>
      <c r="F1470" s="9"/>
      <c r="G1470" s="33"/>
      <c r="H1470" s="33"/>
      <c r="I1470" s="9"/>
      <c r="J1470" s="33"/>
      <c r="K1470" s="9"/>
    </row>
    <row r="1471" customFormat="false" ht="15" hidden="false" customHeight="true" outlineLevel="0" collapsed="false">
      <c r="A1471" s="73"/>
      <c r="B1471" s="74"/>
      <c r="C1471" s="74"/>
      <c r="D1471" s="73"/>
      <c r="E1471" s="73"/>
      <c r="F1471" s="73"/>
      <c r="G1471" s="75"/>
      <c r="H1471" s="75"/>
      <c r="I1471" s="73"/>
      <c r="J1471" s="31"/>
      <c r="K1471" s="32"/>
    </row>
    <row r="1472" customFormat="false" ht="15" hidden="false" customHeight="true" outlineLevel="0" collapsed="false">
      <c r="A1472" s="9"/>
      <c r="B1472" s="76"/>
      <c r="C1472" s="76"/>
      <c r="D1472" s="9"/>
      <c r="E1472" s="9"/>
      <c r="F1472" s="9"/>
      <c r="G1472" s="33"/>
      <c r="H1472" s="33"/>
      <c r="I1472" s="9"/>
      <c r="J1472" s="33"/>
      <c r="K1472" s="9"/>
    </row>
    <row r="1473" customFormat="false" ht="15" hidden="false" customHeight="true" outlineLevel="0" collapsed="false">
      <c r="A1473" s="73"/>
      <c r="B1473" s="74"/>
      <c r="C1473" s="74"/>
      <c r="D1473" s="73"/>
      <c r="E1473" s="73"/>
      <c r="F1473" s="73"/>
      <c r="G1473" s="75"/>
      <c r="H1473" s="75"/>
      <c r="I1473" s="73"/>
      <c r="J1473" s="31"/>
      <c r="K1473" s="32"/>
    </row>
    <row r="1474" customFormat="false" ht="15" hidden="false" customHeight="true" outlineLevel="0" collapsed="false">
      <c r="A1474" s="9"/>
      <c r="B1474" s="76"/>
      <c r="C1474" s="76"/>
      <c r="D1474" s="9"/>
      <c r="E1474" s="9"/>
      <c r="F1474" s="9"/>
      <c r="G1474" s="33"/>
      <c r="H1474" s="33"/>
      <c r="I1474" s="9"/>
      <c r="J1474" s="33"/>
      <c r="K1474" s="9"/>
    </row>
    <row r="1475" customFormat="false" ht="15" hidden="false" customHeight="true" outlineLevel="0" collapsed="false">
      <c r="A1475" s="73"/>
      <c r="B1475" s="74"/>
      <c r="C1475" s="74"/>
      <c r="D1475" s="73"/>
      <c r="E1475" s="73"/>
      <c r="F1475" s="73"/>
      <c r="G1475" s="75"/>
      <c r="H1475" s="75"/>
      <c r="I1475" s="73"/>
      <c r="J1475" s="31"/>
      <c r="K1475" s="32"/>
    </row>
    <row r="1476" customFormat="false" ht="15" hidden="false" customHeight="true" outlineLevel="0" collapsed="false">
      <c r="A1476" s="9"/>
      <c r="B1476" s="76"/>
      <c r="C1476" s="76"/>
      <c r="D1476" s="9"/>
      <c r="E1476" s="9"/>
      <c r="F1476" s="9"/>
      <c r="G1476" s="33"/>
      <c r="H1476" s="33"/>
      <c r="I1476" s="9"/>
      <c r="J1476" s="33"/>
      <c r="K1476" s="9"/>
    </row>
    <row r="1477" customFormat="false" ht="15" hidden="false" customHeight="true" outlineLevel="0" collapsed="false">
      <c r="A1477" s="73"/>
      <c r="B1477" s="74"/>
      <c r="C1477" s="74"/>
      <c r="D1477" s="73"/>
      <c r="E1477" s="73"/>
      <c r="F1477" s="73"/>
      <c r="G1477" s="75"/>
      <c r="H1477" s="75"/>
      <c r="I1477" s="73"/>
      <c r="J1477" s="31"/>
      <c r="K1477" s="32"/>
    </row>
    <row r="1478" customFormat="false" ht="15" hidden="false" customHeight="true" outlineLevel="0" collapsed="false">
      <c r="A1478" s="9"/>
      <c r="B1478" s="76"/>
      <c r="C1478" s="76"/>
      <c r="D1478" s="9"/>
      <c r="E1478" s="9"/>
      <c r="F1478" s="9"/>
      <c r="G1478" s="33"/>
      <c r="H1478" s="33"/>
      <c r="I1478" s="9"/>
      <c r="J1478" s="33"/>
      <c r="K1478" s="9"/>
    </row>
    <row r="1479" customFormat="false" ht="15" hidden="false" customHeight="true" outlineLevel="0" collapsed="false">
      <c r="A1479" s="73"/>
      <c r="B1479" s="74"/>
      <c r="C1479" s="74"/>
      <c r="D1479" s="73"/>
      <c r="E1479" s="73"/>
      <c r="F1479" s="73"/>
      <c r="G1479" s="75"/>
      <c r="H1479" s="75"/>
      <c r="I1479" s="73"/>
      <c r="J1479" s="31"/>
      <c r="K1479" s="32"/>
    </row>
    <row r="1480" customFormat="false" ht="15" hidden="false" customHeight="true" outlineLevel="0" collapsed="false">
      <c r="A1480" s="9"/>
      <c r="B1480" s="76"/>
      <c r="C1480" s="76"/>
      <c r="D1480" s="9"/>
      <c r="E1480" s="9"/>
      <c r="F1480" s="9"/>
      <c r="G1480" s="33"/>
      <c r="H1480" s="33"/>
      <c r="I1480" s="9"/>
      <c r="J1480" s="33"/>
      <c r="K1480" s="9"/>
    </row>
    <row r="1481" customFormat="false" ht="15" hidden="false" customHeight="true" outlineLevel="0" collapsed="false">
      <c r="A1481" s="73"/>
      <c r="B1481" s="74"/>
      <c r="C1481" s="74"/>
      <c r="D1481" s="73"/>
      <c r="E1481" s="73"/>
      <c r="F1481" s="73"/>
      <c r="G1481" s="75"/>
      <c r="H1481" s="75"/>
      <c r="I1481" s="73"/>
      <c r="J1481" s="31"/>
      <c r="K1481" s="32"/>
    </row>
    <row r="1482" customFormat="false" ht="15" hidden="false" customHeight="true" outlineLevel="0" collapsed="false">
      <c r="A1482" s="9"/>
      <c r="B1482" s="76"/>
      <c r="C1482" s="76"/>
      <c r="D1482" s="9"/>
      <c r="E1482" s="9"/>
      <c r="F1482" s="9"/>
      <c r="G1482" s="33"/>
      <c r="H1482" s="33"/>
      <c r="I1482" s="9"/>
      <c r="J1482" s="33"/>
      <c r="K1482" s="9"/>
    </row>
    <row r="1483" customFormat="false" ht="15" hidden="false" customHeight="true" outlineLevel="0" collapsed="false">
      <c r="A1483" s="73"/>
      <c r="B1483" s="74"/>
      <c r="C1483" s="74"/>
      <c r="D1483" s="73"/>
      <c r="E1483" s="73"/>
      <c r="F1483" s="73"/>
      <c r="G1483" s="75"/>
      <c r="H1483" s="75"/>
      <c r="I1483" s="73"/>
      <c r="J1483" s="31"/>
      <c r="K1483" s="32"/>
    </row>
    <row r="1484" customFormat="false" ht="15" hidden="false" customHeight="true" outlineLevel="0" collapsed="false">
      <c r="A1484" s="9"/>
      <c r="B1484" s="76"/>
      <c r="C1484" s="76"/>
      <c r="D1484" s="9"/>
      <c r="E1484" s="9"/>
      <c r="F1484" s="9"/>
      <c r="G1484" s="33"/>
      <c r="H1484" s="33"/>
      <c r="I1484" s="9"/>
      <c r="J1484" s="33"/>
      <c r="K1484" s="9"/>
    </row>
    <row r="1485" customFormat="false" ht="15" hidden="false" customHeight="true" outlineLevel="0" collapsed="false">
      <c r="A1485" s="73"/>
      <c r="B1485" s="74"/>
      <c r="C1485" s="74"/>
      <c r="D1485" s="73"/>
      <c r="E1485" s="73"/>
      <c r="F1485" s="73"/>
      <c r="G1485" s="75"/>
      <c r="H1485" s="75"/>
      <c r="I1485" s="73"/>
      <c r="J1485" s="31"/>
      <c r="K1485" s="32"/>
    </row>
    <row r="1486" customFormat="false" ht="15" hidden="false" customHeight="true" outlineLevel="0" collapsed="false">
      <c r="A1486" s="9"/>
      <c r="B1486" s="76"/>
      <c r="C1486" s="76"/>
      <c r="D1486" s="9"/>
      <c r="E1486" s="9"/>
      <c r="F1486" s="9"/>
      <c r="G1486" s="33"/>
      <c r="H1486" s="33"/>
      <c r="I1486" s="9"/>
      <c r="J1486" s="33"/>
      <c r="K1486" s="9"/>
    </row>
    <row r="1487" customFormat="false" ht="15" hidden="false" customHeight="true" outlineLevel="0" collapsed="false">
      <c r="A1487" s="73"/>
      <c r="B1487" s="74"/>
      <c r="C1487" s="74"/>
      <c r="D1487" s="73"/>
      <c r="E1487" s="73"/>
      <c r="F1487" s="73"/>
      <c r="G1487" s="75"/>
      <c r="H1487" s="75"/>
      <c r="I1487" s="73"/>
      <c r="J1487" s="31"/>
      <c r="K1487" s="32"/>
    </row>
    <row r="1488" customFormat="false" ht="15" hidden="false" customHeight="true" outlineLevel="0" collapsed="false">
      <c r="A1488" s="9"/>
      <c r="B1488" s="76"/>
      <c r="C1488" s="76"/>
      <c r="D1488" s="9"/>
      <c r="E1488" s="9"/>
      <c r="F1488" s="9"/>
      <c r="G1488" s="33"/>
      <c r="H1488" s="33"/>
      <c r="I1488" s="9"/>
      <c r="J1488" s="33"/>
      <c r="K1488" s="9"/>
    </row>
    <row r="1489" customFormat="false" ht="15" hidden="false" customHeight="true" outlineLevel="0" collapsed="false">
      <c r="A1489" s="73"/>
      <c r="B1489" s="74"/>
      <c r="C1489" s="74"/>
      <c r="D1489" s="73"/>
      <c r="E1489" s="73"/>
      <c r="F1489" s="73"/>
      <c r="G1489" s="75"/>
      <c r="H1489" s="75"/>
      <c r="I1489" s="73"/>
      <c r="J1489" s="31"/>
      <c r="K1489" s="32"/>
    </row>
    <row r="1490" customFormat="false" ht="15" hidden="false" customHeight="true" outlineLevel="0" collapsed="false">
      <c r="A1490" s="9"/>
      <c r="B1490" s="76"/>
      <c r="C1490" s="76"/>
      <c r="D1490" s="9"/>
      <c r="E1490" s="9"/>
      <c r="F1490" s="9"/>
      <c r="G1490" s="33"/>
      <c r="H1490" s="33"/>
      <c r="I1490" s="9"/>
      <c r="J1490" s="33"/>
      <c r="K1490" s="9"/>
    </row>
    <row r="1491" customFormat="false" ht="15" hidden="false" customHeight="true" outlineLevel="0" collapsed="false">
      <c r="A1491" s="73"/>
      <c r="B1491" s="74"/>
      <c r="C1491" s="74"/>
      <c r="D1491" s="73"/>
      <c r="E1491" s="73"/>
      <c r="F1491" s="73"/>
      <c r="G1491" s="75"/>
      <c r="H1491" s="75"/>
      <c r="I1491" s="73"/>
      <c r="J1491" s="31"/>
      <c r="K1491" s="32"/>
    </row>
    <row r="1492" customFormat="false" ht="15" hidden="false" customHeight="true" outlineLevel="0" collapsed="false">
      <c r="A1492" s="9"/>
      <c r="B1492" s="76"/>
      <c r="C1492" s="76"/>
      <c r="D1492" s="9"/>
      <c r="E1492" s="9"/>
      <c r="F1492" s="9"/>
      <c r="G1492" s="33"/>
      <c r="H1492" s="33"/>
      <c r="I1492" s="9"/>
      <c r="J1492" s="33"/>
      <c r="K1492" s="9"/>
    </row>
    <row r="1493" customFormat="false" ht="15" hidden="false" customHeight="true" outlineLevel="0" collapsed="false">
      <c r="A1493" s="73"/>
      <c r="B1493" s="74"/>
      <c r="C1493" s="74"/>
      <c r="D1493" s="73"/>
      <c r="E1493" s="73"/>
      <c r="F1493" s="73"/>
      <c r="G1493" s="75"/>
      <c r="H1493" s="75"/>
      <c r="I1493" s="73"/>
      <c r="J1493" s="31"/>
      <c r="K1493" s="32"/>
    </row>
    <row r="1494" customFormat="false" ht="15" hidden="false" customHeight="true" outlineLevel="0" collapsed="false">
      <c r="A1494" s="9"/>
      <c r="B1494" s="76"/>
      <c r="C1494" s="76"/>
      <c r="D1494" s="9"/>
      <c r="E1494" s="9"/>
      <c r="F1494" s="9"/>
      <c r="G1494" s="33"/>
      <c r="H1494" s="33"/>
      <c r="I1494" s="9"/>
      <c r="J1494" s="33"/>
      <c r="K1494" s="9"/>
    </row>
    <row r="1495" customFormat="false" ht="15" hidden="false" customHeight="true" outlineLevel="0" collapsed="false">
      <c r="A1495" s="73"/>
      <c r="B1495" s="74"/>
      <c r="C1495" s="74"/>
      <c r="D1495" s="73"/>
      <c r="E1495" s="73"/>
      <c r="F1495" s="73"/>
      <c r="G1495" s="75"/>
      <c r="H1495" s="75"/>
      <c r="I1495" s="73"/>
      <c r="J1495" s="31"/>
      <c r="K1495" s="32"/>
    </row>
    <row r="1496" customFormat="false" ht="15" hidden="false" customHeight="true" outlineLevel="0" collapsed="false">
      <c r="A1496" s="9"/>
      <c r="B1496" s="76"/>
      <c r="C1496" s="76"/>
      <c r="D1496" s="9"/>
      <c r="E1496" s="9"/>
      <c r="F1496" s="9"/>
      <c r="G1496" s="33"/>
      <c r="H1496" s="33"/>
      <c r="I1496" s="9"/>
      <c r="J1496" s="33"/>
      <c r="K1496" s="9"/>
    </row>
    <row r="1497" customFormat="false" ht="15" hidden="false" customHeight="true" outlineLevel="0" collapsed="false">
      <c r="A1497" s="73"/>
      <c r="B1497" s="74"/>
      <c r="C1497" s="74"/>
      <c r="D1497" s="73"/>
      <c r="E1497" s="73"/>
      <c r="F1497" s="73"/>
      <c r="G1497" s="75"/>
      <c r="H1497" s="75"/>
      <c r="I1497" s="73"/>
      <c r="J1497" s="31"/>
      <c r="K1497" s="32"/>
    </row>
    <row r="1498" customFormat="false" ht="15" hidden="false" customHeight="true" outlineLevel="0" collapsed="false">
      <c r="A1498" s="9"/>
      <c r="B1498" s="76"/>
      <c r="C1498" s="76"/>
      <c r="D1498" s="9"/>
      <c r="E1498" s="9"/>
      <c r="F1498" s="9"/>
      <c r="G1498" s="33"/>
      <c r="H1498" s="33"/>
      <c r="I1498" s="9"/>
      <c r="J1498" s="33"/>
      <c r="K1498" s="9"/>
    </row>
    <row r="1499" customFormat="false" ht="15" hidden="false" customHeight="true" outlineLevel="0" collapsed="false">
      <c r="A1499" s="73"/>
      <c r="B1499" s="74"/>
      <c r="C1499" s="74"/>
      <c r="D1499" s="73"/>
      <c r="E1499" s="73"/>
      <c r="F1499" s="73"/>
      <c r="G1499" s="75"/>
      <c r="H1499" s="75"/>
      <c r="I1499" s="73"/>
      <c r="J1499" s="31"/>
      <c r="K1499" s="32"/>
    </row>
    <row r="1500" customFormat="false" ht="15" hidden="false" customHeight="true" outlineLevel="0" collapsed="false">
      <c r="A1500" s="9"/>
      <c r="B1500" s="76"/>
      <c r="C1500" s="76"/>
      <c r="D1500" s="9"/>
      <c r="E1500" s="9"/>
      <c r="F1500" s="9"/>
      <c r="G1500" s="33"/>
      <c r="H1500" s="33"/>
      <c r="I1500" s="9"/>
      <c r="J1500" s="33"/>
      <c r="K1500" s="9"/>
    </row>
    <row r="1501" customFormat="false" ht="15" hidden="false" customHeight="true" outlineLevel="0" collapsed="false">
      <c r="A1501" s="73"/>
      <c r="B1501" s="74"/>
      <c r="C1501" s="74"/>
      <c r="D1501" s="73"/>
      <c r="E1501" s="73"/>
      <c r="F1501" s="73"/>
      <c r="G1501" s="75"/>
      <c r="H1501" s="75"/>
      <c r="I1501" s="73"/>
      <c r="J1501" s="31"/>
      <c r="K1501" s="32"/>
    </row>
    <row r="1502" customFormat="false" ht="15" hidden="false" customHeight="true" outlineLevel="0" collapsed="false">
      <c r="A1502" s="9"/>
      <c r="B1502" s="76"/>
      <c r="C1502" s="76"/>
      <c r="D1502" s="9"/>
      <c r="E1502" s="9"/>
      <c r="F1502" s="9"/>
      <c r="G1502" s="33"/>
      <c r="H1502" s="33"/>
      <c r="I1502" s="9"/>
      <c r="J1502" s="33"/>
      <c r="K1502" s="9"/>
    </row>
    <row r="1503" customFormat="false" ht="15" hidden="false" customHeight="true" outlineLevel="0" collapsed="false">
      <c r="A1503" s="73"/>
      <c r="B1503" s="74"/>
      <c r="C1503" s="74"/>
      <c r="D1503" s="73"/>
      <c r="E1503" s="73"/>
      <c r="F1503" s="73"/>
      <c r="G1503" s="75"/>
      <c r="H1503" s="75"/>
      <c r="I1503" s="73"/>
      <c r="J1503" s="31"/>
      <c r="K1503" s="32"/>
    </row>
    <row r="1504" customFormat="false" ht="15" hidden="false" customHeight="true" outlineLevel="0" collapsed="false">
      <c r="A1504" s="9"/>
      <c r="B1504" s="76"/>
      <c r="C1504" s="76"/>
      <c r="D1504" s="9"/>
      <c r="E1504" s="9"/>
      <c r="F1504" s="9"/>
      <c r="G1504" s="33"/>
      <c r="H1504" s="33"/>
      <c r="I1504" s="9"/>
      <c r="J1504" s="33"/>
      <c r="K1504" s="9"/>
    </row>
    <row r="1505" customFormat="false" ht="15" hidden="false" customHeight="true" outlineLevel="0" collapsed="false">
      <c r="A1505" s="73"/>
      <c r="B1505" s="74"/>
      <c r="C1505" s="74"/>
      <c r="D1505" s="73"/>
      <c r="E1505" s="73"/>
      <c r="F1505" s="73"/>
      <c r="G1505" s="75"/>
      <c r="H1505" s="75"/>
      <c r="I1505" s="73"/>
      <c r="J1505" s="31"/>
      <c r="K1505" s="32"/>
    </row>
    <row r="1506" customFormat="false" ht="15" hidden="false" customHeight="true" outlineLevel="0" collapsed="false">
      <c r="A1506" s="9"/>
      <c r="B1506" s="76"/>
      <c r="C1506" s="76"/>
      <c r="D1506" s="9"/>
      <c r="E1506" s="9"/>
      <c r="F1506" s="9"/>
      <c r="G1506" s="33"/>
      <c r="H1506" s="33"/>
      <c r="I1506" s="9"/>
      <c r="J1506" s="33"/>
      <c r="K1506" s="9"/>
    </row>
    <row r="1507" customFormat="false" ht="15" hidden="false" customHeight="true" outlineLevel="0" collapsed="false">
      <c r="A1507" s="73"/>
      <c r="B1507" s="74"/>
      <c r="C1507" s="74"/>
      <c r="D1507" s="73"/>
      <c r="E1507" s="73"/>
      <c r="F1507" s="73"/>
      <c r="G1507" s="75"/>
      <c r="H1507" s="75"/>
      <c r="I1507" s="73"/>
      <c r="J1507" s="31"/>
      <c r="K1507" s="32"/>
    </row>
    <row r="1508" customFormat="false" ht="15" hidden="false" customHeight="true" outlineLevel="0" collapsed="false">
      <c r="A1508" s="9"/>
      <c r="B1508" s="76"/>
      <c r="C1508" s="76"/>
      <c r="D1508" s="9"/>
      <c r="E1508" s="9"/>
      <c r="F1508" s="9"/>
      <c r="G1508" s="33"/>
      <c r="H1508" s="33"/>
      <c r="I1508" s="9"/>
      <c r="J1508" s="33"/>
      <c r="K1508" s="9"/>
    </row>
    <row r="1509" customFormat="false" ht="15" hidden="false" customHeight="true" outlineLevel="0" collapsed="false">
      <c r="A1509" s="73"/>
      <c r="B1509" s="74"/>
      <c r="C1509" s="74"/>
      <c r="D1509" s="73"/>
      <c r="E1509" s="73"/>
      <c r="F1509" s="73"/>
      <c r="G1509" s="75"/>
      <c r="H1509" s="75"/>
      <c r="I1509" s="73"/>
      <c r="J1509" s="31"/>
      <c r="K1509" s="32"/>
    </row>
    <row r="1510" customFormat="false" ht="15" hidden="false" customHeight="true" outlineLevel="0" collapsed="false">
      <c r="A1510" s="9"/>
      <c r="B1510" s="76"/>
      <c r="C1510" s="76"/>
      <c r="D1510" s="9"/>
      <c r="E1510" s="9"/>
      <c r="F1510" s="9"/>
      <c r="G1510" s="33"/>
      <c r="H1510" s="33"/>
      <c r="I1510" s="9"/>
      <c r="J1510" s="33"/>
      <c r="K1510" s="9"/>
    </row>
    <row r="1511" customFormat="false" ht="15" hidden="false" customHeight="true" outlineLevel="0" collapsed="false">
      <c r="A1511" s="73"/>
      <c r="B1511" s="74"/>
      <c r="C1511" s="74"/>
      <c r="D1511" s="73"/>
      <c r="E1511" s="73"/>
      <c r="F1511" s="73"/>
      <c r="G1511" s="75"/>
      <c r="H1511" s="75"/>
      <c r="I1511" s="73"/>
      <c r="J1511" s="31"/>
      <c r="K1511" s="32"/>
    </row>
    <row r="1512" customFormat="false" ht="15" hidden="false" customHeight="true" outlineLevel="0" collapsed="false">
      <c r="A1512" s="9"/>
      <c r="B1512" s="76"/>
      <c r="C1512" s="76"/>
      <c r="D1512" s="9"/>
      <c r="E1512" s="9"/>
      <c r="F1512" s="9"/>
      <c r="G1512" s="33"/>
      <c r="H1512" s="33"/>
      <c r="I1512" s="9"/>
      <c r="J1512" s="33"/>
      <c r="K1512" s="9"/>
    </row>
    <row r="1513" customFormat="false" ht="15" hidden="false" customHeight="true" outlineLevel="0" collapsed="false">
      <c r="A1513" s="73"/>
      <c r="B1513" s="74"/>
      <c r="C1513" s="74"/>
      <c r="D1513" s="73"/>
      <c r="E1513" s="73"/>
      <c r="F1513" s="73"/>
      <c r="G1513" s="75"/>
      <c r="H1513" s="75"/>
      <c r="I1513" s="73"/>
      <c r="J1513" s="31"/>
      <c r="K1513" s="32"/>
    </row>
    <row r="1514" customFormat="false" ht="15" hidden="false" customHeight="true" outlineLevel="0" collapsed="false">
      <c r="A1514" s="9"/>
      <c r="B1514" s="76"/>
      <c r="C1514" s="76"/>
      <c r="D1514" s="9"/>
      <c r="E1514" s="9"/>
      <c r="F1514" s="9"/>
      <c r="G1514" s="33"/>
      <c r="H1514" s="33"/>
      <c r="I1514" s="9"/>
      <c r="J1514" s="33"/>
      <c r="K1514" s="9"/>
    </row>
    <row r="1515" customFormat="false" ht="15" hidden="false" customHeight="true" outlineLevel="0" collapsed="false">
      <c r="A1515" s="73"/>
      <c r="B1515" s="74"/>
      <c r="C1515" s="74"/>
      <c r="D1515" s="73"/>
      <c r="E1515" s="73"/>
      <c r="F1515" s="73"/>
      <c r="G1515" s="75"/>
      <c r="H1515" s="75"/>
      <c r="I1515" s="73"/>
      <c r="J1515" s="31"/>
      <c r="K1515" s="32"/>
    </row>
    <row r="1516" customFormat="false" ht="15" hidden="false" customHeight="true" outlineLevel="0" collapsed="false">
      <c r="A1516" s="9"/>
      <c r="B1516" s="76"/>
      <c r="C1516" s="76"/>
      <c r="D1516" s="9"/>
      <c r="E1516" s="9"/>
      <c r="F1516" s="9"/>
      <c r="G1516" s="33"/>
      <c r="H1516" s="33"/>
      <c r="I1516" s="9"/>
      <c r="J1516" s="33"/>
      <c r="K1516" s="9"/>
    </row>
    <row r="1517" customFormat="false" ht="15" hidden="false" customHeight="true" outlineLevel="0" collapsed="false">
      <c r="A1517" s="73"/>
      <c r="B1517" s="74"/>
      <c r="C1517" s="74"/>
      <c r="D1517" s="73"/>
      <c r="E1517" s="73"/>
      <c r="F1517" s="73"/>
      <c r="G1517" s="75"/>
      <c r="H1517" s="75"/>
      <c r="I1517" s="73"/>
      <c r="J1517" s="31"/>
      <c r="K1517" s="32"/>
    </row>
    <row r="1518" customFormat="false" ht="15" hidden="false" customHeight="true" outlineLevel="0" collapsed="false">
      <c r="A1518" s="9"/>
      <c r="B1518" s="76"/>
      <c r="C1518" s="76"/>
      <c r="D1518" s="9"/>
      <c r="E1518" s="9"/>
      <c r="F1518" s="9"/>
      <c r="G1518" s="33"/>
      <c r="H1518" s="33"/>
      <c r="I1518" s="9"/>
      <c r="J1518" s="33"/>
      <c r="K1518" s="9"/>
    </row>
    <row r="1519" customFormat="false" ht="15" hidden="false" customHeight="true" outlineLevel="0" collapsed="false">
      <c r="A1519" s="73"/>
      <c r="B1519" s="74"/>
      <c r="C1519" s="74"/>
      <c r="D1519" s="73"/>
      <c r="E1519" s="73"/>
      <c r="F1519" s="73"/>
      <c r="G1519" s="75"/>
      <c r="H1519" s="75"/>
      <c r="I1519" s="73"/>
      <c r="J1519" s="31"/>
      <c r="K1519" s="32"/>
    </row>
    <row r="1520" customFormat="false" ht="15" hidden="false" customHeight="true" outlineLevel="0" collapsed="false">
      <c r="A1520" s="9"/>
      <c r="B1520" s="76"/>
      <c r="C1520" s="76"/>
      <c r="D1520" s="9"/>
      <c r="E1520" s="9"/>
      <c r="F1520" s="9"/>
      <c r="G1520" s="33"/>
      <c r="H1520" s="33"/>
      <c r="I1520" s="9"/>
      <c r="J1520" s="33"/>
      <c r="K1520" s="9"/>
    </row>
    <row r="1521" customFormat="false" ht="15" hidden="false" customHeight="true" outlineLevel="0" collapsed="false">
      <c r="A1521" s="73"/>
      <c r="B1521" s="74"/>
      <c r="C1521" s="74"/>
      <c r="D1521" s="73"/>
      <c r="E1521" s="73"/>
      <c r="F1521" s="73"/>
      <c r="G1521" s="75"/>
      <c r="H1521" s="75"/>
      <c r="I1521" s="73"/>
      <c r="J1521" s="31"/>
      <c r="K1521" s="32"/>
    </row>
    <row r="1522" customFormat="false" ht="15" hidden="false" customHeight="true" outlineLevel="0" collapsed="false">
      <c r="A1522" s="9"/>
      <c r="B1522" s="76"/>
      <c r="C1522" s="76"/>
      <c r="D1522" s="9"/>
      <c r="E1522" s="9"/>
      <c r="F1522" s="9"/>
      <c r="G1522" s="33"/>
      <c r="H1522" s="33"/>
      <c r="I1522" s="9"/>
      <c r="J1522" s="33"/>
      <c r="K1522" s="9"/>
    </row>
    <row r="1523" customFormat="false" ht="15" hidden="false" customHeight="true" outlineLevel="0" collapsed="false">
      <c r="A1523" s="73"/>
      <c r="B1523" s="74"/>
      <c r="C1523" s="74"/>
      <c r="D1523" s="73"/>
      <c r="E1523" s="73"/>
      <c r="F1523" s="73"/>
      <c r="G1523" s="75"/>
      <c r="H1523" s="75"/>
      <c r="I1523" s="73"/>
      <c r="J1523" s="31"/>
      <c r="K1523" s="32"/>
    </row>
    <row r="1524" customFormat="false" ht="15" hidden="false" customHeight="true" outlineLevel="0" collapsed="false">
      <c r="A1524" s="9"/>
      <c r="B1524" s="76"/>
      <c r="C1524" s="76"/>
      <c r="D1524" s="9"/>
      <c r="E1524" s="9"/>
      <c r="F1524" s="9"/>
      <c r="G1524" s="33"/>
      <c r="H1524" s="33"/>
      <c r="I1524" s="9"/>
      <c r="J1524" s="33"/>
      <c r="K1524" s="9"/>
    </row>
    <row r="1525" customFormat="false" ht="15" hidden="false" customHeight="true" outlineLevel="0" collapsed="false">
      <c r="A1525" s="73"/>
      <c r="B1525" s="74"/>
      <c r="C1525" s="74"/>
      <c r="D1525" s="73"/>
      <c r="E1525" s="73"/>
      <c r="F1525" s="73"/>
      <c r="G1525" s="75"/>
      <c r="H1525" s="75"/>
      <c r="I1525" s="73"/>
      <c r="J1525" s="31"/>
      <c r="K1525" s="32"/>
    </row>
    <row r="1526" customFormat="false" ht="15" hidden="false" customHeight="true" outlineLevel="0" collapsed="false">
      <c r="A1526" s="9"/>
      <c r="B1526" s="76"/>
      <c r="C1526" s="76"/>
      <c r="D1526" s="9"/>
      <c r="E1526" s="9"/>
      <c r="F1526" s="9"/>
      <c r="G1526" s="33"/>
      <c r="H1526" s="33"/>
      <c r="I1526" s="9"/>
      <c r="J1526" s="33"/>
      <c r="K1526" s="9"/>
    </row>
    <row r="1527" customFormat="false" ht="15" hidden="false" customHeight="true" outlineLevel="0" collapsed="false">
      <c r="A1527" s="73"/>
      <c r="B1527" s="74"/>
      <c r="C1527" s="74"/>
      <c r="D1527" s="73"/>
      <c r="E1527" s="73"/>
      <c r="F1527" s="73"/>
      <c r="G1527" s="75"/>
      <c r="H1527" s="75"/>
      <c r="I1527" s="73"/>
      <c r="J1527" s="31"/>
      <c r="K1527" s="32"/>
    </row>
    <row r="1528" customFormat="false" ht="15" hidden="false" customHeight="true" outlineLevel="0" collapsed="false">
      <c r="A1528" s="9"/>
      <c r="B1528" s="76"/>
      <c r="C1528" s="76"/>
      <c r="D1528" s="9"/>
      <c r="E1528" s="9"/>
      <c r="F1528" s="9"/>
      <c r="G1528" s="33"/>
      <c r="H1528" s="33"/>
      <c r="I1528" s="9"/>
      <c r="J1528" s="33"/>
      <c r="K1528" s="9"/>
    </row>
    <row r="1529" customFormat="false" ht="15" hidden="false" customHeight="true" outlineLevel="0" collapsed="false">
      <c r="A1529" s="73"/>
      <c r="B1529" s="74"/>
      <c r="C1529" s="74"/>
      <c r="D1529" s="73"/>
      <c r="E1529" s="73"/>
      <c r="F1529" s="73"/>
      <c r="G1529" s="75"/>
      <c r="H1529" s="75"/>
      <c r="I1529" s="73"/>
      <c r="J1529" s="31"/>
      <c r="K1529" s="32"/>
    </row>
    <row r="1530" customFormat="false" ht="15" hidden="false" customHeight="true" outlineLevel="0" collapsed="false">
      <c r="A1530" s="9"/>
      <c r="B1530" s="76"/>
      <c r="C1530" s="76"/>
      <c r="D1530" s="9"/>
      <c r="E1530" s="9"/>
      <c r="F1530" s="9"/>
      <c r="G1530" s="33"/>
      <c r="H1530" s="33"/>
      <c r="I1530" s="9"/>
      <c r="J1530" s="33"/>
      <c r="K1530" s="9"/>
    </row>
    <row r="1531" customFormat="false" ht="15" hidden="false" customHeight="true" outlineLevel="0" collapsed="false">
      <c r="A1531" s="73"/>
      <c r="B1531" s="74"/>
      <c r="C1531" s="74"/>
      <c r="D1531" s="73"/>
      <c r="E1531" s="73"/>
      <c r="F1531" s="73"/>
      <c r="G1531" s="75"/>
      <c r="H1531" s="75"/>
      <c r="I1531" s="73"/>
      <c r="J1531" s="31"/>
      <c r="K1531" s="32"/>
    </row>
    <row r="1532" customFormat="false" ht="15" hidden="false" customHeight="true" outlineLevel="0" collapsed="false">
      <c r="A1532" s="9"/>
      <c r="B1532" s="76"/>
      <c r="C1532" s="76"/>
      <c r="D1532" s="9"/>
      <c r="E1532" s="9"/>
      <c r="F1532" s="9"/>
      <c r="G1532" s="33"/>
      <c r="H1532" s="33"/>
      <c r="I1532" s="9"/>
      <c r="J1532" s="33"/>
      <c r="K1532" s="9"/>
    </row>
    <row r="1533" customFormat="false" ht="15" hidden="false" customHeight="true" outlineLevel="0" collapsed="false">
      <c r="A1533" s="73"/>
      <c r="B1533" s="74"/>
      <c r="C1533" s="74"/>
      <c r="D1533" s="73"/>
      <c r="E1533" s="73"/>
      <c r="F1533" s="73"/>
      <c r="G1533" s="75"/>
      <c r="H1533" s="75"/>
      <c r="I1533" s="73"/>
      <c r="J1533" s="31"/>
      <c r="K1533" s="32"/>
    </row>
    <row r="1534" customFormat="false" ht="15" hidden="false" customHeight="true" outlineLevel="0" collapsed="false">
      <c r="A1534" s="9"/>
      <c r="B1534" s="76"/>
      <c r="C1534" s="76"/>
      <c r="D1534" s="9"/>
      <c r="E1534" s="9"/>
      <c r="F1534" s="9"/>
      <c r="G1534" s="33"/>
      <c r="H1534" s="33"/>
      <c r="I1534" s="9"/>
      <c r="J1534" s="33"/>
      <c r="K1534" s="9"/>
    </row>
    <row r="1535" customFormat="false" ht="15" hidden="false" customHeight="true" outlineLevel="0" collapsed="false">
      <c r="A1535" s="73"/>
      <c r="B1535" s="74"/>
      <c r="C1535" s="74"/>
      <c r="D1535" s="73"/>
      <c r="E1535" s="73"/>
      <c r="F1535" s="73"/>
      <c r="G1535" s="75"/>
      <c r="H1535" s="75"/>
      <c r="I1535" s="73"/>
      <c r="J1535" s="31"/>
      <c r="K1535" s="32"/>
    </row>
    <row r="1536" customFormat="false" ht="15" hidden="false" customHeight="true" outlineLevel="0" collapsed="false">
      <c r="A1536" s="9"/>
      <c r="B1536" s="76"/>
      <c r="C1536" s="76"/>
      <c r="D1536" s="9"/>
      <c r="E1536" s="9"/>
      <c r="F1536" s="9"/>
      <c r="G1536" s="33"/>
      <c r="H1536" s="33"/>
      <c r="I1536" s="9"/>
      <c r="J1536" s="33"/>
      <c r="K1536" s="9"/>
    </row>
    <row r="1537" customFormat="false" ht="15" hidden="false" customHeight="true" outlineLevel="0" collapsed="false">
      <c r="A1537" s="73"/>
      <c r="B1537" s="74"/>
      <c r="C1537" s="74"/>
      <c r="D1537" s="73"/>
      <c r="E1537" s="73"/>
      <c r="F1537" s="73"/>
      <c r="G1537" s="75"/>
      <c r="H1537" s="75"/>
      <c r="I1537" s="73"/>
      <c r="J1537" s="31"/>
      <c r="K1537" s="32"/>
    </row>
    <row r="1538" customFormat="false" ht="15" hidden="false" customHeight="true" outlineLevel="0" collapsed="false">
      <c r="A1538" s="9"/>
      <c r="B1538" s="76"/>
      <c r="C1538" s="76"/>
      <c r="D1538" s="9"/>
      <c r="E1538" s="9"/>
      <c r="F1538" s="9"/>
      <c r="G1538" s="33"/>
      <c r="H1538" s="33"/>
      <c r="I1538" s="9"/>
      <c r="J1538" s="33"/>
      <c r="K1538" s="9"/>
    </row>
    <row r="1539" customFormat="false" ht="15" hidden="false" customHeight="true" outlineLevel="0" collapsed="false">
      <c r="A1539" s="73"/>
      <c r="B1539" s="74"/>
      <c r="C1539" s="74"/>
      <c r="D1539" s="73"/>
      <c r="E1539" s="73"/>
      <c r="F1539" s="73"/>
      <c r="G1539" s="75"/>
      <c r="H1539" s="75"/>
      <c r="I1539" s="73"/>
      <c r="J1539" s="31"/>
      <c r="K1539" s="32"/>
    </row>
    <row r="1540" customFormat="false" ht="15" hidden="false" customHeight="true" outlineLevel="0" collapsed="false">
      <c r="A1540" s="9"/>
      <c r="B1540" s="76"/>
      <c r="C1540" s="76"/>
      <c r="D1540" s="9"/>
      <c r="E1540" s="9"/>
      <c r="F1540" s="9"/>
      <c r="G1540" s="33"/>
      <c r="H1540" s="33"/>
      <c r="I1540" s="9"/>
      <c r="J1540" s="33"/>
      <c r="K1540" s="9"/>
    </row>
    <row r="1541" customFormat="false" ht="15" hidden="false" customHeight="true" outlineLevel="0" collapsed="false">
      <c r="A1541" s="73"/>
      <c r="B1541" s="74"/>
      <c r="C1541" s="74"/>
      <c r="D1541" s="73"/>
      <c r="E1541" s="73"/>
      <c r="F1541" s="73"/>
      <c r="G1541" s="75"/>
      <c r="H1541" s="75"/>
      <c r="I1541" s="73"/>
      <c r="J1541" s="31"/>
      <c r="K1541" s="32"/>
    </row>
    <row r="1542" customFormat="false" ht="15" hidden="false" customHeight="true" outlineLevel="0" collapsed="false">
      <c r="A1542" s="9"/>
      <c r="B1542" s="76"/>
      <c r="C1542" s="76"/>
      <c r="D1542" s="9"/>
      <c r="E1542" s="9"/>
      <c r="F1542" s="9"/>
      <c r="G1542" s="33"/>
      <c r="H1542" s="33"/>
      <c r="I1542" s="9"/>
      <c r="J1542" s="33"/>
      <c r="K1542" s="9"/>
    </row>
    <row r="1543" customFormat="false" ht="15" hidden="false" customHeight="true" outlineLevel="0" collapsed="false">
      <c r="A1543" s="73"/>
      <c r="B1543" s="74"/>
      <c r="C1543" s="74"/>
      <c r="D1543" s="73"/>
      <c r="E1543" s="73"/>
      <c r="F1543" s="73"/>
      <c r="G1543" s="75"/>
      <c r="H1543" s="75"/>
      <c r="I1543" s="73"/>
      <c r="J1543" s="31"/>
      <c r="K1543" s="32"/>
    </row>
    <row r="1544" customFormat="false" ht="15" hidden="false" customHeight="true" outlineLevel="0" collapsed="false">
      <c r="A1544" s="9"/>
      <c r="B1544" s="76"/>
      <c r="C1544" s="76"/>
      <c r="D1544" s="9"/>
      <c r="E1544" s="9"/>
      <c r="F1544" s="9"/>
      <c r="G1544" s="33"/>
      <c r="H1544" s="33"/>
      <c r="I1544" s="9"/>
      <c r="J1544" s="33"/>
      <c r="K1544" s="9"/>
    </row>
    <row r="1545" customFormat="false" ht="15" hidden="false" customHeight="true" outlineLevel="0" collapsed="false">
      <c r="A1545" s="73"/>
      <c r="B1545" s="74"/>
      <c r="C1545" s="74"/>
      <c r="D1545" s="73"/>
      <c r="E1545" s="73"/>
      <c r="F1545" s="73"/>
      <c r="G1545" s="75"/>
      <c r="H1545" s="75"/>
      <c r="I1545" s="73"/>
      <c r="J1545" s="31"/>
      <c r="K1545" s="32"/>
    </row>
    <row r="1546" customFormat="false" ht="15" hidden="false" customHeight="true" outlineLevel="0" collapsed="false">
      <c r="A1546" s="9"/>
      <c r="B1546" s="76"/>
      <c r="C1546" s="76"/>
      <c r="D1546" s="9"/>
      <c r="E1546" s="9"/>
      <c r="F1546" s="9"/>
      <c r="G1546" s="33"/>
      <c r="H1546" s="33"/>
      <c r="I1546" s="9"/>
      <c r="J1546" s="33"/>
      <c r="K1546" s="9"/>
    </row>
    <row r="1547" customFormat="false" ht="15" hidden="false" customHeight="true" outlineLevel="0" collapsed="false">
      <c r="A1547" s="73"/>
      <c r="B1547" s="74"/>
      <c r="C1547" s="74"/>
      <c r="D1547" s="73"/>
      <c r="E1547" s="73"/>
      <c r="F1547" s="73"/>
      <c r="G1547" s="75"/>
      <c r="H1547" s="75"/>
      <c r="I1547" s="73"/>
      <c r="J1547" s="31"/>
      <c r="K1547" s="32"/>
    </row>
    <row r="1548" customFormat="false" ht="15" hidden="false" customHeight="true" outlineLevel="0" collapsed="false">
      <c r="A1548" s="9"/>
      <c r="B1548" s="76"/>
      <c r="C1548" s="76"/>
      <c r="D1548" s="9"/>
      <c r="E1548" s="9"/>
      <c r="F1548" s="9"/>
      <c r="G1548" s="33"/>
      <c r="H1548" s="33"/>
      <c r="I1548" s="9"/>
      <c r="J1548" s="33"/>
      <c r="K1548" s="9"/>
    </row>
    <row r="1549" customFormat="false" ht="15" hidden="false" customHeight="true" outlineLevel="0" collapsed="false">
      <c r="A1549" s="73"/>
      <c r="B1549" s="74"/>
      <c r="C1549" s="74"/>
      <c r="D1549" s="73"/>
      <c r="E1549" s="73"/>
      <c r="F1549" s="73"/>
      <c r="G1549" s="75"/>
      <c r="H1549" s="75"/>
      <c r="I1549" s="73"/>
      <c r="J1549" s="31"/>
      <c r="K1549" s="32"/>
    </row>
    <row r="1550" customFormat="false" ht="15" hidden="false" customHeight="true" outlineLevel="0" collapsed="false">
      <c r="A1550" s="9"/>
      <c r="B1550" s="76"/>
      <c r="C1550" s="76"/>
      <c r="D1550" s="9"/>
      <c r="E1550" s="9"/>
      <c r="F1550" s="9"/>
      <c r="G1550" s="33"/>
      <c r="H1550" s="33"/>
      <c r="I1550" s="9"/>
      <c r="J1550" s="33"/>
      <c r="K1550" s="9"/>
    </row>
    <row r="1551" customFormat="false" ht="15" hidden="false" customHeight="true" outlineLevel="0" collapsed="false">
      <c r="A1551" s="73"/>
      <c r="B1551" s="74"/>
      <c r="C1551" s="74"/>
      <c r="D1551" s="73"/>
      <c r="E1551" s="73"/>
      <c r="F1551" s="73"/>
      <c r="G1551" s="75"/>
      <c r="H1551" s="75"/>
      <c r="I1551" s="73"/>
      <c r="J1551" s="31"/>
      <c r="K1551" s="32"/>
    </row>
    <row r="1552" customFormat="false" ht="15" hidden="false" customHeight="true" outlineLevel="0" collapsed="false">
      <c r="A1552" s="9"/>
      <c r="B1552" s="76"/>
      <c r="C1552" s="76"/>
      <c r="D1552" s="9"/>
      <c r="E1552" s="9"/>
      <c r="F1552" s="9"/>
      <c r="G1552" s="33"/>
      <c r="H1552" s="33"/>
      <c r="I1552" s="9"/>
      <c r="J1552" s="33"/>
      <c r="K1552" s="9"/>
    </row>
    <row r="1553" customFormat="false" ht="15" hidden="false" customHeight="true" outlineLevel="0" collapsed="false">
      <c r="A1553" s="73"/>
      <c r="B1553" s="74"/>
      <c r="C1553" s="74"/>
      <c r="D1553" s="73"/>
      <c r="E1553" s="73"/>
      <c r="F1553" s="73"/>
      <c r="G1553" s="75"/>
      <c r="H1553" s="75"/>
      <c r="I1553" s="73"/>
      <c r="J1553" s="31"/>
      <c r="K1553" s="32"/>
    </row>
    <row r="1554" customFormat="false" ht="15" hidden="false" customHeight="true" outlineLevel="0" collapsed="false">
      <c r="A1554" s="9"/>
      <c r="B1554" s="76"/>
      <c r="C1554" s="76"/>
      <c r="D1554" s="9"/>
      <c r="E1554" s="9"/>
      <c r="F1554" s="9"/>
      <c r="G1554" s="33"/>
      <c r="H1554" s="33"/>
      <c r="I1554" s="9"/>
      <c r="J1554" s="33"/>
      <c r="K1554" s="9"/>
    </row>
    <row r="1555" customFormat="false" ht="15" hidden="false" customHeight="true" outlineLevel="0" collapsed="false">
      <c r="A1555" s="73"/>
      <c r="B1555" s="74"/>
      <c r="C1555" s="74"/>
      <c r="D1555" s="73"/>
      <c r="E1555" s="73"/>
      <c r="F1555" s="73"/>
      <c r="G1555" s="75"/>
      <c r="H1555" s="75"/>
      <c r="I1555" s="73"/>
      <c r="J1555" s="31"/>
      <c r="K1555" s="32"/>
    </row>
    <row r="1556" customFormat="false" ht="15" hidden="false" customHeight="true" outlineLevel="0" collapsed="false">
      <c r="A1556" s="9"/>
      <c r="B1556" s="76"/>
      <c r="C1556" s="76"/>
      <c r="D1556" s="9"/>
      <c r="E1556" s="9"/>
      <c r="F1556" s="9"/>
      <c r="G1556" s="33"/>
      <c r="H1556" s="33"/>
      <c r="I1556" s="9"/>
      <c r="J1556" s="33"/>
      <c r="K1556" s="9"/>
    </row>
    <row r="1557" customFormat="false" ht="15" hidden="false" customHeight="true" outlineLevel="0" collapsed="false">
      <c r="A1557" s="73"/>
      <c r="B1557" s="74"/>
      <c r="C1557" s="74"/>
      <c r="D1557" s="73"/>
      <c r="E1557" s="73"/>
      <c r="F1557" s="73"/>
      <c r="G1557" s="75"/>
      <c r="H1557" s="75"/>
      <c r="I1557" s="73"/>
      <c r="J1557" s="31"/>
      <c r="K1557" s="32"/>
    </row>
    <row r="1558" customFormat="false" ht="15" hidden="false" customHeight="true" outlineLevel="0" collapsed="false">
      <c r="A1558" s="9"/>
      <c r="B1558" s="76"/>
      <c r="C1558" s="76"/>
      <c r="D1558" s="9"/>
      <c r="E1558" s="9"/>
      <c r="F1558" s="9"/>
      <c r="G1558" s="33"/>
      <c r="H1558" s="33"/>
      <c r="I1558" s="9"/>
      <c r="J1558" s="33"/>
      <c r="K1558" s="9"/>
    </row>
    <row r="1559" customFormat="false" ht="15" hidden="false" customHeight="true" outlineLevel="0" collapsed="false">
      <c r="A1559" s="73"/>
      <c r="B1559" s="74"/>
      <c r="C1559" s="74"/>
      <c r="D1559" s="73"/>
      <c r="E1559" s="73"/>
      <c r="F1559" s="73"/>
      <c r="G1559" s="75"/>
      <c r="H1559" s="75"/>
      <c r="I1559" s="73"/>
      <c r="J1559" s="31"/>
      <c r="K1559" s="32"/>
    </row>
    <row r="1560" customFormat="false" ht="15" hidden="false" customHeight="true" outlineLevel="0" collapsed="false">
      <c r="A1560" s="9"/>
      <c r="B1560" s="76"/>
      <c r="C1560" s="76"/>
      <c r="D1560" s="9"/>
      <c r="E1560" s="9"/>
      <c r="F1560" s="9"/>
      <c r="G1560" s="33"/>
      <c r="H1560" s="33"/>
      <c r="I1560" s="9"/>
      <c r="J1560" s="33"/>
      <c r="K1560" s="9"/>
    </row>
    <row r="1561" customFormat="false" ht="15" hidden="false" customHeight="true" outlineLevel="0" collapsed="false">
      <c r="A1561" s="73"/>
      <c r="B1561" s="74"/>
      <c r="C1561" s="74"/>
      <c r="D1561" s="73"/>
      <c r="E1561" s="73"/>
      <c r="F1561" s="73"/>
      <c r="G1561" s="75"/>
      <c r="H1561" s="75"/>
      <c r="I1561" s="73"/>
      <c r="J1561" s="31"/>
      <c r="K1561" s="32"/>
    </row>
    <row r="1562" customFormat="false" ht="15" hidden="false" customHeight="true" outlineLevel="0" collapsed="false">
      <c r="A1562" s="9"/>
      <c r="B1562" s="76"/>
      <c r="C1562" s="76"/>
      <c r="D1562" s="9"/>
      <c r="E1562" s="9"/>
      <c r="F1562" s="9"/>
      <c r="G1562" s="33"/>
      <c r="H1562" s="33"/>
      <c r="I1562" s="9"/>
      <c r="J1562" s="33"/>
      <c r="K1562" s="9"/>
    </row>
    <row r="1563" customFormat="false" ht="15" hidden="false" customHeight="true" outlineLevel="0" collapsed="false">
      <c r="A1563" s="73"/>
      <c r="B1563" s="74"/>
      <c r="C1563" s="74"/>
      <c r="D1563" s="73"/>
      <c r="E1563" s="73"/>
      <c r="F1563" s="73"/>
      <c r="G1563" s="75"/>
      <c r="H1563" s="75"/>
      <c r="I1563" s="73"/>
      <c r="J1563" s="31"/>
      <c r="K1563" s="32"/>
    </row>
    <row r="1564" customFormat="false" ht="15" hidden="false" customHeight="true" outlineLevel="0" collapsed="false">
      <c r="A1564" s="9"/>
      <c r="B1564" s="76"/>
      <c r="C1564" s="76"/>
      <c r="D1564" s="9"/>
      <c r="E1564" s="9"/>
      <c r="F1564" s="9"/>
      <c r="G1564" s="33"/>
      <c r="H1564" s="33"/>
      <c r="I1564" s="9"/>
      <c r="J1564" s="33"/>
      <c r="K1564" s="9"/>
    </row>
    <row r="1565" customFormat="false" ht="15" hidden="false" customHeight="true" outlineLevel="0" collapsed="false">
      <c r="A1565" s="73"/>
      <c r="B1565" s="74"/>
      <c r="C1565" s="74"/>
      <c r="D1565" s="73"/>
      <c r="E1565" s="73"/>
      <c r="F1565" s="73"/>
      <c r="G1565" s="75"/>
      <c r="H1565" s="75"/>
      <c r="I1565" s="73"/>
      <c r="J1565" s="31"/>
      <c r="K1565" s="32"/>
    </row>
    <row r="1566" customFormat="false" ht="15" hidden="false" customHeight="true" outlineLevel="0" collapsed="false">
      <c r="A1566" s="9"/>
      <c r="B1566" s="76"/>
      <c r="C1566" s="76"/>
      <c r="D1566" s="9"/>
      <c r="E1566" s="9"/>
      <c r="F1566" s="9"/>
      <c r="G1566" s="33"/>
      <c r="H1566" s="33"/>
      <c r="I1566" s="9"/>
      <c r="J1566" s="33"/>
      <c r="K1566" s="9"/>
    </row>
    <row r="1567" customFormat="false" ht="15" hidden="false" customHeight="true" outlineLevel="0" collapsed="false">
      <c r="A1567" s="73"/>
      <c r="B1567" s="74"/>
      <c r="C1567" s="74"/>
      <c r="D1567" s="73"/>
      <c r="E1567" s="73"/>
      <c r="F1567" s="73"/>
      <c r="G1567" s="75"/>
      <c r="H1567" s="75"/>
      <c r="I1567" s="73"/>
      <c r="J1567" s="31"/>
      <c r="K1567" s="32"/>
    </row>
    <row r="1568" customFormat="false" ht="15" hidden="false" customHeight="true" outlineLevel="0" collapsed="false">
      <c r="A1568" s="9"/>
      <c r="B1568" s="76"/>
      <c r="C1568" s="76"/>
      <c r="D1568" s="9"/>
      <c r="E1568" s="9"/>
      <c r="F1568" s="9"/>
      <c r="G1568" s="33"/>
      <c r="H1568" s="33"/>
      <c r="I1568" s="9"/>
      <c r="J1568" s="33"/>
      <c r="K1568" s="9"/>
    </row>
    <row r="1569" customFormat="false" ht="15" hidden="false" customHeight="true" outlineLevel="0" collapsed="false">
      <c r="A1569" s="73"/>
      <c r="B1569" s="74"/>
      <c r="C1569" s="74"/>
      <c r="D1569" s="73"/>
      <c r="E1569" s="73"/>
      <c r="F1569" s="73"/>
      <c r="G1569" s="75"/>
      <c r="H1569" s="75"/>
      <c r="I1569" s="73"/>
      <c r="J1569" s="31"/>
      <c r="K1569" s="32"/>
    </row>
    <row r="1570" customFormat="false" ht="15" hidden="false" customHeight="true" outlineLevel="0" collapsed="false">
      <c r="A1570" s="9"/>
      <c r="B1570" s="76"/>
      <c r="C1570" s="76"/>
      <c r="D1570" s="9"/>
      <c r="E1570" s="9"/>
      <c r="F1570" s="9"/>
      <c r="G1570" s="33"/>
      <c r="H1570" s="33"/>
      <c r="I1570" s="9"/>
      <c r="J1570" s="33"/>
      <c r="K1570" s="9"/>
    </row>
    <row r="1571" customFormat="false" ht="15" hidden="false" customHeight="true" outlineLevel="0" collapsed="false">
      <c r="A1571" s="73"/>
      <c r="B1571" s="74"/>
      <c r="C1571" s="74"/>
      <c r="D1571" s="73"/>
      <c r="E1571" s="73"/>
      <c r="F1571" s="73"/>
      <c r="G1571" s="75"/>
      <c r="H1571" s="75"/>
      <c r="I1571" s="73"/>
      <c r="J1571" s="31"/>
      <c r="K1571" s="32"/>
    </row>
    <row r="1572" customFormat="false" ht="15" hidden="false" customHeight="true" outlineLevel="0" collapsed="false">
      <c r="A1572" s="9"/>
      <c r="B1572" s="76"/>
      <c r="C1572" s="76"/>
      <c r="D1572" s="9"/>
      <c r="E1572" s="9"/>
      <c r="F1572" s="9"/>
      <c r="G1572" s="33"/>
      <c r="H1572" s="33"/>
      <c r="I1572" s="9"/>
      <c r="J1572" s="33"/>
      <c r="K1572" s="9"/>
    </row>
    <row r="1573" customFormat="false" ht="15" hidden="false" customHeight="true" outlineLevel="0" collapsed="false">
      <c r="A1573" s="73"/>
      <c r="B1573" s="74"/>
      <c r="C1573" s="74"/>
      <c r="D1573" s="73"/>
      <c r="E1573" s="73"/>
      <c r="F1573" s="73"/>
      <c r="G1573" s="75"/>
      <c r="H1573" s="75"/>
      <c r="I1573" s="73"/>
      <c r="J1573" s="31"/>
      <c r="K1573" s="32"/>
    </row>
    <row r="1574" customFormat="false" ht="15" hidden="false" customHeight="true" outlineLevel="0" collapsed="false">
      <c r="A1574" s="9"/>
      <c r="B1574" s="76"/>
      <c r="C1574" s="76"/>
      <c r="D1574" s="9"/>
      <c r="E1574" s="9"/>
      <c r="F1574" s="9"/>
      <c r="G1574" s="33"/>
      <c r="H1574" s="33"/>
      <c r="I1574" s="9"/>
      <c r="J1574" s="33"/>
      <c r="K1574" s="9"/>
    </row>
    <row r="1575" customFormat="false" ht="15" hidden="false" customHeight="true" outlineLevel="0" collapsed="false">
      <c r="A1575" s="73"/>
      <c r="B1575" s="74"/>
      <c r="C1575" s="74"/>
      <c r="D1575" s="73"/>
      <c r="E1575" s="73"/>
      <c r="F1575" s="73"/>
      <c r="G1575" s="75"/>
      <c r="H1575" s="75"/>
      <c r="I1575" s="73"/>
      <c r="J1575" s="31"/>
      <c r="K1575" s="32"/>
    </row>
    <row r="1576" customFormat="false" ht="15" hidden="false" customHeight="true" outlineLevel="0" collapsed="false">
      <c r="A1576" s="9"/>
      <c r="B1576" s="76"/>
      <c r="C1576" s="76"/>
      <c r="D1576" s="9"/>
      <c r="E1576" s="9"/>
      <c r="F1576" s="9"/>
      <c r="G1576" s="33"/>
      <c r="H1576" s="33"/>
      <c r="I1576" s="9"/>
      <c r="J1576" s="33"/>
      <c r="K1576" s="9"/>
    </row>
    <row r="1577" customFormat="false" ht="15" hidden="false" customHeight="true" outlineLevel="0" collapsed="false">
      <c r="A1577" s="73"/>
      <c r="B1577" s="74"/>
      <c r="C1577" s="74"/>
      <c r="D1577" s="73"/>
      <c r="E1577" s="73"/>
      <c r="F1577" s="73"/>
      <c r="G1577" s="75"/>
      <c r="H1577" s="75"/>
      <c r="I1577" s="73"/>
      <c r="J1577" s="31"/>
      <c r="K1577" s="32"/>
    </row>
    <row r="1578" customFormat="false" ht="15" hidden="false" customHeight="true" outlineLevel="0" collapsed="false">
      <c r="A1578" s="9"/>
      <c r="B1578" s="76"/>
      <c r="C1578" s="76"/>
      <c r="D1578" s="9"/>
      <c r="E1578" s="9"/>
      <c r="F1578" s="9"/>
      <c r="G1578" s="33"/>
      <c r="H1578" s="33"/>
      <c r="I1578" s="9"/>
      <c r="J1578" s="33"/>
      <c r="K1578" s="9"/>
    </row>
    <row r="1579" customFormat="false" ht="15" hidden="false" customHeight="true" outlineLevel="0" collapsed="false">
      <c r="A1579" s="73"/>
      <c r="B1579" s="74"/>
      <c r="C1579" s="74"/>
      <c r="D1579" s="73"/>
      <c r="E1579" s="73"/>
      <c r="F1579" s="73"/>
      <c r="G1579" s="75"/>
      <c r="H1579" s="75"/>
      <c r="I1579" s="73"/>
      <c r="J1579" s="31"/>
      <c r="K1579" s="32"/>
    </row>
    <row r="1580" customFormat="false" ht="15" hidden="false" customHeight="true" outlineLevel="0" collapsed="false">
      <c r="A1580" s="9"/>
      <c r="B1580" s="76"/>
      <c r="C1580" s="76"/>
      <c r="D1580" s="9"/>
      <c r="E1580" s="9"/>
      <c r="F1580" s="9"/>
      <c r="G1580" s="33"/>
      <c r="H1580" s="33"/>
      <c r="I1580" s="9"/>
      <c r="J1580" s="33"/>
      <c r="K1580" s="9"/>
    </row>
    <row r="1581" customFormat="false" ht="15" hidden="false" customHeight="true" outlineLevel="0" collapsed="false">
      <c r="A1581" s="73"/>
      <c r="B1581" s="74"/>
      <c r="C1581" s="74"/>
      <c r="D1581" s="73"/>
      <c r="E1581" s="73"/>
      <c r="F1581" s="73"/>
      <c r="G1581" s="75"/>
      <c r="H1581" s="75"/>
      <c r="I1581" s="73"/>
      <c r="J1581" s="31"/>
      <c r="K1581" s="32"/>
    </row>
    <row r="1582" customFormat="false" ht="15" hidden="false" customHeight="true" outlineLevel="0" collapsed="false">
      <c r="A1582" s="9"/>
      <c r="B1582" s="76"/>
      <c r="C1582" s="76"/>
      <c r="D1582" s="9"/>
      <c r="E1582" s="9"/>
      <c r="F1582" s="9"/>
      <c r="G1582" s="33"/>
      <c r="H1582" s="33"/>
      <c r="I1582" s="9"/>
      <c r="J1582" s="33"/>
      <c r="K1582" s="9"/>
    </row>
    <row r="1583" customFormat="false" ht="15" hidden="false" customHeight="true" outlineLevel="0" collapsed="false">
      <c r="A1583" s="73"/>
      <c r="B1583" s="74"/>
      <c r="C1583" s="74"/>
      <c r="D1583" s="73"/>
      <c r="E1583" s="73"/>
      <c r="F1583" s="73"/>
      <c r="G1583" s="75"/>
      <c r="H1583" s="75"/>
      <c r="I1583" s="73"/>
      <c r="J1583" s="31"/>
      <c r="K1583" s="32"/>
    </row>
    <row r="1584" customFormat="false" ht="15" hidden="false" customHeight="true" outlineLevel="0" collapsed="false">
      <c r="A1584" s="9"/>
      <c r="B1584" s="76"/>
      <c r="C1584" s="76"/>
      <c r="D1584" s="9"/>
      <c r="E1584" s="9"/>
      <c r="F1584" s="9"/>
      <c r="G1584" s="33"/>
      <c r="H1584" s="33"/>
      <c r="I1584" s="9"/>
      <c r="J1584" s="33"/>
      <c r="K1584" s="9"/>
    </row>
    <row r="1585" customFormat="false" ht="15" hidden="false" customHeight="true" outlineLevel="0" collapsed="false">
      <c r="A1585" s="73"/>
      <c r="B1585" s="74"/>
      <c r="C1585" s="74"/>
      <c r="D1585" s="73"/>
      <c r="E1585" s="73"/>
      <c r="F1585" s="73"/>
      <c r="G1585" s="75"/>
      <c r="H1585" s="75"/>
      <c r="I1585" s="73"/>
      <c r="J1585" s="31"/>
      <c r="K1585" s="32"/>
    </row>
    <row r="1586" customFormat="false" ht="15" hidden="false" customHeight="true" outlineLevel="0" collapsed="false">
      <c r="A1586" s="9"/>
      <c r="B1586" s="76"/>
      <c r="C1586" s="76"/>
      <c r="D1586" s="9"/>
      <c r="E1586" s="9"/>
      <c r="F1586" s="9"/>
      <c r="G1586" s="33"/>
      <c r="H1586" s="33"/>
      <c r="I1586" s="9"/>
      <c r="J1586" s="33"/>
      <c r="K1586" s="9"/>
    </row>
    <row r="1587" customFormat="false" ht="15" hidden="false" customHeight="true" outlineLevel="0" collapsed="false">
      <c r="A1587" s="73"/>
      <c r="B1587" s="74"/>
      <c r="C1587" s="74"/>
      <c r="D1587" s="73"/>
      <c r="E1587" s="73"/>
      <c r="F1587" s="73"/>
      <c r="G1587" s="75"/>
      <c r="H1587" s="75"/>
      <c r="I1587" s="73"/>
      <c r="J1587" s="31"/>
      <c r="K1587" s="32"/>
    </row>
    <row r="1588" customFormat="false" ht="15" hidden="false" customHeight="true" outlineLevel="0" collapsed="false">
      <c r="A1588" s="9"/>
      <c r="B1588" s="76"/>
      <c r="C1588" s="76"/>
      <c r="D1588" s="9"/>
      <c r="E1588" s="9"/>
      <c r="F1588" s="9"/>
      <c r="G1588" s="33"/>
      <c r="H1588" s="33"/>
      <c r="I1588" s="9"/>
      <c r="J1588" s="33"/>
      <c r="K1588" s="9"/>
    </row>
    <row r="1589" customFormat="false" ht="15" hidden="false" customHeight="true" outlineLevel="0" collapsed="false">
      <c r="A1589" s="73"/>
      <c r="B1589" s="74"/>
      <c r="C1589" s="74"/>
      <c r="D1589" s="73"/>
      <c r="E1589" s="73"/>
      <c r="F1589" s="73"/>
      <c r="G1589" s="75"/>
      <c r="H1589" s="75"/>
      <c r="I1589" s="73"/>
      <c r="J1589" s="31"/>
      <c r="K1589" s="32"/>
    </row>
    <row r="1590" customFormat="false" ht="15" hidden="false" customHeight="true" outlineLevel="0" collapsed="false">
      <c r="A1590" s="9"/>
      <c r="B1590" s="76"/>
      <c r="C1590" s="76"/>
      <c r="D1590" s="9"/>
      <c r="E1590" s="9"/>
      <c r="F1590" s="9"/>
      <c r="G1590" s="33"/>
      <c r="H1590" s="33"/>
      <c r="I1590" s="9"/>
      <c r="J1590" s="33"/>
      <c r="K1590" s="9"/>
    </row>
    <row r="1591" customFormat="false" ht="15" hidden="false" customHeight="true" outlineLevel="0" collapsed="false">
      <c r="A1591" s="73"/>
      <c r="B1591" s="74"/>
      <c r="C1591" s="74"/>
      <c r="D1591" s="73"/>
      <c r="E1591" s="73"/>
      <c r="F1591" s="73"/>
      <c r="G1591" s="75"/>
      <c r="H1591" s="75"/>
      <c r="I1591" s="73"/>
      <c r="J1591" s="31"/>
      <c r="K1591" s="32"/>
    </row>
    <row r="1592" customFormat="false" ht="15" hidden="false" customHeight="true" outlineLevel="0" collapsed="false">
      <c r="A1592" s="9"/>
      <c r="B1592" s="76"/>
      <c r="C1592" s="76"/>
      <c r="D1592" s="9"/>
      <c r="E1592" s="9"/>
      <c r="F1592" s="9"/>
      <c r="G1592" s="33"/>
      <c r="H1592" s="33"/>
      <c r="I1592" s="9"/>
      <c r="J1592" s="33"/>
      <c r="K1592" s="9"/>
    </row>
    <row r="1593" customFormat="false" ht="15" hidden="false" customHeight="true" outlineLevel="0" collapsed="false">
      <c r="A1593" s="73"/>
      <c r="B1593" s="74"/>
      <c r="C1593" s="74"/>
      <c r="D1593" s="73"/>
      <c r="E1593" s="73"/>
      <c r="F1593" s="73"/>
      <c r="G1593" s="75"/>
      <c r="H1593" s="75"/>
      <c r="I1593" s="73"/>
      <c r="J1593" s="31"/>
      <c r="K1593" s="32"/>
    </row>
    <row r="1594" customFormat="false" ht="15" hidden="false" customHeight="true" outlineLevel="0" collapsed="false">
      <c r="A1594" s="9"/>
      <c r="B1594" s="76"/>
      <c r="C1594" s="76"/>
      <c r="D1594" s="9"/>
      <c r="E1594" s="9"/>
      <c r="F1594" s="9"/>
      <c r="G1594" s="33"/>
      <c r="H1594" s="33"/>
      <c r="I1594" s="9"/>
      <c r="J1594" s="33"/>
      <c r="K1594" s="9"/>
    </row>
    <row r="1595" customFormat="false" ht="15" hidden="false" customHeight="true" outlineLevel="0" collapsed="false">
      <c r="A1595" s="73"/>
      <c r="B1595" s="74"/>
      <c r="C1595" s="74"/>
      <c r="D1595" s="73"/>
      <c r="E1595" s="73"/>
      <c r="F1595" s="73"/>
      <c r="G1595" s="75"/>
      <c r="H1595" s="75"/>
      <c r="I1595" s="73"/>
      <c r="J1595" s="31"/>
      <c r="K1595" s="32"/>
    </row>
    <row r="1596" customFormat="false" ht="15" hidden="false" customHeight="true" outlineLevel="0" collapsed="false">
      <c r="A1596" s="9"/>
      <c r="B1596" s="76"/>
      <c r="C1596" s="76"/>
      <c r="D1596" s="9"/>
      <c r="E1596" s="9"/>
      <c r="F1596" s="9"/>
      <c r="G1596" s="33"/>
      <c r="H1596" s="33"/>
      <c r="I1596" s="9"/>
      <c r="J1596" s="33"/>
      <c r="K1596" s="9"/>
    </row>
    <row r="1597" customFormat="false" ht="15" hidden="false" customHeight="true" outlineLevel="0" collapsed="false">
      <c r="A1597" s="73"/>
      <c r="B1597" s="74"/>
      <c r="C1597" s="74"/>
      <c r="D1597" s="73"/>
      <c r="E1597" s="73"/>
      <c r="F1597" s="73"/>
      <c r="G1597" s="75"/>
      <c r="H1597" s="75"/>
      <c r="I1597" s="73"/>
      <c r="J1597" s="31"/>
      <c r="K1597" s="32"/>
    </row>
    <row r="1598" customFormat="false" ht="15" hidden="false" customHeight="true" outlineLevel="0" collapsed="false">
      <c r="A1598" s="9"/>
      <c r="B1598" s="76"/>
      <c r="C1598" s="76"/>
      <c r="D1598" s="9"/>
      <c r="E1598" s="9"/>
      <c r="F1598" s="9"/>
      <c r="G1598" s="33"/>
      <c r="H1598" s="33"/>
      <c r="I1598" s="9"/>
      <c r="J1598" s="33"/>
      <c r="K1598" s="9"/>
    </row>
    <row r="1599" customFormat="false" ht="15" hidden="false" customHeight="true" outlineLevel="0" collapsed="false">
      <c r="A1599" s="73"/>
      <c r="B1599" s="74"/>
      <c r="C1599" s="74"/>
      <c r="D1599" s="73"/>
      <c r="E1599" s="73"/>
      <c r="F1599" s="73"/>
      <c r="G1599" s="75"/>
      <c r="H1599" s="75"/>
      <c r="I1599" s="73"/>
      <c r="J1599" s="31"/>
      <c r="K1599" s="32"/>
    </row>
    <row r="1600" customFormat="false" ht="15" hidden="false" customHeight="true" outlineLevel="0" collapsed="false">
      <c r="A1600" s="9"/>
      <c r="B1600" s="76"/>
      <c r="C1600" s="76"/>
      <c r="D1600" s="9"/>
      <c r="E1600" s="9"/>
      <c r="F1600" s="9"/>
      <c r="G1600" s="33"/>
      <c r="H1600" s="33"/>
      <c r="I1600" s="9"/>
      <c r="J1600" s="33"/>
      <c r="K1600" s="9"/>
    </row>
    <row r="1601" customFormat="false" ht="15" hidden="false" customHeight="true" outlineLevel="0" collapsed="false">
      <c r="A1601" s="73"/>
      <c r="B1601" s="74"/>
      <c r="C1601" s="74"/>
      <c r="D1601" s="73"/>
      <c r="E1601" s="73"/>
      <c r="F1601" s="73"/>
      <c r="G1601" s="75"/>
      <c r="H1601" s="75"/>
      <c r="I1601" s="73"/>
      <c r="J1601" s="31"/>
      <c r="K1601" s="32"/>
    </row>
    <row r="1602" customFormat="false" ht="15" hidden="false" customHeight="true" outlineLevel="0" collapsed="false">
      <c r="A1602" s="9"/>
      <c r="B1602" s="76"/>
      <c r="C1602" s="76"/>
      <c r="D1602" s="9"/>
      <c r="E1602" s="9"/>
      <c r="F1602" s="9"/>
      <c r="G1602" s="33"/>
      <c r="H1602" s="33"/>
      <c r="I1602" s="9"/>
      <c r="J1602" s="33"/>
      <c r="K1602" s="9"/>
    </row>
    <row r="1603" customFormat="false" ht="15" hidden="false" customHeight="true" outlineLevel="0" collapsed="false">
      <c r="A1603" s="73"/>
      <c r="B1603" s="74"/>
      <c r="C1603" s="74"/>
      <c r="D1603" s="73"/>
      <c r="E1603" s="73"/>
      <c r="F1603" s="73"/>
      <c r="G1603" s="75"/>
      <c r="H1603" s="75"/>
      <c r="I1603" s="73"/>
      <c r="J1603" s="31"/>
      <c r="K1603" s="32"/>
    </row>
    <row r="1604" customFormat="false" ht="15" hidden="false" customHeight="true" outlineLevel="0" collapsed="false">
      <c r="A1604" s="9"/>
      <c r="B1604" s="76"/>
      <c r="C1604" s="76"/>
      <c r="D1604" s="9"/>
      <c r="E1604" s="9"/>
      <c r="F1604" s="9"/>
      <c r="G1604" s="33"/>
      <c r="H1604" s="33"/>
      <c r="I1604" s="9"/>
      <c r="J1604" s="33"/>
      <c r="K1604" s="9"/>
    </row>
    <row r="1605" customFormat="false" ht="15" hidden="false" customHeight="true" outlineLevel="0" collapsed="false">
      <c r="A1605" s="73"/>
      <c r="B1605" s="74"/>
      <c r="C1605" s="74"/>
      <c r="D1605" s="73"/>
      <c r="E1605" s="73"/>
      <c r="F1605" s="73"/>
      <c r="G1605" s="75"/>
      <c r="H1605" s="75"/>
      <c r="I1605" s="73"/>
      <c r="J1605" s="31"/>
      <c r="K1605" s="32"/>
    </row>
    <row r="1606" customFormat="false" ht="15" hidden="false" customHeight="true" outlineLevel="0" collapsed="false">
      <c r="A1606" s="9"/>
      <c r="B1606" s="76"/>
      <c r="C1606" s="76"/>
      <c r="D1606" s="9"/>
      <c r="E1606" s="9"/>
      <c r="F1606" s="9"/>
      <c r="G1606" s="33"/>
      <c r="H1606" s="33"/>
      <c r="I1606" s="9"/>
      <c r="J1606" s="33"/>
      <c r="K1606" s="9"/>
    </row>
    <row r="1607" customFormat="false" ht="15" hidden="false" customHeight="true" outlineLevel="0" collapsed="false">
      <c r="A1607" s="73"/>
      <c r="B1607" s="74"/>
      <c r="C1607" s="74"/>
      <c r="D1607" s="73"/>
      <c r="E1607" s="73"/>
      <c r="F1607" s="73"/>
      <c r="G1607" s="75"/>
      <c r="H1607" s="75"/>
      <c r="I1607" s="73"/>
      <c r="J1607" s="31"/>
      <c r="K1607" s="32"/>
    </row>
    <row r="1608" customFormat="false" ht="15" hidden="false" customHeight="true" outlineLevel="0" collapsed="false">
      <c r="A1608" s="9"/>
      <c r="B1608" s="76"/>
      <c r="C1608" s="76"/>
      <c r="D1608" s="9"/>
      <c r="E1608" s="9"/>
      <c r="F1608" s="9"/>
      <c r="G1608" s="33"/>
      <c r="H1608" s="33"/>
      <c r="I1608" s="9"/>
      <c r="J1608" s="33"/>
      <c r="K1608" s="9"/>
    </row>
    <row r="1609" customFormat="false" ht="15" hidden="false" customHeight="true" outlineLevel="0" collapsed="false">
      <c r="A1609" s="73"/>
      <c r="B1609" s="74"/>
      <c r="C1609" s="74"/>
      <c r="D1609" s="73"/>
      <c r="E1609" s="73"/>
      <c r="F1609" s="73"/>
      <c r="G1609" s="75"/>
      <c r="H1609" s="75"/>
      <c r="I1609" s="73"/>
      <c r="J1609" s="31"/>
      <c r="K1609" s="32"/>
    </row>
    <row r="1610" customFormat="false" ht="15" hidden="false" customHeight="true" outlineLevel="0" collapsed="false">
      <c r="A1610" s="9"/>
      <c r="B1610" s="76"/>
      <c r="C1610" s="76"/>
      <c r="D1610" s="9"/>
      <c r="E1610" s="9"/>
      <c r="F1610" s="9"/>
      <c r="G1610" s="33"/>
      <c r="H1610" s="33"/>
      <c r="I1610" s="9"/>
      <c r="J1610" s="33"/>
      <c r="K1610" s="9"/>
    </row>
    <row r="1611" customFormat="false" ht="15" hidden="false" customHeight="true" outlineLevel="0" collapsed="false">
      <c r="A1611" s="73"/>
      <c r="B1611" s="74"/>
      <c r="C1611" s="74"/>
      <c r="D1611" s="73"/>
      <c r="E1611" s="73"/>
      <c r="F1611" s="73"/>
      <c r="G1611" s="75"/>
      <c r="H1611" s="75"/>
      <c r="I1611" s="73"/>
      <c r="J1611" s="31"/>
      <c r="K1611" s="32"/>
    </row>
    <row r="1612" customFormat="false" ht="15" hidden="false" customHeight="true" outlineLevel="0" collapsed="false">
      <c r="A1612" s="9"/>
      <c r="B1612" s="76"/>
      <c r="C1612" s="76"/>
      <c r="D1612" s="9"/>
      <c r="E1612" s="9"/>
      <c r="F1612" s="9"/>
      <c r="G1612" s="33"/>
      <c r="H1612" s="33"/>
      <c r="I1612" s="9"/>
      <c r="J1612" s="33"/>
      <c r="K1612" s="9"/>
    </row>
    <row r="1613" customFormat="false" ht="15" hidden="false" customHeight="true" outlineLevel="0" collapsed="false">
      <c r="A1613" s="73"/>
      <c r="B1613" s="74"/>
      <c r="C1613" s="74"/>
      <c r="D1613" s="73"/>
      <c r="E1613" s="73"/>
      <c r="F1613" s="73"/>
      <c r="G1613" s="75"/>
      <c r="H1613" s="75"/>
      <c r="I1613" s="73"/>
      <c r="J1613" s="31"/>
      <c r="K1613" s="32"/>
    </row>
    <row r="1614" customFormat="false" ht="15" hidden="false" customHeight="true" outlineLevel="0" collapsed="false">
      <c r="A1614" s="9"/>
      <c r="B1614" s="76"/>
      <c r="C1614" s="76"/>
      <c r="D1614" s="9"/>
      <c r="E1614" s="9"/>
      <c r="F1614" s="9"/>
      <c r="G1614" s="33"/>
      <c r="H1614" s="33"/>
      <c r="I1614" s="9"/>
      <c r="J1614" s="33"/>
      <c r="K1614" s="9"/>
    </row>
    <row r="1615" customFormat="false" ht="15" hidden="false" customHeight="true" outlineLevel="0" collapsed="false">
      <c r="A1615" s="73"/>
      <c r="B1615" s="74"/>
      <c r="C1615" s="74"/>
      <c r="D1615" s="73"/>
      <c r="E1615" s="73"/>
      <c r="F1615" s="73"/>
      <c r="G1615" s="75"/>
      <c r="H1615" s="75"/>
      <c r="I1615" s="73"/>
      <c r="J1615" s="31"/>
      <c r="K1615" s="32"/>
    </row>
    <row r="1616" customFormat="false" ht="15" hidden="false" customHeight="true" outlineLevel="0" collapsed="false">
      <c r="A1616" s="9"/>
      <c r="B1616" s="76"/>
      <c r="C1616" s="76"/>
      <c r="D1616" s="9"/>
      <c r="E1616" s="9"/>
      <c r="F1616" s="9"/>
      <c r="G1616" s="33"/>
      <c r="H1616" s="33"/>
      <c r="I1616" s="9"/>
      <c r="J1616" s="33"/>
      <c r="K1616" s="9"/>
    </row>
    <row r="1617" customFormat="false" ht="15" hidden="false" customHeight="true" outlineLevel="0" collapsed="false">
      <c r="A1617" s="73"/>
      <c r="B1617" s="74"/>
      <c r="C1617" s="74"/>
      <c r="D1617" s="73"/>
      <c r="E1617" s="73"/>
      <c r="F1617" s="73"/>
      <c r="G1617" s="75"/>
      <c r="H1617" s="75"/>
      <c r="I1617" s="73"/>
      <c r="J1617" s="31"/>
      <c r="K1617" s="32"/>
    </row>
    <row r="1618" customFormat="false" ht="15" hidden="false" customHeight="true" outlineLevel="0" collapsed="false">
      <c r="A1618" s="9"/>
      <c r="B1618" s="76"/>
      <c r="C1618" s="76"/>
      <c r="D1618" s="9"/>
      <c r="E1618" s="9"/>
      <c r="F1618" s="9"/>
      <c r="G1618" s="33"/>
      <c r="H1618" s="33"/>
      <c r="I1618" s="9"/>
      <c r="J1618" s="33"/>
      <c r="K1618" s="9"/>
    </row>
    <row r="1619" customFormat="false" ht="15" hidden="false" customHeight="true" outlineLevel="0" collapsed="false">
      <c r="A1619" s="73"/>
      <c r="B1619" s="74"/>
      <c r="C1619" s="74"/>
      <c r="D1619" s="73"/>
      <c r="E1619" s="73"/>
      <c r="F1619" s="73"/>
      <c r="G1619" s="75"/>
      <c r="H1619" s="75"/>
      <c r="I1619" s="73"/>
      <c r="J1619" s="31"/>
      <c r="K1619" s="32"/>
    </row>
    <row r="1620" customFormat="false" ht="15" hidden="false" customHeight="true" outlineLevel="0" collapsed="false">
      <c r="A1620" s="9"/>
      <c r="B1620" s="76"/>
      <c r="C1620" s="76"/>
      <c r="D1620" s="9"/>
      <c r="E1620" s="9"/>
      <c r="F1620" s="9"/>
      <c r="G1620" s="33"/>
      <c r="H1620" s="33"/>
      <c r="I1620" s="9"/>
      <c r="J1620" s="33"/>
      <c r="K1620" s="9"/>
    </row>
    <row r="1621" customFormat="false" ht="15" hidden="false" customHeight="true" outlineLevel="0" collapsed="false">
      <c r="A1621" s="73"/>
      <c r="B1621" s="74"/>
      <c r="C1621" s="74"/>
      <c r="D1621" s="73"/>
      <c r="E1621" s="73"/>
      <c r="F1621" s="73"/>
      <c r="G1621" s="75"/>
      <c r="H1621" s="75"/>
      <c r="I1621" s="73"/>
      <c r="J1621" s="31"/>
      <c r="K1621" s="32"/>
    </row>
    <row r="1622" customFormat="false" ht="15" hidden="false" customHeight="true" outlineLevel="0" collapsed="false">
      <c r="A1622" s="9"/>
      <c r="B1622" s="76"/>
      <c r="C1622" s="76"/>
      <c r="D1622" s="9"/>
      <c r="E1622" s="9"/>
      <c r="F1622" s="9"/>
      <c r="G1622" s="33"/>
      <c r="H1622" s="33"/>
      <c r="I1622" s="9"/>
      <c r="J1622" s="33"/>
      <c r="K1622" s="9"/>
    </row>
    <row r="1623" customFormat="false" ht="15" hidden="false" customHeight="true" outlineLevel="0" collapsed="false">
      <c r="A1623" s="73"/>
      <c r="B1623" s="74"/>
      <c r="C1623" s="74"/>
      <c r="D1623" s="73"/>
      <c r="E1623" s="73"/>
      <c r="F1623" s="73"/>
      <c r="G1623" s="75"/>
      <c r="H1623" s="75"/>
      <c r="I1623" s="73"/>
      <c r="J1623" s="31"/>
      <c r="K1623" s="32"/>
    </row>
    <row r="1624" customFormat="false" ht="15" hidden="false" customHeight="true" outlineLevel="0" collapsed="false">
      <c r="A1624" s="9"/>
      <c r="B1624" s="76"/>
      <c r="C1624" s="76"/>
      <c r="D1624" s="9"/>
      <c r="E1624" s="9"/>
      <c r="F1624" s="9"/>
      <c r="G1624" s="33"/>
      <c r="H1624" s="33"/>
      <c r="I1624" s="9"/>
      <c r="J1624" s="33"/>
      <c r="K1624" s="9"/>
    </row>
    <row r="1625" customFormat="false" ht="15" hidden="false" customHeight="true" outlineLevel="0" collapsed="false">
      <c r="A1625" s="73"/>
      <c r="B1625" s="74"/>
      <c r="C1625" s="74"/>
      <c r="D1625" s="73"/>
      <c r="E1625" s="73"/>
      <c r="F1625" s="73"/>
      <c r="G1625" s="75"/>
      <c r="H1625" s="75"/>
      <c r="I1625" s="73"/>
      <c r="J1625" s="31"/>
      <c r="K1625" s="32"/>
    </row>
    <row r="1626" customFormat="false" ht="15" hidden="false" customHeight="true" outlineLevel="0" collapsed="false">
      <c r="A1626" s="9"/>
      <c r="B1626" s="76"/>
      <c r="C1626" s="76"/>
      <c r="D1626" s="9"/>
      <c r="E1626" s="9"/>
      <c r="F1626" s="9"/>
      <c r="G1626" s="33"/>
      <c r="H1626" s="33"/>
      <c r="I1626" s="9"/>
      <c r="J1626" s="33"/>
      <c r="K1626" s="9"/>
    </row>
    <row r="1627" customFormat="false" ht="15" hidden="false" customHeight="true" outlineLevel="0" collapsed="false">
      <c r="A1627" s="73"/>
      <c r="B1627" s="74"/>
      <c r="C1627" s="74"/>
      <c r="D1627" s="73"/>
      <c r="E1627" s="73"/>
      <c r="F1627" s="73"/>
      <c r="G1627" s="75"/>
      <c r="H1627" s="75"/>
      <c r="I1627" s="73"/>
      <c r="J1627" s="31"/>
      <c r="K1627" s="32"/>
    </row>
    <row r="1628" customFormat="false" ht="15" hidden="false" customHeight="true" outlineLevel="0" collapsed="false">
      <c r="A1628" s="9"/>
      <c r="B1628" s="76"/>
      <c r="C1628" s="76"/>
      <c r="D1628" s="9"/>
      <c r="E1628" s="9"/>
      <c r="F1628" s="9"/>
      <c r="G1628" s="33"/>
      <c r="H1628" s="33"/>
      <c r="I1628" s="9"/>
      <c r="J1628" s="33"/>
      <c r="K1628" s="9"/>
    </row>
    <row r="1629" customFormat="false" ht="15" hidden="false" customHeight="true" outlineLevel="0" collapsed="false">
      <c r="A1629" s="73"/>
      <c r="B1629" s="74"/>
      <c r="C1629" s="74"/>
      <c r="D1629" s="73"/>
      <c r="E1629" s="73"/>
      <c r="F1629" s="73"/>
      <c r="G1629" s="75"/>
      <c r="H1629" s="75"/>
      <c r="I1629" s="73"/>
      <c r="J1629" s="31"/>
      <c r="K1629" s="32"/>
    </row>
    <row r="1630" customFormat="false" ht="15" hidden="false" customHeight="true" outlineLevel="0" collapsed="false">
      <c r="A1630" s="9"/>
      <c r="B1630" s="76"/>
      <c r="C1630" s="76"/>
      <c r="D1630" s="9"/>
      <c r="E1630" s="9"/>
      <c r="F1630" s="9"/>
      <c r="G1630" s="33"/>
      <c r="H1630" s="33"/>
      <c r="I1630" s="9"/>
      <c r="J1630" s="33"/>
      <c r="K1630" s="9"/>
    </row>
    <row r="1631" customFormat="false" ht="15" hidden="false" customHeight="true" outlineLevel="0" collapsed="false">
      <c r="A1631" s="73"/>
      <c r="B1631" s="74"/>
      <c r="C1631" s="74"/>
      <c r="D1631" s="73"/>
      <c r="E1631" s="73"/>
      <c r="F1631" s="73"/>
      <c r="G1631" s="75"/>
      <c r="H1631" s="75"/>
      <c r="I1631" s="73"/>
      <c r="J1631" s="31"/>
      <c r="K1631" s="32"/>
    </row>
    <row r="1632" customFormat="false" ht="15" hidden="false" customHeight="true" outlineLevel="0" collapsed="false">
      <c r="A1632" s="9"/>
      <c r="B1632" s="76"/>
      <c r="C1632" s="76"/>
      <c r="D1632" s="9"/>
      <c r="E1632" s="9"/>
      <c r="F1632" s="9"/>
      <c r="G1632" s="33"/>
      <c r="H1632" s="33"/>
      <c r="I1632" s="9"/>
      <c r="J1632" s="33"/>
      <c r="K1632" s="9"/>
    </row>
    <row r="1633" customFormat="false" ht="15" hidden="false" customHeight="true" outlineLevel="0" collapsed="false">
      <c r="A1633" s="73"/>
      <c r="B1633" s="74"/>
      <c r="C1633" s="74"/>
      <c r="D1633" s="73"/>
      <c r="E1633" s="73"/>
      <c r="F1633" s="73"/>
      <c r="G1633" s="75"/>
      <c r="H1633" s="75"/>
      <c r="I1633" s="73"/>
      <c r="J1633" s="31"/>
      <c r="K1633" s="32"/>
    </row>
    <row r="1634" customFormat="false" ht="15" hidden="false" customHeight="true" outlineLevel="0" collapsed="false">
      <c r="A1634" s="9"/>
      <c r="B1634" s="76"/>
      <c r="C1634" s="76"/>
      <c r="D1634" s="9"/>
      <c r="E1634" s="9"/>
      <c r="F1634" s="9"/>
      <c r="G1634" s="33"/>
      <c r="H1634" s="33"/>
      <c r="I1634" s="9"/>
      <c r="J1634" s="33"/>
      <c r="K1634" s="9"/>
    </row>
    <row r="1635" customFormat="false" ht="15" hidden="false" customHeight="true" outlineLevel="0" collapsed="false">
      <c r="A1635" s="73"/>
      <c r="B1635" s="74"/>
      <c r="C1635" s="74"/>
      <c r="D1635" s="73"/>
      <c r="E1635" s="73"/>
      <c r="F1635" s="73"/>
      <c r="G1635" s="75"/>
      <c r="H1635" s="75"/>
      <c r="I1635" s="73"/>
      <c r="J1635" s="31"/>
      <c r="K1635" s="32"/>
    </row>
    <row r="1636" customFormat="false" ht="15" hidden="false" customHeight="true" outlineLevel="0" collapsed="false">
      <c r="A1636" s="9"/>
      <c r="B1636" s="76"/>
      <c r="C1636" s="76"/>
      <c r="D1636" s="9"/>
      <c r="E1636" s="9"/>
      <c r="F1636" s="9"/>
      <c r="G1636" s="33"/>
      <c r="H1636" s="33"/>
      <c r="I1636" s="9"/>
      <c r="J1636" s="33"/>
      <c r="K1636" s="9"/>
    </row>
    <row r="1637" customFormat="false" ht="15" hidden="false" customHeight="true" outlineLevel="0" collapsed="false">
      <c r="A1637" s="73"/>
      <c r="B1637" s="74"/>
      <c r="C1637" s="74"/>
      <c r="D1637" s="73"/>
      <c r="E1637" s="73"/>
      <c r="F1637" s="73"/>
      <c r="G1637" s="75"/>
      <c r="H1637" s="75"/>
      <c r="I1637" s="73"/>
      <c r="J1637" s="31"/>
      <c r="K1637" s="32"/>
    </row>
    <row r="1638" customFormat="false" ht="15" hidden="false" customHeight="true" outlineLevel="0" collapsed="false">
      <c r="A1638" s="9"/>
      <c r="B1638" s="76"/>
      <c r="C1638" s="76"/>
      <c r="D1638" s="9"/>
      <c r="E1638" s="9"/>
      <c r="F1638" s="9"/>
      <c r="G1638" s="33"/>
      <c r="H1638" s="33"/>
      <c r="I1638" s="9"/>
      <c r="J1638" s="33"/>
      <c r="K1638" s="9"/>
    </row>
    <row r="1639" customFormat="false" ht="15" hidden="false" customHeight="true" outlineLevel="0" collapsed="false">
      <c r="A1639" s="73"/>
      <c r="B1639" s="74"/>
      <c r="C1639" s="74"/>
      <c r="D1639" s="73"/>
      <c r="E1639" s="73"/>
      <c r="F1639" s="73"/>
      <c r="G1639" s="75"/>
      <c r="H1639" s="75"/>
      <c r="I1639" s="73"/>
      <c r="J1639" s="31"/>
      <c r="K1639" s="32"/>
    </row>
    <row r="1640" customFormat="false" ht="15" hidden="false" customHeight="true" outlineLevel="0" collapsed="false">
      <c r="A1640" s="9"/>
      <c r="B1640" s="76"/>
      <c r="C1640" s="76"/>
      <c r="D1640" s="9"/>
      <c r="E1640" s="9"/>
      <c r="F1640" s="9"/>
      <c r="G1640" s="33"/>
      <c r="H1640" s="33"/>
      <c r="I1640" s="9"/>
      <c r="J1640" s="33"/>
      <c r="K1640" s="9"/>
    </row>
    <row r="1641" customFormat="false" ht="15" hidden="false" customHeight="true" outlineLevel="0" collapsed="false">
      <c r="A1641" s="73"/>
      <c r="B1641" s="74"/>
      <c r="C1641" s="74"/>
      <c r="D1641" s="73"/>
      <c r="E1641" s="73"/>
      <c r="F1641" s="73"/>
      <c r="G1641" s="75"/>
      <c r="H1641" s="75"/>
      <c r="I1641" s="73"/>
      <c r="J1641" s="31"/>
      <c r="K1641" s="32"/>
    </row>
    <row r="1642" customFormat="false" ht="15" hidden="false" customHeight="true" outlineLevel="0" collapsed="false">
      <c r="A1642" s="9"/>
      <c r="B1642" s="76"/>
      <c r="C1642" s="76"/>
      <c r="D1642" s="9"/>
      <c r="E1642" s="9"/>
      <c r="F1642" s="9"/>
      <c r="G1642" s="33"/>
      <c r="H1642" s="33"/>
      <c r="I1642" s="9"/>
      <c r="J1642" s="33"/>
      <c r="K1642" s="9"/>
    </row>
    <row r="1643" customFormat="false" ht="15" hidden="false" customHeight="true" outlineLevel="0" collapsed="false">
      <c r="A1643" s="73"/>
      <c r="B1643" s="74"/>
      <c r="C1643" s="74"/>
      <c r="D1643" s="73"/>
      <c r="E1643" s="73"/>
      <c r="F1643" s="73"/>
      <c r="G1643" s="75"/>
      <c r="H1643" s="75"/>
      <c r="I1643" s="73"/>
      <c r="J1643" s="31"/>
      <c r="K1643" s="32"/>
    </row>
    <row r="1644" customFormat="false" ht="15" hidden="false" customHeight="true" outlineLevel="0" collapsed="false">
      <c r="A1644" s="9"/>
      <c r="B1644" s="76"/>
      <c r="C1644" s="76"/>
      <c r="D1644" s="9"/>
      <c r="E1644" s="9"/>
      <c r="F1644" s="9"/>
      <c r="G1644" s="33"/>
      <c r="H1644" s="33"/>
      <c r="I1644" s="9"/>
      <c r="J1644" s="33"/>
      <c r="K1644" s="9"/>
    </row>
    <row r="1645" customFormat="false" ht="15" hidden="false" customHeight="true" outlineLevel="0" collapsed="false">
      <c r="A1645" s="73"/>
      <c r="B1645" s="74"/>
      <c r="C1645" s="74"/>
      <c r="D1645" s="73"/>
      <c r="E1645" s="73"/>
      <c r="F1645" s="73"/>
      <c r="G1645" s="75"/>
      <c r="H1645" s="75"/>
      <c r="I1645" s="73"/>
      <c r="J1645" s="31"/>
      <c r="K1645" s="32"/>
    </row>
    <row r="1646" customFormat="false" ht="15" hidden="false" customHeight="true" outlineLevel="0" collapsed="false">
      <c r="A1646" s="9"/>
      <c r="B1646" s="76"/>
      <c r="C1646" s="76"/>
      <c r="D1646" s="9"/>
      <c r="E1646" s="9"/>
      <c r="F1646" s="9"/>
      <c r="G1646" s="33"/>
      <c r="H1646" s="33"/>
      <c r="I1646" s="9"/>
      <c r="J1646" s="33"/>
      <c r="K1646" s="9"/>
    </row>
    <row r="1647" customFormat="false" ht="15" hidden="false" customHeight="true" outlineLevel="0" collapsed="false">
      <c r="A1647" s="73"/>
      <c r="B1647" s="74"/>
      <c r="C1647" s="74"/>
      <c r="D1647" s="73"/>
      <c r="E1647" s="73"/>
      <c r="F1647" s="73"/>
      <c r="G1647" s="75"/>
      <c r="H1647" s="75"/>
      <c r="I1647" s="73"/>
      <c r="J1647" s="31"/>
      <c r="K1647" s="32"/>
    </row>
    <row r="1648" customFormat="false" ht="15" hidden="false" customHeight="true" outlineLevel="0" collapsed="false">
      <c r="A1648" s="9"/>
      <c r="B1648" s="76"/>
      <c r="C1648" s="76"/>
      <c r="D1648" s="9"/>
      <c r="E1648" s="9"/>
      <c r="F1648" s="9"/>
      <c r="G1648" s="33"/>
      <c r="H1648" s="33"/>
      <c r="I1648" s="9"/>
      <c r="J1648" s="33"/>
      <c r="K1648" s="9"/>
    </row>
    <row r="1649" customFormat="false" ht="15" hidden="false" customHeight="true" outlineLevel="0" collapsed="false">
      <c r="A1649" s="73"/>
      <c r="B1649" s="74"/>
      <c r="C1649" s="74"/>
      <c r="D1649" s="73"/>
      <c r="E1649" s="73"/>
      <c r="F1649" s="73"/>
      <c r="G1649" s="75"/>
      <c r="H1649" s="75"/>
      <c r="I1649" s="73"/>
      <c r="J1649" s="31"/>
      <c r="K1649" s="32"/>
    </row>
    <row r="1650" customFormat="false" ht="15" hidden="false" customHeight="true" outlineLevel="0" collapsed="false">
      <c r="A1650" s="9"/>
      <c r="B1650" s="76"/>
      <c r="C1650" s="76"/>
      <c r="D1650" s="9"/>
      <c r="E1650" s="9"/>
      <c r="F1650" s="9"/>
      <c r="G1650" s="33"/>
      <c r="H1650" s="33"/>
      <c r="I1650" s="9"/>
      <c r="J1650" s="33"/>
      <c r="K1650" s="9"/>
    </row>
    <row r="1651" customFormat="false" ht="15" hidden="false" customHeight="true" outlineLevel="0" collapsed="false">
      <c r="A1651" s="73"/>
      <c r="B1651" s="74"/>
      <c r="C1651" s="74"/>
      <c r="D1651" s="73"/>
      <c r="E1651" s="73"/>
      <c r="F1651" s="73"/>
      <c r="G1651" s="75"/>
      <c r="H1651" s="75"/>
      <c r="I1651" s="73"/>
      <c r="J1651" s="31"/>
      <c r="K1651" s="32"/>
    </row>
    <row r="1652" customFormat="false" ht="15" hidden="false" customHeight="true" outlineLevel="0" collapsed="false">
      <c r="A1652" s="9"/>
      <c r="B1652" s="76"/>
      <c r="C1652" s="76"/>
      <c r="D1652" s="9"/>
      <c r="E1652" s="9"/>
      <c r="F1652" s="9"/>
      <c r="G1652" s="33"/>
      <c r="H1652" s="33"/>
      <c r="I1652" s="9"/>
      <c r="J1652" s="33"/>
      <c r="K1652" s="9"/>
    </row>
    <row r="1653" customFormat="false" ht="15" hidden="false" customHeight="true" outlineLevel="0" collapsed="false">
      <c r="A1653" s="73"/>
      <c r="B1653" s="74"/>
      <c r="C1653" s="74"/>
      <c r="D1653" s="73"/>
      <c r="E1653" s="73"/>
      <c r="F1653" s="73"/>
      <c r="G1653" s="75"/>
      <c r="H1653" s="75"/>
      <c r="I1653" s="73"/>
      <c r="J1653" s="31"/>
      <c r="K1653" s="32"/>
    </row>
    <row r="1654" customFormat="false" ht="15" hidden="false" customHeight="true" outlineLevel="0" collapsed="false">
      <c r="A1654" s="9"/>
      <c r="B1654" s="76"/>
      <c r="C1654" s="76"/>
      <c r="D1654" s="9"/>
      <c r="E1654" s="9"/>
      <c r="F1654" s="9"/>
      <c r="G1654" s="33"/>
      <c r="H1654" s="33"/>
      <c r="I1654" s="9"/>
      <c r="J1654" s="33"/>
      <c r="K1654" s="9"/>
    </row>
    <row r="1655" customFormat="false" ht="15" hidden="false" customHeight="true" outlineLevel="0" collapsed="false">
      <c r="A1655" s="73"/>
      <c r="B1655" s="74"/>
      <c r="C1655" s="74"/>
      <c r="D1655" s="73"/>
      <c r="E1655" s="73"/>
      <c r="F1655" s="73"/>
      <c r="G1655" s="75"/>
      <c r="H1655" s="75"/>
      <c r="I1655" s="73"/>
      <c r="J1655" s="31"/>
      <c r="K1655" s="32"/>
    </row>
    <row r="1656" customFormat="false" ht="15" hidden="false" customHeight="true" outlineLevel="0" collapsed="false">
      <c r="A1656" s="9"/>
      <c r="B1656" s="76"/>
      <c r="C1656" s="76"/>
      <c r="D1656" s="9"/>
      <c r="E1656" s="9"/>
      <c r="F1656" s="9"/>
      <c r="G1656" s="33"/>
      <c r="H1656" s="33"/>
      <c r="I1656" s="9"/>
      <c r="J1656" s="33"/>
      <c r="K1656" s="9"/>
    </row>
    <row r="1657" customFormat="false" ht="15" hidden="false" customHeight="true" outlineLevel="0" collapsed="false">
      <c r="A1657" s="73"/>
      <c r="B1657" s="74"/>
      <c r="C1657" s="74"/>
      <c r="D1657" s="73"/>
      <c r="E1657" s="73"/>
      <c r="F1657" s="73"/>
      <c r="G1657" s="75"/>
      <c r="H1657" s="75"/>
      <c r="I1657" s="73"/>
      <c r="J1657" s="31"/>
      <c r="K1657" s="32"/>
    </row>
    <row r="1658" customFormat="false" ht="15" hidden="false" customHeight="true" outlineLevel="0" collapsed="false">
      <c r="A1658" s="9"/>
      <c r="B1658" s="76"/>
      <c r="C1658" s="76"/>
      <c r="D1658" s="9"/>
      <c r="E1658" s="9"/>
      <c r="F1658" s="9"/>
      <c r="G1658" s="33"/>
      <c r="H1658" s="33"/>
      <c r="I1658" s="9"/>
      <c r="J1658" s="33"/>
      <c r="K1658" s="9"/>
    </row>
    <row r="1659" customFormat="false" ht="15" hidden="false" customHeight="true" outlineLevel="0" collapsed="false">
      <c r="A1659" s="73"/>
      <c r="B1659" s="74"/>
      <c r="C1659" s="74"/>
      <c r="D1659" s="73"/>
      <c r="E1659" s="73"/>
      <c r="F1659" s="73"/>
      <c r="G1659" s="75"/>
      <c r="H1659" s="75"/>
      <c r="I1659" s="73"/>
      <c r="J1659" s="31"/>
      <c r="K1659" s="32"/>
    </row>
    <row r="1660" customFormat="false" ht="15" hidden="false" customHeight="true" outlineLevel="0" collapsed="false">
      <c r="A1660" s="9"/>
      <c r="B1660" s="76"/>
      <c r="C1660" s="76"/>
      <c r="D1660" s="9"/>
      <c r="E1660" s="9"/>
      <c r="F1660" s="9"/>
      <c r="G1660" s="33"/>
      <c r="H1660" s="33"/>
      <c r="I1660" s="9"/>
      <c r="J1660" s="33"/>
      <c r="K1660" s="9"/>
    </row>
    <row r="1661" customFormat="false" ht="15" hidden="false" customHeight="true" outlineLevel="0" collapsed="false">
      <c r="A1661" s="73"/>
      <c r="B1661" s="74"/>
      <c r="C1661" s="74"/>
      <c r="D1661" s="73"/>
      <c r="E1661" s="73"/>
      <c r="F1661" s="73"/>
      <c r="G1661" s="75"/>
      <c r="H1661" s="75"/>
      <c r="I1661" s="73"/>
      <c r="J1661" s="31"/>
      <c r="K1661" s="32"/>
    </row>
    <row r="1662" customFormat="false" ht="15" hidden="false" customHeight="true" outlineLevel="0" collapsed="false">
      <c r="A1662" s="9"/>
      <c r="B1662" s="76"/>
      <c r="C1662" s="76"/>
      <c r="D1662" s="9"/>
      <c r="E1662" s="9"/>
      <c r="F1662" s="9"/>
      <c r="G1662" s="33"/>
      <c r="H1662" s="33"/>
      <c r="I1662" s="9"/>
      <c r="J1662" s="33"/>
      <c r="K1662" s="9"/>
    </row>
    <row r="1663" customFormat="false" ht="15" hidden="false" customHeight="true" outlineLevel="0" collapsed="false">
      <c r="A1663" s="73"/>
      <c r="B1663" s="74"/>
      <c r="C1663" s="74"/>
      <c r="D1663" s="73"/>
      <c r="E1663" s="73"/>
      <c r="F1663" s="73"/>
      <c r="G1663" s="75"/>
      <c r="H1663" s="75"/>
      <c r="I1663" s="73"/>
      <c r="J1663" s="31"/>
      <c r="K1663" s="32"/>
    </row>
    <row r="1664" customFormat="false" ht="15" hidden="false" customHeight="true" outlineLevel="0" collapsed="false">
      <c r="A1664" s="9"/>
      <c r="B1664" s="76"/>
      <c r="C1664" s="76"/>
      <c r="D1664" s="9"/>
      <c r="E1664" s="9"/>
      <c r="F1664" s="9"/>
      <c r="G1664" s="33"/>
      <c r="H1664" s="33"/>
      <c r="I1664" s="9"/>
      <c r="J1664" s="33"/>
      <c r="K1664" s="9"/>
    </row>
    <row r="1665" customFormat="false" ht="15" hidden="false" customHeight="true" outlineLevel="0" collapsed="false">
      <c r="A1665" s="73"/>
      <c r="B1665" s="74"/>
      <c r="C1665" s="74"/>
      <c r="D1665" s="73"/>
      <c r="E1665" s="73"/>
      <c r="F1665" s="73"/>
      <c r="G1665" s="75"/>
      <c r="H1665" s="75"/>
      <c r="I1665" s="73"/>
      <c r="J1665" s="31"/>
      <c r="K1665" s="32"/>
    </row>
    <row r="1666" customFormat="false" ht="15" hidden="false" customHeight="true" outlineLevel="0" collapsed="false">
      <c r="A1666" s="9"/>
      <c r="B1666" s="76"/>
      <c r="C1666" s="76"/>
      <c r="D1666" s="9"/>
      <c r="E1666" s="9"/>
      <c r="F1666" s="9"/>
      <c r="G1666" s="33"/>
      <c r="H1666" s="33"/>
      <c r="I1666" s="9"/>
      <c r="J1666" s="33"/>
      <c r="K1666" s="9"/>
    </row>
    <row r="1667" customFormat="false" ht="15" hidden="false" customHeight="true" outlineLevel="0" collapsed="false">
      <c r="A1667" s="73"/>
      <c r="B1667" s="74"/>
      <c r="C1667" s="74"/>
      <c r="D1667" s="73"/>
      <c r="E1667" s="73"/>
      <c r="F1667" s="73"/>
      <c r="G1667" s="75"/>
      <c r="H1667" s="75"/>
      <c r="I1667" s="73"/>
      <c r="J1667" s="31"/>
      <c r="K1667" s="32"/>
    </row>
    <row r="1668" customFormat="false" ht="15" hidden="false" customHeight="true" outlineLevel="0" collapsed="false">
      <c r="A1668" s="9"/>
      <c r="B1668" s="76"/>
      <c r="C1668" s="76"/>
      <c r="D1668" s="9"/>
      <c r="E1668" s="9"/>
      <c r="F1668" s="9"/>
      <c r="G1668" s="33"/>
      <c r="H1668" s="33"/>
      <c r="I1668" s="9"/>
      <c r="J1668" s="33"/>
      <c r="K1668" s="9"/>
    </row>
    <row r="1669" customFormat="false" ht="15" hidden="false" customHeight="true" outlineLevel="0" collapsed="false">
      <c r="A1669" s="73"/>
      <c r="B1669" s="74"/>
      <c r="C1669" s="74"/>
      <c r="D1669" s="73"/>
      <c r="E1669" s="73"/>
      <c r="F1669" s="73"/>
      <c r="G1669" s="75"/>
      <c r="H1669" s="75"/>
      <c r="I1669" s="73"/>
      <c r="J1669" s="31"/>
      <c r="K1669" s="32"/>
    </row>
    <row r="1670" customFormat="false" ht="15" hidden="false" customHeight="true" outlineLevel="0" collapsed="false">
      <c r="A1670" s="9"/>
      <c r="B1670" s="76"/>
      <c r="C1670" s="76"/>
      <c r="D1670" s="9"/>
      <c r="E1670" s="9"/>
      <c r="F1670" s="9"/>
      <c r="G1670" s="33"/>
      <c r="H1670" s="33"/>
      <c r="I1670" s="9"/>
      <c r="J1670" s="33"/>
      <c r="K1670" s="9"/>
    </row>
    <row r="1671" customFormat="false" ht="15" hidden="false" customHeight="true" outlineLevel="0" collapsed="false">
      <c r="A1671" s="73"/>
      <c r="B1671" s="74"/>
      <c r="C1671" s="74"/>
      <c r="D1671" s="73"/>
      <c r="E1671" s="73"/>
      <c r="F1671" s="73"/>
      <c r="G1671" s="75"/>
      <c r="H1671" s="75"/>
      <c r="I1671" s="73"/>
      <c r="J1671" s="31"/>
      <c r="K1671" s="32"/>
    </row>
    <row r="1672" customFormat="false" ht="15" hidden="false" customHeight="true" outlineLevel="0" collapsed="false">
      <c r="A1672" s="9"/>
      <c r="B1672" s="76"/>
      <c r="C1672" s="76"/>
      <c r="D1672" s="9"/>
      <c r="E1672" s="9"/>
      <c r="F1672" s="9"/>
      <c r="G1672" s="33"/>
      <c r="H1672" s="33"/>
      <c r="I1672" s="9"/>
      <c r="J1672" s="33"/>
      <c r="K1672" s="9"/>
    </row>
    <row r="1673" customFormat="false" ht="15" hidden="false" customHeight="true" outlineLevel="0" collapsed="false">
      <c r="A1673" s="73"/>
      <c r="B1673" s="74"/>
      <c r="C1673" s="74"/>
      <c r="D1673" s="73"/>
      <c r="E1673" s="73"/>
      <c r="F1673" s="73"/>
      <c r="G1673" s="75"/>
      <c r="H1673" s="75"/>
      <c r="I1673" s="73"/>
      <c r="J1673" s="31"/>
      <c r="K1673" s="32"/>
    </row>
    <row r="1674" customFormat="false" ht="15" hidden="false" customHeight="true" outlineLevel="0" collapsed="false">
      <c r="A1674" s="9"/>
      <c r="B1674" s="76"/>
      <c r="C1674" s="76"/>
      <c r="D1674" s="9"/>
      <c r="E1674" s="9"/>
      <c r="F1674" s="9"/>
      <c r="G1674" s="33"/>
      <c r="H1674" s="33"/>
      <c r="I1674" s="9"/>
      <c r="J1674" s="33"/>
      <c r="K1674" s="9"/>
    </row>
    <row r="1675" customFormat="false" ht="15" hidden="false" customHeight="true" outlineLevel="0" collapsed="false">
      <c r="A1675" s="73"/>
      <c r="B1675" s="74"/>
      <c r="C1675" s="74"/>
      <c r="D1675" s="73"/>
      <c r="E1675" s="73"/>
      <c r="F1675" s="73"/>
      <c r="G1675" s="75"/>
      <c r="H1675" s="75"/>
      <c r="I1675" s="73"/>
      <c r="J1675" s="31"/>
      <c r="K1675" s="32"/>
    </row>
    <row r="1676" customFormat="false" ht="15" hidden="false" customHeight="true" outlineLevel="0" collapsed="false">
      <c r="A1676" s="9"/>
      <c r="B1676" s="76"/>
      <c r="C1676" s="76"/>
      <c r="D1676" s="9"/>
      <c r="E1676" s="9"/>
      <c r="F1676" s="9"/>
      <c r="G1676" s="33"/>
      <c r="H1676" s="33"/>
      <c r="I1676" s="9"/>
      <c r="J1676" s="33"/>
      <c r="K1676" s="9"/>
    </row>
    <row r="1677" customFormat="false" ht="15" hidden="false" customHeight="true" outlineLevel="0" collapsed="false">
      <c r="A1677" s="73"/>
      <c r="B1677" s="74"/>
      <c r="C1677" s="74"/>
      <c r="D1677" s="73"/>
      <c r="E1677" s="73"/>
      <c r="F1677" s="73"/>
      <c r="G1677" s="75"/>
      <c r="H1677" s="75"/>
      <c r="I1677" s="73"/>
      <c r="J1677" s="31"/>
      <c r="K1677" s="32"/>
    </row>
    <row r="1678" customFormat="false" ht="15" hidden="false" customHeight="true" outlineLevel="0" collapsed="false">
      <c r="A1678" s="9"/>
      <c r="B1678" s="76"/>
      <c r="C1678" s="76"/>
      <c r="D1678" s="9"/>
      <c r="E1678" s="9"/>
      <c r="F1678" s="9"/>
      <c r="G1678" s="33"/>
      <c r="H1678" s="33"/>
      <c r="I1678" s="9"/>
      <c r="J1678" s="33"/>
      <c r="K1678" s="9"/>
    </row>
    <row r="1679" customFormat="false" ht="15" hidden="false" customHeight="true" outlineLevel="0" collapsed="false">
      <c r="A1679" s="73"/>
      <c r="B1679" s="74"/>
      <c r="C1679" s="74"/>
      <c r="D1679" s="73"/>
      <c r="E1679" s="73"/>
      <c r="F1679" s="73"/>
      <c r="G1679" s="75"/>
      <c r="H1679" s="75"/>
      <c r="I1679" s="73"/>
      <c r="J1679" s="31"/>
      <c r="K1679" s="32"/>
    </row>
    <row r="1680" customFormat="false" ht="15" hidden="false" customHeight="true" outlineLevel="0" collapsed="false">
      <c r="A1680" s="9"/>
      <c r="B1680" s="76"/>
      <c r="C1680" s="76"/>
      <c r="D1680" s="9"/>
      <c r="E1680" s="9"/>
      <c r="F1680" s="9"/>
      <c r="G1680" s="33"/>
      <c r="H1680" s="33"/>
      <c r="I1680" s="9"/>
      <c r="J1680" s="33"/>
      <c r="K1680" s="9"/>
    </row>
    <row r="1681" customFormat="false" ht="15" hidden="false" customHeight="true" outlineLevel="0" collapsed="false">
      <c r="A1681" s="73"/>
      <c r="B1681" s="74"/>
      <c r="C1681" s="74"/>
      <c r="D1681" s="73"/>
      <c r="E1681" s="73"/>
      <c r="F1681" s="73"/>
      <c r="G1681" s="75"/>
      <c r="H1681" s="75"/>
      <c r="I1681" s="73"/>
      <c r="J1681" s="31"/>
      <c r="K1681" s="32"/>
    </row>
    <row r="1682" customFormat="false" ht="15" hidden="false" customHeight="true" outlineLevel="0" collapsed="false">
      <c r="A1682" s="9"/>
      <c r="B1682" s="76"/>
      <c r="C1682" s="76"/>
      <c r="D1682" s="9"/>
      <c r="E1682" s="9"/>
      <c r="F1682" s="9"/>
      <c r="G1682" s="33"/>
      <c r="H1682" s="33"/>
      <c r="I1682" s="9"/>
      <c r="J1682" s="33"/>
      <c r="K1682" s="9"/>
    </row>
    <row r="1683" customFormat="false" ht="15" hidden="false" customHeight="true" outlineLevel="0" collapsed="false">
      <c r="A1683" s="73"/>
      <c r="B1683" s="74"/>
      <c r="C1683" s="74"/>
      <c r="D1683" s="73"/>
      <c r="E1683" s="73"/>
      <c r="F1683" s="73"/>
      <c r="G1683" s="75"/>
      <c r="H1683" s="75"/>
      <c r="I1683" s="73"/>
      <c r="J1683" s="31"/>
      <c r="K1683" s="32"/>
    </row>
    <row r="1684" customFormat="false" ht="15" hidden="false" customHeight="true" outlineLevel="0" collapsed="false">
      <c r="A1684" s="9"/>
      <c r="B1684" s="76"/>
      <c r="C1684" s="76"/>
      <c r="D1684" s="9"/>
      <c r="E1684" s="9"/>
      <c r="F1684" s="9"/>
      <c r="G1684" s="33"/>
      <c r="H1684" s="33"/>
      <c r="I1684" s="9"/>
      <c r="J1684" s="33"/>
      <c r="K1684" s="9"/>
    </row>
    <row r="1685" customFormat="false" ht="15" hidden="false" customHeight="true" outlineLevel="0" collapsed="false">
      <c r="A1685" s="73"/>
      <c r="B1685" s="74"/>
      <c r="C1685" s="74"/>
      <c r="D1685" s="73"/>
      <c r="E1685" s="73"/>
      <c r="F1685" s="73"/>
      <c r="G1685" s="75"/>
      <c r="H1685" s="75"/>
      <c r="I1685" s="73"/>
      <c r="J1685" s="31"/>
      <c r="K1685" s="32"/>
    </row>
    <row r="1686" customFormat="false" ht="15" hidden="false" customHeight="true" outlineLevel="0" collapsed="false">
      <c r="A1686" s="9"/>
      <c r="B1686" s="76"/>
      <c r="C1686" s="76"/>
      <c r="D1686" s="9"/>
      <c r="E1686" s="9"/>
      <c r="F1686" s="9"/>
      <c r="G1686" s="33"/>
      <c r="H1686" s="33"/>
      <c r="I1686" s="9"/>
      <c r="J1686" s="33"/>
      <c r="K1686" s="9"/>
    </row>
    <row r="1687" customFormat="false" ht="15" hidden="false" customHeight="true" outlineLevel="0" collapsed="false">
      <c r="A1687" s="73"/>
      <c r="B1687" s="74"/>
      <c r="C1687" s="74"/>
      <c r="D1687" s="73"/>
      <c r="E1687" s="73"/>
      <c r="F1687" s="73"/>
      <c r="G1687" s="75"/>
      <c r="H1687" s="75"/>
      <c r="I1687" s="73"/>
      <c r="J1687" s="31"/>
      <c r="K1687" s="32"/>
    </row>
    <row r="1688" customFormat="false" ht="15" hidden="false" customHeight="true" outlineLevel="0" collapsed="false">
      <c r="A1688" s="9"/>
      <c r="B1688" s="76"/>
      <c r="C1688" s="76"/>
      <c r="D1688" s="9"/>
      <c r="E1688" s="9"/>
      <c r="F1688" s="9"/>
      <c r="G1688" s="33"/>
      <c r="H1688" s="33"/>
      <c r="I1688" s="9"/>
      <c r="J1688" s="33"/>
      <c r="K1688" s="9"/>
    </row>
    <row r="1689" customFormat="false" ht="15" hidden="false" customHeight="true" outlineLevel="0" collapsed="false">
      <c r="A1689" s="73"/>
      <c r="B1689" s="74"/>
      <c r="C1689" s="74"/>
      <c r="D1689" s="73"/>
      <c r="E1689" s="73"/>
      <c r="F1689" s="73"/>
      <c r="G1689" s="75"/>
      <c r="H1689" s="75"/>
      <c r="I1689" s="73"/>
      <c r="J1689" s="31"/>
      <c r="K1689" s="32"/>
    </row>
    <row r="1690" customFormat="false" ht="15" hidden="false" customHeight="true" outlineLevel="0" collapsed="false">
      <c r="A1690" s="9"/>
      <c r="B1690" s="76"/>
      <c r="C1690" s="76"/>
      <c r="D1690" s="9"/>
      <c r="E1690" s="9"/>
      <c r="F1690" s="9"/>
      <c r="G1690" s="33"/>
      <c r="H1690" s="33"/>
      <c r="I1690" s="9"/>
      <c r="J1690" s="33"/>
      <c r="K1690" s="9"/>
    </row>
    <row r="1691" customFormat="false" ht="15" hidden="false" customHeight="true" outlineLevel="0" collapsed="false">
      <c r="A1691" s="73"/>
      <c r="B1691" s="74"/>
      <c r="C1691" s="74"/>
      <c r="D1691" s="73"/>
      <c r="E1691" s="73"/>
      <c r="F1691" s="73"/>
      <c r="G1691" s="75"/>
      <c r="H1691" s="75"/>
      <c r="I1691" s="73"/>
      <c r="J1691" s="31"/>
      <c r="K1691" s="32"/>
    </row>
    <row r="1692" customFormat="false" ht="15" hidden="false" customHeight="true" outlineLevel="0" collapsed="false">
      <c r="A1692" s="9"/>
      <c r="B1692" s="76"/>
      <c r="C1692" s="76"/>
      <c r="D1692" s="9"/>
      <c r="E1692" s="9"/>
      <c r="F1692" s="9"/>
      <c r="G1692" s="33"/>
      <c r="H1692" s="33"/>
      <c r="I1692" s="9"/>
      <c r="J1692" s="33"/>
      <c r="K1692" s="9"/>
    </row>
    <row r="1693" customFormat="false" ht="15" hidden="false" customHeight="true" outlineLevel="0" collapsed="false">
      <c r="A1693" s="73"/>
      <c r="B1693" s="74"/>
      <c r="C1693" s="74"/>
      <c r="D1693" s="73"/>
      <c r="E1693" s="73"/>
      <c r="F1693" s="73"/>
      <c r="G1693" s="75"/>
      <c r="H1693" s="75"/>
      <c r="I1693" s="73"/>
      <c r="J1693" s="31"/>
      <c r="K1693" s="32"/>
    </row>
    <row r="1694" customFormat="false" ht="15" hidden="false" customHeight="true" outlineLevel="0" collapsed="false">
      <c r="A1694" s="9"/>
      <c r="B1694" s="76"/>
      <c r="C1694" s="76"/>
      <c r="D1694" s="9"/>
      <c r="E1694" s="9"/>
      <c r="F1694" s="9"/>
      <c r="G1694" s="33"/>
      <c r="H1694" s="33"/>
      <c r="I1694" s="9"/>
      <c r="J1694" s="33"/>
      <c r="K1694" s="9"/>
    </row>
    <row r="1695" customFormat="false" ht="15" hidden="false" customHeight="true" outlineLevel="0" collapsed="false">
      <c r="A1695" s="73"/>
      <c r="B1695" s="74"/>
      <c r="C1695" s="74"/>
      <c r="D1695" s="73"/>
      <c r="E1695" s="73"/>
      <c r="F1695" s="73"/>
      <c r="G1695" s="75"/>
      <c r="H1695" s="75"/>
      <c r="I1695" s="73"/>
      <c r="J1695" s="31"/>
      <c r="K1695" s="32"/>
    </row>
    <row r="1696" customFormat="false" ht="15" hidden="false" customHeight="true" outlineLevel="0" collapsed="false">
      <c r="A1696" s="9"/>
      <c r="B1696" s="76"/>
      <c r="C1696" s="76"/>
      <c r="D1696" s="9"/>
      <c r="E1696" s="9"/>
      <c r="F1696" s="9"/>
      <c r="G1696" s="33"/>
      <c r="H1696" s="33"/>
      <c r="I1696" s="9"/>
      <c r="J1696" s="33"/>
      <c r="K1696" s="9"/>
    </row>
    <row r="1697" customFormat="false" ht="15" hidden="false" customHeight="true" outlineLevel="0" collapsed="false">
      <c r="A1697" s="73"/>
      <c r="B1697" s="74"/>
      <c r="C1697" s="74"/>
      <c r="D1697" s="73"/>
      <c r="E1697" s="73"/>
      <c r="F1697" s="73"/>
      <c r="G1697" s="75"/>
      <c r="H1697" s="75"/>
      <c r="I1697" s="73"/>
      <c r="J1697" s="31"/>
      <c r="K1697" s="32"/>
    </row>
    <row r="1698" customFormat="false" ht="15" hidden="false" customHeight="true" outlineLevel="0" collapsed="false">
      <c r="A1698" s="9"/>
      <c r="B1698" s="76"/>
      <c r="C1698" s="76"/>
      <c r="D1698" s="9"/>
      <c r="E1698" s="9"/>
      <c r="F1698" s="9"/>
      <c r="G1698" s="33"/>
      <c r="H1698" s="33"/>
      <c r="I1698" s="9"/>
      <c r="J1698" s="33"/>
      <c r="K1698" s="9"/>
    </row>
    <row r="1699" customFormat="false" ht="15" hidden="false" customHeight="true" outlineLevel="0" collapsed="false">
      <c r="A1699" s="73"/>
      <c r="B1699" s="74"/>
      <c r="C1699" s="74"/>
      <c r="D1699" s="73"/>
      <c r="E1699" s="73"/>
      <c r="F1699" s="73"/>
      <c r="G1699" s="75"/>
      <c r="H1699" s="75"/>
      <c r="I1699" s="73"/>
      <c r="J1699" s="31"/>
      <c r="K1699" s="32"/>
    </row>
    <row r="1700" customFormat="false" ht="15" hidden="false" customHeight="true" outlineLevel="0" collapsed="false">
      <c r="A1700" s="9"/>
      <c r="B1700" s="76"/>
      <c r="C1700" s="76"/>
      <c r="D1700" s="9"/>
      <c r="E1700" s="9"/>
      <c r="F1700" s="9"/>
      <c r="G1700" s="33"/>
      <c r="H1700" s="33"/>
      <c r="I1700" s="9"/>
      <c r="J1700" s="33"/>
      <c r="K1700" s="9"/>
    </row>
    <row r="1701" customFormat="false" ht="15" hidden="false" customHeight="true" outlineLevel="0" collapsed="false">
      <c r="A1701" s="73"/>
      <c r="B1701" s="74"/>
      <c r="C1701" s="74"/>
      <c r="D1701" s="73"/>
      <c r="E1701" s="73"/>
      <c r="F1701" s="73"/>
      <c r="G1701" s="75"/>
      <c r="H1701" s="75"/>
      <c r="I1701" s="73"/>
      <c r="J1701" s="31"/>
      <c r="K1701" s="32"/>
    </row>
    <row r="1702" customFormat="false" ht="15" hidden="false" customHeight="true" outlineLevel="0" collapsed="false">
      <c r="A1702" s="9"/>
      <c r="B1702" s="76"/>
      <c r="C1702" s="76"/>
      <c r="D1702" s="9"/>
      <c r="E1702" s="9"/>
      <c r="F1702" s="9"/>
      <c r="G1702" s="33"/>
      <c r="H1702" s="33"/>
      <c r="I1702" s="9"/>
      <c r="J1702" s="33"/>
      <c r="K1702" s="9"/>
    </row>
    <row r="1703" customFormat="false" ht="15" hidden="false" customHeight="true" outlineLevel="0" collapsed="false">
      <c r="A1703" s="73"/>
      <c r="B1703" s="74"/>
      <c r="C1703" s="74"/>
      <c r="D1703" s="73"/>
      <c r="E1703" s="73"/>
      <c r="F1703" s="73"/>
      <c r="G1703" s="75"/>
      <c r="H1703" s="75"/>
      <c r="I1703" s="73"/>
      <c r="J1703" s="31"/>
      <c r="K1703" s="32"/>
    </row>
    <row r="1704" customFormat="false" ht="15" hidden="false" customHeight="true" outlineLevel="0" collapsed="false">
      <c r="A1704" s="9"/>
      <c r="B1704" s="76"/>
      <c r="C1704" s="76"/>
      <c r="D1704" s="9"/>
      <c r="E1704" s="9"/>
      <c r="F1704" s="9"/>
      <c r="G1704" s="33"/>
      <c r="H1704" s="33"/>
      <c r="I1704" s="9"/>
      <c r="J1704" s="33"/>
      <c r="K1704" s="9"/>
    </row>
    <row r="1705" customFormat="false" ht="15" hidden="false" customHeight="true" outlineLevel="0" collapsed="false">
      <c r="A1705" s="73"/>
      <c r="B1705" s="74"/>
      <c r="C1705" s="74"/>
      <c r="D1705" s="73"/>
      <c r="E1705" s="73"/>
      <c r="F1705" s="73"/>
      <c r="G1705" s="75"/>
      <c r="H1705" s="75"/>
      <c r="I1705" s="73"/>
      <c r="J1705" s="31"/>
      <c r="K1705" s="32"/>
    </row>
    <row r="1706" customFormat="false" ht="15" hidden="false" customHeight="true" outlineLevel="0" collapsed="false">
      <c r="A1706" s="9"/>
      <c r="B1706" s="76"/>
      <c r="C1706" s="76"/>
      <c r="D1706" s="9"/>
      <c r="E1706" s="9"/>
      <c r="F1706" s="9"/>
      <c r="G1706" s="33"/>
      <c r="H1706" s="33"/>
      <c r="I1706" s="9"/>
      <c r="J1706" s="33"/>
      <c r="K1706" s="9"/>
    </row>
    <row r="1707" customFormat="false" ht="15" hidden="false" customHeight="true" outlineLevel="0" collapsed="false">
      <c r="A1707" s="73"/>
      <c r="B1707" s="74"/>
      <c r="C1707" s="74"/>
      <c r="D1707" s="73"/>
      <c r="E1707" s="73"/>
      <c r="F1707" s="73"/>
      <c r="G1707" s="75"/>
      <c r="H1707" s="75"/>
      <c r="I1707" s="73"/>
      <c r="J1707" s="31"/>
      <c r="K1707" s="32"/>
    </row>
    <row r="1708" customFormat="false" ht="15" hidden="false" customHeight="true" outlineLevel="0" collapsed="false">
      <c r="A1708" s="9"/>
      <c r="B1708" s="76"/>
      <c r="C1708" s="76"/>
      <c r="D1708" s="9"/>
      <c r="E1708" s="9"/>
      <c r="F1708" s="9"/>
      <c r="G1708" s="33"/>
      <c r="H1708" s="33"/>
      <c r="I1708" s="9"/>
      <c r="J1708" s="33"/>
      <c r="K1708" s="9"/>
    </row>
    <row r="1709" customFormat="false" ht="15" hidden="false" customHeight="true" outlineLevel="0" collapsed="false">
      <c r="A1709" s="73"/>
      <c r="B1709" s="74"/>
      <c r="C1709" s="74"/>
      <c r="D1709" s="73"/>
      <c r="E1709" s="73"/>
      <c r="F1709" s="73"/>
      <c r="G1709" s="75"/>
      <c r="H1709" s="75"/>
      <c r="I1709" s="73"/>
      <c r="J1709" s="31"/>
      <c r="K1709" s="32"/>
    </row>
    <row r="1710" customFormat="false" ht="15" hidden="false" customHeight="true" outlineLevel="0" collapsed="false">
      <c r="A1710" s="9"/>
      <c r="B1710" s="76"/>
      <c r="C1710" s="76"/>
      <c r="D1710" s="9"/>
      <c r="E1710" s="9"/>
      <c r="F1710" s="9"/>
      <c r="G1710" s="33"/>
      <c r="H1710" s="33"/>
      <c r="I1710" s="9"/>
      <c r="J1710" s="33"/>
      <c r="K1710" s="9"/>
    </row>
    <row r="1711" customFormat="false" ht="15" hidden="false" customHeight="true" outlineLevel="0" collapsed="false">
      <c r="A1711" s="73"/>
      <c r="B1711" s="74"/>
      <c r="C1711" s="74"/>
      <c r="D1711" s="73"/>
      <c r="E1711" s="73"/>
      <c r="F1711" s="73"/>
      <c r="G1711" s="75"/>
      <c r="H1711" s="75"/>
      <c r="I1711" s="73"/>
      <c r="J1711" s="31"/>
      <c r="K1711" s="32"/>
    </row>
    <row r="1712" customFormat="false" ht="15" hidden="false" customHeight="true" outlineLevel="0" collapsed="false">
      <c r="A1712" s="9"/>
      <c r="B1712" s="76"/>
      <c r="C1712" s="76"/>
      <c r="D1712" s="9"/>
      <c r="E1712" s="9"/>
      <c r="F1712" s="9"/>
      <c r="G1712" s="33"/>
      <c r="H1712" s="33"/>
      <c r="I1712" s="9"/>
      <c r="J1712" s="33"/>
      <c r="K1712" s="9"/>
    </row>
    <row r="1713" customFormat="false" ht="15" hidden="false" customHeight="true" outlineLevel="0" collapsed="false">
      <c r="A1713" s="73"/>
      <c r="B1713" s="74"/>
      <c r="C1713" s="74"/>
      <c r="D1713" s="73"/>
      <c r="E1713" s="73"/>
      <c r="F1713" s="73"/>
      <c r="G1713" s="75"/>
      <c r="H1713" s="75"/>
      <c r="I1713" s="73"/>
      <c r="J1713" s="31"/>
      <c r="K1713" s="32"/>
    </row>
    <row r="1714" customFormat="false" ht="15" hidden="false" customHeight="true" outlineLevel="0" collapsed="false">
      <c r="A1714" s="9"/>
      <c r="B1714" s="76"/>
      <c r="C1714" s="76"/>
      <c r="D1714" s="9"/>
      <c r="E1714" s="9"/>
      <c r="F1714" s="9"/>
      <c r="G1714" s="33"/>
      <c r="H1714" s="33"/>
      <c r="I1714" s="9"/>
      <c r="J1714" s="33"/>
      <c r="K1714" s="9"/>
    </row>
    <row r="1715" customFormat="false" ht="15" hidden="false" customHeight="true" outlineLevel="0" collapsed="false">
      <c r="A1715" s="73"/>
      <c r="B1715" s="74"/>
      <c r="C1715" s="74"/>
      <c r="D1715" s="73"/>
      <c r="E1715" s="73"/>
      <c r="F1715" s="73"/>
      <c r="G1715" s="75"/>
      <c r="H1715" s="75"/>
      <c r="I1715" s="73"/>
      <c r="J1715" s="31"/>
      <c r="K1715" s="32"/>
    </row>
    <row r="1716" customFormat="false" ht="15" hidden="false" customHeight="true" outlineLevel="0" collapsed="false">
      <c r="A1716" s="9"/>
      <c r="B1716" s="76"/>
      <c r="C1716" s="76"/>
      <c r="D1716" s="9"/>
      <c r="E1716" s="9"/>
      <c r="F1716" s="9"/>
      <c r="G1716" s="33"/>
      <c r="H1716" s="33"/>
      <c r="I1716" s="9"/>
      <c r="J1716" s="33"/>
      <c r="K1716" s="9"/>
    </row>
    <row r="1717" customFormat="false" ht="15" hidden="false" customHeight="true" outlineLevel="0" collapsed="false">
      <c r="A1717" s="73"/>
      <c r="B1717" s="74"/>
      <c r="C1717" s="74"/>
      <c r="D1717" s="73"/>
      <c r="E1717" s="73"/>
      <c r="F1717" s="73"/>
      <c r="G1717" s="75"/>
      <c r="H1717" s="75"/>
      <c r="I1717" s="73"/>
      <c r="J1717" s="31"/>
      <c r="K1717" s="32"/>
    </row>
    <row r="1718" customFormat="false" ht="15" hidden="false" customHeight="true" outlineLevel="0" collapsed="false">
      <c r="A1718" s="9"/>
      <c r="B1718" s="76"/>
      <c r="C1718" s="76"/>
      <c r="D1718" s="9"/>
      <c r="E1718" s="9"/>
      <c r="F1718" s="9"/>
      <c r="G1718" s="33"/>
      <c r="H1718" s="33"/>
      <c r="I1718" s="9"/>
      <c r="J1718" s="33"/>
      <c r="K1718" s="9"/>
    </row>
    <row r="1719" customFormat="false" ht="15" hidden="false" customHeight="true" outlineLevel="0" collapsed="false">
      <c r="A1719" s="73"/>
      <c r="B1719" s="74"/>
      <c r="C1719" s="74"/>
      <c r="D1719" s="73"/>
      <c r="E1719" s="73"/>
      <c r="F1719" s="73"/>
      <c r="G1719" s="75"/>
      <c r="H1719" s="75"/>
      <c r="I1719" s="73"/>
      <c r="J1719" s="31"/>
      <c r="K1719" s="32"/>
    </row>
    <row r="1720" customFormat="false" ht="15" hidden="false" customHeight="true" outlineLevel="0" collapsed="false">
      <c r="A1720" s="9"/>
      <c r="B1720" s="76"/>
      <c r="C1720" s="76"/>
      <c r="D1720" s="9"/>
      <c r="E1720" s="9"/>
      <c r="F1720" s="9"/>
      <c r="G1720" s="33"/>
      <c r="H1720" s="33"/>
      <c r="I1720" s="9"/>
      <c r="J1720" s="33"/>
      <c r="K1720" s="9"/>
    </row>
    <row r="1721" customFormat="false" ht="15" hidden="false" customHeight="true" outlineLevel="0" collapsed="false">
      <c r="A1721" s="73"/>
      <c r="B1721" s="74"/>
      <c r="C1721" s="74"/>
      <c r="D1721" s="73"/>
      <c r="E1721" s="73"/>
      <c r="F1721" s="73"/>
      <c r="G1721" s="75"/>
      <c r="H1721" s="75"/>
      <c r="I1721" s="73"/>
      <c r="J1721" s="31"/>
      <c r="K1721" s="32"/>
    </row>
    <row r="1722" customFormat="false" ht="15" hidden="false" customHeight="true" outlineLevel="0" collapsed="false">
      <c r="A1722" s="9"/>
      <c r="B1722" s="76"/>
      <c r="C1722" s="76"/>
      <c r="D1722" s="9"/>
      <c r="E1722" s="9"/>
      <c r="F1722" s="9"/>
      <c r="G1722" s="33"/>
      <c r="H1722" s="33"/>
      <c r="I1722" s="9"/>
      <c r="J1722" s="33"/>
      <c r="K1722" s="9"/>
    </row>
    <row r="1723" customFormat="false" ht="15" hidden="false" customHeight="true" outlineLevel="0" collapsed="false">
      <c r="A1723" s="73"/>
      <c r="B1723" s="74"/>
      <c r="C1723" s="74"/>
      <c r="D1723" s="73"/>
      <c r="E1723" s="73"/>
      <c r="F1723" s="73"/>
      <c r="G1723" s="75"/>
      <c r="H1723" s="75"/>
      <c r="I1723" s="73"/>
      <c r="J1723" s="31"/>
      <c r="K1723" s="32"/>
    </row>
    <row r="1724" customFormat="false" ht="15" hidden="false" customHeight="true" outlineLevel="0" collapsed="false">
      <c r="A1724" s="9"/>
      <c r="B1724" s="76"/>
      <c r="C1724" s="76"/>
      <c r="D1724" s="9"/>
      <c r="E1724" s="9"/>
      <c r="F1724" s="9"/>
      <c r="G1724" s="33"/>
      <c r="H1724" s="33"/>
      <c r="I1724" s="9"/>
      <c r="J1724" s="33"/>
      <c r="K1724" s="9"/>
    </row>
    <row r="1725" customFormat="false" ht="15" hidden="false" customHeight="true" outlineLevel="0" collapsed="false">
      <c r="A1725" s="73"/>
      <c r="B1725" s="74"/>
      <c r="C1725" s="74"/>
      <c r="D1725" s="73"/>
      <c r="E1725" s="73"/>
      <c r="F1725" s="73"/>
      <c r="G1725" s="75"/>
      <c r="H1725" s="75"/>
      <c r="I1725" s="73"/>
      <c r="J1725" s="31"/>
      <c r="K1725" s="32"/>
    </row>
    <row r="1726" customFormat="false" ht="15" hidden="false" customHeight="true" outlineLevel="0" collapsed="false">
      <c r="A1726" s="9"/>
      <c r="B1726" s="76"/>
      <c r="C1726" s="76"/>
      <c r="D1726" s="9"/>
      <c r="E1726" s="9"/>
      <c r="F1726" s="9"/>
      <c r="G1726" s="33"/>
      <c r="H1726" s="33"/>
      <c r="I1726" s="9"/>
      <c r="J1726" s="33"/>
      <c r="K1726" s="9"/>
    </row>
    <row r="1727" customFormat="false" ht="15" hidden="false" customHeight="true" outlineLevel="0" collapsed="false">
      <c r="A1727" s="73"/>
      <c r="B1727" s="74"/>
      <c r="C1727" s="74"/>
      <c r="D1727" s="73"/>
      <c r="E1727" s="73"/>
      <c r="F1727" s="73"/>
      <c r="G1727" s="75"/>
      <c r="H1727" s="75"/>
      <c r="I1727" s="73"/>
      <c r="J1727" s="31"/>
      <c r="K1727" s="32"/>
    </row>
    <row r="1728" customFormat="false" ht="15" hidden="false" customHeight="true" outlineLevel="0" collapsed="false">
      <c r="A1728" s="9"/>
      <c r="B1728" s="76"/>
      <c r="C1728" s="76"/>
      <c r="D1728" s="9"/>
      <c r="E1728" s="9"/>
      <c r="F1728" s="9"/>
      <c r="G1728" s="33"/>
      <c r="H1728" s="33"/>
      <c r="I1728" s="9"/>
      <c r="J1728" s="33"/>
      <c r="K1728" s="9"/>
    </row>
    <row r="1729" customFormat="false" ht="15" hidden="false" customHeight="true" outlineLevel="0" collapsed="false">
      <c r="A1729" s="73"/>
      <c r="B1729" s="74"/>
      <c r="C1729" s="74"/>
      <c r="D1729" s="73"/>
      <c r="E1729" s="73"/>
      <c r="F1729" s="73"/>
      <c r="G1729" s="75"/>
      <c r="H1729" s="75"/>
      <c r="I1729" s="73"/>
      <c r="J1729" s="31"/>
      <c r="K1729" s="32"/>
    </row>
    <row r="1730" customFormat="false" ht="15" hidden="false" customHeight="true" outlineLevel="0" collapsed="false">
      <c r="A1730" s="9"/>
      <c r="B1730" s="76"/>
      <c r="C1730" s="76"/>
      <c r="D1730" s="9"/>
      <c r="E1730" s="9"/>
      <c r="F1730" s="9"/>
      <c r="G1730" s="33"/>
      <c r="H1730" s="33"/>
      <c r="I1730" s="9"/>
      <c r="J1730" s="33"/>
      <c r="K1730" s="9"/>
    </row>
    <row r="1731" customFormat="false" ht="15" hidden="false" customHeight="true" outlineLevel="0" collapsed="false">
      <c r="A1731" s="73"/>
      <c r="B1731" s="74"/>
      <c r="C1731" s="74"/>
      <c r="D1731" s="73"/>
      <c r="E1731" s="73"/>
      <c r="F1731" s="73"/>
      <c r="G1731" s="75"/>
      <c r="H1731" s="75"/>
      <c r="I1731" s="73"/>
      <c r="J1731" s="31"/>
      <c r="K1731" s="32"/>
    </row>
    <row r="1732" customFormat="false" ht="15" hidden="false" customHeight="true" outlineLevel="0" collapsed="false">
      <c r="A1732" s="9"/>
      <c r="B1732" s="76"/>
      <c r="C1732" s="76"/>
      <c r="D1732" s="9"/>
      <c r="E1732" s="9"/>
      <c r="F1732" s="9"/>
      <c r="G1732" s="33"/>
      <c r="H1732" s="33"/>
      <c r="I1732" s="9"/>
      <c r="J1732" s="33"/>
      <c r="K1732" s="9"/>
    </row>
    <row r="1733" customFormat="false" ht="15" hidden="false" customHeight="true" outlineLevel="0" collapsed="false">
      <c r="A1733" s="73"/>
      <c r="B1733" s="74"/>
      <c r="C1733" s="74"/>
      <c r="D1733" s="73"/>
      <c r="E1733" s="73"/>
      <c r="F1733" s="73"/>
      <c r="G1733" s="75"/>
      <c r="H1733" s="75"/>
      <c r="I1733" s="73"/>
      <c r="J1733" s="31"/>
      <c r="K1733" s="32"/>
    </row>
    <row r="1734" customFormat="false" ht="15" hidden="false" customHeight="true" outlineLevel="0" collapsed="false">
      <c r="A1734" s="9"/>
      <c r="B1734" s="76"/>
      <c r="C1734" s="76"/>
      <c r="D1734" s="9"/>
      <c r="E1734" s="9"/>
      <c r="F1734" s="9"/>
      <c r="G1734" s="33"/>
      <c r="H1734" s="33"/>
      <c r="I1734" s="9"/>
      <c r="J1734" s="33"/>
      <c r="K1734" s="9"/>
    </row>
    <row r="1735" customFormat="false" ht="15" hidden="false" customHeight="true" outlineLevel="0" collapsed="false">
      <c r="A1735" s="73"/>
      <c r="B1735" s="74"/>
      <c r="C1735" s="74"/>
      <c r="D1735" s="73"/>
      <c r="E1735" s="73"/>
      <c r="F1735" s="73"/>
      <c r="G1735" s="75"/>
      <c r="H1735" s="75"/>
      <c r="I1735" s="73"/>
      <c r="J1735" s="31"/>
      <c r="K1735" s="32"/>
    </row>
    <row r="1736" customFormat="false" ht="15" hidden="false" customHeight="true" outlineLevel="0" collapsed="false">
      <c r="A1736" s="9"/>
      <c r="B1736" s="76"/>
      <c r="C1736" s="76"/>
      <c r="D1736" s="9"/>
      <c r="E1736" s="9"/>
      <c r="F1736" s="9"/>
      <c r="G1736" s="33"/>
      <c r="H1736" s="33"/>
      <c r="I1736" s="9"/>
      <c r="J1736" s="33"/>
      <c r="K1736" s="9"/>
    </row>
    <row r="1737" customFormat="false" ht="15" hidden="false" customHeight="true" outlineLevel="0" collapsed="false">
      <c r="A1737" s="73"/>
      <c r="B1737" s="74"/>
      <c r="C1737" s="74"/>
      <c r="D1737" s="73"/>
      <c r="E1737" s="73"/>
      <c r="F1737" s="73"/>
      <c r="G1737" s="75"/>
      <c r="H1737" s="75"/>
      <c r="I1737" s="73"/>
      <c r="J1737" s="31"/>
      <c r="K1737" s="32"/>
    </row>
    <row r="1738" customFormat="false" ht="15" hidden="false" customHeight="true" outlineLevel="0" collapsed="false">
      <c r="A1738" s="9"/>
      <c r="B1738" s="76"/>
      <c r="C1738" s="76"/>
      <c r="D1738" s="9"/>
      <c r="E1738" s="9"/>
      <c r="F1738" s="9"/>
      <c r="G1738" s="33"/>
      <c r="H1738" s="33"/>
      <c r="I1738" s="9"/>
      <c r="J1738" s="33"/>
      <c r="K1738" s="9"/>
    </row>
    <row r="1739" customFormat="false" ht="15" hidden="false" customHeight="true" outlineLevel="0" collapsed="false">
      <c r="A1739" s="73"/>
      <c r="B1739" s="74"/>
      <c r="C1739" s="74"/>
      <c r="D1739" s="73"/>
      <c r="E1739" s="73"/>
      <c r="F1739" s="73"/>
      <c r="G1739" s="75"/>
      <c r="H1739" s="75"/>
      <c r="I1739" s="73"/>
      <c r="J1739" s="31"/>
      <c r="K1739" s="32"/>
    </row>
    <row r="1740" customFormat="false" ht="15" hidden="false" customHeight="true" outlineLevel="0" collapsed="false">
      <c r="A1740" s="9"/>
      <c r="B1740" s="76"/>
      <c r="C1740" s="76"/>
      <c r="D1740" s="9"/>
      <c r="E1740" s="9"/>
      <c r="F1740" s="9"/>
      <c r="G1740" s="33"/>
      <c r="H1740" s="33"/>
      <c r="I1740" s="9"/>
      <c r="J1740" s="33"/>
      <c r="K1740" s="9"/>
    </row>
    <row r="1741" customFormat="false" ht="15" hidden="false" customHeight="true" outlineLevel="0" collapsed="false">
      <c r="A1741" s="73"/>
      <c r="B1741" s="74"/>
      <c r="C1741" s="74"/>
      <c r="D1741" s="73"/>
      <c r="E1741" s="73"/>
      <c r="F1741" s="73"/>
      <c r="G1741" s="75"/>
      <c r="H1741" s="75"/>
      <c r="I1741" s="73"/>
      <c r="J1741" s="31"/>
      <c r="K1741" s="32"/>
    </row>
    <row r="1742" customFormat="false" ht="15" hidden="false" customHeight="true" outlineLevel="0" collapsed="false">
      <c r="A1742" s="9"/>
      <c r="B1742" s="76"/>
      <c r="C1742" s="76"/>
      <c r="D1742" s="9"/>
      <c r="E1742" s="9"/>
      <c r="F1742" s="9"/>
      <c r="G1742" s="33"/>
      <c r="H1742" s="33"/>
      <c r="I1742" s="9"/>
      <c r="J1742" s="33"/>
      <c r="K1742" s="9"/>
    </row>
    <row r="1743" customFormat="false" ht="15" hidden="false" customHeight="true" outlineLevel="0" collapsed="false">
      <c r="A1743" s="73"/>
      <c r="B1743" s="74"/>
      <c r="C1743" s="74"/>
      <c r="D1743" s="73"/>
      <c r="E1743" s="73"/>
      <c r="F1743" s="73"/>
      <c r="G1743" s="75"/>
      <c r="H1743" s="75"/>
      <c r="I1743" s="73"/>
      <c r="J1743" s="31"/>
      <c r="K1743" s="32"/>
    </row>
    <row r="1744" customFormat="false" ht="15" hidden="false" customHeight="true" outlineLevel="0" collapsed="false">
      <c r="A1744" s="9"/>
      <c r="B1744" s="76"/>
      <c r="C1744" s="76"/>
      <c r="D1744" s="9"/>
      <c r="E1744" s="9"/>
      <c r="F1744" s="9"/>
      <c r="G1744" s="33"/>
      <c r="H1744" s="33"/>
      <c r="I1744" s="9"/>
      <c r="J1744" s="33"/>
      <c r="K1744" s="9"/>
    </row>
    <row r="1745" customFormat="false" ht="15" hidden="false" customHeight="true" outlineLevel="0" collapsed="false">
      <c r="A1745" s="73"/>
      <c r="B1745" s="74"/>
      <c r="C1745" s="74"/>
      <c r="D1745" s="73"/>
      <c r="E1745" s="73"/>
      <c r="F1745" s="73"/>
      <c r="G1745" s="75"/>
      <c r="H1745" s="75"/>
      <c r="I1745" s="73"/>
      <c r="J1745" s="31"/>
      <c r="K1745" s="32"/>
    </row>
    <row r="1746" customFormat="false" ht="15" hidden="false" customHeight="true" outlineLevel="0" collapsed="false">
      <c r="A1746" s="9"/>
      <c r="B1746" s="76"/>
      <c r="C1746" s="76"/>
      <c r="D1746" s="9"/>
      <c r="E1746" s="9"/>
      <c r="F1746" s="9"/>
      <c r="G1746" s="33"/>
      <c r="H1746" s="33"/>
      <c r="I1746" s="9"/>
      <c r="J1746" s="33"/>
      <c r="K1746" s="9"/>
    </row>
    <row r="1747" customFormat="false" ht="15" hidden="false" customHeight="true" outlineLevel="0" collapsed="false">
      <c r="A1747" s="73"/>
      <c r="B1747" s="74"/>
      <c r="C1747" s="74"/>
      <c r="D1747" s="73"/>
      <c r="E1747" s="73"/>
      <c r="F1747" s="73"/>
      <c r="G1747" s="75"/>
      <c r="H1747" s="75"/>
      <c r="I1747" s="73"/>
      <c r="J1747" s="31"/>
      <c r="K1747" s="32"/>
    </row>
    <row r="1748" customFormat="false" ht="15" hidden="false" customHeight="true" outlineLevel="0" collapsed="false">
      <c r="A1748" s="9"/>
      <c r="B1748" s="76"/>
      <c r="C1748" s="76"/>
      <c r="D1748" s="9"/>
      <c r="E1748" s="9"/>
      <c r="F1748" s="9"/>
      <c r="G1748" s="33"/>
      <c r="H1748" s="33"/>
      <c r="I1748" s="9"/>
      <c r="J1748" s="33"/>
      <c r="K1748" s="9"/>
    </row>
    <row r="1749" customFormat="false" ht="15" hidden="false" customHeight="true" outlineLevel="0" collapsed="false">
      <c r="A1749" s="73"/>
      <c r="B1749" s="74"/>
      <c r="C1749" s="74"/>
      <c r="D1749" s="73"/>
      <c r="E1749" s="73"/>
      <c r="F1749" s="73"/>
      <c r="G1749" s="75"/>
      <c r="H1749" s="75"/>
      <c r="I1749" s="73"/>
      <c r="J1749" s="31"/>
      <c r="K1749" s="32"/>
    </row>
    <row r="1750" customFormat="false" ht="15" hidden="false" customHeight="true" outlineLevel="0" collapsed="false">
      <c r="A1750" s="9"/>
      <c r="B1750" s="76"/>
      <c r="C1750" s="76"/>
      <c r="D1750" s="9"/>
      <c r="E1750" s="9"/>
      <c r="F1750" s="9"/>
      <c r="G1750" s="33"/>
      <c r="H1750" s="33"/>
      <c r="I1750" s="9"/>
      <c r="J1750" s="33"/>
      <c r="K1750" s="9"/>
    </row>
    <row r="1751" customFormat="false" ht="15" hidden="false" customHeight="true" outlineLevel="0" collapsed="false">
      <c r="A1751" s="73"/>
      <c r="B1751" s="74"/>
      <c r="C1751" s="74"/>
      <c r="D1751" s="73"/>
      <c r="E1751" s="73"/>
      <c r="F1751" s="73"/>
      <c r="G1751" s="75"/>
      <c r="H1751" s="75"/>
      <c r="I1751" s="73"/>
      <c r="J1751" s="31"/>
      <c r="K1751" s="32"/>
    </row>
    <row r="1752" customFormat="false" ht="15" hidden="false" customHeight="true" outlineLevel="0" collapsed="false">
      <c r="A1752" s="9"/>
      <c r="B1752" s="76"/>
      <c r="C1752" s="76"/>
      <c r="D1752" s="9"/>
      <c r="E1752" s="9"/>
      <c r="F1752" s="9"/>
      <c r="G1752" s="33"/>
      <c r="H1752" s="33"/>
      <c r="I1752" s="9"/>
      <c r="J1752" s="33"/>
      <c r="K1752" s="9"/>
    </row>
    <row r="1753" customFormat="false" ht="15" hidden="false" customHeight="true" outlineLevel="0" collapsed="false">
      <c r="A1753" s="73"/>
      <c r="B1753" s="74"/>
      <c r="C1753" s="74"/>
      <c r="D1753" s="73"/>
      <c r="E1753" s="73"/>
      <c r="F1753" s="73"/>
      <c r="G1753" s="75"/>
      <c r="H1753" s="75"/>
      <c r="I1753" s="73"/>
      <c r="J1753" s="31"/>
      <c r="K1753" s="32"/>
    </row>
    <row r="1754" customFormat="false" ht="15" hidden="false" customHeight="true" outlineLevel="0" collapsed="false">
      <c r="A1754" s="9"/>
      <c r="B1754" s="76"/>
      <c r="C1754" s="76"/>
      <c r="D1754" s="9"/>
      <c r="E1754" s="9"/>
      <c r="F1754" s="9"/>
      <c r="G1754" s="33"/>
      <c r="H1754" s="33"/>
      <c r="I1754" s="9"/>
      <c r="J1754" s="33"/>
      <c r="K1754" s="9"/>
    </row>
    <row r="1755" customFormat="false" ht="15" hidden="false" customHeight="true" outlineLevel="0" collapsed="false">
      <c r="A1755" s="73"/>
      <c r="B1755" s="74"/>
      <c r="C1755" s="74"/>
      <c r="D1755" s="73"/>
      <c r="E1755" s="73"/>
      <c r="F1755" s="73"/>
      <c r="G1755" s="75"/>
      <c r="H1755" s="75"/>
      <c r="I1755" s="73"/>
      <c r="J1755" s="31"/>
      <c r="K1755" s="32"/>
    </row>
    <row r="1756" customFormat="false" ht="15" hidden="false" customHeight="true" outlineLevel="0" collapsed="false">
      <c r="A1756" s="9"/>
      <c r="B1756" s="76"/>
      <c r="C1756" s="76"/>
      <c r="D1756" s="9"/>
      <c r="E1756" s="9"/>
      <c r="F1756" s="9"/>
      <c r="G1756" s="33"/>
      <c r="H1756" s="33"/>
      <c r="I1756" s="9"/>
      <c r="J1756" s="33"/>
      <c r="K1756" s="9"/>
    </row>
    <row r="1757" customFormat="false" ht="15" hidden="false" customHeight="true" outlineLevel="0" collapsed="false">
      <c r="A1757" s="73"/>
      <c r="B1757" s="74"/>
      <c r="C1757" s="74"/>
      <c r="D1757" s="73"/>
      <c r="E1757" s="73"/>
      <c r="F1757" s="73"/>
      <c r="G1757" s="75"/>
      <c r="H1757" s="75"/>
      <c r="I1757" s="73"/>
      <c r="J1757" s="31"/>
      <c r="K1757" s="32"/>
    </row>
    <row r="1758" customFormat="false" ht="15" hidden="false" customHeight="true" outlineLevel="0" collapsed="false">
      <c r="A1758" s="9"/>
      <c r="B1758" s="76"/>
      <c r="C1758" s="76"/>
      <c r="D1758" s="9"/>
      <c r="E1758" s="9"/>
      <c r="F1758" s="9"/>
      <c r="G1758" s="33"/>
      <c r="H1758" s="33"/>
      <c r="I1758" s="9"/>
      <c r="J1758" s="33"/>
      <c r="K1758" s="9"/>
    </row>
    <row r="1759" customFormat="false" ht="15" hidden="false" customHeight="true" outlineLevel="0" collapsed="false">
      <c r="A1759" s="73"/>
      <c r="B1759" s="74"/>
      <c r="C1759" s="74"/>
      <c r="D1759" s="73"/>
      <c r="E1759" s="73"/>
      <c r="F1759" s="73"/>
      <c r="G1759" s="75"/>
      <c r="H1759" s="75"/>
      <c r="I1759" s="73"/>
      <c r="J1759" s="31"/>
      <c r="K1759" s="32"/>
    </row>
    <row r="1760" customFormat="false" ht="15" hidden="false" customHeight="true" outlineLevel="0" collapsed="false">
      <c r="A1760" s="9"/>
      <c r="B1760" s="76"/>
      <c r="C1760" s="76"/>
      <c r="D1760" s="9"/>
      <c r="E1760" s="9"/>
      <c r="F1760" s="9"/>
      <c r="G1760" s="33"/>
      <c r="H1760" s="33"/>
      <c r="I1760" s="9"/>
      <c r="J1760" s="33"/>
      <c r="K1760" s="9"/>
    </row>
    <row r="1761" customFormat="false" ht="15" hidden="false" customHeight="true" outlineLevel="0" collapsed="false">
      <c r="A1761" s="73"/>
      <c r="B1761" s="74"/>
      <c r="C1761" s="74"/>
      <c r="D1761" s="73"/>
      <c r="E1761" s="73"/>
      <c r="F1761" s="73"/>
      <c r="G1761" s="75"/>
      <c r="H1761" s="75"/>
      <c r="I1761" s="73"/>
      <c r="J1761" s="31"/>
      <c r="K1761" s="32"/>
    </row>
    <row r="1762" customFormat="false" ht="15" hidden="false" customHeight="true" outlineLevel="0" collapsed="false">
      <c r="A1762" s="9"/>
      <c r="B1762" s="76"/>
      <c r="C1762" s="76"/>
      <c r="D1762" s="9"/>
      <c r="E1762" s="9"/>
      <c r="F1762" s="9"/>
      <c r="G1762" s="33"/>
      <c r="H1762" s="33"/>
      <c r="I1762" s="9"/>
      <c r="J1762" s="33"/>
      <c r="K1762" s="9"/>
    </row>
    <row r="1763" customFormat="false" ht="15" hidden="false" customHeight="true" outlineLevel="0" collapsed="false">
      <c r="A1763" s="73"/>
      <c r="B1763" s="74"/>
      <c r="C1763" s="74"/>
      <c r="D1763" s="73"/>
      <c r="E1763" s="73"/>
      <c r="F1763" s="73"/>
      <c r="G1763" s="75"/>
      <c r="H1763" s="75"/>
      <c r="I1763" s="73"/>
      <c r="J1763" s="31"/>
      <c r="K1763" s="32"/>
    </row>
    <row r="1764" customFormat="false" ht="15" hidden="false" customHeight="true" outlineLevel="0" collapsed="false">
      <c r="A1764" s="9"/>
      <c r="B1764" s="76"/>
      <c r="C1764" s="76"/>
      <c r="D1764" s="9"/>
      <c r="E1764" s="9"/>
      <c r="F1764" s="9"/>
      <c r="G1764" s="33"/>
      <c r="H1764" s="33"/>
      <c r="I1764" s="9"/>
      <c r="J1764" s="33"/>
      <c r="K1764" s="9"/>
    </row>
    <row r="1765" customFormat="false" ht="15" hidden="false" customHeight="true" outlineLevel="0" collapsed="false">
      <c r="A1765" s="73"/>
      <c r="B1765" s="74"/>
      <c r="C1765" s="74"/>
      <c r="D1765" s="73"/>
      <c r="E1765" s="73"/>
      <c r="F1765" s="73"/>
      <c r="G1765" s="75"/>
      <c r="H1765" s="75"/>
      <c r="I1765" s="73"/>
      <c r="J1765" s="31"/>
      <c r="K1765" s="32"/>
    </row>
    <row r="1766" customFormat="false" ht="15" hidden="false" customHeight="true" outlineLevel="0" collapsed="false">
      <c r="A1766" s="9"/>
      <c r="B1766" s="76"/>
      <c r="C1766" s="76"/>
      <c r="D1766" s="9"/>
      <c r="E1766" s="9"/>
      <c r="F1766" s="9"/>
      <c r="G1766" s="33"/>
      <c r="H1766" s="33"/>
      <c r="I1766" s="9"/>
      <c r="J1766" s="33"/>
      <c r="K1766" s="9"/>
    </row>
    <row r="1767" customFormat="false" ht="15" hidden="false" customHeight="true" outlineLevel="0" collapsed="false">
      <c r="A1767" s="73"/>
      <c r="B1767" s="74"/>
      <c r="C1767" s="74"/>
      <c r="D1767" s="73"/>
      <c r="E1767" s="73"/>
      <c r="F1767" s="73"/>
      <c r="G1767" s="75"/>
      <c r="H1767" s="75"/>
      <c r="I1767" s="73"/>
      <c r="J1767" s="31"/>
      <c r="K1767" s="32"/>
    </row>
    <row r="1768" customFormat="false" ht="15" hidden="false" customHeight="true" outlineLevel="0" collapsed="false">
      <c r="A1768" s="9"/>
      <c r="B1768" s="76"/>
      <c r="C1768" s="76"/>
      <c r="D1768" s="9"/>
      <c r="E1768" s="9"/>
      <c r="F1768" s="9"/>
      <c r="G1768" s="33"/>
      <c r="H1768" s="33"/>
      <c r="I1768" s="9"/>
      <c r="J1768" s="33"/>
      <c r="K1768" s="9"/>
    </row>
    <row r="1769" customFormat="false" ht="15" hidden="false" customHeight="true" outlineLevel="0" collapsed="false">
      <c r="A1769" s="73"/>
      <c r="B1769" s="74"/>
      <c r="C1769" s="74"/>
      <c r="D1769" s="73"/>
      <c r="E1769" s="73"/>
      <c r="F1769" s="73"/>
      <c r="G1769" s="75"/>
      <c r="H1769" s="75"/>
      <c r="I1769" s="73"/>
      <c r="J1769" s="31"/>
      <c r="K1769" s="32"/>
    </row>
    <row r="1770" customFormat="false" ht="15" hidden="false" customHeight="true" outlineLevel="0" collapsed="false">
      <c r="A1770" s="9"/>
      <c r="B1770" s="76"/>
      <c r="C1770" s="76"/>
      <c r="D1770" s="9"/>
      <c r="E1770" s="9"/>
      <c r="F1770" s="9"/>
      <c r="G1770" s="33"/>
      <c r="H1770" s="33"/>
      <c r="I1770" s="9"/>
      <c r="J1770" s="33"/>
      <c r="K1770" s="9"/>
    </row>
    <row r="1771" customFormat="false" ht="15" hidden="false" customHeight="true" outlineLevel="0" collapsed="false">
      <c r="A1771" s="73"/>
      <c r="B1771" s="74"/>
      <c r="C1771" s="74"/>
      <c r="D1771" s="73"/>
      <c r="E1771" s="73"/>
      <c r="F1771" s="73"/>
      <c r="G1771" s="75"/>
      <c r="H1771" s="75"/>
      <c r="I1771" s="73"/>
      <c r="J1771" s="31"/>
      <c r="K1771" s="32"/>
    </row>
    <row r="1772" customFormat="false" ht="15" hidden="false" customHeight="true" outlineLevel="0" collapsed="false">
      <c r="A1772" s="9"/>
      <c r="B1772" s="76"/>
      <c r="C1772" s="76"/>
      <c r="D1772" s="9"/>
      <c r="E1772" s="9"/>
      <c r="F1772" s="9"/>
      <c r="G1772" s="33"/>
      <c r="H1772" s="33"/>
      <c r="I1772" s="9"/>
      <c r="J1772" s="33"/>
      <c r="K1772" s="9"/>
    </row>
    <row r="1773" customFormat="false" ht="15" hidden="false" customHeight="true" outlineLevel="0" collapsed="false">
      <c r="A1773" s="73"/>
      <c r="B1773" s="74"/>
      <c r="C1773" s="74"/>
      <c r="D1773" s="73"/>
      <c r="E1773" s="73"/>
      <c r="F1773" s="73"/>
      <c r="G1773" s="75"/>
      <c r="H1773" s="75"/>
      <c r="I1773" s="73"/>
      <c r="J1773" s="31"/>
      <c r="K1773" s="32"/>
    </row>
    <row r="1774" customFormat="false" ht="15" hidden="false" customHeight="true" outlineLevel="0" collapsed="false">
      <c r="A1774" s="9"/>
      <c r="B1774" s="76"/>
      <c r="C1774" s="76"/>
      <c r="D1774" s="9"/>
      <c r="E1774" s="9"/>
      <c r="F1774" s="9"/>
      <c r="G1774" s="33"/>
      <c r="H1774" s="33"/>
      <c r="I1774" s="9"/>
      <c r="J1774" s="33"/>
      <c r="K1774" s="9"/>
    </row>
    <row r="1775" customFormat="false" ht="15" hidden="false" customHeight="true" outlineLevel="0" collapsed="false">
      <c r="A1775" s="73"/>
      <c r="B1775" s="74"/>
      <c r="C1775" s="74"/>
      <c r="D1775" s="73"/>
      <c r="E1775" s="73"/>
      <c r="F1775" s="73"/>
      <c r="G1775" s="75"/>
      <c r="H1775" s="75"/>
      <c r="I1775" s="73"/>
      <c r="J1775" s="31"/>
      <c r="K1775" s="32"/>
    </row>
    <row r="1776" customFormat="false" ht="15" hidden="false" customHeight="true" outlineLevel="0" collapsed="false">
      <c r="A1776" s="9"/>
      <c r="B1776" s="76"/>
      <c r="C1776" s="76"/>
      <c r="D1776" s="9"/>
      <c r="E1776" s="9"/>
      <c r="F1776" s="9"/>
      <c r="G1776" s="33"/>
      <c r="H1776" s="33"/>
      <c r="I1776" s="9"/>
      <c r="J1776" s="33"/>
      <c r="K1776" s="9"/>
    </row>
    <row r="1777" customFormat="false" ht="15" hidden="false" customHeight="true" outlineLevel="0" collapsed="false">
      <c r="A1777" s="73"/>
      <c r="B1777" s="74"/>
      <c r="C1777" s="74"/>
      <c r="D1777" s="73"/>
      <c r="E1777" s="73"/>
      <c r="F1777" s="73"/>
      <c r="G1777" s="75"/>
      <c r="H1777" s="75"/>
      <c r="I1777" s="73"/>
      <c r="J1777" s="31"/>
      <c r="K1777" s="32"/>
    </row>
    <row r="1778" customFormat="false" ht="15" hidden="false" customHeight="true" outlineLevel="0" collapsed="false">
      <c r="A1778" s="9"/>
      <c r="B1778" s="76"/>
      <c r="C1778" s="76"/>
      <c r="D1778" s="9"/>
      <c r="E1778" s="9"/>
      <c r="F1778" s="9"/>
      <c r="G1778" s="33"/>
      <c r="H1778" s="33"/>
      <c r="I1778" s="9"/>
      <c r="J1778" s="33"/>
      <c r="K1778" s="9"/>
    </row>
    <row r="1779" customFormat="false" ht="15" hidden="false" customHeight="true" outlineLevel="0" collapsed="false">
      <c r="A1779" s="73"/>
      <c r="B1779" s="74"/>
      <c r="C1779" s="74"/>
      <c r="D1779" s="73"/>
      <c r="E1779" s="73"/>
      <c r="F1779" s="73"/>
      <c r="G1779" s="75"/>
      <c r="H1779" s="75"/>
      <c r="I1779" s="73"/>
      <c r="J1779" s="31"/>
      <c r="K1779" s="32"/>
    </row>
    <row r="1780" customFormat="false" ht="15" hidden="false" customHeight="true" outlineLevel="0" collapsed="false">
      <c r="A1780" s="9"/>
      <c r="B1780" s="76"/>
      <c r="C1780" s="76"/>
      <c r="D1780" s="9"/>
      <c r="E1780" s="9"/>
      <c r="F1780" s="9"/>
      <c r="G1780" s="33"/>
      <c r="H1780" s="33"/>
      <c r="I1780" s="9"/>
      <c r="J1780" s="33"/>
      <c r="K1780" s="9"/>
    </row>
    <row r="1781" customFormat="false" ht="15" hidden="false" customHeight="true" outlineLevel="0" collapsed="false">
      <c r="A1781" s="73"/>
      <c r="B1781" s="74"/>
      <c r="C1781" s="74"/>
      <c r="D1781" s="73"/>
      <c r="E1781" s="73"/>
      <c r="F1781" s="73"/>
      <c r="G1781" s="75"/>
      <c r="H1781" s="75"/>
      <c r="I1781" s="73"/>
      <c r="J1781" s="31"/>
      <c r="K1781" s="32"/>
    </row>
    <row r="1782" customFormat="false" ht="15" hidden="false" customHeight="true" outlineLevel="0" collapsed="false">
      <c r="A1782" s="9"/>
      <c r="B1782" s="76"/>
      <c r="C1782" s="76"/>
      <c r="D1782" s="9"/>
      <c r="E1782" s="9"/>
      <c r="F1782" s="9"/>
      <c r="G1782" s="33"/>
      <c r="H1782" s="33"/>
      <c r="I1782" s="9"/>
      <c r="J1782" s="33"/>
      <c r="K1782" s="9"/>
    </row>
    <row r="1783" customFormat="false" ht="15" hidden="false" customHeight="true" outlineLevel="0" collapsed="false">
      <c r="A1783" s="73"/>
      <c r="B1783" s="74"/>
      <c r="C1783" s="74"/>
      <c r="D1783" s="73"/>
      <c r="E1783" s="73"/>
      <c r="F1783" s="73"/>
      <c r="G1783" s="75"/>
      <c r="H1783" s="75"/>
      <c r="I1783" s="73"/>
      <c r="J1783" s="31"/>
      <c r="K1783" s="32"/>
    </row>
    <row r="1784" customFormat="false" ht="15" hidden="false" customHeight="true" outlineLevel="0" collapsed="false">
      <c r="A1784" s="9"/>
      <c r="B1784" s="76"/>
      <c r="C1784" s="76"/>
      <c r="D1784" s="9"/>
      <c r="E1784" s="9"/>
      <c r="F1784" s="9"/>
      <c r="G1784" s="33"/>
      <c r="H1784" s="33"/>
      <c r="I1784" s="9"/>
      <c r="J1784" s="33"/>
      <c r="K1784" s="9"/>
    </row>
    <row r="1785" customFormat="false" ht="15" hidden="false" customHeight="true" outlineLevel="0" collapsed="false">
      <c r="A1785" s="73"/>
      <c r="B1785" s="74"/>
      <c r="C1785" s="74"/>
      <c r="D1785" s="73"/>
      <c r="E1785" s="73"/>
      <c r="F1785" s="73"/>
      <c r="G1785" s="75"/>
      <c r="H1785" s="75"/>
      <c r="I1785" s="73"/>
      <c r="J1785" s="31"/>
      <c r="K1785" s="32"/>
    </row>
    <row r="1786" customFormat="false" ht="15" hidden="false" customHeight="true" outlineLevel="0" collapsed="false">
      <c r="A1786" s="9"/>
      <c r="B1786" s="76"/>
      <c r="C1786" s="76"/>
      <c r="D1786" s="9"/>
      <c r="E1786" s="9"/>
      <c r="F1786" s="9"/>
      <c r="G1786" s="33"/>
      <c r="H1786" s="33"/>
      <c r="I1786" s="9"/>
      <c r="J1786" s="33"/>
      <c r="K1786" s="9"/>
    </row>
    <row r="1787" customFormat="false" ht="15" hidden="false" customHeight="true" outlineLevel="0" collapsed="false">
      <c r="A1787" s="73"/>
      <c r="B1787" s="74"/>
      <c r="C1787" s="74"/>
      <c r="D1787" s="73"/>
      <c r="E1787" s="73"/>
      <c r="F1787" s="73"/>
      <c r="G1787" s="75"/>
      <c r="H1787" s="75"/>
      <c r="I1787" s="73"/>
      <c r="J1787" s="31"/>
      <c r="K1787" s="32"/>
    </row>
    <row r="1788" customFormat="false" ht="15" hidden="false" customHeight="true" outlineLevel="0" collapsed="false">
      <c r="A1788" s="9"/>
      <c r="B1788" s="76"/>
      <c r="C1788" s="76"/>
      <c r="D1788" s="9"/>
      <c r="E1788" s="9"/>
      <c r="F1788" s="9"/>
      <c r="G1788" s="33"/>
      <c r="H1788" s="33"/>
      <c r="I1788" s="9"/>
      <c r="J1788" s="33"/>
      <c r="K1788" s="9"/>
    </row>
    <row r="1789" customFormat="false" ht="15" hidden="false" customHeight="true" outlineLevel="0" collapsed="false">
      <c r="A1789" s="73"/>
      <c r="B1789" s="74"/>
      <c r="C1789" s="74"/>
      <c r="D1789" s="73"/>
      <c r="E1789" s="73"/>
      <c r="F1789" s="73"/>
      <c r="G1789" s="75"/>
      <c r="H1789" s="75"/>
      <c r="I1789" s="73"/>
      <c r="J1789" s="31"/>
      <c r="K1789" s="32"/>
    </row>
    <row r="1790" customFormat="false" ht="15" hidden="false" customHeight="true" outlineLevel="0" collapsed="false">
      <c r="A1790" s="9"/>
      <c r="B1790" s="76"/>
      <c r="C1790" s="76"/>
      <c r="D1790" s="9"/>
      <c r="E1790" s="9"/>
      <c r="F1790" s="9"/>
      <c r="G1790" s="33"/>
      <c r="H1790" s="33"/>
      <c r="I1790" s="9"/>
      <c r="J1790" s="33"/>
      <c r="K1790" s="9"/>
    </row>
    <row r="1791" customFormat="false" ht="15" hidden="false" customHeight="true" outlineLevel="0" collapsed="false">
      <c r="A1791" s="73"/>
      <c r="B1791" s="74"/>
      <c r="C1791" s="74"/>
      <c r="D1791" s="73"/>
      <c r="E1791" s="73"/>
      <c r="F1791" s="73"/>
      <c r="G1791" s="75"/>
      <c r="H1791" s="75"/>
      <c r="I1791" s="73"/>
      <c r="J1791" s="31"/>
      <c r="K1791" s="32"/>
    </row>
    <row r="1792" customFormat="false" ht="15" hidden="false" customHeight="true" outlineLevel="0" collapsed="false">
      <c r="A1792" s="9"/>
      <c r="B1792" s="76"/>
      <c r="C1792" s="76"/>
      <c r="D1792" s="9"/>
      <c r="E1792" s="9"/>
      <c r="F1792" s="9"/>
      <c r="G1792" s="33"/>
      <c r="H1792" s="33"/>
      <c r="I1792" s="9"/>
      <c r="J1792" s="33"/>
      <c r="K1792" s="9"/>
    </row>
    <row r="1793" customFormat="false" ht="15" hidden="false" customHeight="true" outlineLevel="0" collapsed="false">
      <c r="A1793" s="73"/>
      <c r="B1793" s="74"/>
      <c r="C1793" s="74"/>
      <c r="D1793" s="73"/>
      <c r="E1793" s="73"/>
      <c r="F1793" s="73"/>
      <c r="G1793" s="75"/>
      <c r="H1793" s="75"/>
      <c r="I1793" s="73"/>
      <c r="J1793" s="31"/>
      <c r="K1793" s="32"/>
    </row>
    <row r="1794" customFormat="false" ht="15" hidden="false" customHeight="true" outlineLevel="0" collapsed="false">
      <c r="A1794" s="9"/>
      <c r="B1794" s="76"/>
      <c r="C1794" s="76"/>
      <c r="D1794" s="9"/>
      <c r="E1794" s="9"/>
      <c r="F1794" s="9"/>
      <c r="G1794" s="33"/>
      <c r="H1794" s="33"/>
      <c r="I1794" s="9"/>
      <c r="J1794" s="33"/>
      <c r="K1794" s="9"/>
    </row>
    <row r="1795" customFormat="false" ht="15" hidden="false" customHeight="true" outlineLevel="0" collapsed="false">
      <c r="A1795" s="73"/>
      <c r="B1795" s="74"/>
      <c r="C1795" s="74"/>
      <c r="D1795" s="73"/>
      <c r="E1795" s="73"/>
      <c r="F1795" s="73"/>
      <c r="G1795" s="75"/>
      <c r="H1795" s="75"/>
      <c r="I1795" s="73"/>
      <c r="J1795" s="31"/>
      <c r="K1795" s="32"/>
    </row>
    <row r="1796" customFormat="false" ht="15" hidden="false" customHeight="true" outlineLevel="0" collapsed="false">
      <c r="A1796" s="9"/>
      <c r="B1796" s="76"/>
      <c r="C1796" s="76"/>
      <c r="D1796" s="9"/>
      <c r="E1796" s="9"/>
      <c r="F1796" s="9"/>
      <c r="G1796" s="33"/>
      <c r="H1796" s="33"/>
      <c r="I1796" s="9"/>
      <c r="J1796" s="33"/>
      <c r="K1796" s="9"/>
    </row>
    <row r="1797" customFormat="false" ht="15" hidden="false" customHeight="true" outlineLevel="0" collapsed="false">
      <c r="A1797" s="73"/>
      <c r="B1797" s="74"/>
      <c r="C1797" s="74"/>
      <c r="D1797" s="73"/>
      <c r="E1797" s="73"/>
      <c r="F1797" s="73"/>
      <c r="G1797" s="75"/>
      <c r="H1797" s="75"/>
      <c r="I1797" s="73"/>
      <c r="J1797" s="31"/>
      <c r="K1797" s="32"/>
    </row>
    <row r="1798" customFormat="false" ht="15" hidden="false" customHeight="true" outlineLevel="0" collapsed="false">
      <c r="A1798" s="9"/>
      <c r="B1798" s="76"/>
      <c r="C1798" s="76"/>
      <c r="D1798" s="9"/>
      <c r="E1798" s="9"/>
      <c r="F1798" s="9"/>
      <c r="G1798" s="33"/>
      <c r="H1798" s="33"/>
      <c r="I1798" s="9"/>
      <c r="J1798" s="33"/>
      <c r="K1798" s="9"/>
    </row>
    <row r="1799" customFormat="false" ht="15" hidden="false" customHeight="true" outlineLevel="0" collapsed="false">
      <c r="A1799" s="73"/>
      <c r="B1799" s="74"/>
      <c r="C1799" s="74"/>
      <c r="D1799" s="73"/>
      <c r="E1799" s="73"/>
      <c r="F1799" s="73"/>
      <c r="G1799" s="75"/>
      <c r="H1799" s="75"/>
      <c r="I1799" s="73"/>
      <c r="J1799" s="31"/>
      <c r="K1799" s="32"/>
    </row>
    <row r="1800" customFormat="false" ht="15" hidden="false" customHeight="true" outlineLevel="0" collapsed="false">
      <c r="A1800" s="9"/>
      <c r="B1800" s="76"/>
      <c r="C1800" s="76"/>
      <c r="D1800" s="9"/>
      <c r="E1800" s="9"/>
      <c r="F1800" s="9"/>
      <c r="G1800" s="33"/>
      <c r="H1800" s="33"/>
      <c r="I1800" s="9"/>
      <c r="J1800" s="33"/>
      <c r="K1800" s="9"/>
    </row>
    <row r="1801" customFormat="false" ht="15" hidden="false" customHeight="true" outlineLevel="0" collapsed="false">
      <c r="A1801" s="73"/>
      <c r="B1801" s="74"/>
      <c r="C1801" s="74"/>
      <c r="D1801" s="73"/>
      <c r="E1801" s="73"/>
      <c r="F1801" s="73"/>
      <c r="G1801" s="75"/>
      <c r="H1801" s="75"/>
      <c r="I1801" s="73"/>
      <c r="J1801" s="31"/>
      <c r="K1801" s="32"/>
    </row>
    <row r="1802" customFormat="false" ht="15" hidden="false" customHeight="true" outlineLevel="0" collapsed="false">
      <c r="A1802" s="9"/>
      <c r="B1802" s="76"/>
      <c r="C1802" s="76"/>
      <c r="D1802" s="9"/>
      <c r="E1802" s="9"/>
      <c r="F1802" s="9"/>
      <c r="G1802" s="33"/>
      <c r="H1802" s="33"/>
      <c r="I1802" s="9"/>
      <c r="J1802" s="33"/>
      <c r="K1802" s="9"/>
    </row>
    <row r="1803" customFormat="false" ht="15" hidden="false" customHeight="true" outlineLevel="0" collapsed="false">
      <c r="A1803" s="73"/>
      <c r="B1803" s="74"/>
      <c r="C1803" s="74"/>
      <c r="D1803" s="73"/>
      <c r="E1803" s="73"/>
      <c r="F1803" s="73"/>
      <c r="G1803" s="75"/>
      <c r="H1803" s="75"/>
      <c r="I1803" s="73"/>
      <c r="J1803" s="31"/>
      <c r="K1803" s="32"/>
    </row>
    <row r="1804" customFormat="false" ht="15" hidden="false" customHeight="true" outlineLevel="0" collapsed="false">
      <c r="A1804" s="9"/>
      <c r="B1804" s="76"/>
      <c r="C1804" s="76"/>
      <c r="D1804" s="9"/>
      <c r="E1804" s="9"/>
      <c r="F1804" s="9"/>
      <c r="G1804" s="33"/>
      <c r="H1804" s="33"/>
      <c r="I1804" s="9"/>
      <c r="J1804" s="33"/>
      <c r="K1804" s="9"/>
    </row>
    <row r="1805" customFormat="false" ht="15" hidden="false" customHeight="true" outlineLevel="0" collapsed="false">
      <c r="A1805" s="73"/>
      <c r="B1805" s="74"/>
      <c r="C1805" s="74"/>
      <c r="D1805" s="73"/>
      <c r="E1805" s="73"/>
      <c r="F1805" s="73"/>
      <c r="G1805" s="75"/>
      <c r="H1805" s="75"/>
      <c r="I1805" s="73"/>
      <c r="J1805" s="31"/>
      <c r="K1805" s="32"/>
    </row>
    <row r="1806" customFormat="false" ht="15" hidden="false" customHeight="true" outlineLevel="0" collapsed="false">
      <c r="A1806" s="9"/>
      <c r="B1806" s="76"/>
      <c r="C1806" s="76"/>
      <c r="D1806" s="9"/>
      <c r="E1806" s="9"/>
      <c r="F1806" s="9"/>
      <c r="G1806" s="33"/>
      <c r="H1806" s="33"/>
      <c r="I1806" s="9"/>
      <c r="J1806" s="33"/>
      <c r="K1806" s="9"/>
    </row>
    <row r="1807" customFormat="false" ht="15" hidden="false" customHeight="true" outlineLevel="0" collapsed="false">
      <c r="A1807" s="73"/>
      <c r="B1807" s="74"/>
      <c r="C1807" s="74"/>
      <c r="D1807" s="73"/>
      <c r="E1807" s="73"/>
      <c r="F1807" s="73"/>
      <c r="G1807" s="75"/>
      <c r="H1807" s="75"/>
      <c r="I1807" s="73"/>
      <c r="J1807" s="31"/>
      <c r="K1807" s="32"/>
    </row>
    <row r="1808" customFormat="false" ht="15" hidden="false" customHeight="true" outlineLevel="0" collapsed="false">
      <c r="A1808" s="9"/>
      <c r="B1808" s="76"/>
      <c r="C1808" s="76"/>
      <c r="D1808" s="9"/>
      <c r="E1808" s="9"/>
      <c r="F1808" s="9"/>
      <c r="G1808" s="33"/>
      <c r="H1808" s="33"/>
      <c r="I1808" s="9"/>
      <c r="J1808" s="33"/>
      <c r="K1808" s="9"/>
    </row>
    <row r="1809" customFormat="false" ht="15" hidden="false" customHeight="true" outlineLevel="0" collapsed="false">
      <c r="A1809" s="73"/>
      <c r="B1809" s="74"/>
      <c r="C1809" s="74"/>
      <c r="D1809" s="73"/>
      <c r="E1809" s="73"/>
      <c r="F1809" s="73"/>
      <c r="G1809" s="75"/>
      <c r="H1809" s="75"/>
      <c r="I1809" s="73"/>
      <c r="J1809" s="31"/>
      <c r="K1809" s="32"/>
    </row>
    <row r="1810" customFormat="false" ht="15" hidden="false" customHeight="true" outlineLevel="0" collapsed="false">
      <c r="A1810" s="9"/>
      <c r="B1810" s="76"/>
      <c r="C1810" s="76"/>
      <c r="D1810" s="9"/>
      <c r="E1810" s="9"/>
      <c r="F1810" s="9"/>
      <c r="G1810" s="33"/>
      <c r="H1810" s="33"/>
      <c r="I1810" s="9"/>
      <c r="J1810" s="33"/>
      <c r="K1810" s="9"/>
    </row>
    <row r="1811" customFormat="false" ht="15" hidden="false" customHeight="true" outlineLevel="0" collapsed="false">
      <c r="A1811" s="73"/>
      <c r="B1811" s="74"/>
      <c r="C1811" s="74"/>
      <c r="D1811" s="73"/>
      <c r="E1811" s="73"/>
      <c r="F1811" s="73"/>
      <c r="G1811" s="75"/>
      <c r="H1811" s="75"/>
      <c r="I1811" s="73"/>
      <c r="J1811" s="31"/>
      <c r="K1811" s="32"/>
    </row>
    <row r="1812" customFormat="false" ht="15" hidden="false" customHeight="true" outlineLevel="0" collapsed="false">
      <c r="A1812" s="9"/>
      <c r="B1812" s="76"/>
      <c r="C1812" s="76"/>
      <c r="D1812" s="9"/>
      <c r="E1812" s="9"/>
      <c r="F1812" s="9"/>
      <c r="G1812" s="33"/>
      <c r="H1812" s="33"/>
      <c r="I1812" s="9"/>
      <c r="J1812" s="33"/>
      <c r="K1812" s="9"/>
    </row>
    <row r="1813" customFormat="false" ht="15" hidden="false" customHeight="true" outlineLevel="0" collapsed="false">
      <c r="A1813" s="73"/>
      <c r="B1813" s="74"/>
      <c r="C1813" s="74"/>
      <c r="D1813" s="73"/>
      <c r="E1813" s="73"/>
      <c r="F1813" s="73"/>
      <c r="G1813" s="75"/>
      <c r="H1813" s="75"/>
      <c r="I1813" s="73"/>
      <c r="J1813" s="31"/>
      <c r="K1813" s="32"/>
    </row>
    <row r="1814" customFormat="false" ht="15" hidden="false" customHeight="true" outlineLevel="0" collapsed="false">
      <c r="A1814" s="9"/>
      <c r="B1814" s="76"/>
      <c r="C1814" s="76"/>
      <c r="D1814" s="9"/>
      <c r="E1814" s="9"/>
      <c r="F1814" s="9"/>
      <c r="G1814" s="33"/>
      <c r="H1814" s="33"/>
      <c r="I1814" s="9"/>
      <c r="J1814" s="33"/>
      <c r="K1814" s="9"/>
    </row>
    <row r="1815" customFormat="false" ht="15" hidden="false" customHeight="true" outlineLevel="0" collapsed="false">
      <c r="A1815" s="73"/>
      <c r="B1815" s="74"/>
      <c r="C1815" s="74"/>
      <c r="D1815" s="73"/>
      <c r="E1815" s="73"/>
      <c r="F1815" s="73"/>
      <c r="G1815" s="75"/>
      <c r="H1815" s="75"/>
      <c r="I1815" s="73"/>
      <c r="J1815" s="31"/>
      <c r="K1815" s="32"/>
    </row>
    <row r="1816" customFormat="false" ht="15" hidden="false" customHeight="true" outlineLevel="0" collapsed="false">
      <c r="A1816" s="9"/>
      <c r="B1816" s="76"/>
      <c r="C1816" s="76"/>
      <c r="D1816" s="9"/>
      <c r="E1816" s="9"/>
      <c r="F1816" s="9"/>
      <c r="G1816" s="33"/>
      <c r="H1816" s="33"/>
      <c r="I1816" s="9"/>
      <c r="J1816" s="33"/>
      <c r="K1816" s="9"/>
    </row>
    <row r="1817" customFormat="false" ht="15" hidden="false" customHeight="true" outlineLevel="0" collapsed="false">
      <c r="A1817" s="73"/>
      <c r="B1817" s="74"/>
      <c r="C1817" s="74"/>
      <c r="D1817" s="73"/>
      <c r="E1817" s="73"/>
      <c r="F1817" s="73"/>
      <c r="G1817" s="75"/>
      <c r="H1817" s="75"/>
      <c r="I1817" s="73"/>
      <c r="J1817" s="31"/>
      <c r="K1817" s="32"/>
    </row>
    <row r="1818" customFormat="false" ht="15" hidden="false" customHeight="true" outlineLevel="0" collapsed="false">
      <c r="A1818" s="9"/>
      <c r="B1818" s="76"/>
      <c r="C1818" s="76"/>
      <c r="D1818" s="9"/>
      <c r="E1818" s="9"/>
      <c r="F1818" s="9"/>
      <c r="G1818" s="33"/>
      <c r="H1818" s="33"/>
      <c r="I1818" s="9"/>
      <c r="J1818" s="33"/>
      <c r="K1818" s="9"/>
    </row>
    <row r="1819" customFormat="false" ht="15" hidden="false" customHeight="true" outlineLevel="0" collapsed="false">
      <c r="A1819" s="73"/>
      <c r="B1819" s="74"/>
      <c r="C1819" s="74"/>
      <c r="D1819" s="73"/>
      <c r="E1819" s="73"/>
      <c r="F1819" s="73"/>
      <c r="G1819" s="75"/>
      <c r="H1819" s="75"/>
      <c r="I1819" s="73"/>
      <c r="J1819" s="31"/>
      <c r="K1819" s="32"/>
    </row>
    <row r="1820" customFormat="false" ht="15" hidden="false" customHeight="true" outlineLevel="0" collapsed="false">
      <c r="A1820" s="9"/>
      <c r="B1820" s="76"/>
      <c r="C1820" s="76"/>
      <c r="D1820" s="9"/>
      <c r="E1820" s="9"/>
      <c r="F1820" s="9"/>
      <c r="G1820" s="33"/>
      <c r="H1820" s="33"/>
      <c r="I1820" s="9"/>
      <c r="J1820" s="33"/>
      <c r="K1820" s="9"/>
    </row>
    <row r="1821" customFormat="false" ht="15" hidden="false" customHeight="true" outlineLevel="0" collapsed="false">
      <c r="A1821" s="73"/>
      <c r="B1821" s="74"/>
      <c r="C1821" s="74"/>
      <c r="D1821" s="73"/>
      <c r="E1821" s="73"/>
      <c r="F1821" s="73"/>
      <c r="G1821" s="75"/>
      <c r="H1821" s="75"/>
      <c r="I1821" s="73"/>
      <c r="J1821" s="31"/>
      <c r="K1821" s="32"/>
    </row>
    <row r="1822" customFormat="false" ht="15" hidden="false" customHeight="true" outlineLevel="0" collapsed="false">
      <c r="A1822" s="9"/>
      <c r="B1822" s="76"/>
      <c r="C1822" s="76"/>
      <c r="D1822" s="9"/>
      <c r="E1822" s="9"/>
      <c r="F1822" s="9"/>
      <c r="G1822" s="33"/>
      <c r="H1822" s="33"/>
      <c r="I1822" s="9"/>
      <c r="J1822" s="33"/>
      <c r="K1822" s="9"/>
    </row>
    <row r="1823" customFormat="false" ht="15" hidden="false" customHeight="true" outlineLevel="0" collapsed="false">
      <c r="A1823" s="73"/>
      <c r="B1823" s="74"/>
      <c r="C1823" s="74"/>
      <c r="D1823" s="73"/>
      <c r="E1823" s="73"/>
      <c r="F1823" s="73"/>
      <c r="G1823" s="75"/>
      <c r="H1823" s="75"/>
      <c r="I1823" s="73"/>
      <c r="J1823" s="31"/>
      <c r="K1823" s="32"/>
    </row>
    <row r="1824" customFormat="false" ht="15" hidden="false" customHeight="true" outlineLevel="0" collapsed="false">
      <c r="A1824" s="9"/>
      <c r="B1824" s="76"/>
      <c r="C1824" s="76"/>
      <c r="D1824" s="9"/>
      <c r="E1824" s="9"/>
      <c r="F1824" s="9"/>
      <c r="G1824" s="33"/>
      <c r="H1824" s="33"/>
      <c r="I1824" s="9"/>
      <c r="J1824" s="33"/>
      <c r="K1824" s="9"/>
    </row>
    <row r="1825" customFormat="false" ht="15" hidden="false" customHeight="true" outlineLevel="0" collapsed="false">
      <c r="A1825" s="73"/>
      <c r="B1825" s="74"/>
      <c r="C1825" s="74"/>
      <c r="D1825" s="73"/>
      <c r="E1825" s="73"/>
      <c r="F1825" s="73"/>
      <c r="G1825" s="75"/>
      <c r="H1825" s="75"/>
      <c r="I1825" s="73"/>
      <c r="J1825" s="31"/>
      <c r="K1825" s="32"/>
    </row>
    <row r="1826" customFormat="false" ht="15" hidden="false" customHeight="true" outlineLevel="0" collapsed="false">
      <c r="A1826" s="9"/>
      <c r="B1826" s="76"/>
      <c r="C1826" s="76"/>
      <c r="D1826" s="9"/>
      <c r="E1826" s="9"/>
      <c r="F1826" s="9"/>
      <c r="G1826" s="33"/>
      <c r="H1826" s="33"/>
      <c r="I1826" s="9"/>
      <c r="J1826" s="33"/>
      <c r="K1826" s="9"/>
    </row>
    <row r="1827" customFormat="false" ht="15" hidden="false" customHeight="true" outlineLevel="0" collapsed="false">
      <c r="A1827" s="73"/>
      <c r="B1827" s="74"/>
      <c r="C1827" s="74"/>
      <c r="D1827" s="73"/>
      <c r="E1827" s="73"/>
      <c r="F1827" s="73"/>
      <c r="G1827" s="75"/>
      <c r="H1827" s="75"/>
      <c r="I1827" s="73"/>
      <c r="J1827" s="31"/>
      <c r="K1827" s="32"/>
    </row>
    <row r="1828" customFormat="false" ht="15" hidden="false" customHeight="true" outlineLevel="0" collapsed="false">
      <c r="A1828" s="9"/>
      <c r="B1828" s="76"/>
      <c r="C1828" s="76"/>
      <c r="D1828" s="9"/>
      <c r="E1828" s="9"/>
      <c r="F1828" s="9"/>
      <c r="G1828" s="33"/>
      <c r="H1828" s="33"/>
      <c r="I1828" s="9"/>
      <c r="J1828" s="33"/>
      <c r="K1828" s="9"/>
    </row>
    <row r="1829" customFormat="false" ht="15" hidden="false" customHeight="true" outlineLevel="0" collapsed="false">
      <c r="A1829" s="73"/>
      <c r="B1829" s="74"/>
      <c r="C1829" s="74"/>
      <c r="D1829" s="73"/>
      <c r="E1829" s="73"/>
      <c r="F1829" s="73"/>
      <c r="G1829" s="75"/>
      <c r="H1829" s="75"/>
      <c r="I1829" s="73"/>
      <c r="J1829" s="31"/>
      <c r="K1829" s="32"/>
    </row>
    <row r="1830" customFormat="false" ht="15" hidden="false" customHeight="true" outlineLevel="0" collapsed="false">
      <c r="A1830" s="9"/>
      <c r="B1830" s="76"/>
      <c r="C1830" s="76"/>
      <c r="D1830" s="9"/>
      <c r="E1830" s="9"/>
      <c r="F1830" s="9"/>
      <c r="G1830" s="33"/>
      <c r="H1830" s="33"/>
      <c r="I1830" s="9"/>
      <c r="J1830" s="33"/>
      <c r="K1830" s="9"/>
    </row>
    <row r="1831" customFormat="false" ht="15" hidden="false" customHeight="true" outlineLevel="0" collapsed="false">
      <c r="A1831" s="73"/>
      <c r="B1831" s="74"/>
      <c r="C1831" s="74"/>
      <c r="D1831" s="73"/>
      <c r="E1831" s="73"/>
      <c r="F1831" s="73"/>
      <c r="G1831" s="75"/>
      <c r="H1831" s="75"/>
      <c r="I1831" s="73"/>
      <c r="J1831" s="31"/>
      <c r="K1831" s="32"/>
    </row>
    <row r="1832" customFormat="false" ht="15" hidden="false" customHeight="true" outlineLevel="0" collapsed="false">
      <c r="A1832" s="9"/>
      <c r="B1832" s="76"/>
      <c r="C1832" s="76"/>
      <c r="D1832" s="9"/>
      <c r="E1832" s="9"/>
      <c r="F1832" s="9"/>
      <c r="G1832" s="33"/>
      <c r="H1832" s="33"/>
      <c r="I1832" s="9"/>
      <c r="J1832" s="33"/>
      <c r="K1832" s="9"/>
    </row>
    <row r="1833" customFormat="false" ht="15" hidden="false" customHeight="true" outlineLevel="0" collapsed="false">
      <c r="A1833" s="73"/>
      <c r="B1833" s="74"/>
      <c r="C1833" s="74"/>
      <c r="D1833" s="73"/>
      <c r="E1833" s="73"/>
      <c r="F1833" s="73"/>
      <c r="G1833" s="75"/>
      <c r="H1833" s="75"/>
      <c r="I1833" s="73"/>
      <c r="J1833" s="31"/>
      <c r="K1833" s="32"/>
    </row>
    <row r="1834" customFormat="false" ht="15" hidden="false" customHeight="true" outlineLevel="0" collapsed="false">
      <c r="A1834" s="9"/>
      <c r="B1834" s="76"/>
      <c r="C1834" s="76"/>
      <c r="D1834" s="9"/>
      <c r="E1834" s="9"/>
      <c r="F1834" s="9"/>
      <c r="G1834" s="33"/>
      <c r="H1834" s="33"/>
      <c r="I1834" s="9"/>
      <c r="J1834" s="33"/>
      <c r="K1834" s="9"/>
    </row>
    <row r="1835" customFormat="false" ht="15" hidden="false" customHeight="true" outlineLevel="0" collapsed="false">
      <c r="A1835" s="73"/>
      <c r="B1835" s="74"/>
      <c r="C1835" s="74"/>
      <c r="D1835" s="73"/>
      <c r="E1835" s="73"/>
      <c r="F1835" s="73"/>
      <c r="G1835" s="75"/>
      <c r="H1835" s="75"/>
      <c r="I1835" s="73"/>
      <c r="J1835" s="31"/>
      <c r="K1835" s="32"/>
    </row>
    <row r="1836" customFormat="false" ht="15" hidden="false" customHeight="true" outlineLevel="0" collapsed="false">
      <c r="A1836" s="9"/>
      <c r="B1836" s="76"/>
      <c r="C1836" s="76"/>
      <c r="D1836" s="9"/>
      <c r="E1836" s="9"/>
      <c r="F1836" s="9"/>
      <c r="G1836" s="33"/>
      <c r="H1836" s="33"/>
      <c r="I1836" s="9"/>
      <c r="J1836" s="33"/>
      <c r="K1836" s="9"/>
    </row>
    <row r="1837" customFormat="false" ht="15" hidden="false" customHeight="true" outlineLevel="0" collapsed="false">
      <c r="A1837" s="73"/>
      <c r="B1837" s="74"/>
      <c r="C1837" s="74"/>
      <c r="D1837" s="73"/>
      <c r="E1837" s="73"/>
      <c r="F1837" s="73"/>
      <c r="G1837" s="75"/>
      <c r="H1837" s="75"/>
      <c r="I1837" s="73"/>
      <c r="J1837" s="31"/>
      <c r="K1837" s="32"/>
    </row>
    <row r="1838" customFormat="false" ht="15" hidden="false" customHeight="true" outlineLevel="0" collapsed="false">
      <c r="A1838" s="9"/>
      <c r="B1838" s="76"/>
      <c r="C1838" s="76"/>
      <c r="D1838" s="9"/>
      <c r="E1838" s="9"/>
      <c r="F1838" s="9"/>
      <c r="G1838" s="33"/>
      <c r="H1838" s="33"/>
      <c r="I1838" s="9"/>
      <c r="J1838" s="33"/>
      <c r="K1838" s="9"/>
    </row>
    <row r="1839" customFormat="false" ht="15" hidden="false" customHeight="true" outlineLevel="0" collapsed="false">
      <c r="A1839" s="73"/>
      <c r="B1839" s="74"/>
      <c r="C1839" s="74"/>
      <c r="D1839" s="73"/>
      <c r="E1839" s="73"/>
      <c r="F1839" s="73"/>
      <c r="G1839" s="75"/>
      <c r="H1839" s="75"/>
      <c r="I1839" s="73"/>
      <c r="J1839" s="31"/>
      <c r="K1839" s="32"/>
    </row>
    <row r="1840" customFormat="false" ht="15" hidden="false" customHeight="true" outlineLevel="0" collapsed="false">
      <c r="A1840" s="9"/>
      <c r="B1840" s="76"/>
      <c r="C1840" s="76"/>
      <c r="D1840" s="9"/>
      <c r="E1840" s="9"/>
      <c r="F1840" s="9"/>
      <c r="G1840" s="33"/>
      <c r="H1840" s="33"/>
      <c r="I1840" s="9"/>
      <c r="J1840" s="33"/>
      <c r="K1840" s="9"/>
    </row>
    <row r="1841" customFormat="false" ht="15" hidden="false" customHeight="true" outlineLevel="0" collapsed="false">
      <c r="A1841" s="73"/>
      <c r="B1841" s="74"/>
      <c r="C1841" s="74"/>
      <c r="D1841" s="73"/>
      <c r="E1841" s="73"/>
      <c r="F1841" s="73"/>
      <c r="G1841" s="75"/>
      <c r="H1841" s="75"/>
      <c r="I1841" s="73"/>
      <c r="J1841" s="31"/>
      <c r="K1841" s="32"/>
    </row>
    <row r="1842" customFormat="false" ht="15" hidden="false" customHeight="true" outlineLevel="0" collapsed="false">
      <c r="A1842" s="9"/>
      <c r="B1842" s="76"/>
      <c r="C1842" s="76"/>
      <c r="D1842" s="9"/>
      <c r="E1842" s="9"/>
      <c r="F1842" s="9"/>
      <c r="G1842" s="33"/>
      <c r="H1842" s="33"/>
      <c r="I1842" s="9"/>
      <c r="J1842" s="33"/>
      <c r="K1842" s="9"/>
    </row>
    <row r="1843" customFormat="false" ht="15" hidden="false" customHeight="true" outlineLevel="0" collapsed="false">
      <c r="A1843" s="73"/>
      <c r="B1843" s="74"/>
      <c r="C1843" s="74"/>
      <c r="D1843" s="73"/>
      <c r="E1843" s="73"/>
      <c r="F1843" s="73"/>
      <c r="G1843" s="75"/>
      <c r="H1843" s="75"/>
      <c r="I1843" s="73"/>
      <c r="J1843" s="31"/>
      <c r="K1843" s="32"/>
    </row>
    <row r="1844" customFormat="false" ht="15" hidden="false" customHeight="true" outlineLevel="0" collapsed="false">
      <c r="A1844" s="9"/>
      <c r="B1844" s="76"/>
      <c r="C1844" s="76"/>
      <c r="D1844" s="9"/>
      <c r="E1844" s="9"/>
      <c r="F1844" s="9"/>
      <c r="G1844" s="33"/>
      <c r="H1844" s="33"/>
      <c r="I1844" s="9"/>
      <c r="J1844" s="33"/>
      <c r="K1844" s="9"/>
    </row>
    <row r="1845" customFormat="false" ht="15" hidden="false" customHeight="true" outlineLevel="0" collapsed="false">
      <c r="A1845" s="73"/>
      <c r="B1845" s="74"/>
      <c r="C1845" s="74"/>
      <c r="D1845" s="73"/>
      <c r="E1845" s="73"/>
      <c r="F1845" s="73"/>
      <c r="G1845" s="75"/>
      <c r="H1845" s="75"/>
      <c r="I1845" s="73"/>
      <c r="J1845" s="31"/>
      <c r="K1845" s="32"/>
    </row>
    <row r="1846" customFormat="false" ht="15" hidden="false" customHeight="true" outlineLevel="0" collapsed="false">
      <c r="A1846" s="9"/>
      <c r="B1846" s="76"/>
      <c r="C1846" s="76"/>
      <c r="D1846" s="9"/>
      <c r="E1846" s="9"/>
      <c r="F1846" s="9"/>
      <c r="G1846" s="33"/>
      <c r="H1846" s="33"/>
      <c r="I1846" s="9"/>
      <c r="J1846" s="33"/>
      <c r="K1846" s="9"/>
    </row>
    <row r="1847" customFormat="false" ht="15" hidden="false" customHeight="true" outlineLevel="0" collapsed="false">
      <c r="A1847" s="73"/>
      <c r="B1847" s="74"/>
      <c r="C1847" s="74"/>
      <c r="D1847" s="73"/>
      <c r="E1847" s="73"/>
      <c r="F1847" s="73"/>
      <c r="G1847" s="75"/>
      <c r="H1847" s="75"/>
      <c r="I1847" s="73"/>
      <c r="J1847" s="31"/>
      <c r="K1847" s="32"/>
    </row>
    <row r="1848" customFormat="false" ht="15" hidden="false" customHeight="true" outlineLevel="0" collapsed="false">
      <c r="A1848" s="9"/>
      <c r="B1848" s="76"/>
      <c r="C1848" s="76"/>
      <c r="D1848" s="9"/>
      <c r="E1848" s="9"/>
      <c r="F1848" s="9"/>
      <c r="G1848" s="33"/>
      <c r="H1848" s="33"/>
      <c r="I1848" s="9"/>
      <c r="J1848" s="33"/>
      <c r="K1848" s="9"/>
    </row>
    <row r="1849" customFormat="false" ht="15" hidden="false" customHeight="true" outlineLevel="0" collapsed="false">
      <c r="A1849" s="73"/>
      <c r="B1849" s="74"/>
      <c r="C1849" s="74"/>
      <c r="D1849" s="73"/>
      <c r="E1849" s="73"/>
      <c r="F1849" s="73"/>
      <c r="G1849" s="75"/>
      <c r="H1849" s="75"/>
      <c r="I1849" s="73"/>
      <c r="J1849" s="31"/>
      <c r="K1849" s="32"/>
    </row>
    <row r="1850" customFormat="false" ht="15" hidden="false" customHeight="true" outlineLevel="0" collapsed="false">
      <c r="A1850" s="9"/>
      <c r="B1850" s="76"/>
      <c r="C1850" s="76"/>
      <c r="D1850" s="9"/>
      <c r="E1850" s="9"/>
      <c r="F1850" s="9"/>
      <c r="G1850" s="33"/>
      <c r="H1850" s="33"/>
      <c r="I1850" s="9"/>
      <c r="J1850" s="33"/>
      <c r="K1850" s="9"/>
    </row>
    <row r="1851" customFormat="false" ht="15" hidden="false" customHeight="true" outlineLevel="0" collapsed="false">
      <c r="A1851" s="73"/>
      <c r="B1851" s="74"/>
      <c r="C1851" s="74"/>
      <c r="D1851" s="73"/>
      <c r="E1851" s="73"/>
      <c r="F1851" s="73"/>
      <c r="G1851" s="75"/>
      <c r="H1851" s="75"/>
      <c r="I1851" s="73"/>
      <c r="J1851" s="31"/>
      <c r="K1851" s="32"/>
    </row>
    <row r="1852" customFormat="false" ht="15" hidden="false" customHeight="true" outlineLevel="0" collapsed="false">
      <c r="A1852" s="9"/>
      <c r="B1852" s="76"/>
      <c r="C1852" s="76"/>
      <c r="D1852" s="9"/>
      <c r="E1852" s="9"/>
      <c r="F1852" s="9"/>
      <c r="G1852" s="33"/>
      <c r="H1852" s="33"/>
      <c r="I1852" s="9"/>
      <c r="J1852" s="33"/>
      <c r="K1852" s="9"/>
    </row>
    <row r="1853" customFormat="false" ht="15" hidden="false" customHeight="true" outlineLevel="0" collapsed="false">
      <c r="A1853" s="73"/>
      <c r="B1853" s="74"/>
      <c r="C1853" s="74"/>
      <c r="D1853" s="73"/>
      <c r="E1853" s="73"/>
      <c r="F1853" s="73"/>
      <c r="G1853" s="75"/>
      <c r="H1853" s="75"/>
      <c r="I1853" s="73"/>
      <c r="J1853" s="31"/>
      <c r="K1853" s="32"/>
    </row>
    <row r="1854" customFormat="false" ht="15" hidden="false" customHeight="true" outlineLevel="0" collapsed="false">
      <c r="A1854" s="9"/>
      <c r="B1854" s="76"/>
      <c r="C1854" s="76"/>
      <c r="D1854" s="9"/>
      <c r="E1854" s="9"/>
      <c r="F1854" s="9"/>
      <c r="G1854" s="33"/>
      <c r="H1854" s="33"/>
      <c r="I1854" s="9"/>
      <c r="J1854" s="33"/>
      <c r="K1854" s="9"/>
    </row>
    <row r="1855" customFormat="false" ht="15" hidden="false" customHeight="true" outlineLevel="0" collapsed="false">
      <c r="A1855" s="73"/>
      <c r="B1855" s="74"/>
      <c r="C1855" s="74"/>
      <c r="D1855" s="73"/>
      <c r="E1855" s="73"/>
      <c r="F1855" s="73"/>
      <c r="G1855" s="75"/>
      <c r="H1855" s="75"/>
      <c r="I1855" s="73"/>
      <c r="J1855" s="31"/>
      <c r="K1855" s="32"/>
    </row>
    <row r="1856" customFormat="false" ht="15" hidden="false" customHeight="true" outlineLevel="0" collapsed="false">
      <c r="A1856" s="9"/>
      <c r="B1856" s="76"/>
      <c r="C1856" s="76"/>
      <c r="D1856" s="9"/>
      <c r="E1856" s="9"/>
      <c r="F1856" s="9"/>
      <c r="G1856" s="33"/>
      <c r="H1856" s="33"/>
      <c r="I1856" s="9"/>
      <c r="J1856" s="33"/>
      <c r="K1856" s="9"/>
    </row>
    <row r="1857" customFormat="false" ht="15" hidden="false" customHeight="true" outlineLevel="0" collapsed="false">
      <c r="A1857" s="73"/>
      <c r="B1857" s="74"/>
      <c r="C1857" s="74"/>
      <c r="D1857" s="73"/>
      <c r="E1857" s="73"/>
      <c r="F1857" s="73"/>
      <c r="G1857" s="75"/>
      <c r="H1857" s="75"/>
      <c r="I1857" s="73"/>
      <c r="J1857" s="31"/>
      <c r="K1857" s="32"/>
    </row>
    <row r="1858" customFormat="false" ht="15" hidden="false" customHeight="true" outlineLevel="0" collapsed="false">
      <c r="A1858" s="9"/>
      <c r="B1858" s="76"/>
      <c r="C1858" s="76"/>
      <c r="D1858" s="9"/>
      <c r="E1858" s="9"/>
      <c r="F1858" s="9"/>
      <c r="G1858" s="33"/>
      <c r="H1858" s="33"/>
      <c r="I1858" s="9"/>
      <c r="J1858" s="33"/>
      <c r="K1858" s="9"/>
    </row>
    <row r="1859" customFormat="false" ht="15" hidden="false" customHeight="true" outlineLevel="0" collapsed="false">
      <c r="A1859" s="73"/>
      <c r="B1859" s="74"/>
      <c r="C1859" s="74"/>
      <c r="D1859" s="73"/>
      <c r="E1859" s="73"/>
      <c r="F1859" s="73"/>
      <c r="G1859" s="75"/>
      <c r="H1859" s="75"/>
      <c r="I1859" s="73"/>
      <c r="J1859" s="31"/>
      <c r="K1859" s="32"/>
    </row>
    <row r="1860" customFormat="false" ht="15" hidden="false" customHeight="true" outlineLevel="0" collapsed="false">
      <c r="A1860" s="9"/>
      <c r="B1860" s="76"/>
      <c r="C1860" s="76"/>
      <c r="D1860" s="9"/>
      <c r="E1860" s="9"/>
      <c r="F1860" s="9"/>
      <c r="G1860" s="33"/>
      <c r="H1860" s="33"/>
      <c r="I1860" s="9"/>
      <c r="J1860" s="33"/>
      <c r="K1860" s="9"/>
    </row>
    <row r="1861" customFormat="false" ht="15" hidden="false" customHeight="true" outlineLevel="0" collapsed="false">
      <c r="A1861" s="73"/>
      <c r="B1861" s="74"/>
      <c r="C1861" s="74"/>
      <c r="D1861" s="73"/>
      <c r="E1861" s="73"/>
      <c r="F1861" s="73"/>
      <c r="G1861" s="75"/>
      <c r="H1861" s="75"/>
      <c r="I1861" s="73"/>
      <c r="J1861" s="31"/>
      <c r="K1861" s="32"/>
    </row>
    <row r="1862" customFormat="false" ht="15" hidden="false" customHeight="true" outlineLevel="0" collapsed="false">
      <c r="A1862" s="9"/>
      <c r="B1862" s="76"/>
      <c r="C1862" s="76"/>
      <c r="D1862" s="9"/>
      <c r="E1862" s="9"/>
      <c r="F1862" s="9"/>
      <c r="G1862" s="33"/>
      <c r="H1862" s="33"/>
      <c r="I1862" s="9"/>
      <c r="J1862" s="33"/>
      <c r="K1862" s="9"/>
    </row>
    <row r="1863" customFormat="false" ht="15" hidden="false" customHeight="true" outlineLevel="0" collapsed="false">
      <c r="A1863" s="73"/>
      <c r="B1863" s="74"/>
      <c r="C1863" s="74"/>
      <c r="D1863" s="73"/>
      <c r="E1863" s="73"/>
      <c r="F1863" s="73"/>
      <c r="G1863" s="75"/>
      <c r="H1863" s="75"/>
      <c r="I1863" s="73"/>
      <c r="J1863" s="31"/>
      <c r="K1863" s="32"/>
    </row>
    <row r="1864" customFormat="false" ht="15" hidden="false" customHeight="true" outlineLevel="0" collapsed="false">
      <c r="A1864" s="9"/>
      <c r="B1864" s="76"/>
      <c r="C1864" s="76"/>
      <c r="D1864" s="9"/>
      <c r="E1864" s="9"/>
      <c r="F1864" s="9"/>
      <c r="G1864" s="33"/>
      <c r="H1864" s="33"/>
      <c r="I1864" s="9"/>
      <c r="J1864" s="33"/>
      <c r="K1864" s="9"/>
    </row>
    <row r="1865" customFormat="false" ht="15" hidden="false" customHeight="true" outlineLevel="0" collapsed="false">
      <c r="A1865" s="73"/>
      <c r="B1865" s="74"/>
      <c r="C1865" s="74"/>
      <c r="D1865" s="73"/>
      <c r="E1865" s="73"/>
      <c r="F1865" s="73"/>
      <c r="G1865" s="75"/>
      <c r="H1865" s="75"/>
      <c r="I1865" s="73"/>
      <c r="J1865" s="31"/>
      <c r="K1865" s="32"/>
    </row>
    <row r="1866" customFormat="false" ht="15" hidden="false" customHeight="true" outlineLevel="0" collapsed="false">
      <c r="A1866" s="9"/>
      <c r="B1866" s="76"/>
      <c r="C1866" s="76"/>
      <c r="D1866" s="9"/>
      <c r="E1866" s="9"/>
      <c r="F1866" s="9"/>
      <c r="G1866" s="33"/>
      <c r="H1866" s="33"/>
      <c r="I1866" s="9"/>
      <c r="J1866" s="33"/>
      <c r="K1866" s="9"/>
    </row>
    <row r="1867" customFormat="false" ht="15" hidden="false" customHeight="true" outlineLevel="0" collapsed="false">
      <c r="A1867" s="73"/>
      <c r="B1867" s="74"/>
      <c r="C1867" s="74"/>
      <c r="D1867" s="73"/>
      <c r="E1867" s="73"/>
      <c r="F1867" s="73"/>
      <c r="G1867" s="75"/>
      <c r="H1867" s="75"/>
      <c r="I1867" s="73"/>
      <c r="J1867" s="31"/>
      <c r="K1867" s="32"/>
    </row>
    <row r="1868" customFormat="false" ht="15" hidden="false" customHeight="true" outlineLevel="0" collapsed="false">
      <c r="A1868" s="9"/>
      <c r="B1868" s="76"/>
      <c r="C1868" s="76"/>
      <c r="D1868" s="9"/>
      <c r="E1868" s="9"/>
      <c r="F1868" s="9"/>
      <c r="G1868" s="33"/>
      <c r="H1868" s="33"/>
      <c r="I1868" s="9"/>
      <c r="J1868" s="33"/>
      <c r="K1868" s="9"/>
    </row>
    <row r="1869" customFormat="false" ht="15" hidden="false" customHeight="true" outlineLevel="0" collapsed="false">
      <c r="A1869" s="73"/>
      <c r="B1869" s="74"/>
      <c r="C1869" s="74"/>
      <c r="D1869" s="73"/>
      <c r="E1869" s="73"/>
      <c r="F1869" s="73"/>
      <c r="G1869" s="75"/>
      <c r="H1869" s="75"/>
      <c r="I1869" s="73"/>
      <c r="J1869" s="31"/>
      <c r="K1869" s="32"/>
    </row>
    <row r="1870" customFormat="false" ht="15" hidden="false" customHeight="true" outlineLevel="0" collapsed="false">
      <c r="A1870" s="9"/>
      <c r="B1870" s="76"/>
      <c r="C1870" s="76"/>
      <c r="D1870" s="9"/>
      <c r="E1870" s="9"/>
      <c r="F1870" s="9"/>
      <c r="G1870" s="33"/>
      <c r="H1870" s="33"/>
      <c r="I1870" s="9"/>
      <c r="J1870" s="33"/>
      <c r="K1870" s="9"/>
    </row>
    <row r="1871" customFormat="false" ht="15" hidden="false" customHeight="true" outlineLevel="0" collapsed="false">
      <c r="A1871" s="73"/>
      <c r="B1871" s="74"/>
      <c r="C1871" s="74"/>
      <c r="D1871" s="73"/>
      <c r="E1871" s="73"/>
      <c r="F1871" s="73"/>
      <c r="G1871" s="75"/>
      <c r="H1871" s="75"/>
      <c r="I1871" s="73"/>
      <c r="J1871" s="31"/>
      <c r="K1871" s="32"/>
    </row>
    <row r="1872" customFormat="false" ht="15" hidden="false" customHeight="true" outlineLevel="0" collapsed="false">
      <c r="A1872" s="9"/>
      <c r="B1872" s="76"/>
      <c r="C1872" s="76"/>
      <c r="D1872" s="9"/>
      <c r="E1872" s="9"/>
      <c r="F1872" s="9"/>
      <c r="G1872" s="33"/>
      <c r="H1872" s="33"/>
      <c r="I1872" s="9"/>
      <c r="J1872" s="33"/>
      <c r="K1872" s="9"/>
    </row>
    <row r="1873" customFormat="false" ht="15" hidden="false" customHeight="true" outlineLevel="0" collapsed="false">
      <c r="A1873" s="73"/>
      <c r="B1873" s="74"/>
      <c r="C1873" s="74"/>
      <c r="D1873" s="73"/>
      <c r="E1873" s="73"/>
      <c r="F1873" s="73"/>
      <c r="G1873" s="75"/>
      <c r="H1873" s="75"/>
      <c r="I1873" s="73"/>
      <c r="J1873" s="31"/>
      <c r="K1873" s="32"/>
    </row>
    <row r="1874" customFormat="false" ht="15" hidden="false" customHeight="true" outlineLevel="0" collapsed="false">
      <c r="A1874" s="9"/>
      <c r="B1874" s="76"/>
      <c r="C1874" s="76"/>
      <c r="D1874" s="9"/>
      <c r="E1874" s="9"/>
      <c r="F1874" s="9"/>
      <c r="G1874" s="33"/>
      <c r="H1874" s="33"/>
      <c r="I1874" s="9"/>
      <c r="J1874" s="33"/>
      <c r="K1874" s="9"/>
    </row>
    <row r="1875" customFormat="false" ht="15" hidden="false" customHeight="true" outlineLevel="0" collapsed="false">
      <c r="A1875" s="73"/>
      <c r="B1875" s="74"/>
      <c r="C1875" s="74"/>
      <c r="D1875" s="73"/>
      <c r="E1875" s="73"/>
      <c r="F1875" s="73"/>
      <c r="G1875" s="75"/>
      <c r="H1875" s="75"/>
      <c r="I1875" s="73"/>
      <c r="J1875" s="31"/>
      <c r="K1875" s="32"/>
    </row>
    <row r="1876" customFormat="false" ht="15" hidden="false" customHeight="true" outlineLevel="0" collapsed="false">
      <c r="A1876" s="9"/>
      <c r="B1876" s="76"/>
      <c r="C1876" s="76"/>
      <c r="D1876" s="9"/>
      <c r="E1876" s="9"/>
      <c r="F1876" s="9"/>
      <c r="G1876" s="33"/>
      <c r="H1876" s="33"/>
      <c r="I1876" s="9"/>
      <c r="J1876" s="33"/>
      <c r="K1876" s="9"/>
    </row>
    <row r="1877" customFormat="false" ht="15" hidden="false" customHeight="true" outlineLevel="0" collapsed="false">
      <c r="A1877" s="73"/>
      <c r="B1877" s="74"/>
      <c r="C1877" s="74"/>
      <c r="D1877" s="73"/>
      <c r="E1877" s="73"/>
      <c r="F1877" s="73"/>
      <c r="G1877" s="75"/>
      <c r="H1877" s="75"/>
      <c r="I1877" s="73"/>
      <c r="J1877" s="31"/>
      <c r="K1877" s="32"/>
    </row>
    <row r="1878" customFormat="false" ht="15" hidden="false" customHeight="true" outlineLevel="0" collapsed="false">
      <c r="A1878" s="9"/>
      <c r="B1878" s="76"/>
      <c r="C1878" s="76"/>
      <c r="D1878" s="9"/>
      <c r="E1878" s="9"/>
      <c r="F1878" s="9"/>
      <c r="G1878" s="33"/>
      <c r="H1878" s="33"/>
      <c r="I1878" s="9"/>
      <c r="J1878" s="33"/>
      <c r="K1878" s="9"/>
    </row>
    <row r="1879" customFormat="false" ht="15" hidden="false" customHeight="true" outlineLevel="0" collapsed="false">
      <c r="A1879" s="73"/>
      <c r="B1879" s="74"/>
      <c r="C1879" s="74"/>
      <c r="D1879" s="73"/>
      <c r="E1879" s="73"/>
      <c r="F1879" s="73"/>
      <c r="G1879" s="75"/>
      <c r="H1879" s="75"/>
      <c r="I1879" s="73"/>
      <c r="J1879" s="31"/>
      <c r="K1879" s="32"/>
    </row>
    <row r="1880" customFormat="false" ht="15" hidden="false" customHeight="true" outlineLevel="0" collapsed="false">
      <c r="A1880" s="9"/>
      <c r="B1880" s="76"/>
      <c r="C1880" s="76"/>
      <c r="D1880" s="9"/>
      <c r="E1880" s="9"/>
      <c r="F1880" s="9"/>
      <c r="G1880" s="33"/>
      <c r="H1880" s="33"/>
      <c r="I1880" s="9"/>
      <c r="J1880" s="33"/>
      <c r="K1880" s="9"/>
    </row>
    <row r="1881" customFormat="false" ht="15" hidden="false" customHeight="true" outlineLevel="0" collapsed="false">
      <c r="A1881" s="73"/>
      <c r="B1881" s="74"/>
      <c r="C1881" s="74"/>
      <c r="D1881" s="73"/>
      <c r="E1881" s="73"/>
      <c r="F1881" s="73"/>
      <c r="G1881" s="75"/>
      <c r="H1881" s="75"/>
      <c r="I1881" s="73"/>
      <c r="J1881" s="31"/>
      <c r="K1881" s="32"/>
    </row>
    <row r="1882" customFormat="false" ht="15" hidden="false" customHeight="true" outlineLevel="0" collapsed="false">
      <c r="A1882" s="9"/>
      <c r="B1882" s="76"/>
      <c r="C1882" s="76"/>
      <c r="D1882" s="9"/>
      <c r="E1882" s="9"/>
      <c r="F1882" s="9"/>
      <c r="G1882" s="33"/>
      <c r="H1882" s="33"/>
      <c r="I1882" s="9"/>
      <c r="J1882" s="33"/>
      <c r="K1882" s="9"/>
    </row>
    <row r="1883" customFormat="false" ht="15" hidden="false" customHeight="true" outlineLevel="0" collapsed="false">
      <c r="A1883" s="73"/>
      <c r="B1883" s="74"/>
      <c r="C1883" s="74"/>
      <c r="D1883" s="73"/>
      <c r="E1883" s="73"/>
      <c r="F1883" s="73"/>
      <c r="G1883" s="75"/>
      <c r="H1883" s="75"/>
      <c r="I1883" s="73"/>
      <c r="J1883" s="31"/>
      <c r="K1883" s="32"/>
    </row>
    <row r="1884" customFormat="false" ht="15" hidden="false" customHeight="true" outlineLevel="0" collapsed="false">
      <c r="A1884" s="9"/>
      <c r="B1884" s="76"/>
      <c r="C1884" s="76"/>
      <c r="D1884" s="9"/>
      <c r="E1884" s="9"/>
      <c r="F1884" s="9"/>
      <c r="G1884" s="33"/>
      <c r="H1884" s="33"/>
      <c r="I1884" s="9"/>
      <c r="J1884" s="33"/>
      <c r="K1884" s="9"/>
    </row>
    <row r="1885" customFormat="false" ht="15" hidden="false" customHeight="true" outlineLevel="0" collapsed="false">
      <c r="A1885" s="73"/>
      <c r="B1885" s="74"/>
      <c r="C1885" s="74"/>
      <c r="D1885" s="73"/>
      <c r="E1885" s="73"/>
      <c r="F1885" s="73"/>
      <c r="G1885" s="75"/>
      <c r="H1885" s="75"/>
      <c r="I1885" s="73"/>
      <c r="J1885" s="31"/>
      <c r="K1885" s="32"/>
    </row>
    <row r="1886" customFormat="false" ht="15" hidden="false" customHeight="true" outlineLevel="0" collapsed="false">
      <c r="A1886" s="9"/>
      <c r="B1886" s="76"/>
      <c r="C1886" s="76"/>
      <c r="D1886" s="9"/>
      <c r="E1886" s="9"/>
      <c r="F1886" s="9"/>
      <c r="G1886" s="33"/>
      <c r="H1886" s="33"/>
      <c r="I1886" s="9"/>
      <c r="J1886" s="33"/>
      <c r="K1886" s="9"/>
    </row>
    <row r="1887" customFormat="false" ht="15" hidden="false" customHeight="true" outlineLevel="0" collapsed="false">
      <c r="A1887" s="73"/>
      <c r="B1887" s="74"/>
      <c r="C1887" s="74"/>
      <c r="D1887" s="73"/>
      <c r="E1887" s="73"/>
      <c r="F1887" s="73"/>
      <c r="G1887" s="75"/>
      <c r="H1887" s="75"/>
      <c r="I1887" s="73"/>
      <c r="J1887" s="31"/>
      <c r="K1887" s="32"/>
    </row>
    <row r="1888" customFormat="false" ht="15" hidden="false" customHeight="true" outlineLevel="0" collapsed="false">
      <c r="A1888" s="9"/>
      <c r="B1888" s="76"/>
      <c r="C1888" s="76"/>
      <c r="D1888" s="9"/>
      <c r="E1888" s="9"/>
      <c r="F1888" s="9"/>
      <c r="G1888" s="33"/>
      <c r="H1888" s="33"/>
      <c r="I1888" s="9"/>
      <c r="J1888" s="33"/>
      <c r="K1888" s="9"/>
    </row>
    <row r="1889" customFormat="false" ht="15" hidden="false" customHeight="true" outlineLevel="0" collapsed="false">
      <c r="A1889" s="73"/>
      <c r="B1889" s="74"/>
      <c r="C1889" s="74"/>
      <c r="D1889" s="73"/>
      <c r="E1889" s="73"/>
      <c r="F1889" s="73"/>
      <c r="G1889" s="75"/>
      <c r="H1889" s="75"/>
      <c r="I1889" s="73"/>
      <c r="J1889" s="31"/>
      <c r="K1889" s="32"/>
    </row>
    <row r="1890" customFormat="false" ht="15" hidden="false" customHeight="true" outlineLevel="0" collapsed="false">
      <c r="A1890" s="9"/>
      <c r="B1890" s="76"/>
      <c r="C1890" s="76"/>
      <c r="D1890" s="9"/>
      <c r="E1890" s="9"/>
      <c r="F1890" s="9"/>
      <c r="G1890" s="33"/>
      <c r="H1890" s="33"/>
      <c r="I1890" s="9"/>
      <c r="J1890" s="33"/>
      <c r="K1890" s="9"/>
    </row>
    <row r="1891" customFormat="false" ht="15" hidden="false" customHeight="true" outlineLevel="0" collapsed="false">
      <c r="A1891" s="73"/>
      <c r="B1891" s="74"/>
      <c r="C1891" s="74"/>
      <c r="D1891" s="73"/>
      <c r="E1891" s="73"/>
      <c r="F1891" s="73"/>
      <c r="G1891" s="75"/>
      <c r="H1891" s="75"/>
      <c r="I1891" s="73"/>
      <c r="J1891" s="31"/>
      <c r="K1891" s="32"/>
    </row>
    <row r="1892" customFormat="false" ht="15" hidden="false" customHeight="true" outlineLevel="0" collapsed="false">
      <c r="A1892" s="9"/>
      <c r="B1892" s="76"/>
      <c r="C1892" s="76"/>
      <c r="D1892" s="9"/>
      <c r="E1892" s="9"/>
      <c r="F1892" s="9"/>
      <c r="G1892" s="33"/>
      <c r="H1892" s="33"/>
      <c r="I1892" s="9"/>
      <c r="J1892" s="33"/>
      <c r="K1892" s="9"/>
    </row>
    <row r="1893" customFormat="false" ht="15" hidden="false" customHeight="true" outlineLevel="0" collapsed="false">
      <c r="A1893" s="73"/>
      <c r="B1893" s="74"/>
      <c r="C1893" s="74"/>
      <c r="D1893" s="73"/>
      <c r="E1893" s="73"/>
      <c r="F1893" s="73"/>
      <c r="G1893" s="75"/>
      <c r="H1893" s="75"/>
      <c r="I1893" s="73"/>
      <c r="J1893" s="31"/>
      <c r="K1893" s="32"/>
    </row>
    <row r="1894" customFormat="false" ht="15" hidden="false" customHeight="true" outlineLevel="0" collapsed="false">
      <c r="A1894" s="9"/>
      <c r="B1894" s="76"/>
      <c r="C1894" s="76"/>
      <c r="D1894" s="9"/>
      <c r="E1894" s="9"/>
      <c r="F1894" s="9"/>
      <c r="G1894" s="33"/>
      <c r="H1894" s="33"/>
      <c r="I1894" s="9"/>
      <c r="J1894" s="33"/>
      <c r="K1894" s="9"/>
    </row>
    <row r="1895" customFormat="false" ht="15" hidden="false" customHeight="true" outlineLevel="0" collapsed="false">
      <c r="A1895" s="73"/>
      <c r="B1895" s="74"/>
      <c r="C1895" s="74"/>
      <c r="D1895" s="73"/>
      <c r="E1895" s="73"/>
      <c r="F1895" s="73"/>
      <c r="G1895" s="75"/>
      <c r="H1895" s="75"/>
      <c r="I1895" s="73"/>
      <c r="J1895" s="31"/>
      <c r="K1895" s="32"/>
    </row>
    <row r="1896" customFormat="false" ht="15" hidden="false" customHeight="true" outlineLevel="0" collapsed="false">
      <c r="A1896" s="9"/>
      <c r="B1896" s="76"/>
      <c r="C1896" s="76"/>
      <c r="D1896" s="9"/>
      <c r="E1896" s="9"/>
      <c r="F1896" s="9"/>
      <c r="G1896" s="33"/>
      <c r="H1896" s="33"/>
      <c r="I1896" s="9"/>
      <c r="J1896" s="33"/>
      <c r="K1896" s="9"/>
    </row>
    <row r="1897" customFormat="false" ht="15" hidden="false" customHeight="true" outlineLevel="0" collapsed="false">
      <c r="A1897" s="73"/>
      <c r="B1897" s="74"/>
      <c r="C1897" s="74"/>
      <c r="D1897" s="73"/>
      <c r="E1897" s="73"/>
      <c r="F1897" s="73"/>
      <c r="G1897" s="75"/>
      <c r="H1897" s="75"/>
      <c r="I1897" s="73"/>
      <c r="J1897" s="31"/>
      <c r="K1897" s="32"/>
    </row>
    <row r="1898" customFormat="false" ht="15" hidden="false" customHeight="true" outlineLevel="0" collapsed="false">
      <c r="A1898" s="9"/>
      <c r="B1898" s="76"/>
      <c r="C1898" s="76"/>
      <c r="D1898" s="9"/>
      <c r="E1898" s="9"/>
      <c r="F1898" s="9"/>
      <c r="G1898" s="33"/>
      <c r="H1898" s="33"/>
      <c r="I1898" s="9"/>
      <c r="J1898" s="33"/>
      <c r="K1898" s="9"/>
    </row>
    <row r="1899" customFormat="false" ht="15" hidden="false" customHeight="true" outlineLevel="0" collapsed="false">
      <c r="A1899" s="73"/>
      <c r="B1899" s="74"/>
      <c r="C1899" s="74"/>
      <c r="D1899" s="73"/>
      <c r="E1899" s="73"/>
      <c r="F1899" s="73"/>
      <c r="G1899" s="75"/>
      <c r="H1899" s="75"/>
      <c r="I1899" s="73"/>
      <c r="J1899" s="31"/>
      <c r="K1899" s="32"/>
    </row>
    <row r="1900" customFormat="false" ht="15" hidden="false" customHeight="true" outlineLevel="0" collapsed="false">
      <c r="A1900" s="9"/>
      <c r="B1900" s="76"/>
      <c r="C1900" s="76"/>
      <c r="D1900" s="9"/>
      <c r="E1900" s="9"/>
      <c r="F1900" s="9"/>
      <c r="G1900" s="33"/>
      <c r="H1900" s="33"/>
      <c r="I1900" s="9"/>
      <c r="J1900" s="33"/>
      <c r="K1900" s="9"/>
    </row>
    <row r="1901" customFormat="false" ht="15" hidden="false" customHeight="true" outlineLevel="0" collapsed="false">
      <c r="A1901" s="73"/>
      <c r="B1901" s="74"/>
      <c r="C1901" s="74"/>
      <c r="D1901" s="73"/>
      <c r="E1901" s="73"/>
      <c r="F1901" s="73"/>
      <c r="G1901" s="75"/>
      <c r="H1901" s="75"/>
      <c r="I1901" s="73"/>
      <c r="J1901" s="31"/>
      <c r="K1901" s="32"/>
    </row>
    <row r="1902" customFormat="false" ht="15" hidden="false" customHeight="true" outlineLevel="0" collapsed="false">
      <c r="A1902" s="9"/>
      <c r="B1902" s="76"/>
      <c r="C1902" s="76"/>
      <c r="D1902" s="9"/>
      <c r="E1902" s="9"/>
      <c r="F1902" s="9"/>
      <c r="G1902" s="33"/>
      <c r="H1902" s="33"/>
      <c r="I1902" s="9"/>
      <c r="J1902" s="33"/>
      <c r="K1902" s="9"/>
    </row>
    <row r="1903" customFormat="false" ht="15" hidden="false" customHeight="true" outlineLevel="0" collapsed="false">
      <c r="A1903" s="73"/>
      <c r="B1903" s="74"/>
      <c r="C1903" s="74"/>
      <c r="D1903" s="73"/>
      <c r="E1903" s="73"/>
      <c r="F1903" s="73"/>
      <c r="G1903" s="75"/>
      <c r="H1903" s="75"/>
      <c r="I1903" s="73"/>
      <c r="J1903" s="31"/>
      <c r="K1903" s="32"/>
    </row>
    <row r="1904" customFormat="false" ht="15" hidden="false" customHeight="true" outlineLevel="0" collapsed="false">
      <c r="A1904" s="9"/>
      <c r="B1904" s="76"/>
      <c r="C1904" s="76"/>
      <c r="D1904" s="9"/>
      <c r="E1904" s="9"/>
      <c r="F1904" s="9"/>
      <c r="G1904" s="33"/>
      <c r="H1904" s="33"/>
      <c r="I1904" s="9"/>
      <c r="J1904" s="33"/>
      <c r="K1904" s="9"/>
    </row>
    <row r="1905" customFormat="false" ht="15" hidden="false" customHeight="true" outlineLevel="0" collapsed="false">
      <c r="A1905" s="73"/>
      <c r="B1905" s="74"/>
      <c r="C1905" s="74"/>
      <c r="D1905" s="73"/>
      <c r="E1905" s="73"/>
      <c r="F1905" s="73"/>
      <c r="G1905" s="75"/>
      <c r="H1905" s="75"/>
      <c r="I1905" s="73"/>
      <c r="J1905" s="31"/>
      <c r="K1905" s="32"/>
    </row>
    <row r="1906" customFormat="false" ht="15" hidden="false" customHeight="true" outlineLevel="0" collapsed="false">
      <c r="A1906" s="9"/>
      <c r="B1906" s="76"/>
      <c r="C1906" s="76"/>
      <c r="D1906" s="9"/>
      <c r="E1906" s="9"/>
      <c r="F1906" s="9"/>
      <c r="G1906" s="33"/>
      <c r="H1906" s="33"/>
      <c r="I1906" s="9"/>
      <c r="J1906" s="33"/>
      <c r="K1906" s="9"/>
    </row>
    <row r="1907" customFormat="false" ht="15" hidden="false" customHeight="true" outlineLevel="0" collapsed="false">
      <c r="A1907" s="73"/>
      <c r="B1907" s="74"/>
      <c r="C1907" s="74"/>
      <c r="D1907" s="73"/>
      <c r="E1907" s="73"/>
      <c r="F1907" s="73"/>
      <c r="G1907" s="75"/>
      <c r="H1907" s="75"/>
      <c r="I1907" s="73"/>
      <c r="J1907" s="31"/>
      <c r="K1907" s="32"/>
    </row>
    <row r="1908" customFormat="false" ht="15" hidden="false" customHeight="true" outlineLevel="0" collapsed="false">
      <c r="A1908" s="9"/>
      <c r="B1908" s="76"/>
      <c r="C1908" s="76"/>
      <c r="D1908" s="9"/>
      <c r="E1908" s="9"/>
      <c r="F1908" s="9"/>
      <c r="G1908" s="33"/>
      <c r="H1908" s="33"/>
      <c r="I1908" s="9"/>
      <c r="J1908" s="33"/>
      <c r="K1908" s="9"/>
    </row>
    <row r="1909" customFormat="false" ht="15" hidden="false" customHeight="true" outlineLevel="0" collapsed="false">
      <c r="A1909" s="73"/>
      <c r="B1909" s="74"/>
      <c r="C1909" s="74"/>
      <c r="D1909" s="73"/>
      <c r="E1909" s="73"/>
      <c r="F1909" s="73"/>
      <c r="G1909" s="75"/>
      <c r="H1909" s="75"/>
      <c r="I1909" s="73"/>
      <c r="J1909" s="31"/>
      <c r="K1909" s="32"/>
    </row>
    <row r="1910" customFormat="false" ht="15" hidden="false" customHeight="true" outlineLevel="0" collapsed="false">
      <c r="A1910" s="9"/>
      <c r="B1910" s="76"/>
      <c r="C1910" s="76"/>
      <c r="D1910" s="9"/>
      <c r="E1910" s="9"/>
      <c r="F1910" s="9"/>
      <c r="G1910" s="33"/>
      <c r="H1910" s="33"/>
      <c r="I1910" s="9"/>
      <c r="J1910" s="33"/>
      <c r="K1910" s="9"/>
    </row>
    <row r="1911" customFormat="false" ht="15" hidden="false" customHeight="true" outlineLevel="0" collapsed="false">
      <c r="A1911" s="73"/>
      <c r="B1911" s="74"/>
      <c r="C1911" s="74"/>
      <c r="D1911" s="73"/>
      <c r="E1911" s="73"/>
      <c r="F1911" s="73"/>
      <c r="G1911" s="75"/>
      <c r="H1911" s="75"/>
      <c r="I1911" s="73"/>
      <c r="J1911" s="31"/>
      <c r="K1911" s="32"/>
    </row>
    <row r="1912" customFormat="false" ht="15" hidden="false" customHeight="true" outlineLevel="0" collapsed="false">
      <c r="A1912" s="9"/>
      <c r="B1912" s="76"/>
      <c r="C1912" s="76"/>
      <c r="D1912" s="9"/>
      <c r="E1912" s="9"/>
      <c r="F1912" s="9"/>
      <c r="G1912" s="33"/>
      <c r="H1912" s="33"/>
      <c r="I1912" s="9"/>
      <c r="J1912" s="33"/>
      <c r="K1912" s="9"/>
    </row>
    <row r="1913" customFormat="false" ht="15" hidden="false" customHeight="true" outlineLevel="0" collapsed="false">
      <c r="A1913" s="73"/>
      <c r="B1913" s="74"/>
      <c r="C1913" s="74"/>
      <c r="D1913" s="73"/>
      <c r="E1913" s="73"/>
      <c r="F1913" s="73"/>
      <c r="G1913" s="75"/>
      <c r="H1913" s="75"/>
      <c r="I1913" s="73"/>
      <c r="J1913" s="31"/>
      <c r="K1913" s="32"/>
    </row>
    <row r="1914" customFormat="false" ht="15" hidden="false" customHeight="true" outlineLevel="0" collapsed="false">
      <c r="A1914" s="9"/>
      <c r="B1914" s="76"/>
      <c r="C1914" s="76"/>
      <c r="D1914" s="9"/>
      <c r="E1914" s="9"/>
      <c r="F1914" s="9"/>
      <c r="G1914" s="33"/>
      <c r="H1914" s="33"/>
      <c r="I1914" s="9"/>
      <c r="J1914" s="33"/>
      <c r="K1914" s="9"/>
    </row>
    <row r="1915" customFormat="false" ht="15" hidden="false" customHeight="true" outlineLevel="0" collapsed="false">
      <c r="A1915" s="73"/>
      <c r="B1915" s="74"/>
      <c r="C1915" s="74"/>
      <c r="D1915" s="73"/>
      <c r="E1915" s="73"/>
      <c r="F1915" s="73"/>
      <c r="G1915" s="75"/>
      <c r="H1915" s="75"/>
      <c r="I1915" s="73"/>
      <c r="J1915" s="31"/>
      <c r="K1915" s="32"/>
    </row>
    <row r="1916" customFormat="false" ht="15" hidden="false" customHeight="true" outlineLevel="0" collapsed="false">
      <c r="A1916" s="9"/>
      <c r="B1916" s="76"/>
      <c r="C1916" s="76"/>
      <c r="D1916" s="9"/>
      <c r="E1916" s="9"/>
      <c r="F1916" s="9"/>
      <c r="G1916" s="33"/>
      <c r="H1916" s="33"/>
      <c r="I1916" s="9"/>
      <c r="J1916" s="33"/>
      <c r="K1916" s="9"/>
    </row>
    <row r="1917" customFormat="false" ht="15" hidden="false" customHeight="true" outlineLevel="0" collapsed="false">
      <c r="A1917" s="73"/>
      <c r="B1917" s="74"/>
      <c r="C1917" s="74"/>
      <c r="D1917" s="73"/>
      <c r="E1917" s="73"/>
      <c r="F1917" s="73"/>
      <c r="G1917" s="75"/>
      <c r="H1917" s="75"/>
      <c r="I1917" s="73"/>
      <c r="J1917" s="31"/>
      <c r="K1917" s="32"/>
    </row>
    <row r="1918" customFormat="false" ht="15" hidden="false" customHeight="true" outlineLevel="0" collapsed="false">
      <c r="A1918" s="9"/>
      <c r="B1918" s="76"/>
      <c r="C1918" s="76"/>
      <c r="D1918" s="9"/>
      <c r="E1918" s="9"/>
      <c r="F1918" s="9"/>
      <c r="G1918" s="33"/>
      <c r="H1918" s="33"/>
      <c r="I1918" s="9"/>
      <c r="J1918" s="33"/>
      <c r="K1918" s="9"/>
    </row>
    <row r="1919" customFormat="false" ht="15" hidden="false" customHeight="true" outlineLevel="0" collapsed="false">
      <c r="A1919" s="73"/>
      <c r="B1919" s="74"/>
      <c r="C1919" s="74"/>
      <c r="D1919" s="73"/>
      <c r="E1919" s="73"/>
      <c r="F1919" s="73"/>
      <c r="G1919" s="75"/>
      <c r="H1919" s="75"/>
      <c r="I1919" s="73"/>
      <c r="J1919" s="31"/>
      <c r="K1919" s="32"/>
    </row>
    <row r="1920" customFormat="false" ht="15" hidden="false" customHeight="true" outlineLevel="0" collapsed="false">
      <c r="A1920" s="9"/>
      <c r="B1920" s="76"/>
      <c r="C1920" s="76"/>
      <c r="D1920" s="9"/>
      <c r="E1920" s="9"/>
      <c r="F1920" s="9"/>
      <c r="G1920" s="33"/>
      <c r="H1920" s="33"/>
      <c r="I1920" s="9"/>
      <c r="J1920" s="33"/>
      <c r="K1920" s="9"/>
    </row>
    <row r="1921" customFormat="false" ht="15" hidden="false" customHeight="true" outlineLevel="0" collapsed="false">
      <c r="A1921" s="73"/>
      <c r="B1921" s="74"/>
      <c r="C1921" s="74"/>
      <c r="D1921" s="73"/>
      <c r="E1921" s="73"/>
      <c r="F1921" s="73"/>
      <c r="G1921" s="75"/>
      <c r="H1921" s="75"/>
      <c r="I1921" s="73"/>
      <c r="J1921" s="31"/>
      <c r="K1921" s="32"/>
    </row>
    <row r="1922" customFormat="false" ht="15" hidden="false" customHeight="true" outlineLevel="0" collapsed="false">
      <c r="A1922" s="9"/>
      <c r="B1922" s="76"/>
      <c r="C1922" s="76"/>
      <c r="D1922" s="9"/>
      <c r="E1922" s="9"/>
      <c r="F1922" s="9"/>
      <c r="G1922" s="33"/>
      <c r="H1922" s="33"/>
      <c r="I1922" s="9"/>
      <c r="J1922" s="33"/>
      <c r="K1922" s="9"/>
    </row>
    <row r="1923" customFormat="false" ht="15" hidden="false" customHeight="true" outlineLevel="0" collapsed="false">
      <c r="A1923" s="73"/>
      <c r="B1923" s="74"/>
      <c r="C1923" s="74"/>
      <c r="D1923" s="73"/>
      <c r="E1923" s="73"/>
      <c r="F1923" s="73"/>
      <c r="G1923" s="75"/>
      <c r="H1923" s="75"/>
      <c r="I1923" s="73"/>
      <c r="J1923" s="31"/>
      <c r="K1923" s="32"/>
    </row>
    <row r="1924" customFormat="false" ht="15" hidden="false" customHeight="true" outlineLevel="0" collapsed="false">
      <c r="A1924" s="9"/>
      <c r="B1924" s="76"/>
      <c r="C1924" s="76"/>
      <c r="D1924" s="9"/>
      <c r="E1924" s="9"/>
      <c r="F1924" s="9"/>
      <c r="G1924" s="33"/>
      <c r="H1924" s="33"/>
      <c r="I1924" s="9"/>
      <c r="J1924" s="33"/>
      <c r="K1924" s="9"/>
    </row>
    <row r="1925" customFormat="false" ht="15" hidden="false" customHeight="true" outlineLevel="0" collapsed="false">
      <c r="A1925" s="73"/>
      <c r="B1925" s="74"/>
      <c r="C1925" s="74"/>
      <c r="D1925" s="73"/>
      <c r="E1925" s="73"/>
      <c r="F1925" s="73"/>
      <c r="G1925" s="75"/>
      <c r="H1925" s="75"/>
      <c r="I1925" s="73"/>
      <c r="J1925" s="31"/>
      <c r="K1925" s="32"/>
    </row>
    <row r="1926" customFormat="false" ht="15" hidden="false" customHeight="true" outlineLevel="0" collapsed="false">
      <c r="A1926" s="9"/>
      <c r="B1926" s="76"/>
      <c r="C1926" s="76"/>
      <c r="D1926" s="9"/>
      <c r="E1926" s="9"/>
      <c r="F1926" s="9"/>
      <c r="G1926" s="33"/>
      <c r="H1926" s="33"/>
      <c r="I1926" s="9"/>
      <c r="J1926" s="33"/>
      <c r="K1926" s="9"/>
    </row>
    <row r="1927" customFormat="false" ht="15" hidden="false" customHeight="true" outlineLevel="0" collapsed="false">
      <c r="A1927" s="73"/>
      <c r="B1927" s="74"/>
      <c r="C1927" s="74"/>
      <c r="D1927" s="73"/>
      <c r="E1927" s="73"/>
      <c r="F1927" s="73"/>
      <c r="G1927" s="75"/>
      <c r="H1927" s="75"/>
      <c r="I1927" s="73"/>
      <c r="J1927" s="31"/>
      <c r="K1927" s="32"/>
    </row>
    <row r="1928" customFormat="false" ht="15" hidden="false" customHeight="true" outlineLevel="0" collapsed="false">
      <c r="A1928" s="9"/>
      <c r="B1928" s="76"/>
      <c r="C1928" s="76"/>
      <c r="D1928" s="9"/>
      <c r="E1928" s="9"/>
      <c r="F1928" s="9"/>
      <c r="G1928" s="33"/>
      <c r="H1928" s="33"/>
      <c r="I1928" s="9"/>
      <c r="J1928" s="33"/>
      <c r="K1928" s="9"/>
    </row>
    <row r="1929" customFormat="false" ht="15" hidden="false" customHeight="true" outlineLevel="0" collapsed="false">
      <c r="A1929" s="73"/>
      <c r="B1929" s="74"/>
      <c r="C1929" s="74"/>
      <c r="D1929" s="73"/>
      <c r="E1929" s="73"/>
      <c r="F1929" s="73"/>
      <c r="G1929" s="75"/>
      <c r="H1929" s="75"/>
      <c r="I1929" s="73"/>
      <c r="J1929" s="31"/>
      <c r="K1929" s="32"/>
    </row>
    <row r="1930" customFormat="false" ht="15" hidden="false" customHeight="true" outlineLevel="0" collapsed="false">
      <c r="A1930" s="9"/>
      <c r="B1930" s="76"/>
      <c r="C1930" s="76"/>
      <c r="D1930" s="9"/>
      <c r="E1930" s="9"/>
      <c r="F1930" s="9"/>
      <c r="G1930" s="33"/>
      <c r="H1930" s="33"/>
      <c r="I1930" s="9"/>
      <c r="J1930" s="33"/>
      <c r="K1930" s="9"/>
    </row>
    <row r="1931" customFormat="false" ht="15" hidden="false" customHeight="true" outlineLevel="0" collapsed="false">
      <c r="A1931" s="73"/>
      <c r="B1931" s="74"/>
      <c r="C1931" s="74"/>
      <c r="D1931" s="73"/>
      <c r="E1931" s="73"/>
      <c r="F1931" s="73"/>
      <c r="G1931" s="75"/>
      <c r="H1931" s="75"/>
      <c r="I1931" s="73"/>
      <c r="J1931" s="31"/>
      <c r="K1931" s="32"/>
    </row>
    <row r="1932" customFormat="false" ht="15" hidden="false" customHeight="true" outlineLevel="0" collapsed="false">
      <c r="A1932" s="9"/>
      <c r="B1932" s="76"/>
      <c r="C1932" s="76"/>
      <c r="D1932" s="9"/>
      <c r="E1932" s="9"/>
      <c r="F1932" s="9"/>
      <c r="G1932" s="33"/>
      <c r="H1932" s="33"/>
      <c r="I1932" s="9"/>
      <c r="J1932" s="33"/>
      <c r="K1932" s="9"/>
    </row>
    <row r="1933" customFormat="false" ht="15" hidden="false" customHeight="true" outlineLevel="0" collapsed="false">
      <c r="A1933" s="73"/>
      <c r="B1933" s="74"/>
      <c r="C1933" s="74"/>
      <c r="D1933" s="73"/>
      <c r="E1933" s="73"/>
      <c r="F1933" s="73"/>
      <c r="G1933" s="75"/>
      <c r="H1933" s="75"/>
      <c r="I1933" s="73"/>
      <c r="J1933" s="31"/>
      <c r="K1933" s="32"/>
    </row>
    <row r="1934" customFormat="false" ht="15" hidden="false" customHeight="true" outlineLevel="0" collapsed="false">
      <c r="A1934" s="9"/>
      <c r="B1934" s="76"/>
      <c r="C1934" s="76"/>
      <c r="D1934" s="9"/>
      <c r="E1934" s="9"/>
      <c r="F1934" s="9"/>
      <c r="G1934" s="33"/>
      <c r="H1934" s="33"/>
      <c r="I1934" s="9"/>
      <c r="J1934" s="33"/>
      <c r="K1934" s="9"/>
    </row>
    <row r="1935" customFormat="false" ht="15" hidden="false" customHeight="true" outlineLevel="0" collapsed="false">
      <c r="A1935" s="73"/>
      <c r="B1935" s="74"/>
      <c r="C1935" s="74"/>
      <c r="D1935" s="73"/>
      <c r="E1935" s="73"/>
      <c r="F1935" s="73"/>
      <c r="G1935" s="75"/>
      <c r="H1935" s="75"/>
      <c r="I1935" s="73"/>
      <c r="J1935" s="31"/>
      <c r="K1935" s="32"/>
    </row>
    <row r="1936" customFormat="false" ht="15" hidden="false" customHeight="true" outlineLevel="0" collapsed="false">
      <c r="A1936" s="9"/>
      <c r="B1936" s="76"/>
      <c r="C1936" s="76"/>
      <c r="D1936" s="9"/>
      <c r="E1936" s="9"/>
      <c r="F1936" s="9"/>
      <c r="G1936" s="33"/>
      <c r="H1936" s="33"/>
      <c r="I1936" s="9"/>
      <c r="J1936" s="33"/>
      <c r="K1936" s="9"/>
    </row>
    <row r="1937" customFormat="false" ht="15" hidden="false" customHeight="true" outlineLevel="0" collapsed="false">
      <c r="A1937" s="73"/>
      <c r="B1937" s="74"/>
      <c r="C1937" s="74"/>
      <c r="D1937" s="73"/>
      <c r="E1937" s="73"/>
      <c r="F1937" s="73"/>
      <c r="G1937" s="75"/>
      <c r="H1937" s="75"/>
      <c r="I1937" s="73"/>
      <c r="J1937" s="31"/>
      <c r="K1937" s="32"/>
    </row>
    <row r="1938" customFormat="false" ht="15" hidden="false" customHeight="true" outlineLevel="0" collapsed="false">
      <c r="A1938" s="9"/>
      <c r="B1938" s="76"/>
      <c r="C1938" s="76"/>
      <c r="D1938" s="9"/>
      <c r="E1938" s="9"/>
      <c r="F1938" s="9"/>
      <c r="G1938" s="33"/>
      <c r="H1938" s="33"/>
      <c r="I1938" s="9"/>
      <c r="J1938" s="33"/>
      <c r="K1938" s="9"/>
    </row>
    <row r="1939" customFormat="false" ht="15" hidden="false" customHeight="true" outlineLevel="0" collapsed="false">
      <c r="A1939" s="73"/>
      <c r="B1939" s="74"/>
      <c r="C1939" s="74"/>
      <c r="D1939" s="73"/>
      <c r="E1939" s="73"/>
      <c r="F1939" s="73"/>
      <c r="G1939" s="75"/>
      <c r="H1939" s="75"/>
      <c r="I1939" s="73"/>
      <c r="J1939" s="31"/>
      <c r="K1939" s="32"/>
    </row>
    <row r="1940" customFormat="false" ht="15" hidden="false" customHeight="true" outlineLevel="0" collapsed="false">
      <c r="A1940" s="9"/>
      <c r="B1940" s="76"/>
      <c r="C1940" s="76"/>
      <c r="D1940" s="9"/>
      <c r="E1940" s="9"/>
      <c r="F1940" s="9"/>
      <c r="G1940" s="33"/>
      <c r="H1940" s="33"/>
      <c r="I1940" s="9"/>
      <c r="J1940" s="33"/>
      <c r="K1940" s="9"/>
    </row>
    <row r="1941" customFormat="false" ht="15" hidden="false" customHeight="true" outlineLevel="0" collapsed="false">
      <c r="A1941" s="73"/>
      <c r="B1941" s="74"/>
      <c r="C1941" s="74"/>
      <c r="D1941" s="73"/>
      <c r="E1941" s="73"/>
      <c r="F1941" s="73"/>
      <c r="G1941" s="75"/>
      <c r="H1941" s="75"/>
      <c r="I1941" s="73"/>
      <c r="J1941" s="31"/>
      <c r="K1941" s="32"/>
    </row>
    <row r="1942" customFormat="false" ht="15" hidden="false" customHeight="true" outlineLevel="0" collapsed="false">
      <c r="A1942" s="9"/>
      <c r="B1942" s="76"/>
      <c r="C1942" s="76"/>
      <c r="D1942" s="9"/>
      <c r="E1942" s="9"/>
      <c r="F1942" s="9"/>
      <c r="G1942" s="33"/>
      <c r="H1942" s="33"/>
      <c r="I1942" s="9"/>
      <c r="J1942" s="33"/>
      <c r="K1942" s="9"/>
    </row>
    <row r="1943" customFormat="false" ht="15" hidden="false" customHeight="true" outlineLevel="0" collapsed="false">
      <c r="A1943" s="73"/>
      <c r="B1943" s="74"/>
      <c r="C1943" s="74"/>
      <c r="D1943" s="73"/>
      <c r="E1943" s="73"/>
      <c r="F1943" s="73"/>
      <c r="G1943" s="75"/>
      <c r="H1943" s="75"/>
      <c r="I1943" s="73"/>
      <c r="J1943" s="31"/>
      <c r="K1943" s="32"/>
    </row>
    <row r="1944" customFormat="false" ht="15" hidden="false" customHeight="true" outlineLevel="0" collapsed="false">
      <c r="A1944" s="9"/>
      <c r="B1944" s="76"/>
      <c r="C1944" s="76"/>
      <c r="D1944" s="9"/>
      <c r="E1944" s="9"/>
      <c r="F1944" s="9"/>
      <c r="G1944" s="33"/>
      <c r="H1944" s="33"/>
      <c r="I1944" s="9"/>
      <c r="J1944" s="33"/>
      <c r="K1944" s="9"/>
    </row>
    <row r="1945" customFormat="false" ht="15" hidden="false" customHeight="true" outlineLevel="0" collapsed="false">
      <c r="A1945" s="73"/>
      <c r="B1945" s="74"/>
      <c r="C1945" s="74"/>
      <c r="D1945" s="73"/>
      <c r="E1945" s="73"/>
      <c r="F1945" s="73"/>
      <c r="G1945" s="75"/>
      <c r="H1945" s="75"/>
      <c r="I1945" s="73"/>
      <c r="J1945" s="31"/>
      <c r="K1945" s="32"/>
    </row>
    <row r="1946" customFormat="false" ht="15" hidden="false" customHeight="true" outlineLevel="0" collapsed="false">
      <c r="A1946" s="9"/>
      <c r="B1946" s="76"/>
      <c r="C1946" s="76"/>
      <c r="D1946" s="9"/>
      <c r="E1946" s="9"/>
      <c r="F1946" s="9"/>
      <c r="G1946" s="33"/>
      <c r="H1946" s="33"/>
      <c r="I1946" s="9"/>
      <c r="J1946" s="33"/>
      <c r="K1946" s="9"/>
    </row>
    <row r="1947" customFormat="false" ht="15" hidden="false" customHeight="true" outlineLevel="0" collapsed="false">
      <c r="A1947" s="73"/>
      <c r="B1947" s="74"/>
      <c r="C1947" s="74"/>
      <c r="D1947" s="73"/>
      <c r="E1947" s="73"/>
      <c r="F1947" s="73"/>
      <c r="G1947" s="75"/>
      <c r="H1947" s="75"/>
      <c r="I1947" s="73"/>
      <c r="J1947" s="31"/>
      <c r="K1947" s="32"/>
    </row>
    <row r="1948" customFormat="false" ht="15" hidden="false" customHeight="true" outlineLevel="0" collapsed="false">
      <c r="A1948" s="9"/>
      <c r="B1948" s="76"/>
      <c r="C1948" s="76"/>
      <c r="D1948" s="9"/>
      <c r="E1948" s="9"/>
      <c r="F1948" s="9"/>
      <c r="G1948" s="33"/>
      <c r="H1948" s="33"/>
      <c r="I1948" s="9"/>
      <c r="J1948" s="33"/>
      <c r="K1948" s="9"/>
    </row>
    <row r="1949" customFormat="false" ht="15" hidden="false" customHeight="true" outlineLevel="0" collapsed="false">
      <c r="A1949" s="73"/>
      <c r="B1949" s="74"/>
      <c r="C1949" s="74"/>
      <c r="D1949" s="73"/>
      <c r="E1949" s="73"/>
      <c r="F1949" s="73"/>
      <c r="G1949" s="75"/>
      <c r="H1949" s="75"/>
      <c r="I1949" s="73"/>
      <c r="J1949" s="31"/>
      <c r="K1949" s="32"/>
    </row>
    <row r="1950" customFormat="false" ht="15" hidden="false" customHeight="true" outlineLevel="0" collapsed="false">
      <c r="A1950" s="9"/>
      <c r="B1950" s="76"/>
      <c r="C1950" s="76"/>
      <c r="D1950" s="9"/>
      <c r="E1950" s="9"/>
      <c r="F1950" s="9"/>
      <c r="G1950" s="33"/>
      <c r="H1950" s="33"/>
      <c r="I1950" s="9"/>
      <c r="J1950" s="33"/>
      <c r="K1950" s="9"/>
    </row>
    <row r="1951" customFormat="false" ht="15" hidden="false" customHeight="true" outlineLevel="0" collapsed="false">
      <c r="A1951" s="73"/>
      <c r="B1951" s="74"/>
      <c r="C1951" s="74"/>
      <c r="D1951" s="73"/>
      <c r="E1951" s="73"/>
      <c r="F1951" s="73"/>
      <c r="G1951" s="75"/>
      <c r="H1951" s="75"/>
      <c r="I1951" s="73"/>
      <c r="J1951" s="31"/>
      <c r="K1951" s="32"/>
    </row>
    <row r="1952" customFormat="false" ht="15" hidden="false" customHeight="true" outlineLevel="0" collapsed="false">
      <c r="A1952" s="9"/>
      <c r="B1952" s="76"/>
      <c r="C1952" s="76"/>
      <c r="D1952" s="9"/>
      <c r="E1952" s="9"/>
      <c r="F1952" s="9"/>
      <c r="G1952" s="33"/>
      <c r="H1952" s="33"/>
      <c r="I1952" s="9"/>
      <c r="J1952" s="33"/>
      <c r="K1952" s="9"/>
    </row>
    <row r="1953" customFormat="false" ht="15" hidden="false" customHeight="true" outlineLevel="0" collapsed="false">
      <c r="A1953" s="73"/>
      <c r="B1953" s="74"/>
      <c r="C1953" s="74"/>
      <c r="D1953" s="73"/>
      <c r="E1953" s="73"/>
      <c r="F1953" s="73"/>
      <c r="G1953" s="75"/>
      <c r="H1953" s="75"/>
      <c r="I1953" s="73"/>
      <c r="J1953" s="31"/>
      <c r="K1953" s="32"/>
    </row>
    <row r="1954" customFormat="false" ht="15" hidden="false" customHeight="true" outlineLevel="0" collapsed="false">
      <c r="A1954" s="9"/>
      <c r="B1954" s="76"/>
      <c r="C1954" s="76"/>
      <c r="D1954" s="9"/>
      <c r="E1954" s="9"/>
      <c r="F1954" s="9"/>
      <c r="G1954" s="33"/>
      <c r="H1954" s="33"/>
      <c r="I1954" s="9"/>
      <c r="J1954" s="33"/>
      <c r="K1954" s="9"/>
    </row>
    <row r="1955" customFormat="false" ht="15" hidden="false" customHeight="true" outlineLevel="0" collapsed="false">
      <c r="A1955" s="73"/>
      <c r="B1955" s="74"/>
      <c r="C1955" s="74"/>
      <c r="D1955" s="73"/>
      <c r="E1955" s="73"/>
      <c r="F1955" s="73"/>
      <c r="G1955" s="75"/>
      <c r="H1955" s="75"/>
      <c r="I1955" s="73"/>
      <c r="J1955" s="31"/>
      <c r="K1955" s="32"/>
    </row>
    <row r="1956" customFormat="false" ht="15" hidden="false" customHeight="true" outlineLevel="0" collapsed="false">
      <c r="A1956" s="9"/>
      <c r="B1956" s="76"/>
      <c r="C1956" s="76"/>
      <c r="D1956" s="9"/>
      <c r="E1956" s="9"/>
      <c r="F1956" s="9"/>
      <c r="G1956" s="33"/>
      <c r="H1956" s="33"/>
      <c r="I1956" s="9"/>
      <c r="J1956" s="33"/>
      <c r="K1956" s="9"/>
    </row>
    <row r="1957" customFormat="false" ht="15" hidden="false" customHeight="true" outlineLevel="0" collapsed="false">
      <c r="A1957" s="73"/>
      <c r="B1957" s="74"/>
      <c r="C1957" s="74"/>
      <c r="D1957" s="73"/>
      <c r="E1957" s="73"/>
      <c r="F1957" s="73"/>
      <c r="G1957" s="75"/>
      <c r="H1957" s="75"/>
      <c r="I1957" s="73"/>
      <c r="J1957" s="31"/>
      <c r="K1957" s="32"/>
    </row>
    <row r="1958" customFormat="false" ht="15" hidden="false" customHeight="true" outlineLevel="0" collapsed="false">
      <c r="A1958" s="9"/>
      <c r="B1958" s="76"/>
      <c r="C1958" s="76"/>
      <c r="D1958" s="9"/>
      <c r="E1958" s="9"/>
      <c r="F1958" s="9"/>
      <c r="G1958" s="33"/>
      <c r="H1958" s="33"/>
      <c r="I1958" s="9"/>
      <c r="J1958" s="33"/>
      <c r="K1958" s="9"/>
    </row>
    <row r="1959" customFormat="false" ht="15" hidden="false" customHeight="true" outlineLevel="0" collapsed="false">
      <c r="A1959" s="73"/>
      <c r="B1959" s="74"/>
      <c r="C1959" s="74"/>
      <c r="D1959" s="73"/>
      <c r="E1959" s="73"/>
      <c r="F1959" s="73"/>
      <c r="G1959" s="75"/>
      <c r="H1959" s="75"/>
      <c r="I1959" s="73"/>
      <c r="J1959" s="31"/>
      <c r="K1959" s="32"/>
    </row>
    <row r="1960" customFormat="false" ht="15" hidden="false" customHeight="true" outlineLevel="0" collapsed="false">
      <c r="A1960" s="9"/>
      <c r="B1960" s="76"/>
      <c r="C1960" s="76"/>
      <c r="D1960" s="9"/>
      <c r="E1960" s="9"/>
      <c r="F1960" s="9"/>
      <c r="G1960" s="33"/>
      <c r="H1960" s="33"/>
      <c r="I1960" s="9"/>
      <c r="J1960" s="33"/>
      <c r="K1960" s="9"/>
    </row>
    <row r="1961" customFormat="false" ht="15" hidden="false" customHeight="true" outlineLevel="0" collapsed="false">
      <c r="A1961" s="73"/>
      <c r="B1961" s="74"/>
      <c r="C1961" s="74"/>
      <c r="D1961" s="73"/>
      <c r="E1961" s="73"/>
      <c r="F1961" s="73"/>
      <c r="G1961" s="75"/>
      <c r="H1961" s="75"/>
      <c r="I1961" s="73"/>
      <c r="J1961" s="31"/>
      <c r="K1961" s="32"/>
    </row>
    <row r="1962" customFormat="false" ht="15" hidden="false" customHeight="true" outlineLevel="0" collapsed="false">
      <c r="A1962" s="9"/>
      <c r="B1962" s="76"/>
      <c r="C1962" s="76"/>
      <c r="D1962" s="9"/>
      <c r="E1962" s="9"/>
      <c r="F1962" s="9"/>
      <c r="G1962" s="33"/>
      <c r="H1962" s="33"/>
      <c r="I1962" s="9"/>
      <c r="J1962" s="33"/>
      <c r="K1962" s="9"/>
    </row>
    <row r="1963" customFormat="false" ht="15" hidden="false" customHeight="true" outlineLevel="0" collapsed="false">
      <c r="A1963" s="73"/>
      <c r="B1963" s="74"/>
      <c r="C1963" s="74"/>
      <c r="D1963" s="73"/>
      <c r="E1963" s="73"/>
      <c r="F1963" s="73"/>
      <c r="G1963" s="75"/>
      <c r="H1963" s="75"/>
      <c r="I1963" s="73"/>
      <c r="J1963" s="31"/>
      <c r="K1963" s="32"/>
    </row>
    <row r="1964" customFormat="false" ht="15" hidden="false" customHeight="true" outlineLevel="0" collapsed="false">
      <c r="A1964" s="9"/>
      <c r="B1964" s="76"/>
      <c r="C1964" s="76"/>
      <c r="D1964" s="9"/>
      <c r="E1964" s="9"/>
      <c r="F1964" s="9"/>
      <c r="G1964" s="33"/>
      <c r="H1964" s="33"/>
      <c r="I1964" s="9"/>
      <c r="J1964" s="33"/>
      <c r="K1964" s="9"/>
    </row>
    <row r="1965" customFormat="false" ht="15" hidden="false" customHeight="true" outlineLevel="0" collapsed="false">
      <c r="A1965" s="73"/>
      <c r="B1965" s="74"/>
      <c r="C1965" s="74"/>
      <c r="D1965" s="73"/>
      <c r="E1965" s="73"/>
      <c r="F1965" s="73"/>
      <c r="G1965" s="75"/>
      <c r="H1965" s="75"/>
      <c r="I1965" s="73"/>
      <c r="J1965" s="31"/>
      <c r="K1965" s="32"/>
    </row>
    <row r="1966" customFormat="false" ht="15" hidden="false" customHeight="true" outlineLevel="0" collapsed="false">
      <c r="A1966" s="9"/>
      <c r="B1966" s="76"/>
      <c r="C1966" s="76"/>
      <c r="D1966" s="9"/>
      <c r="E1966" s="9"/>
      <c r="F1966" s="9"/>
      <c r="G1966" s="33"/>
      <c r="H1966" s="33"/>
      <c r="I1966" s="9"/>
      <c r="J1966" s="33"/>
      <c r="K1966" s="9"/>
    </row>
    <row r="1967" customFormat="false" ht="15" hidden="false" customHeight="true" outlineLevel="0" collapsed="false">
      <c r="A1967" s="73"/>
      <c r="B1967" s="74"/>
      <c r="C1967" s="74"/>
      <c r="D1967" s="73"/>
      <c r="E1967" s="73"/>
      <c r="F1967" s="73"/>
      <c r="G1967" s="75"/>
      <c r="H1967" s="75"/>
      <c r="I1967" s="73"/>
      <c r="J1967" s="31"/>
      <c r="K1967" s="32"/>
    </row>
    <row r="1968" customFormat="false" ht="15" hidden="false" customHeight="true" outlineLevel="0" collapsed="false">
      <c r="A1968" s="9"/>
      <c r="B1968" s="76"/>
      <c r="C1968" s="76"/>
      <c r="D1968" s="9"/>
      <c r="E1968" s="9"/>
      <c r="F1968" s="9"/>
      <c r="G1968" s="33"/>
      <c r="H1968" s="33"/>
      <c r="I1968" s="9"/>
      <c r="J1968" s="33"/>
      <c r="K1968" s="9"/>
    </row>
    <row r="1969" customFormat="false" ht="15" hidden="false" customHeight="true" outlineLevel="0" collapsed="false">
      <c r="A1969" s="73"/>
      <c r="B1969" s="74"/>
      <c r="C1969" s="74"/>
      <c r="D1969" s="73"/>
      <c r="E1969" s="73"/>
      <c r="F1969" s="73"/>
      <c r="G1969" s="75"/>
      <c r="H1969" s="75"/>
      <c r="I1969" s="73"/>
      <c r="J1969" s="31"/>
      <c r="K1969" s="32"/>
    </row>
    <row r="1970" customFormat="false" ht="15" hidden="false" customHeight="true" outlineLevel="0" collapsed="false">
      <c r="A1970" s="9"/>
      <c r="B1970" s="76"/>
      <c r="C1970" s="76"/>
      <c r="D1970" s="9"/>
      <c r="E1970" s="9"/>
      <c r="F1970" s="9"/>
      <c r="G1970" s="33"/>
      <c r="H1970" s="33"/>
      <c r="I1970" s="9"/>
      <c r="J1970" s="33"/>
      <c r="K1970" s="9"/>
    </row>
    <row r="1971" customFormat="false" ht="15" hidden="false" customHeight="true" outlineLevel="0" collapsed="false">
      <c r="A1971" s="73"/>
      <c r="B1971" s="74"/>
      <c r="C1971" s="74"/>
      <c r="D1971" s="73"/>
      <c r="E1971" s="73"/>
      <c r="F1971" s="73"/>
      <c r="G1971" s="75"/>
      <c r="H1971" s="75"/>
      <c r="I1971" s="73"/>
      <c r="J1971" s="31"/>
      <c r="K1971" s="32"/>
    </row>
    <row r="1972" customFormat="false" ht="15" hidden="false" customHeight="true" outlineLevel="0" collapsed="false">
      <c r="A1972" s="9"/>
      <c r="B1972" s="76"/>
      <c r="C1972" s="76"/>
      <c r="D1972" s="9"/>
      <c r="E1972" s="9"/>
      <c r="F1972" s="9"/>
      <c r="G1972" s="33"/>
      <c r="H1972" s="33"/>
      <c r="I1972" s="9"/>
      <c r="J1972" s="33"/>
      <c r="K1972" s="9"/>
    </row>
    <row r="1973" customFormat="false" ht="15" hidden="false" customHeight="true" outlineLevel="0" collapsed="false">
      <c r="A1973" s="73"/>
      <c r="B1973" s="74"/>
      <c r="C1973" s="74"/>
      <c r="D1973" s="73"/>
      <c r="E1973" s="73"/>
      <c r="F1973" s="73"/>
      <c r="G1973" s="75"/>
      <c r="H1973" s="75"/>
      <c r="I1973" s="73"/>
      <c r="J1973" s="31"/>
      <c r="K1973" s="32"/>
    </row>
    <row r="1974" customFormat="false" ht="15" hidden="false" customHeight="true" outlineLevel="0" collapsed="false">
      <c r="A1974" s="9"/>
      <c r="B1974" s="76"/>
      <c r="C1974" s="76"/>
      <c r="D1974" s="9"/>
      <c r="E1974" s="9"/>
      <c r="F1974" s="9"/>
      <c r="G1974" s="33"/>
      <c r="H1974" s="33"/>
      <c r="I1974" s="9"/>
      <c r="J1974" s="33"/>
      <c r="K1974" s="9"/>
    </row>
    <row r="1975" customFormat="false" ht="15" hidden="false" customHeight="true" outlineLevel="0" collapsed="false">
      <c r="A1975" s="73"/>
      <c r="B1975" s="74"/>
      <c r="C1975" s="74"/>
      <c r="D1975" s="73"/>
      <c r="E1975" s="73"/>
      <c r="F1975" s="73"/>
      <c r="G1975" s="75"/>
      <c r="H1975" s="75"/>
      <c r="I1975" s="73"/>
      <c r="J1975" s="31"/>
      <c r="K1975" s="32"/>
    </row>
    <row r="1976" customFormat="false" ht="15" hidden="false" customHeight="true" outlineLevel="0" collapsed="false">
      <c r="A1976" s="9"/>
      <c r="B1976" s="76"/>
      <c r="C1976" s="76"/>
      <c r="D1976" s="9"/>
      <c r="E1976" s="9"/>
      <c r="F1976" s="9"/>
      <c r="G1976" s="33"/>
      <c r="H1976" s="33"/>
      <c r="I1976" s="9"/>
      <c r="J1976" s="33"/>
      <c r="K1976" s="9"/>
    </row>
    <row r="1977" customFormat="false" ht="15" hidden="false" customHeight="true" outlineLevel="0" collapsed="false">
      <c r="A1977" s="73"/>
      <c r="B1977" s="74"/>
      <c r="C1977" s="74"/>
      <c r="D1977" s="73"/>
      <c r="E1977" s="73"/>
      <c r="F1977" s="73"/>
      <c r="G1977" s="75"/>
      <c r="H1977" s="75"/>
      <c r="I1977" s="73"/>
      <c r="J1977" s="31"/>
      <c r="K1977" s="32"/>
    </row>
    <row r="1978" customFormat="false" ht="15" hidden="false" customHeight="true" outlineLevel="0" collapsed="false">
      <c r="A1978" s="9"/>
      <c r="B1978" s="76"/>
      <c r="C1978" s="76"/>
      <c r="D1978" s="9"/>
      <c r="E1978" s="9"/>
      <c r="F1978" s="9"/>
      <c r="G1978" s="33"/>
      <c r="H1978" s="33"/>
      <c r="I1978" s="9"/>
      <c r="J1978" s="33"/>
      <c r="K1978" s="9"/>
    </row>
    <row r="1979" customFormat="false" ht="15" hidden="false" customHeight="true" outlineLevel="0" collapsed="false">
      <c r="A1979" s="73"/>
      <c r="B1979" s="74"/>
      <c r="C1979" s="74"/>
      <c r="D1979" s="73"/>
      <c r="E1979" s="73"/>
      <c r="F1979" s="73"/>
      <c r="G1979" s="75"/>
      <c r="H1979" s="75"/>
      <c r="I1979" s="73"/>
      <c r="J1979" s="31"/>
      <c r="K1979" s="32"/>
    </row>
    <row r="1980" customFormat="false" ht="15" hidden="false" customHeight="true" outlineLevel="0" collapsed="false">
      <c r="A1980" s="9"/>
      <c r="B1980" s="76"/>
      <c r="C1980" s="76"/>
      <c r="D1980" s="9"/>
      <c r="E1980" s="9"/>
      <c r="F1980" s="9"/>
      <c r="G1980" s="33"/>
      <c r="H1980" s="33"/>
      <c r="I1980" s="9"/>
      <c r="J1980" s="33"/>
      <c r="K1980" s="9"/>
    </row>
    <row r="1981" customFormat="false" ht="15" hidden="false" customHeight="true" outlineLevel="0" collapsed="false">
      <c r="A1981" s="73"/>
      <c r="B1981" s="74"/>
      <c r="C1981" s="74"/>
      <c r="D1981" s="73"/>
      <c r="E1981" s="73"/>
      <c r="F1981" s="73"/>
      <c r="G1981" s="75"/>
      <c r="H1981" s="75"/>
      <c r="I1981" s="73"/>
      <c r="J1981" s="31"/>
      <c r="K1981" s="32"/>
    </row>
    <row r="1982" customFormat="false" ht="15" hidden="false" customHeight="true" outlineLevel="0" collapsed="false">
      <c r="A1982" s="9"/>
      <c r="B1982" s="76"/>
      <c r="C1982" s="76"/>
      <c r="D1982" s="9"/>
      <c r="E1982" s="9"/>
      <c r="F1982" s="9"/>
      <c r="G1982" s="33"/>
      <c r="H1982" s="33"/>
      <c r="I1982" s="9"/>
      <c r="J1982" s="33"/>
      <c r="K1982" s="9"/>
    </row>
    <row r="1983" customFormat="false" ht="15" hidden="false" customHeight="true" outlineLevel="0" collapsed="false">
      <c r="A1983" s="73"/>
      <c r="B1983" s="74"/>
      <c r="C1983" s="74"/>
      <c r="D1983" s="73"/>
      <c r="E1983" s="73"/>
      <c r="F1983" s="73"/>
      <c r="G1983" s="75"/>
      <c r="H1983" s="75"/>
      <c r="I1983" s="73"/>
      <c r="J1983" s="31"/>
      <c r="K1983" s="32"/>
    </row>
    <row r="1984" customFormat="false" ht="15" hidden="false" customHeight="true" outlineLevel="0" collapsed="false">
      <c r="A1984" s="9"/>
      <c r="B1984" s="76"/>
      <c r="C1984" s="76"/>
      <c r="D1984" s="9"/>
      <c r="E1984" s="9"/>
      <c r="F1984" s="9"/>
      <c r="G1984" s="33"/>
      <c r="H1984" s="33"/>
      <c r="I1984" s="9"/>
      <c r="J1984" s="33"/>
      <c r="K1984" s="9"/>
    </row>
    <row r="1985" customFormat="false" ht="15" hidden="false" customHeight="true" outlineLevel="0" collapsed="false">
      <c r="A1985" s="73"/>
      <c r="B1985" s="74"/>
      <c r="C1985" s="74"/>
      <c r="D1985" s="73"/>
      <c r="E1985" s="73"/>
      <c r="F1985" s="73"/>
      <c r="G1985" s="75"/>
      <c r="H1985" s="75"/>
      <c r="I1985" s="73"/>
      <c r="J1985" s="31"/>
      <c r="K1985" s="32"/>
    </row>
    <row r="1986" customFormat="false" ht="15" hidden="false" customHeight="true" outlineLevel="0" collapsed="false">
      <c r="A1986" s="9"/>
      <c r="B1986" s="76"/>
      <c r="C1986" s="76"/>
      <c r="D1986" s="9"/>
      <c r="E1986" s="9"/>
      <c r="F1986" s="9"/>
      <c r="G1986" s="33"/>
      <c r="H1986" s="33"/>
      <c r="I1986" s="9"/>
      <c r="J1986" s="33"/>
      <c r="K1986" s="9"/>
    </row>
    <row r="1987" customFormat="false" ht="15" hidden="false" customHeight="true" outlineLevel="0" collapsed="false">
      <c r="A1987" s="73"/>
      <c r="B1987" s="74"/>
      <c r="C1987" s="74"/>
      <c r="D1987" s="73"/>
      <c r="E1987" s="73"/>
      <c r="F1987" s="73"/>
      <c r="G1987" s="75"/>
      <c r="H1987" s="75"/>
      <c r="I1987" s="73"/>
      <c r="J1987" s="31"/>
      <c r="K1987" s="32"/>
    </row>
    <row r="1988" customFormat="false" ht="15" hidden="false" customHeight="true" outlineLevel="0" collapsed="false">
      <c r="A1988" s="9"/>
      <c r="B1988" s="76"/>
      <c r="C1988" s="76"/>
      <c r="D1988" s="9"/>
      <c r="E1988" s="9"/>
      <c r="F1988" s="9"/>
      <c r="G1988" s="33"/>
      <c r="H1988" s="33"/>
      <c r="I1988" s="9"/>
      <c r="J1988" s="33"/>
      <c r="K1988" s="9"/>
    </row>
    <row r="1989" customFormat="false" ht="15" hidden="false" customHeight="true" outlineLevel="0" collapsed="false">
      <c r="A1989" s="73"/>
      <c r="B1989" s="74"/>
      <c r="C1989" s="74"/>
      <c r="D1989" s="73"/>
      <c r="E1989" s="73"/>
      <c r="F1989" s="73"/>
      <c r="G1989" s="75"/>
      <c r="H1989" s="75"/>
      <c r="I1989" s="73"/>
      <c r="J1989" s="31"/>
      <c r="K1989" s="32"/>
    </row>
    <row r="1990" customFormat="false" ht="15" hidden="false" customHeight="true" outlineLevel="0" collapsed="false">
      <c r="A1990" s="9"/>
      <c r="B1990" s="76"/>
      <c r="C1990" s="76"/>
      <c r="D1990" s="9"/>
      <c r="E1990" s="9"/>
      <c r="F1990" s="9"/>
      <c r="G1990" s="33"/>
      <c r="H1990" s="33"/>
      <c r="I1990" s="9"/>
      <c r="J1990" s="33"/>
      <c r="K1990" s="9"/>
    </row>
    <row r="1991" customFormat="false" ht="15" hidden="false" customHeight="true" outlineLevel="0" collapsed="false">
      <c r="A1991" s="73"/>
      <c r="B1991" s="74"/>
      <c r="C1991" s="74"/>
      <c r="D1991" s="73"/>
      <c r="E1991" s="73"/>
      <c r="F1991" s="73"/>
      <c r="G1991" s="75"/>
      <c r="H1991" s="75"/>
      <c r="I1991" s="73"/>
      <c r="J1991" s="31"/>
      <c r="K1991" s="32"/>
    </row>
    <row r="1992" customFormat="false" ht="15" hidden="false" customHeight="true" outlineLevel="0" collapsed="false">
      <c r="A1992" s="9"/>
      <c r="B1992" s="76"/>
      <c r="C1992" s="76"/>
      <c r="D1992" s="9"/>
      <c r="E1992" s="9"/>
      <c r="F1992" s="9"/>
      <c r="G1992" s="33"/>
      <c r="H1992" s="33"/>
      <c r="I1992" s="9"/>
      <c r="J1992" s="33"/>
      <c r="K1992" s="9"/>
    </row>
    <row r="1993" customFormat="false" ht="15" hidden="false" customHeight="true" outlineLevel="0" collapsed="false">
      <c r="A1993" s="73"/>
      <c r="B1993" s="74"/>
      <c r="C1993" s="74"/>
      <c r="D1993" s="73"/>
      <c r="E1993" s="73"/>
      <c r="F1993" s="73"/>
      <c r="G1993" s="75"/>
      <c r="H1993" s="75"/>
      <c r="I1993" s="73"/>
      <c r="J1993" s="31"/>
      <c r="K1993" s="32"/>
    </row>
    <row r="1994" customFormat="false" ht="15" hidden="false" customHeight="true" outlineLevel="0" collapsed="false">
      <c r="A1994" s="9"/>
      <c r="B1994" s="76"/>
      <c r="C1994" s="76"/>
      <c r="D1994" s="9"/>
      <c r="E1994" s="9"/>
      <c r="F1994" s="9"/>
      <c r="G1994" s="33"/>
      <c r="H1994" s="33"/>
      <c r="I1994" s="9"/>
      <c r="J1994" s="33"/>
      <c r="K1994" s="9"/>
    </row>
    <row r="1995" customFormat="false" ht="15" hidden="false" customHeight="true" outlineLevel="0" collapsed="false">
      <c r="A1995" s="73"/>
      <c r="B1995" s="74"/>
      <c r="C1995" s="74"/>
      <c r="D1995" s="73"/>
      <c r="E1995" s="73"/>
      <c r="F1995" s="73"/>
      <c r="G1995" s="75"/>
      <c r="H1995" s="75"/>
      <c r="I1995" s="73"/>
      <c r="J1995" s="31"/>
      <c r="K1995" s="32"/>
    </row>
    <row r="1996" customFormat="false" ht="15" hidden="false" customHeight="true" outlineLevel="0" collapsed="false">
      <c r="A1996" s="9"/>
      <c r="B1996" s="76"/>
      <c r="C1996" s="76"/>
      <c r="D1996" s="9"/>
      <c r="E1996" s="9"/>
      <c r="F1996" s="9"/>
      <c r="G1996" s="33"/>
      <c r="H1996" s="33"/>
      <c r="I1996" s="9"/>
      <c r="J1996" s="33"/>
      <c r="K1996" s="9"/>
    </row>
    <row r="1997" customFormat="false" ht="15" hidden="false" customHeight="true" outlineLevel="0" collapsed="false">
      <c r="A1997" s="73"/>
      <c r="B1997" s="74"/>
      <c r="C1997" s="74"/>
      <c r="D1997" s="73"/>
      <c r="E1997" s="73"/>
      <c r="F1997" s="73"/>
      <c r="G1997" s="75"/>
      <c r="H1997" s="75"/>
      <c r="I1997" s="73"/>
      <c r="J1997" s="31"/>
      <c r="K1997" s="32"/>
    </row>
    <row r="1998" customFormat="false" ht="15" hidden="false" customHeight="true" outlineLevel="0" collapsed="false">
      <c r="A1998" s="9"/>
      <c r="B1998" s="76"/>
      <c r="C1998" s="76"/>
      <c r="D1998" s="9"/>
      <c r="E1998" s="9"/>
      <c r="F1998" s="9"/>
      <c r="G1998" s="33"/>
      <c r="H1998" s="33"/>
      <c r="I1998" s="9"/>
      <c r="J1998" s="33"/>
      <c r="K1998" s="9"/>
    </row>
    <row r="1999" customFormat="false" ht="15" hidden="false" customHeight="true" outlineLevel="0" collapsed="false">
      <c r="A1999" s="73"/>
      <c r="B1999" s="74"/>
      <c r="C1999" s="74"/>
      <c r="D1999" s="73"/>
      <c r="E1999" s="73"/>
      <c r="F1999" s="73"/>
      <c r="G1999" s="75"/>
      <c r="H1999" s="75"/>
      <c r="I1999" s="73"/>
      <c r="J1999" s="31"/>
      <c r="K1999" s="32"/>
    </row>
    <row r="2000" customFormat="false" ht="15" hidden="false" customHeight="true" outlineLevel="0" collapsed="false">
      <c r="A2000" s="9"/>
      <c r="B2000" s="76"/>
      <c r="C2000" s="76"/>
      <c r="D2000" s="9"/>
      <c r="E2000" s="9"/>
      <c r="F2000" s="9"/>
      <c r="G2000" s="33"/>
      <c r="H2000" s="33"/>
      <c r="I2000" s="9"/>
      <c r="J2000" s="33"/>
      <c r="K2000" s="9"/>
    </row>
    <row r="2001" customFormat="false" ht="15" hidden="false" customHeight="true" outlineLevel="0" collapsed="false">
      <c r="A2001" s="73"/>
      <c r="B2001" s="74"/>
      <c r="C2001" s="74"/>
      <c r="D2001" s="73"/>
      <c r="E2001" s="73"/>
      <c r="F2001" s="73"/>
      <c r="G2001" s="75"/>
      <c r="H2001" s="75"/>
      <c r="I2001" s="73"/>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7" t="s">
        <v>2305</v>
      </c>
      <c r="B1" s="77"/>
      <c r="C1" s="77"/>
      <c r="D1" s="77"/>
      <c r="E1" s="77"/>
    </row>
    <row r="2" customFormat="false" ht="43.5" hidden="false" customHeight="true" outlineLevel="0" collapsed="false">
      <c r="A2" s="78" t="s">
        <v>2306</v>
      </c>
      <c r="B2" s="78" t="s">
        <v>2307</v>
      </c>
      <c r="C2" s="78" t="s">
        <v>2308</v>
      </c>
      <c r="D2" s="78" t="s">
        <v>2309</v>
      </c>
      <c r="E2" s="78" t="s">
        <v>686</v>
      </c>
    </row>
    <row r="3" customFormat="false" ht="15" hidden="false" customHeight="true" outlineLevel="0" collapsed="false">
      <c r="A3" s="79" t="s">
        <v>2310</v>
      </c>
      <c r="B3" s="80" t="n">
        <v>45901</v>
      </c>
      <c r="C3" s="80" t="n">
        <v>46215</v>
      </c>
      <c r="D3" s="79"/>
      <c r="E3" s="79" t="s">
        <v>2311</v>
      </c>
    </row>
    <row r="4" customFormat="false" ht="15" hidden="false" customHeight="true" outlineLevel="0" collapsed="false">
      <c r="A4" s="9" t="s">
        <v>2312</v>
      </c>
      <c r="B4" s="76" t="n">
        <v>45901</v>
      </c>
      <c r="C4" s="76" t="n">
        <v>46186</v>
      </c>
      <c r="D4" s="9"/>
      <c r="E4" s="9" t="s">
        <v>2313</v>
      </c>
    </row>
    <row r="5" customFormat="false" ht="15" hidden="false" customHeight="true" outlineLevel="0" collapsed="false">
      <c r="A5" s="79" t="s">
        <v>2310</v>
      </c>
      <c r="B5" s="80" t="n">
        <v>46216</v>
      </c>
      <c r="C5" s="80" t="n">
        <v>46237</v>
      </c>
      <c r="D5" s="79" t="s">
        <v>2297</v>
      </c>
      <c r="E5" s="79" t="s">
        <v>2298</v>
      </c>
    </row>
    <row r="6" customFormat="false" ht="15" hidden="false" customHeight="true" outlineLevel="0" collapsed="false">
      <c r="A6" s="9" t="s">
        <v>2312</v>
      </c>
      <c r="B6" s="76" t="n">
        <v>46187</v>
      </c>
      <c r="C6" s="76" t="n">
        <v>46259</v>
      </c>
      <c r="D6" s="9" t="s">
        <v>2303</v>
      </c>
      <c r="E6" s="9" t="s">
        <v>2304</v>
      </c>
    </row>
    <row r="7" customFormat="false" ht="15" hidden="false" customHeight="true" outlineLevel="0" collapsed="false">
      <c r="A7" s="79" t="s">
        <v>2310</v>
      </c>
      <c r="B7" s="80" t="n">
        <v>46238</v>
      </c>
      <c r="C7" s="80" t="n">
        <v>46568</v>
      </c>
      <c r="D7" s="79"/>
      <c r="E7" s="79" t="s">
        <v>2314</v>
      </c>
    </row>
    <row r="8" customFormat="false" ht="15" hidden="false" customHeight="true" outlineLevel="0" collapsed="false">
      <c r="A8" s="9" t="s">
        <v>2312</v>
      </c>
      <c r="B8" s="76" t="n">
        <v>46260</v>
      </c>
      <c r="C8" s="76" t="n">
        <v>46550</v>
      </c>
      <c r="D8" s="9"/>
      <c r="E8" s="9" t="s">
        <v>2315</v>
      </c>
    </row>
    <row r="9" customFormat="false" ht="15" hidden="false" customHeight="true" outlineLevel="0" collapsed="false">
      <c r="A9" s="79" t="s">
        <v>2316</v>
      </c>
      <c r="B9" s="80" t="n">
        <v>46013</v>
      </c>
      <c r="C9" s="80" t="n">
        <v>46026</v>
      </c>
      <c r="D9" s="79" t="s">
        <v>2317</v>
      </c>
      <c r="E9" s="79" t="s">
        <v>2318</v>
      </c>
    </row>
    <row r="10" customFormat="false" ht="15" hidden="false" customHeight="true" outlineLevel="0" collapsed="false">
      <c r="A10" s="9" t="s">
        <v>2316</v>
      </c>
      <c r="B10" s="76" t="n">
        <v>46113</v>
      </c>
      <c r="C10" s="76" t="n">
        <v>46117</v>
      </c>
      <c r="D10" s="9" t="s">
        <v>2319</v>
      </c>
      <c r="E10" s="9" t="s">
        <v>2320</v>
      </c>
    </row>
    <row r="11" customFormat="false" ht="15" hidden="false" customHeight="true" outlineLevel="0" collapsed="false">
      <c r="A11" s="81"/>
      <c r="B11" s="82"/>
      <c r="C11" s="82"/>
      <c r="D11" s="81"/>
      <c r="E11" s="81"/>
    </row>
    <row r="12" customFormat="false" ht="15" hidden="false" customHeight="true" outlineLevel="0" collapsed="false">
      <c r="A12" s="81"/>
      <c r="B12" s="82"/>
      <c r="C12" s="82"/>
      <c r="D12" s="81"/>
      <c r="E12" s="81"/>
    </row>
    <row r="13" customFormat="false" ht="15" hidden="false" customHeight="true" outlineLevel="0" collapsed="false">
      <c r="A13" s="81"/>
      <c r="B13" s="82"/>
      <c r="C13" s="82"/>
      <c r="D13" s="81"/>
      <c r="E13" s="81"/>
    </row>
    <row r="14" customFormat="false" ht="15" hidden="false" customHeight="true" outlineLevel="0" collapsed="false">
      <c r="A14" s="81"/>
      <c r="B14" s="82"/>
      <c r="C14" s="82"/>
      <c r="D14" s="81"/>
      <c r="E14" s="81"/>
    </row>
    <row r="15" customFormat="false" ht="15" hidden="false" customHeight="true" outlineLevel="0" collapsed="false">
      <c r="A15" s="81"/>
      <c r="B15" s="82"/>
      <c r="C15" s="82"/>
      <c r="D15" s="81"/>
      <c r="E15" s="81"/>
    </row>
    <row r="16" customFormat="false" ht="15" hidden="false" customHeight="true" outlineLevel="0" collapsed="false">
      <c r="A16" s="81"/>
      <c r="B16" s="82"/>
      <c r="C16" s="82"/>
      <c r="D16" s="81"/>
      <c r="E16" s="81"/>
    </row>
    <row r="17" customFormat="false" ht="15" hidden="false" customHeight="true" outlineLevel="0" collapsed="false">
      <c r="A17" s="81"/>
      <c r="B17" s="82"/>
      <c r="C17" s="82"/>
      <c r="D17" s="81"/>
      <c r="E17" s="81"/>
    </row>
    <row r="18" customFormat="false" ht="15" hidden="false" customHeight="true" outlineLevel="0" collapsed="false">
      <c r="A18" s="81"/>
      <c r="B18" s="82"/>
      <c r="C18" s="82"/>
      <c r="D18" s="81"/>
      <c r="E18" s="81"/>
    </row>
    <row r="19" customFormat="false" ht="15" hidden="false" customHeight="true" outlineLevel="0" collapsed="false">
      <c r="A19" s="81"/>
      <c r="B19" s="82"/>
      <c r="C19" s="82"/>
      <c r="D19" s="81"/>
      <c r="E19" s="81"/>
    </row>
    <row r="20" customFormat="false" ht="15" hidden="false" customHeight="true" outlineLevel="0" collapsed="false">
      <c r="A20" s="81"/>
      <c r="B20" s="82"/>
      <c r="C20" s="82"/>
      <c r="D20" s="81"/>
      <c r="E20" s="81"/>
    </row>
    <row r="21" customFormat="false" ht="15" hidden="false" customHeight="true" outlineLevel="0" collapsed="false">
      <c r="B21" s="43"/>
      <c r="C21" s="43"/>
    </row>
    <row r="22" customFormat="false" ht="15" hidden="false" customHeight="true" outlineLevel="0" collapsed="false">
      <c r="B22" s="43"/>
      <c r="C22" s="43"/>
    </row>
    <row r="23" customFormat="false" ht="15" hidden="false" customHeight="true" outlineLevel="0" collapsed="false">
      <c r="B23" s="43"/>
      <c r="C23" s="43"/>
    </row>
    <row r="24" customFormat="false" ht="15" hidden="false" customHeight="true" outlineLevel="0" collapsed="false">
      <c r="B24" s="43"/>
      <c r="C24" s="43"/>
    </row>
    <row r="25" customFormat="false" ht="15" hidden="false" customHeight="true" outlineLevel="0" collapsed="false">
      <c r="B25" s="43"/>
      <c r="C25" s="43"/>
    </row>
    <row r="26" customFormat="false" ht="15" hidden="false" customHeight="true" outlineLevel="0" collapsed="false">
      <c r="B26" s="43"/>
      <c r="C26" s="43"/>
    </row>
    <row r="27" customFormat="false" ht="15" hidden="false" customHeight="true" outlineLevel="0" collapsed="false">
      <c r="B27" s="43"/>
      <c r="C27" s="43"/>
    </row>
    <row r="28" customFormat="false" ht="15" hidden="false" customHeight="true" outlineLevel="0" collapsed="false">
      <c r="B28" s="43"/>
      <c r="C28" s="43"/>
    </row>
    <row r="29" customFormat="false" ht="15" hidden="false" customHeight="true" outlineLevel="0" collapsed="false">
      <c r="B29" s="43"/>
      <c r="C29" s="43"/>
    </row>
    <row r="30" customFormat="false" ht="15" hidden="false" customHeight="true" outlineLevel="0" collapsed="false">
      <c r="B30" s="43"/>
      <c r="C30" s="43"/>
    </row>
    <row r="31" customFormat="false" ht="15" hidden="false" customHeight="true" outlineLevel="0" collapsed="false">
      <c r="B31" s="43"/>
      <c r="C31" s="43"/>
    </row>
    <row r="32" customFormat="false" ht="15" hidden="false" customHeight="true" outlineLevel="0" collapsed="false">
      <c r="B32" s="43"/>
      <c r="C32" s="43"/>
    </row>
    <row r="33" customFormat="false" ht="15" hidden="false" customHeight="true" outlineLevel="0" collapsed="false">
      <c r="B33" s="43"/>
      <c r="C33" s="43"/>
    </row>
    <row r="34" customFormat="false" ht="15" hidden="false" customHeight="true" outlineLevel="0" collapsed="false">
      <c r="B34" s="43"/>
      <c r="C34" s="43"/>
    </row>
    <row r="35" customFormat="false" ht="15" hidden="false" customHeight="true" outlineLevel="0" collapsed="false">
      <c r="B35" s="43"/>
      <c r="C35" s="43"/>
    </row>
    <row r="36" customFormat="false" ht="15" hidden="false" customHeight="true" outlineLevel="0" collapsed="false">
      <c r="B36" s="43"/>
      <c r="C36" s="43"/>
    </row>
    <row r="37" customFormat="false" ht="15" hidden="false" customHeight="true" outlineLevel="0" collapsed="false">
      <c r="B37" s="43"/>
      <c r="C37" s="43"/>
    </row>
    <row r="38" customFormat="false" ht="15" hidden="false" customHeight="true" outlineLevel="0" collapsed="false">
      <c r="B38" s="43"/>
      <c r="C38" s="43"/>
    </row>
    <row r="39" customFormat="false" ht="15" hidden="false" customHeight="true" outlineLevel="0" collapsed="false">
      <c r="B39" s="43"/>
      <c r="C39" s="43"/>
    </row>
    <row r="40" customFormat="false" ht="15" hidden="false" customHeight="true" outlineLevel="0" collapsed="false">
      <c r="B40" s="43"/>
      <c r="C40" s="43"/>
    </row>
    <row r="41" customFormat="false" ht="15" hidden="false" customHeight="true" outlineLevel="0" collapsed="false">
      <c r="B41" s="43"/>
      <c r="C41" s="43"/>
    </row>
    <row r="42" customFormat="false" ht="15" hidden="false" customHeight="true" outlineLevel="0" collapsed="false">
      <c r="B42" s="43"/>
      <c r="C42" s="43"/>
    </row>
    <row r="43" customFormat="false" ht="15" hidden="false" customHeight="true" outlineLevel="0" collapsed="false">
      <c r="B43" s="43"/>
      <c r="C43" s="43"/>
    </row>
    <row r="44" customFormat="false" ht="15" hidden="false" customHeight="true" outlineLevel="0" collapsed="false">
      <c r="B44" s="43"/>
      <c r="C44" s="43"/>
    </row>
    <row r="45" customFormat="false" ht="15" hidden="false" customHeight="true" outlineLevel="0" collapsed="false">
      <c r="B45" s="43"/>
      <c r="C45" s="43"/>
    </row>
    <row r="46" customFormat="false" ht="15" hidden="false" customHeight="true" outlineLevel="0" collapsed="false">
      <c r="B46" s="43"/>
      <c r="C46" s="43"/>
    </row>
    <row r="47" customFormat="false" ht="15" hidden="false" customHeight="true" outlineLevel="0" collapsed="false">
      <c r="B47" s="43"/>
      <c r="C47" s="43"/>
    </row>
    <row r="48" customFormat="false" ht="15" hidden="false" customHeight="true" outlineLevel="0" collapsed="false">
      <c r="B48" s="43"/>
      <c r="C48" s="43"/>
    </row>
    <row r="49" customFormat="false" ht="15" hidden="false" customHeight="true" outlineLevel="0" collapsed="false">
      <c r="B49" s="43"/>
      <c r="C49" s="43"/>
    </row>
    <row r="50" customFormat="false" ht="15" hidden="false" customHeight="true" outlineLevel="0" collapsed="false">
      <c r="B50" s="43"/>
      <c r="C50" s="43"/>
    </row>
    <row r="51" customFormat="false" ht="15" hidden="false" customHeight="true" outlineLevel="0" collapsed="false">
      <c r="B51" s="43"/>
      <c r="C51" s="43"/>
    </row>
    <row r="52" customFormat="false" ht="15" hidden="false" customHeight="true" outlineLevel="0" collapsed="false">
      <c r="B52" s="43"/>
      <c r="C52" s="43"/>
    </row>
    <row r="53" customFormat="false" ht="15" hidden="false" customHeight="true" outlineLevel="0" collapsed="false">
      <c r="B53" s="43"/>
      <c r="C53" s="43"/>
    </row>
    <row r="54" customFormat="false" ht="15" hidden="false" customHeight="true" outlineLevel="0" collapsed="false">
      <c r="B54" s="43"/>
      <c r="C54" s="43"/>
    </row>
    <row r="55" customFormat="false" ht="15" hidden="false" customHeight="true" outlineLevel="0" collapsed="false">
      <c r="B55" s="43"/>
      <c r="C55" s="43"/>
    </row>
    <row r="56" customFormat="false" ht="15" hidden="false" customHeight="true" outlineLevel="0" collapsed="false">
      <c r="B56" s="43"/>
      <c r="C56" s="43"/>
    </row>
    <row r="57" customFormat="false" ht="15" hidden="false" customHeight="true" outlineLevel="0" collapsed="false">
      <c r="B57" s="43"/>
      <c r="C57" s="43"/>
    </row>
    <row r="58" customFormat="false" ht="15" hidden="false" customHeight="true" outlineLevel="0" collapsed="false">
      <c r="B58" s="43"/>
      <c r="C58" s="43"/>
    </row>
    <row r="59" customFormat="false" ht="15" hidden="false" customHeight="true" outlineLevel="0" collapsed="false">
      <c r="B59" s="43"/>
      <c r="C59" s="43"/>
    </row>
    <row r="60" customFormat="false" ht="15" hidden="false" customHeight="true" outlineLevel="0" collapsed="false">
      <c r="B60" s="43"/>
      <c r="C60" s="43"/>
    </row>
    <row r="61" customFormat="false" ht="15" hidden="false" customHeight="true" outlineLevel="0" collapsed="false">
      <c r="B61" s="43"/>
      <c r="C61" s="43"/>
    </row>
    <row r="62" customFormat="false" ht="15" hidden="false" customHeight="true" outlineLevel="0" collapsed="false">
      <c r="B62" s="43"/>
      <c r="C62" s="43"/>
    </row>
    <row r="63" customFormat="false" ht="15" hidden="false" customHeight="true" outlineLevel="0" collapsed="false">
      <c r="B63" s="43"/>
      <c r="C63" s="43"/>
    </row>
    <row r="64" customFormat="false" ht="15" hidden="false" customHeight="true" outlineLevel="0" collapsed="false">
      <c r="B64" s="43"/>
      <c r="C64" s="43"/>
    </row>
    <row r="65" customFormat="false" ht="15" hidden="false" customHeight="true" outlineLevel="0" collapsed="false">
      <c r="B65" s="43"/>
      <c r="C65" s="43"/>
    </row>
    <row r="66" customFormat="false" ht="15" hidden="false" customHeight="true" outlineLevel="0" collapsed="false">
      <c r="B66" s="43"/>
      <c r="C66" s="43"/>
    </row>
    <row r="67" customFormat="false" ht="15" hidden="false" customHeight="true" outlineLevel="0" collapsed="false">
      <c r="B67" s="43"/>
      <c r="C67" s="43"/>
    </row>
    <row r="68" customFormat="false" ht="15" hidden="false" customHeight="true" outlineLevel="0" collapsed="false">
      <c r="B68" s="43"/>
      <c r="C68" s="43"/>
    </row>
    <row r="69" customFormat="false" ht="15" hidden="false" customHeight="true" outlineLevel="0" collapsed="false">
      <c r="B69" s="43"/>
      <c r="C69" s="43"/>
    </row>
    <row r="70" customFormat="false" ht="15" hidden="false" customHeight="true" outlineLevel="0" collapsed="false">
      <c r="B70" s="43"/>
      <c r="C70" s="43"/>
    </row>
    <row r="71" customFormat="false" ht="15" hidden="false" customHeight="true" outlineLevel="0" collapsed="false">
      <c r="B71" s="43"/>
      <c r="C71" s="43"/>
    </row>
    <row r="72" customFormat="false" ht="15" hidden="false" customHeight="true" outlineLevel="0" collapsed="false">
      <c r="B72" s="43"/>
      <c r="C72" s="43"/>
    </row>
    <row r="73" customFormat="false" ht="15" hidden="false" customHeight="true" outlineLevel="0" collapsed="false">
      <c r="B73" s="43"/>
      <c r="C73" s="43"/>
    </row>
    <row r="74" customFormat="false" ht="15" hidden="false" customHeight="true" outlineLevel="0" collapsed="false">
      <c r="B74" s="43"/>
      <c r="C74" s="43"/>
    </row>
    <row r="75" customFormat="false" ht="15" hidden="false" customHeight="true" outlineLevel="0" collapsed="false">
      <c r="B75" s="43"/>
      <c r="C75" s="43"/>
    </row>
    <row r="76" customFormat="false" ht="15" hidden="false" customHeight="true" outlineLevel="0" collapsed="false">
      <c r="B76" s="43"/>
      <c r="C76" s="43"/>
    </row>
    <row r="77" customFormat="false" ht="15" hidden="false" customHeight="true" outlineLevel="0" collapsed="false">
      <c r="B77" s="43"/>
      <c r="C77" s="43"/>
    </row>
    <row r="78" customFormat="false" ht="15" hidden="false" customHeight="true" outlineLevel="0" collapsed="false">
      <c r="B78" s="43"/>
      <c r="C78" s="43"/>
    </row>
    <row r="79" customFormat="false" ht="15" hidden="false" customHeight="true" outlineLevel="0" collapsed="false">
      <c r="B79" s="43"/>
      <c r="C79" s="43"/>
    </row>
    <row r="80" customFormat="false" ht="15" hidden="false" customHeight="true" outlineLevel="0" collapsed="false">
      <c r="B80" s="43"/>
      <c r="C80" s="43"/>
    </row>
    <row r="81" customFormat="false" ht="15" hidden="false" customHeight="true" outlineLevel="0" collapsed="false">
      <c r="B81" s="43"/>
      <c r="C81" s="43"/>
    </row>
    <row r="82" customFormat="false" ht="15" hidden="false" customHeight="true" outlineLevel="0" collapsed="false">
      <c r="B82" s="43"/>
      <c r="C82" s="43"/>
    </row>
    <row r="83" customFormat="false" ht="15" hidden="false" customHeight="true" outlineLevel="0" collapsed="false">
      <c r="B83" s="43"/>
      <c r="C83" s="43"/>
    </row>
    <row r="84" customFormat="false" ht="15" hidden="false" customHeight="true" outlineLevel="0" collapsed="false">
      <c r="B84" s="43"/>
      <c r="C84" s="43"/>
    </row>
    <row r="85" customFormat="false" ht="15" hidden="false" customHeight="true" outlineLevel="0" collapsed="false">
      <c r="B85" s="43"/>
      <c r="C85" s="43"/>
    </row>
    <row r="86" customFormat="false" ht="15" hidden="false" customHeight="true" outlineLevel="0" collapsed="false">
      <c r="B86" s="43"/>
      <c r="C86" s="43"/>
    </row>
    <row r="87" customFormat="false" ht="15" hidden="false" customHeight="true" outlineLevel="0" collapsed="false">
      <c r="B87" s="43"/>
      <c r="C87" s="43"/>
    </row>
    <row r="88" customFormat="false" ht="15" hidden="false" customHeight="true" outlineLevel="0" collapsed="false">
      <c r="B88" s="43"/>
      <c r="C88" s="43"/>
    </row>
    <row r="89" customFormat="false" ht="15" hidden="false" customHeight="true" outlineLevel="0" collapsed="false">
      <c r="B89" s="43"/>
      <c r="C89" s="43"/>
    </row>
    <row r="90" customFormat="false" ht="15" hidden="false" customHeight="true" outlineLevel="0" collapsed="false">
      <c r="B90" s="43"/>
      <c r="C90" s="43"/>
    </row>
    <row r="91" customFormat="false" ht="15" hidden="false" customHeight="true" outlineLevel="0" collapsed="false">
      <c r="B91" s="43"/>
      <c r="C91" s="43"/>
    </row>
    <row r="92" customFormat="false" ht="15" hidden="false" customHeight="true" outlineLevel="0" collapsed="false">
      <c r="B92" s="43"/>
      <c r="C92" s="43"/>
    </row>
    <row r="93" customFormat="false" ht="15" hidden="false" customHeight="true" outlineLevel="0" collapsed="false">
      <c r="B93" s="43"/>
      <c r="C93" s="43"/>
    </row>
    <row r="94" customFormat="false" ht="15" hidden="false" customHeight="true" outlineLevel="0" collapsed="false">
      <c r="B94" s="43"/>
      <c r="C94" s="43"/>
    </row>
    <row r="95" customFormat="false" ht="15" hidden="false" customHeight="true" outlineLevel="0" collapsed="false">
      <c r="B95" s="43"/>
      <c r="C95" s="43"/>
    </row>
    <row r="96" customFormat="false" ht="15" hidden="false" customHeight="true" outlineLevel="0" collapsed="false">
      <c r="B96" s="43"/>
      <c r="C96" s="43"/>
    </row>
    <row r="97" customFormat="false" ht="15" hidden="false" customHeight="true" outlineLevel="0" collapsed="false">
      <c r="B97" s="43"/>
      <c r="C97" s="43"/>
    </row>
    <row r="98" customFormat="false" ht="15" hidden="false" customHeight="true" outlineLevel="0" collapsed="false">
      <c r="B98" s="43"/>
      <c r="C98" s="43"/>
    </row>
    <row r="99" customFormat="false" ht="15" hidden="false" customHeight="true" outlineLevel="0" collapsed="false">
      <c r="B99" s="43"/>
      <c r="C99" s="43"/>
    </row>
    <row r="100" customFormat="false" ht="15" hidden="false" customHeight="true" outlineLevel="0" collapsed="false">
      <c r="B100" s="43"/>
      <c r="C100" s="43"/>
    </row>
    <row r="101" customFormat="false" ht="15" hidden="false" customHeight="true" outlineLevel="0" collapsed="false">
      <c r="B101" s="43"/>
      <c r="C101" s="43"/>
    </row>
    <row r="102" customFormat="false" ht="15" hidden="false" customHeight="true" outlineLevel="0" collapsed="false">
      <c r="B102" s="43"/>
      <c r="C102" s="43"/>
    </row>
    <row r="103" customFormat="false" ht="15" hidden="false" customHeight="true" outlineLevel="0" collapsed="false">
      <c r="B103" s="43"/>
      <c r="C103" s="43"/>
    </row>
    <row r="104" customFormat="false" ht="15" hidden="false" customHeight="true" outlineLevel="0" collapsed="false">
      <c r="B104" s="43"/>
      <c r="C104" s="43"/>
    </row>
    <row r="105" customFormat="false" ht="15" hidden="false" customHeight="true" outlineLevel="0" collapsed="false">
      <c r="B105" s="43"/>
      <c r="C105" s="43"/>
    </row>
    <row r="106" customFormat="false" ht="15" hidden="false" customHeight="true" outlineLevel="0" collapsed="false">
      <c r="B106" s="43"/>
      <c r="C106" s="43"/>
    </row>
    <row r="107" customFormat="false" ht="15" hidden="false" customHeight="true" outlineLevel="0" collapsed="false">
      <c r="B107" s="43"/>
      <c r="C107" s="43"/>
    </row>
    <row r="108" customFormat="false" ht="15" hidden="false" customHeight="true" outlineLevel="0" collapsed="false">
      <c r="B108" s="43"/>
      <c r="C108" s="43"/>
    </row>
    <row r="109" customFormat="false" ht="15" hidden="false" customHeight="true" outlineLevel="0" collapsed="false">
      <c r="B109" s="43"/>
      <c r="C109" s="43"/>
    </row>
    <row r="110" customFormat="false" ht="15" hidden="false" customHeight="true" outlineLevel="0" collapsed="false">
      <c r="B110" s="43"/>
      <c r="C110" s="43"/>
    </row>
    <row r="111" customFormat="false" ht="15" hidden="false" customHeight="true" outlineLevel="0" collapsed="false">
      <c r="B111" s="43"/>
      <c r="C111" s="43"/>
    </row>
    <row r="112" customFormat="false" ht="15" hidden="false" customHeight="true" outlineLevel="0" collapsed="false">
      <c r="B112" s="43"/>
      <c r="C112" s="43"/>
    </row>
    <row r="113" customFormat="false" ht="15" hidden="false" customHeight="true" outlineLevel="0" collapsed="false">
      <c r="B113" s="43"/>
      <c r="C113" s="43"/>
    </row>
    <row r="114" customFormat="false" ht="15" hidden="false" customHeight="true" outlineLevel="0" collapsed="false">
      <c r="B114" s="43"/>
      <c r="C114" s="43"/>
    </row>
    <row r="115" customFormat="false" ht="15" hidden="false" customHeight="true" outlineLevel="0" collapsed="false">
      <c r="B115" s="43"/>
      <c r="C115" s="43"/>
    </row>
    <row r="116" customFormat="false" ht="15" hidden="false" customHeight="true" outlineLevel="0" collapsed="false">
      <c r="B116" s="43"/>
      <c r="C116" s="43"/>
    </row>
    <row r="117" customFormat="false" ht="15" hidden="false" customHeight="true" outlineLevel="0" collapsed="false">
      <c r="B117" s="43"/>
      <c r="C117" s="43"/>
    </row>
    <row r="118" customFormat="false" ht="15" hidden="false" customHeight="true" outlineLevel="0" collapsed="false">
      <c r="B118" s="43"/>
      <c r="C118" s="43"/>
    </row>
    <row r="119" customFormat="false" ht="15" hidden="false" customHeight="true" outlineLevel="0" collapsed="false">
      <c r="B119" s="43"/>
      <c r="C119" s="43"/>
    </row>
    <row r="120" customFormat="false" ht="15" hidden="false" customHeight="true" outlineLevel="0" collapsed="false">
      <c r="B120" s="43"/>
      <c r="C120" s="43"/>
    </row>
    <row r="121" customFormat="false" ht="15" hidden="false" customHeight="true" outlineLevel="0" collapsed="false">
      <c r="B121" s="43"/>
      <c r="C121" s="43"/>
    </row>
    <row r="122" customFormat="false" ht="15" hidden="false" customHeight="true" outlineLevel="0" collapsed="false">
      <c r="B122" s="43"/>
      <c r="C122" s="43"/>
    </row>
    <row r="123" customFormat="false" ht="15" hidden="false" customHeight="true" outlineLevel="0" collapsed="false">
      <c r="B123" s="43"/>
      <c r="C123" s="43"/>
    </row>
    <row r="124" customFormat="false" ht="15" hidden="false" customHeight="true" outlineLevel="0" collapsed="false">
      <c r="B124" s="43"/>
      <c r="C124" s="43"/>
    </row>
    <row r="125" customFormat="false" ht="15" hidden="false" customHeight="true" outlineLevel="0" collapsed="false">
      <c r="B125" s="43"/>
      <c r="C125" s="43"/>
    </row>
    <row r="126" customFormat="false" ht="15" hidden="false" customHeight="true" outlineLevel="0" collapsed="false">
      <c r="B126" s="43"/>
      <c r="C126" s="43"/>
    </row>
    <row r="127" customFormat="false" ht="15" hidden="false" customHeight="true" outlineLevel="0" collapsed="false">
      <c r="B127" s="43"/>
      <c r="C127" s="43"/>
    </row>
    <row r="128" customFormat="false" ht="15" hidden="false" customHeight="true" outlineLevel="0" collapsed="false">
      <c r="B128" s="43"/>
      <c r="C128" s="43"/>
    </row>
    <row r="129" customFormat="false" ht="15" hidden="false" customHeight="true" outlineLevel="0" collapsed="false">
      <c r="B129" s="43"/>
      <c r="C129" s="43"/>
    </row>
    <row r="130" customFormat="false" ht="15" hidden="false" customHeight="true" outlineLevel="0" collapsed="false">
      <c r="B130" s="43"/>
      <c r="C130" s="43"/>
    </row>
    <row r="131" customFormat="false" ht="15" hidden="false" customHeight="true" outlineLevel="0" collapsed="false">
      <c r="B131" s="43"/>
      <c r="C131" s="43"/>
    </row>
    <row r="132" customFormat="false" ht="15" hidden="false" customHeight="true" outlineLevel="0" collapsed="false">
      <c r="B132" s="43"/>
      <c r="C132" s="43"/>
    </row>
    <row r="133" customFormat="false" ht="15" hidden="false" customHeight="true" outlineLevel="0" collapsed="false">
      <c r="B133" s="43"/>
      <c r="C133" s="43"/>
    </row>
    <row r="134" customFormat="false" ht="15" hidden="false" customHeight="true" outlineLevel="0" collapsed="false">
      <c r="B134" s="43"/>
      <c r="C134" s="43"/>
    </row>
    <row r="135" customFormat="false" ht="15" hidden="false" customHeight="true" outlineLevel="0" collapsed="false">
      <c r="B135" s="43"/>
      <c r="C135" s="43"/>
    </row>
    <row r="136" customFormat="false" ht="15" hidden="false" customHeight="true" outlineLevel="0" collapsed="false">
      <c r="B136" s="43"/>
      <c r="C136" s="43"/>
    </row>
    <row r="137" customFormat="false" ht="15" hidden="false" customHeight="true" outlineLevel="0" collapsed="false">
      <c r="B137" s="43"/>
      <c r="C137" s="43"/>
    </row>
    <row r="138" customFormat="false" ht="15" hidden="false" customHeight="true" outlineLevel="0" collapsed="false">
      <c r="B138" s="43"/>
      <c r="C138" s="43"/>
    </row>
    <row r="139" customFormat="false" ht="15" hidden="false" customHeight="true" outlineLevel="0" collapsed="false">
      <c r="B139" s="43"/>
      <c r="C139" s="43"/>
    </row>
    <row r="140" customFormat="false" ht="15" hidden="false" customHeight="true" outlineLevel="0" collapsed="false">
      <c r="B140" s="43"/>
      <c r="C140" s="43"/>
    </row>
    <row r="141" customFormat="false" ht="15" hidden="false" customHeight="true" outlineLevel="0" collapsed="false">
      <c r="B141" s="43"/>
      <c r="C141" s="43"/>
    </row>
    <row r="142" customFormat="false" ht="15" hidden="false" customHeight="true" outlineLevel="0" collapsed="false">
      <c r="B142" s="43"/>
      <c r="C142" s="43"/>
    </row>
    <row r="143" customFormat="false" ht="15" hidden="false" customHeight="true" outlineLevel="0" collapsed="false">
      <c r="B143" s="43"/>
      <c r="C143" s="43"/>
    </row>
    <row r="144" customFormat="false" ht="15" hidden="false" customHeight="true" outlineLevel="0" collapsed="false">
      <c r="B144" s="43"/>
      <c r="C144" s="43"/>
    </row>
    <row r="145" customFormat="false" ht="15" hidden="false" customHeight="true" outlineLevel="0" collapsed="false">
      <c r="B145" s="43"/>
      <c r="C145" s="43"/>
    </row>
    <row r="146" customFormat="false" ht="15" hidden="false" customHeight="true" outlineLevel="0" collapsed="false">
      <c r="B146" s="43"/>
      <c r="C146" s="43"/>
    </row>
    <row r="147" customFormat="false" ht="15" hidden="false" customHeight="true" outlineLevel="0" collapsed="false">
      <c r="B147" s="43"/>
      <c r="C147" s="43"/>
    </row>
    <row r="148" customFormat="false" ht="15" hidden="false" customHeight="true" outlineLevel="0" collapsed="false">
      <c r="B148" s="43"/>
      <c r="C148" s="43"/>
    </row>
    <row r="149" customFormat="false" ht="15" hidden="false" customHeight="true" outlineLevel="0" collapsed="false">
      <c r="B149" s="43"/>
      <c r="C149" s="43"/>
    </row>
    <row r="150" customFormat="false" ht="15" hidden="false" customHeight="true" outlineLevel="0" collapsed="false">
      <c r="B150" s="43"/>
      <c r="C150" s="43"/>
    </row>
    <row r="151" customFormat="false" ht="15" hidden="false" customHeight="true" outlineLevel="0" collapsed="false">
      <c r="B151" s="43"/>
      <c r="C151" s="43"/>
    </row>
    <row r="152" customFormat="false" ht="15" hidden="false" customHeight="true" outlineLevel="0" collapsed="false">
      <c r="B152" s="43"/>
      <c r="C152" s="43"/>
    </row>
    <row r="153" customFormat="false" ht="15" hidden="false" customHeight="true" outlineLevel="0" collapsed="false">
      <c r="B153" s="43"/>
      <c r="C153" s="43"/>
    </row>
    <row r="154" customFormat="false" ht="15" hidden="false" customHeight="true" outlineLevel="0" collapsed="false">
      <c r="B154" s="43"/>
      <c r="C154" s="43"/>
    </row>
    <row r="155" customFormat="false" ht="15" hidden="false" customHeight="true" outlineLevel="0" collapsed="false">
      <c r="B155" s="43"/>
      <c r="C155" s="43"/>
    </row>
    <row r="156" customFormat="false" ht="15" hidden="false" customHeight="true" outlineLevel="0" collapsed="false">
      <c r="B156" s="43"/>
      <c r="C156" s="43"/>
    </row>
    <row r="157" customFormat="false" ht="15" hidden="false" customHeight="true" outlineLevel="0" collapsed="false">
      <c r="B157" s="43"/>
      <c r="C157" s="43"/>
    </row>
    <row r="158" customFormat="false" ht="15" hidden="false" customHeight="true" outlineLevel="0" collapsed="false">
      <c r="B158" s="43"/>
      <c r="C158" s="43"/>
    </row>
    <row r="159" customFormat="false" ht="15" hidden="false" customHeight="true" outlineLevel="0" collapsed="false">
      <c r="B159" s="43"/>
      <c r="C159" s="43"/>
    </row>
    <row r="160" customFormat="false" ht="15" hidden="false" customHeight="true" outlineLevel="0" collapsed="false">
      <c r="B160" s="43"/>
      <c r="C160" s="43"/>
    </row>
    <row r="161" customFormat="false" ht="15" hidden="false" customHeight="true" outlineLevel="0" collapsed="false">
      <c r="B161" s="43"/>
      <c r="C161" s="43"/>
    </row>
    <row r="162" customFormat="false" ht="15" hidden="false" customHeight="true" outlineLevel="0" collapsed="false">
      <c r="B162" s="43"/>
      <c r="C162" s="43"/>
    </row>
    <row r="163" customFormat="false" ht="15" hidden="false" customHeight="true" outlineLevel="0" collapsed="false">
      <c r="B163" s="43"/>
      <c r="C163" s="43"/>
    </row>
    <row r="164" customFormat="false" ht="15" hidden="false" customHeight="true" outlineLevel="0" collapsed="false">
      <c r="B164" s="43"/>
      <c r="C164" s="43"/>
    </row>
    <row r="165" customFormat="false" ht="15" hidden="false" customHeight="true" outlineLevel="0" collapsed="false">
      <c r="B165" s="43"/>
      <c r="C165" s="43"/>
    </row>
    <row r="166" customFormat="false" ht="15" hidden="false" customHeight="true" outlineLevel="0" collapsed="false">
      <c r="B166" s="43"/>
      <c r="C166" s="43"/>
    </row>
    <row r="167" customFormat="false" ht="15" hidden="false" customHeight="true" outlineLevel="0" collapsed="false">
      <c r="B167" s="43"/>
      <c r="C167" s="43"/>
    </row>
    <row r="168" customFormat="false" ht="15" hidden="false" customHeight="true" outlineLevel="0" collapsed="false">
      <c r="B168" s="43"/>
      <c r="C168" s="43"/>
    </row>
    <row r="169" customFormat="false" ht="15" hidden="false" customHeight="true" outlineLevel="0" collapsed="false">
      <c r="B169" s="43"/>
      <c r="C169" s="43"/>
    </row>
    <row r="170" customFormat="false" ht="15" hidden="false" customHeight="true" outlineLevel="0" collapsed="false">
      <c r="B170" s="43"/>
      <c r="C170" s="43"/>
    </row>
    <row r="171" customFormat="false" ht="15" hidden="false" customHeight="true" outlineLevel="0" collapsed="false">
      <c r="B171" s="43"/>
      <c r="C171" s="43"/>
    </row>
    <row r="172" customFormat="false" ht="15" hidden="false" customHeight="true" outlineLevel="0" collapsed="false">
      <c r="B172" s="43"/>
      <c r="C172" s="43"/>
    </row>
    <row r="173" customFormat="false" ht="15" hidden="false" customHeight="true" outlineLevel="0" collapsed="false">
      <c r="B173" s="43"/>
      <c r="C173" s="43"/>
    </row>
    <row r="174" customFormat="false" ht="15" hidden="false" customHeight="true" outlineLevel="0" collapsed="false">
      <c r="B174" s="43"/>
      <c r="C174" s="43"/>
    </row>
    <row r="175" customFormat="false" ht="15" hidden="false" customHeight="true" outlineLevel="0" collapsed="false">
      <c r="B175" s="43"/>
      <c r="C175" s="43"/>
    </row>
    <row r="176" customFormat="false" ht="15" hidden="false" customHeight="true" outlineLevel="0" collapsed="false">
      <c r="B176" s="43"/>
      <c r="C176" s="43"/>
    </row>
    <row r="177" customFormat="false" ht="15" hidden="false" customHeight="true" outlineLevel="0" collapsed="false">
      <c r="B177" s="43"/>
      <c r="C177" s="43"/>
    </row>
    <row r="178" customFormat="false" ht="15" hidden="false" customHeight="true" outlineLevel="0" collapsed="false">
      <c r="B178" s="43"/>
      <c r="C178" s="43"/>
    </row>
    <row r="179" customFormat="false" ht="15" hidden="false" customHeight="true" outlineLevel="0" collapsed="false">
      <c r="B179" s="43"/>
      <c r="C179" s="43"/>
    </row>
    <row r="180" customFormat="false" ht="15" hidden="false" customHeight="true" outlineLevel="0" collapsed="false">
      <c r="B180" s="43"/>
      <c r="C180" s="43"/>
    </row>
    <row r="181" customFormat="false" ht="15" hidden="false" customHeight="true" outlineLevel="0" collapsed="false">
      <c r="B181" s="43"/>
      <c r="C181" s="43"/>
    </row>
    <row r="182" customFormat="false" ht="15" hidden="false" customHeight="true" outlineLevel="0" collapsed="false">
      <c r="B182" s="43"/>
      <c r="C182" s="43"/>
    </row>
    <row r="183" customFormat="false" ht="15" hidden="false" customHeight="true" outlineLevel="0" collapsed="false">
      <c r="B183" s="43"/>
      <c r="C183" s="43"/>
    </row>
    <row r="184" customFormat="false" ht="15" hidden="false" customHeight="true" outlineLevel="0" collapsed="false">
      <c r="B184" s="43"/>
      <c r="C184" s="43"/>
    </row>
    <row r="185" customFormat="false" ht="15" hidden="false" customHeight="true" outlineLevel="0" collapsed="false">
      <c r="B185" s="43"/>
      <c r="C185" s="43"/>
    </row>
    <row r="186" customFormat="false" ht="15" hidden="false" customHeight="true" outlineLevel="0" collapsed="false">
      <c r="B186" s="43"/>
      <c r="C186" s="43"/>
    </row>
    <row r="187" customFormat="false" ht="15" hidden="false" customHeight="true" outlineLevel="0" collapsed="false">
      <c r="B187" s="43"/>
      <c r="C187" s="43"/>
    </row>
    <row r="188" customFormat="false" ht="15" hidden="false" customHeight="true" outlineLevel="0" collapsed="false">
      <c r="B188" s="43"/>
      <c r="C188" s="43"/>
    </row>
    <row r="189" customFormat="false" ht="15" hidden="false" customHeight="true" outlineLevel="0" collapsed="false">
      <c r="B189" s="43"/>
      <c r="C189" s="43"/>
    </row>
    <row r="190" customFormat="false" ht="15" hidden="false" customHeight="true" outlineLevel="0" collapsed="false">
      <c r="B190" s="43"/>
      <c r="C190" s="43"/>
    </row>
    <row r="191" customFormat="false" ht="15" hidden="false" customHeight="true" outlineLevel="0" collapsed="false">
      <c r="B191" s="43"/>
      <c r="C191" s="43"/>
    </row>
    <row r="192" customFormat="false" ht="15" hidden="false" customHeight="true" outlineLevel="0" collapsed="false">
      <c r="B192" s="43"/>
      <c r="C192" s="43"/>
    </row>
    <row r="193" customFormat="false" ht="15" hidden="false" customHeight="true" outlineLevel="0" collapsed="false">
      <c r="B193" s="43"/>
      <c r="C193" s="43"/>
    </row>
    <row r="194" customFormat="false" ht="15" hidden="false" customHeight="true" outlineLevel="0" collapsed="false">
      <c r="B194" s="43"/>
      <c r="C194" s="43"/>
    </row>
    <row r="195" customFormat="false" ht="15" hidden="false" customHeight="true" outlineLevel="0" collapsed="false">
      <c r="B195" s="43"/>
      <c r="C195" s="43"/>
    </row>
    <row r="196" customFormat="false" ht="15" hidden="false" customHeight="true" outlineLevel="0" collapsed="false">
      <c r="B196" s="43"/>
      <c r="C196" s="43"/>
    </row>
    <row r="197" customFormat="false" ht="15" hidden="false" customHeight="true" outlineLevel="0" collapsed="false">
      <c r="B197" s="43"/>
      <c r="C197" s="43"/>
    </row>
    <row r="198" customFormat="false" ht="15" hidden="false" customHeight="true" outlineLevel="0" collapsed="false">
      <c r="B198" s="43"/>
      <c r="C198" s="43"/>
    </row>
    <row r="199" customFormat="false" ht="15" hidden="false" customHeight="true" outlineLevel="0" collapsed="false">
      <c r="B199" s="43"/>
      <c r="C199" s="43"/>
    </row>
    <row r="200" customFormat="false" ht="15" hidden="false" customHeight="true" outlineLevel="0" collapsed="false">
      <c r="B200" s="43"/>
      <c r="C200" s="43"/>
    </row>
    <row r="201" customFormat="false" ht="15" hidden="false" customHeight="true" outlineLevel="0" collapsed="false">
      <c r="B201" s="43"/>
      <c r="C201" s="43"/>
    </row>
    <row r="202" customFormat="false" ht="15" hidden="false" customHeight="true" outlineLevel="0" collapsed="false">
      <c r="B202" s="43"/>
      <c r="C202" s="43"/>
    </row>
    <row r="203" customFormat="false" ht="15" hidden="false" customHeight="true" outlineLevel="0" collapsed="false">
      <c r="B203" s="43"/>
      <c r="C203" s="43"/>
    </row>
    <row r="204" customFormat="false" ht="15" hidden="false" customHeight="true" outlineLevel="0" collapsed="false">
      <c r="B204" s="43"/>
      <c r="C204" s="43"/>
    </row>
    <row r="205" customFormat="false" ht="15" hidden="false" customHeight="true" outlineLevel="0" collapsed="false">
      <c r="B205" s="43"/>
      <c r="C205" s="43"/>
    </row>
    <row r="206" customFormat="false" ht="15" hidden="false" customHeight="true" outlineLevel="0" collapsed="false">
      <c r="B206" s="43"/>
      <c r="C206" s="43"/>
    </row>
    <row r="207" customFormat="false" ht="15" hidden="false" customHeight="true" outlineLevel="0" collapsed="false">
      <c r="B207" s="43"/>
      <c r="C207" s="43"/>
    </row>
    <row r="208" customFormat="false" ht="15" hidden="false" customHeight="true" outlineLevel="0" collapsed="false">
      <c r="B208" s="43"/>
      <c r="C208" s="43"/>
    </row>
    <row r="209" customFormat="false" ht="15" hidden="false" customHeight="true" outlineLevel="0" collapsed="false">
      <c r="B209" s="43"/>
      <c r="C209" s="43"/>
    </row>
    <row r="210" customFormat="false" ht="15" hidden="false" customHeight="true" outlineLevel="0" collapsed="false">
      <c r="B210" s="43"/>
      <c r="C210" s="43"/>
    </row>
    <row r="211" customFormat="false" ht="15" hidden="false" customHeight="true" outlineLevel="0" collapsed="false">
      <c r="B211" s="43"/>
      <c r="C211" s="43"/>
    </row>
    <row r="212" customFormat="false" ht="15" hidden="false" customHeight="true" outlineLevel="0" collapsed="false">
      <c r="B212" s="43"/>
      <c r="C212" s="43"/>
    </row>
    <row r="213" customFormat="false" ht="15" hidden="false" customHeight="true" outlineLevel="0" collapsed="false">
      <c r="B213" s="43"/>
      <c r="C213" s="43"/>
    </row>
    <row r="214" customFormat="false" ht="15" hidden="false" customHeight="true" outlineLevel="0" collapsed="false">
      <c r="B214" s="43"/>
      <c r="C214" s="43"/>
    </row>
    <row r="215" customFormat="false" ht="15" hidden="false" customHeight="true" outlineLevel="0" collapsed="false">
      <c r="B215" s="43"/>
      <c r="C215" s="43"/>
    </row>
    <row r="216" customFormat="false" ht="15" hidden="false" customHeight="true" outlineLevel="0" collapsed="false">
      <c r="B216" s="43"/>
      <c r="C216" s="43"/>
    </row>
    <row r="217" customFormat="false" ht="15" hidden="false" customHeight="true" outlineLevel="0" collapsed="false">
      <c r="B217" s="43"/>
      <c r="C217" s="43"/>
    </row>
    <row r="218" customFormat="false" ht="15" hidden="false" customHeight="true" outlineLevel="0" collapsed="false">
      <c r="B218" s="43"/>
      <c r="C218" s="43"/>
    </row>
    <row r="219" customFormat="false" ht="15" hidden="false" customHeight="true" outlineLevel="0" collapsed="false">
      <c r="B219" s="43"/>
      <c r="C219" s="43"/>
    </row>
    <row r="220" customFormat="false" ht="15" hidden="false" customHeight="true" outlineLevel="0" collapsed="false">
      <c r="B220" s="43"/>
      <c r="C220" s="43"/>
    </row>
    <row r="221" customFormat="false" ht="15" hidden="false" customHeight="true" outlineLevel="0" collapsed="false">
      <c r="B221" s="43"/>
      <c r="C221" s="43"/>
    </row>
    <row r="222" customFormat="false" ht="15" hidden="false" customHeight="true" outlineLevel="0" collapsed="false">
      <c r="B222" s="43"/>
      <c r="C222" s="43"/>
    </row>
    <row r="223" customFormat="false" ht="15" hidden="false" customHeight="true" outlineLevel="0" collapsed="false">
      <c r="B223" s="43"/>
      <c r="C223" s="43"/>
    </row>
    <row r="224" customFormat="false" ht="15" hidden="false" customHeight="true" outlineLevel="0" collapsed="false">
      <c r="B224" s="43"/>
      <c r="C224" s="43"/>
    </row>
    <row r="225" customFormat="false" ht="15" hidden="false" customHeight="true" outlineLevel="0" collapsed="false">
      <c r="B225" s="43"/>
      <c r="C225" s="43"/>
    </row>
    <row r="226" customFormat="false" ht="15" hidden="false" customHeight="true" outlineLevel="0" collapsed="false">
      <c r="B226" s="43"/>
      <c r="C226" s="43"/>
    </row>
    <row r="227" customFormat="false" ht="15" hidden="false" customHeight="true" outlineLevel="0" collapsed="false">
      <c r="B227" s="43"/>
      <c r="C227" s="43"/>
    </row>
    <row r="228" customFormat="false" ht="15" hidden="false" customHeight="true" outlineLevel="0" collapsed="false">
      <c r="B228" s="43"/>
      <c r="C228" s="43"/>
    </row>
    <row r="229" customFormat="false" ht="15" hidden="false" customHeight="true" outlineLevel="0" collapsed="false">
      <c r="B229" s="43"/>
      <c r="C229" s="43"/>
    </row>
    <row r="230" customFormat="false" ht="15" hidden="false" customHeight="true" outlineLevel="0" collapsed="false">
      <c r="B230" s="43"/>
      <c r="C230" s="43"/>
    </row>
    <row r="231" customFormat="false" ht="15" hidden="false" customHeight="true" outlineLevel="0" collapsed="false">
      <c r="B231" s="43"/>
      <c r="C231" s="43"/>
    </row>
    <row r="232" customFormat="false" ht="15" hidden="false" customHeight="true" outlineLevel="0" collapsed="false">
      <c r="B232" s="43"/>
      <c r="C232" s="43"/>
    </row>
    <row r="233" customFormat="false" ht="15" hidden="false" customHeight="true" outlineLevel="0" collapsed="false">
      <c r="B233" s="43"/>
      <c r="C233" s="43"/>
    </row>
    <row r="234" customFormat="false" ht="15" hidden="false" customHeight="true" outlineLevel="0" collapsed="false">
      <c r="B234" s="43"/>
      <c r="C234" s="43"/>
    </row>
    <row r="235" customFormat="false" ht="15" hidden="false" customHeight="true" outlineLevel="0" collapsed="false">
      <c r="B235" s="43"/>
      <c r="C235" s="43"/>
    </row>
    <row r="236" customFormat="false" ht="15" hidden="false" customHeight="true" outlineLevel="0" collapsed="false">
      <c r="B236" s="43"/>
      <c r="C236" s="43"/>
    </row>
    <row r="237" customFormat="false" ht="15" hidden="false" customHeight="true" outlineLevel="0" collapsed="false">
      <c r="B237" s="43"/>
      <c r="C237" s="43"/>
    </row>
    <row r="238" customFormat="false" ht="15" hidden="false" customHeight="true" outlineLevel="0" collapsed="false">
      <c r="B238" s="43"/>
      <c r="C238" s="43"/>
    </row>
    <row r="239" customFormat="false" ht="15" hidden="false" customHeight="true" outlineLevel="0" collapsed="false">
      <c r="B239" s="43"/>
      <c r="C239" s="43"/>
    </row>
    <row r="240" customFormat="false" ht="15" hidden="false" customHeight="true" outlineLevel="0" collapsed="false">
      <c r="B240" s="43"/>
      <c r="C240" s="43"/>
    </row>
    <row r="241" customFormat="false" ht="15" hidden="false" customHeight="true" outlineLevel="0" collapsed="false">
      <c r="B241" s="43"/>
      <c r="C241" s="43"/>
    </row>
    <row r="242" customFormat="false" ht="15" hidden="false" customHeight="true" outlineLevel="0" collapsed="false">
      <c r="B242" s="43"/>
      <c r="C242" s="43"/>
    </row>
    <row r="243" customFormat="false" ht="15" hidden="false" customHeight="true" outlineLevel="0" collapsed="false">
      <c r="B243" s="43"/>
      <c r="C243" s="43"/>
    </row>
    <row r="244" customFormat="false" ht="15" hidden="false" customHeight="true" outlineLevel="0" collapsed="false">
      <c r="B244" s="43"/>
      <c r="C244" s="43"/>
    </row>
    <row r="245" customFormat="false" ht="15" hidden="false" customHeight="true" outlineLevel="0" collapsed="false">
      <c r="B245" s="43"/>
      <c r="C245" s="43"/>
    </row>
    <row r="246" customFormat="false" ht="15" hidden="false" customHeight="true" outlineLevel="0" collapsed="false">
      <c r="B246" s="43"/>
      <c r="C246" s="43"/>
    </row>
    <row r="247" customFormat="false" ht="15" hidden="false" customHeight="true" outlineLevel="0" collapsed="false">
      <c r="B247" s="43"/>
      <c r="C247" s="43"/>
    </row>
    <row r="248" customFormat="false" ht="15" hidden="false" customHeight="true" outlineLevel="0" collapsed="false">
      <c r="B248" s="43"/>
      <c r="C248" s="43"/>
    </row>
    <row r="249" customFormat="false" ht="15" hidden="false" customHeight="true" outlineLevel="0" collapsed="false">
      <c r="B249" s="43"/>
      <c r="C249" s="43"/>
    </row>
    <row r="250" customFormat="false" ht="15" hidden="false" customHeight="true" outlineLevel="0" collapsed="false">
      <c r="B250" s="43"/>
      <c r="C250" s="43"/>
    </row>
    <row r="251" customFormat="false" ht="15" hidden="false" customHeight="true" outlineLevel="0" collapsed="false">
      <c r="B251" s="43"/>
      <c r="C251" s="43"/>
    </row>
    <row r="252" customFormat="false" ht="15" hidden="false" customHeight="true" outlineLevel="0" collapsed="false">
      <c r="B252" s="43"/>
      <c r="C252" s="43"/>
    </row>
    <row r="253" customFormat="false" ht="15" hidden="false" customHeight="true" outlineLevel="0" collapsed="false">
      <c r="B253" s="43"/>
      <c r="C253" s="43"/>
    </row>
    <row r="254" customFormat="false" ht="15" hidden="false" customHeight="true" outlineLevel="0" collapsed="false">
      <c r="B254" s="43"/>
      <c r="C254" s="43"/>
    </row>
    <row r="255" customFormat="false" ht="15" hidden="false" customHeight="true" outlineLevel="0" collapsed="false">
      <c r="B255" s="43"/>
      <c r="C255" s="43"/>
    </row>
    <row r="256" customFormat="false" ht="15" hidden="false" customHeight="true" outlineLevel="0" collapsed="false">
      <c r="B256" s="43"/>
      <c r="C256" s="43"/>
    </row>
    <row r="257" customFormat="false" ht="15" hidden="false" customHeight="true" outlineLevel="0" collapsed="false">
      <c r="B257" s="43"/>
      <c r="C257" s="43"/>
    </row>
    <row r="258" customFormat="false" ht="15" hidden="false" customHeight="true" outlineLevel="0" collapsed="false">
      <c r="B258" s="43"/>
      <c r="C258" s="43"/>
    </row>
    <row r="259" customFormat="false" ht="15" hidden="false" customHeight="true" outlineLevel="0" collapsed="false">
      <c r="B259" s="43"/>
      <c r="C259" s="43"/>
    </row>
    <row r="260" customFormat="false" ht="15" hidden="false" customHeight="true" outlineLevel="0" collapsed="false">
      <c r="B260" s="43"/>
      <c r="C260" s="43"/>
    </row>
    <row r="261" customFormat="false" ht="15" hidden="false" customHeight="true" outlineLevel="0" collapsed="false">
      <c r="B261" s="43"/>
      <c r="C261" s="43"/>
    </row>
    <row r="262" customFormat="false" ht="15" hidden="false" customHeight="true" outlineLevel="0" collapsed="false">
      <c r="B262" s="43"/>
      <c r="C262" s="43"/>
    </row>
    <row r="263" customFormat="false" ht="15" hidden="false" customHeight="true" outlineLevel="0" collapsed="false">
      <c r="B263" s="43"/>
      <c r="C263" s="43"/>
    </row>
    <row r="264" customFormat="false" ht="15" hidden="false" customHeight="true" outlineLevel="0" collapsed="false">
      <c r="B264" s="43"/>
      <c r="C264" s="43"/>
    </row>
    <row r="265" customFormat="false" ht="15" hidden="false" customHeight="true" outlineLevel="0" collapsed="false">
      <c r="B265" s="43"/>
      <c r="C265" s="43"/>
    </row>
    <row r="266" customFormat="false" ht="15" hidden="false" customHeight="true" outlineLevel="0" collapsed="false">
      <c r="B266" s="43"/>
      <c r="C266" s="43"/>
    </row>
    <row r="267" customFormat="false" ht="15" hidden="false" customHeight="true" outlineLevel="0" collapsed="false">
      <c r="B267" s="43"/>
      <c r="C267" s="43"/>
    </row>
    <row r="268" customFormat="false" ht="15" hidden="false" customHeight="true" outlineLevel="0" collapsed="false">
      <c r="B268" s="43"/>
      <c r="C268" s="43"/>
    </row>
    <row r="269" customFormat="false" ht="15" hidden="false" customHeight="true" outlineLevel="0" collapsed="false">
      <c r="B269" s="43"/>
      <c r="C269" s="43"/>
    </row>
    <row r="270" customFormat="false" ht="15" hidden="false" customHeight="true" outlineLevel="0" collapsed="false">
      <c r="B270" s="43"/>
      <c r="C270" s="43"/>
    </row>
    <row r="271" customFormat="false" ht="15" hidden="false" customHeight="true" outlineLevel="0" collapsed="false">
      <c r="B271" s="43"/>
      <c r="C271" s="43"/>
    </row>
    <row r="272" customFormat="false" ht="15" hidden="false" customHeight="true" outlineLevel="0" collapsed="false">
      <c r="B272" s="43"/>
      <c r="C272" s="43"/>
    </row>
    <row r="273" customFormat="false" ht="15" hidden="false" customHeight="true" outlineLevel="0" collapsed="false">
      <c r="B273" s="43"/>
      <c r="C273" s="43"/>
    </row>
    <row r="274" customFormat="false" ht="15" hidden="false" customHeight="true" outlineLevel="0" collapsed="false">
      <c r="B274" s="43"/>
      <c r="C274" s="43"/>
    </row>
    <row r="275" customFormat="false" ht="15" hidden="false" customHeight="true" outlineLevel="0" collapsed="false">
      <c r="B275" s="43"/>
      <c r="C275" s="43"/>
    </row>
    <row r="276" customFormat="false" ht="15" hidden="false" customHeight="true" outlineLevel="0" collapsed="false">
      <c r="B276" s="43"/>
      <c r="C276" s="43"/>
    </row>
    <row r="277" customFormat="false" ht="15" hidden="false" customHeight="true" outlineLevel="0" collapsed="false">
      <c r="B277" s="43"/>
      <c r="C277" s="43"/>
    </row>
    <row r="278" customFormat="false" ht="15" hidden="false" customHeight="true" outlineLevel="0" collapsed="false">
      <c r="B278" s="43"/>
      <c r="C278" s="43"/>
    </row>
    <row r="279" customFormat="false" ht="15" hidden="false" customHeight="true" outlineLevel="0" collapsed="false">
      <c r="B279" s="43"/>
      <c r="C279" s="43"/>
    </row>
    <row r="280" customFormat="false" ht="15" hidden="false" customHeight="true" outlineLevel="0" collapsed="false">
      <c r="B280" s="43"/>
      <c r="C280" s="43"/>
    </row>
    <row r="281" customFormat="false" ht="15" hidden="false" customHeight="true" outlineLevel="0" collapsed="false">
      <c r="B281" s="43"/>
      <c r="C281" s="43"/>
    </row>
    <row r="282" customFormat="false" ht="15" hidden="false" customHeight="true" outlineLevel="0" collapsed="false">
      <c r="B282" s="43"/>
      <c r="C282" s="43"/>
    </row>
    <row r="283" customFormat="false" ht="15" hidden="false" customHeight="true" outlineLevel="0" collapsed="false">
      <c r="B283" s="43"/>
      <c r="C283" s="43"/>
    </row>
    <row r="284" customFormat="false" ht="15" hidden="false" customHeight="true" outlineLevel="0" collapsed="false">
      <c r="B284" s="43"/>
      <c r="C284" s="43"/>
    </row>
    <row r="285" customFormat="false" ht="15" hidden="false" customHeight="true" outlineLevel="0" collapsed="false">
      <c r="B285" s="43"/>
      <c r="C285" s="43"/>
    </row>
    <row r="286" customFormat="false" ht="15" hidden="false" customHeight="true" outlineLevel="0" collapsed="false">
      <c r="B286" s="43"/>
      <c r="C286" s="43"/>
    </row>
    <row r="287" customFormat="false" ht="15" hidden="false" customHeight="true" outlineLevel="0" collapsed="false">
      <c r="B287" s="43"/>
      <c r="C287" s="43"/>
    </row>
    <row r="288" customFormat="false" ht="15" hidden="false" customHeight="true" outlineLevel="0" collapsed="false">
      <c r="B288" s="43"/>
      <c r="C288" s="43"/>
    </row>
    <row r="289" customFormat="false" ht="15" hidden="false" customHeight="true" outlineLevel="0" collapsed="false">
      <c r="B289" s="43"/>
      <c r="C289" s="43"/>
    </row>
    <row r="290" customFormat="false" ht="15" hidden="false" customHeight="true" outlineLevel="0" collapsed="false">
      <c r="B290" s="43"/>
      <c r="C290" s="43"/>
    </row>
    <row r="291" customFormat="false" ht="15" hidden="false" customHeight="true" outlineLevel="0" collapsed="false">
      <c r="B291" s="43"/>
      <c r="C291" s="43"/>
    </row>
    <row r="292" customFormat="false" ht="15" hidden="false" customHeight="true" outlineLevel="0" collapsed="false">
      <c r="B292" s="43"/>
      <c r="C292" s="43"/>
    </row>
    <row r="293" customFormat="false" ht="15" hidden="false" customHeight="true" outlineLevel="0" collapsed="false">
      <c r="B293" s="43"/>
      <c r="C293" s="43"/>
    </row>
    <row r="294" customFormat="false" ht="15" hidden="false" customHeight="true" outlineLevel="0" collapsed="false">
      <c r="B294" s="43"/>
      <c r="C294" s="43"/>
    </row>
    <row r="295" customFormat="false" ht="15" hidden="false" customHeight="true" outlineLevel="0" collapsed="false">
      <c r="B295" s="43"/>
      <c r="C295" s="43"/>
    </row>
    <row r="296" customFormat="false" ht="15" hidden="false" customHeight="true" outlineLevel="0" collapsed="false">
      <c r="B296" s="43"/>
      <c r="C296" s="43"/>
    </row>
    <row r="297" customFormat="false" ht="15" hidden="false" customHeight="true" outlineLevel="0" collapsed="false">
      <c r="B297" s="43"/>
      <c r="C297" s="43"/>
    </row>
    <row r="298" customFormat="false" ht="15" hidden="false" customHeight="true" outlineLevel="0" collapsed="false">
      <c r="B298" s="43"/>
      <c r="C298" s="43"/>
    </row>
    <row r="299" customFormat="false" ht="15" hidden="false" customHeight="true" outlineLevel="0" collapsed="false">
      <c r="B299" s="43"/>
      <c r="C299" s="43"/>
    </row>
    <row r="300" customFormat="false" ht="15" hidden="false" customHeight="true" outlineLevel="0" collapsed="false">
      <c r="B300" s="43"/>
      <c r="C300" s="43"/>
    </row>
    <row r="301" customFormat="false" ht="15" hidden="false" customHeight="true" outlineLevel="0" collapsed="false">
      <c r="B301" s="43"/>
      <c r="C301" s="43"/>
    </row>
    <row r="302" customFormat="false" ht="15" hidden="false" customHeight="true" outlineLevel="0" collapsed="false">
      <c r="B302" s="43"/>
      <c r="C302" s="43"/>
    </row>
    <row r="303" customFormat="false" ht="15" hidden="false" customHeight="true" outlineLevel="0" collapsed="false">
      <c r="B303" s="43"/>
      <c r="C303" s="43"/>
    </row>
    <row r="304" customFormat="false" ht="15" hidden="false" customHeight="true" outlineLevel="0" collapsed="false">
      <c r="B304" s="43"/>
      <c r="C304" s="43"/>
    </row>
    <row r="305" customFormat="false" ht="15" hidden="false" customHeight="true" outlineLevel="0" collapsed="false">
      <c r="B305" s="43"/>
      <c r="C305" s="43"/>
    </row>
    <row r="306" customFormat="false" ht="15" hidden="false" customHeight="true" outlineLevel="0" collapsed="false">
      <c r="B306" s="43"/>
      <c r="C306" s="43"/>
    </row>
    <row r="307" customFormat="false" ht="15" hidden="false" customHeight="true" outlineLevel="0" collapsed="false">
      <c r="B307" s="43"/>
      <c r="C307" s="43"/>
    </row>
    <row r="308" customFormat="false" ht="15" hidden="false" customHeight="true" outlineLevel="0" collapsed="false">
      <c r="B308" s="43"/>
      <c r="C308" s="43"/>
    </row>
    <row r="309" customFormat="false" ht="15" hidden="false" customHeight="true" outlineLevel="0" collapsed="false">
      <c r="B309" s="43"/>
      <c r="C309" s="43"/>
    </row>
    <row r="310" customFormat="false" ht="15" hidden="false" customHeight="true" outlineLevel="0" collapsed="false">
      <c r="B310" s="43"/>
      <c r="C310" s="43"/>
    </row>
    <row r="311" customFormat="false" ht="15" hidden="false" customHeight="true" outlineLevel="0" collapsed="false">
      <c r="B311" s="43"/>
      <c r="C311" s="43"/>
    </row>
    <row r="312" customFormat="false" ht="15" hidden="false" customHeight="true" outlineLevel="0" collapsed="false">
      <c r="B312" s="43"/>
      <c r="C312" s="43"/>
    </row>
    <row r="313" customFormat="false" ht="15" hidden="false" customHeight="true" outlineLevel="0" collapsed="false">
      <c r="B313" s="43"/>
      <c r="C313" s="43"/>
    </row>
    <row r="314" customFormat="false" ht="15" hidden="false" customHeight="true" outlineLevel="0" collapsed="false">
      <c r="B314" s="43"/>
      <c r="C314" s="43"/>
    </row>
    <row r="315" customFormat="false" ht="15" hidden="false" customHeight="true" outlineLevel="0" collapsed="false">
      <c r="B315" s="43"/>
      <c r="C315" s="43"/>
    </row>
    <row r="316" customFormat="false" ht="15" hidden="false" customHeight="true" outlineLevel="0" collapsed="false">
      <c r="B316" s="43"/>
      <c r="C316" s="43"/>
    </row>
    <row r="317" customFormat="false" ht="15" hidden="false" customHeight="true" outlineLevel="0" collapsed="false">
      <c r="B317" s="43"/>
      <c r="C317" s="43"/>
    </row>
    <row r="318" customFormat="false" ht="15" hidden="false" customHeight="true" outlineLevel="0" collapsed="false">
      <c r="B318" s="43"/>
      <c r="C318" s="43"/>
    </row>
    <row r="319" customFormat="false" ht="15" hidden="false" customHeight="true" outlineLevel="0" collapsed="false">
      <c r="B319" s="43"/>
      <c r="C319" s="43"/>
    </row>
    <row r="320" customFormat="false" ht="15" hidden="false" customHeight="true" outlineLevel="0" collapsed="false">
      <c r="B320" s="43"/>
      <c r="C320" s="43"/>
    </row>
    <row r="321" customFormat="false" ht="15" hidden="false" customHeight="true" outlineLevel="0" collapsed="false">
      <c r="B321" s="43"/>
      <c r="C321" s="43"/>
    </row>
    <row r="322" customFormat="false" ht="15" hidden="false" customHeight="true" outlineLevel="0" collapsed="false">
      <c r="B322" s="43"/>
      <c r="C322" s="43"/>
    </row>
    <row r="323" customFormat="false" ht="15" hidden="false" customHeight="true" outlineLevel="0" collapsed="false">
      <c r="B323" s="43"/>
      <c r="C323" s="43"/>
    </row>
    <row r="324" customFormat="false" ht="15" hidden="false" customHeight="true" outlineLevel="0" collapsed="false">
      <c r="B324" s="43"/>
      <c r="C324" s="43"/>
    </row>
    <row r="325" customFormat="false" ht="15" hidden="false" customHeight="true" outlineLevel="0" collapsed="false">
      <c r="B325" s="43"/>
      <c r="C325" s="43"/>
    </row>
    <row r="326" customFormat="false" ht="15" hidden="false" customHeight="true" outlineLevel="0" collapsed="false">
      <c r="B326" s="43"/>
      <c r="C326" s="43"/>
    </row>
    <row r="327" customFormat="false" ht="15" hidden="false" customHeight="true" outlineLevel="0" collapsed="false">
      <c r="B327" s="43"/>
      <c r="C327" s="43"/>
    </row>
    <row r="328" customFormat="false" ht="15" hidden="false" customHeight="true" outlineLevel="0" collapsed="false">
      <c r="B328" s="43"/>
      <c r="C328" s="43"/>
    </row>
    <row r="329" customFormat="false" ht="15" hidden="false" customHeight="true" outlineLevel="0" collapsed="false">
      <c r="B329" s="43"/>
      <c r="C329" s="43"/>
    </row>
    <row r="330" customFormat="false" ht="15" hidden="false" customHeight="true" outlineLevel="0" collapsed="false">
      <c r="B330" s="43"/>
      <c r="C330" s="43"/>
    </row>
    <row r="331" customFormat="false" ht="15" hidden="false" customHeight="true" outlineLevel="0" collapsed="false">
      <c r="B331" s="43"/>
      <c r="C331" s="43"/>
    </row>
    <row r="332" customFormat="false" ht="15" hidden="false" customHeight="true" outlineLevel="0" collapsed="false">
      <c r="B332" s="43"/>
      <c r="C332" s="43"/>
    </row>
    <row r="333" customFormat="false" ht="15" hidden="false" customHeight="true" outlineLevel="0" collapsed="false">
      <c r="B333" s="43"/>
      <c r="C333" s="43"/>
    </row>
    <row r="334" customFormat="false" ht="15" hidden="false" customHeight="true" outlineLevel="0" collapsed="false">
      <c r="B334" s="43"/>
      <c r="C334" s="43"/>
    </row>
    <row r="335" customFormat="false" ht="15" hidden="false" customHeight="true" outlineLevel="0" collapsed="false">
      <c r="B335" s="43"/>
      <c r="C335" s="43"/>
    </row>
    <row r="336" customFormat="false" ht="15" hidden="false" customHeight="true" outlineLevel="0" collapsed="false">
      <c r="B336" s="43"/>
      <c r="C336" s="43"/>
    </row>
    <row r="337" customFormat="false" ht="15" hidden="false" customHeight="true" outlineLevel="0" collapsed="false">
      <c r="B337" s="43"/>
      <c r="C337" s="43"/>
    </row>
    <row r="338" customFormat="false" ht="15" hidden="false" customHeight="true" outlineLevel="0" collapsed="false">
      <c r="B338" s="43"/>
      <c r="C338" s="43"/>
    </row>
    <row r="339" customFormat="false" ht="15" hidden="false" customHeight="true" outlineLevel="0" collapsed="false">
      <c r="B339" s="43"/>
      <c r="C339" s="43"/>
    </row>
    <row r="340" customFormat="false" ht="15" hidden="false" customHeight="true" outlineLevel="0" collapsed="false">
      <c r="B340" s="43"/>
      <c r="C340" s="43"/>
    </row>
    <row r="341" customFormat="false" ht="15" hidden="false" customHeight="true" outlineLevel="0" collapsed="false">
      <c r="B341" s="43"/>
      <c r="C341" s="43"/>
    </row>
    <row r="342" customFormat="false" ht="15" hidden="false" customHeight="true" outlineLevel="0" collapsed="false">
      <c r="B342" s="43"/>
      <c r="C342" s="43"/>
    </row>
    <row r="343" customFormat="false" ht="15" hidden="false" customHeight="true" outlineLevel="0" collapsed="false">
      <c r="B343" s="43"/>
      <c r="C343" s="43"/>
    </row>
    <row r="344" customFormat="false" ht="15" hidden="false" customHeight="true" outlineLevel="0" collapsed="false">
      <c r="B344" s="43"/>
      <c r="C344" s="43"/>
    </row>
    <row r="345" customFormat="false" ht="15" hidden="false" customHeight="true" outlineLevel="0" collapsed="false">
      <c r="B345" s="43"/>
      <c r="C345" s="43"/>
    </row>
    <row r="346" customFormat="false" ht="15" hidden="false" customHeight="true" outlineLevel="0" collapsed="false">
      <c r="B346" s="43"/>
      <c r="C346" s="43"/>
    </row>
    <row r="347" customFormat="false" ht="15" hidden="false" customHeight="true" outlineLevel="0" collapsed="false">
      <c r="B347" s="43"/>
      <c r="C347" s="43"/>
    </row>
    <row r="348" customFormat="false" ht="15" hidden="false" customHeight="true" outlineLevel="0" collapsed="false">
      <c r="B348" s="43"/>
      <c r="C348" s="43"/>
    </row>
    <row r="349" customFormat="false" ht="15" hidden="false" customHeight="true" outlineLevel="0" collapsed="false">
      <c r="B349" s="43"/>
      <c r="C349" s="43"/>
    </row>
    <row r="350" customFormat="false" ht="15" hidden="false" customHeight="true" outlineLevel="0" collapsed="false">
      <c r="B350" s="43"/>
      <c r="C350" s="43"/>
    </row>
    <row r="351" customFormat="false" ht="15" hidden="false" customHeight="true" outlineLevel="0" collapsed="false">
      <c r="B351" s="43"/>
      <c r="C351" s="43"/>
    </row>
    <row r="352" customFormat="false" ht="15" hidden="false" customHeight="true" outlineLevel="0" collapsed="false">
      <c r="B352" s="43"/>
      <c r="C352" s="43"/>
    </row>
    <row r="353" customFormat="false" ht="15" hidden="false" customHeight="true" outlineLevel="0" collapsed="false">
      <c r="B353" s="43"/>
      <c r="C353" s="43"/>
    </row>
    <row r="354" customFormat="false" ht="15" hidden="false" customHeight="true" outlineLevel="0" collapsed="false">
      <c r="B354" s="43"/>
      <c r="C354" s="43"/>
    </row>
    <row r="355" customFormat="false" ht="15" hidden="false" customHeight="true" outlineLevel="0" collapsed="false">
      <c r="B355" s="43"/>
      <c r="C355" s="43"/>
    </row>
    <row r="356" customFormat="false" ht="15" hidden="false" customHeight="true" outlineLevel="0" collapsed="false">
      <c r="B356" s="43"/>
      <c r="C356" s="43"/>
    </row>
    <row r="357" customFormat="false" ht="15" hidden="false" customHeight="true" outlineLevel="0" collapsed="false">
      <c r="B357" s="43"/>
      <c r="C357" s="43"/>
    </row>
    <row r="358" customFormat="false" ht="15" hidden="false" customHeight="true" outlineLevel="0" collapsed="false">
      <c r="B358" s="43"/>
      <c r="C358" s="43"/>
    </row>
    <row r="359" customFormat="false" ht="15" hidden="false" customHeight="true" outlineLevel="0" collapsed="false">
      <c r="B359" s="43"/>
      <c r="C359" s="43"/>
    </row>
    <row r="360" customFormat="false" ht="15" hidden="false" customHeight="true" outlineLevel="0" collapsed="false">
      <c r="B360" s="43"/>
      <c r="C360" s="43"/>
    </row>
    <row r="361" customFormat="false" ht="15" hidden="false" customHeight="true" outlineLevel="0" collapsed="false">
      <c r="B361" s="43"/>
      <c r="C361" s="43"/>
    </row>
    <row r="362" customFormat="false" ht="15" hidden="false" customHeight="true" outlineLevel="0" collapsed="false">
      <c r="B362" s="43"/>
      <c r="C362" s="43"/>
    </row>
    <row r="363" customFormat="false" ht="15" hidden="false" customHeight="true" outlineLevel="0" collapsed="false">
      <c r="B363" s="43"/>
      <c r="C363" s="43"/>
    </row>
    <row r="364" customFormat="false" ht="15" hidden="false" customHeight="true" outlineLevel="0" collapsed="false">
      <c r="B364" s="43"/>
      <c r="C364" s="43"/>
    </row>
    <row r="365" customFormat="false" ht="15" hidden="false" customHeight="true" outlineLevel="0" collapsed="false">
      <c r="B365" s="43"/>
      <c r="C365" s="43"/>
    </row>
    <row r="366" customFormat="false" ht="15" hidden="false" customHeight="true" outlineLevel="0" collapsed="false">
      <c r="B366" s="43"/>
      <c r="C366" s="43"/>
    </row>
    <row r="367" customFormat="false" ht="15" hidden="false" customHeight="true" outlineLevel="0" collapsed="false">
      <c r="B367" s="43"/>
      <c r="C367" s="43"/>
    </row>
    <row r="368" customFormat="false" ht="15" hidden="false" customHeight="true" outlineLevel="0" collapsed="false">
      <c r="B368" s="43"/>
      <c r="C368" s="43"/>
    </row>
    <row r="369" customFormat="false" ht="15" hidden="false" customHeight="true" outlineLevel="0" collapsed="false">
      <c r="B369" s="43"/>
      <c r="C369" s="43"/>
    </row>
    <row r="370" customFormat="false" ht="15" hidden="false" customHeight="true" outlineLevel="0" collapsed="false">
      <c r="B370" s="43"/>
      <c r="C370" s="43"/>
    </row>
    <row r="371" customFormat="false" ht="15" hidden="false" customHeight="true" outlineLevel="0" collapsed="false">
      <c r="B371" s="43"/>
      <c r="C371" s="43"/>
    </row>
    <row r="372" customFormat="false" ht="15" hidden="false" customHeight="true" outlineLevel="0" collapsed="false">
      <c r="B372" s="43"/>
      <c r="C372" s="43"/>
    </row>
    <row r="373" customFormat="false" ht="15" hidden="false" customHeight="true" outlineLevel="0" collapsed="false">
      <c r="B373" s="43"/>
      <c r="C373" s="43"/>
    </row>
    <row r="374" customFormat="false" ht="15" hidden="false" customHeight="true" outlineLevel="0" collapsed="false">
      <c r="B374" s="43"/>
      <c r="C374" s="43"/>
    </row>
    <row r="375" customFormat="false" ht="15" hidden="false" customHeight="true" outlineLevel="0" collapsed="false">
      <c r="B375" s="43"/>
      <c r="C375" s="43"/>
    </row>
    <row r="376" customFormat="false" ht="15" hidden="false" customHeight="true" outlineLevel="0" collapsed="false">
      <c r="B376" s="43"/>
      <c r="C376" s="43"/>
    </row>
    <row r="377" customFormat="false" ht="15" hidden="false" customHeight="true" outlineLevel="0" collapsed="false">
      <c r="B377" s="43"/>
      <c r="C377" s="43"/>
    </row>
    <row r="378" customFormat="false" ht="15" hidden="false" customHeight="true" outlineLevel="0" collapsed="false">
      <c r="B378" s="43"/>
      <c r="C378" s="43"/>
    </row>
    <row r="379" customFormat="false" ht="15" hidden="false" customHeight="true" outlineLevel="0" collapsed="false">
      <c r="B379" s="43"/>
      <c r="C379" s="43"/>
    </row>
    <row r="380" customFormat="false" ht="15" hidden="false" customHeight="true" outlineLevel="0" collapsed="false">
      <c r="B380" s="43"/>
      <c r="C380" s="43"/>
    </row>
    <row r="381" customFormat="false" ht="15" hidden="false" customHeight="true" outlineLevel="0" collapsed="false">
      <c r="B381" s="43"/>
      <c r="C381" s="43"/>
    </row>
    <row r="382" customFormat="false" ht="15" hidden="false" customHeight="true" outlineLevel="0" collapsed="false">
      <c r="B382" s="43"/>
      <c r="C382" s="43"/>
    </row>
    <row r="383" customFormat="false" ht="15" hidden="false" customHeight="true" outlineLevel="0" collapsed="false">
      <c r="B383" s="43"/>
      <c r="C383" s="43"/>
    </row>
    <row r="384" customFormat="false" ht="15" hidden="false" customHeight="true" outlineLevel="0" collapsed="false">
      <c r="B384" s="43"/>
      <c r="C384" s="43"/>
    </row>
    <row r="385" customFormat="false" ht="15" hidden="false" customHeight="true" outlineLevel="0" collapsed="false">
      <c r="B385" s="43"/>
      <c r="C385" s="43"/>
    </row>
    <row r="386" customFormat="false" ht="15" hidden="false" customHeight="true" outlineLevel="0" collapsed="false">
      <c r="B386" s="43"/>
      <c r="C386" s="43"/>
    </row>
    <row r="387" customFormat="false" ht="15" hidden="false" customHeight="true" outlineLevel="0" collapsed="false">
      <c r="B387" s="43"/>
      <c r="C387" s="43"/>
    </row>
    <row r="388" customFormat="false" ht="15" hidden="false" customHeight="true" outlineLevel="0" collapsed="false">
      <c r="B388" s="43"/>
      <c r="C388" s="43"/>
    </row>
    <row r="389" customFormat="false" ht="15" hidden="false" customHeight="true" outlineLevel="0" collapsed="false">
      <c r="B389" s="43"/>
      <c r="C389" s="43"/>
    </row>
    <row r="390" customFormat="false" ht="15" hidden="false" customHeight="true" outlineLevel="0" collapsed="false">
      <c r="B390" s="43"/>
      <c r="C390" s="43"/>
    </row>
    <row r="391" customFormat="false" ht="15" hidden="false" customHeight="true" outlineLevel="0" collapsed="false">
      <c r="B391" s="43"/>
      <c r="C391" s="43"/>
    </row>
    <row r="392" customFormat="false" ht="15" hidden="false" customHeight="true" outlineLevel="0" collapsed="false">
      <c r="B392" s="43"/>
      <c r="C392" s="43"/>
    </row>
    <row r="393" customFormat="false" ht="15" hidden="false" customHeight="true" outlineLevel="0" collapsed="false">
      <c r="B393" s="43"/>
      <c r="C393" s="43"/>
    </row>
    <row r="394" customFormat="false" ht="15" hidden="false" customHeight="true" outlineLevel="0" collapsed="false">
      <c r="B394" s="43"/>
      <c r="C394" s="43"/>
    </row>
    <row r="395" customFormat="false" ht="15" hidden="false" customHeight="true" outlineLevel="0" collapsed="false">
      <c r="B395" s="43"/>
      <c r="C395" s="43"/>
    </row>
    <row r="396" customFormat="false" ht="15" hidden="false" customHeight="true" outlineLevel="0" collapsed="false">
      <c r="B396" s="43"/>
      <c r="C396" s="43"/>
    </row>
    <row r="397" customFormat="false" ht="15" hidden="false" customHeight="true" outlineLevel="0" collapsed="false">
      <c r="B397" s="43"/>
      <c r="C397" s="43"/>
    </row>
    <row r="398" customFormat="false" ht="15" hidden="false" customHeight="true" outlineLevel="0" collapsed="false">
      <c r="B398" s="43"/>
      <c r="C398" s="43"/>
    </row>
    <row r="399" customFormat="false" ht="15" hidden="false" customHeight="true" outlineLevel="0" collapsed="false">
      <c r="B399" s="43"/>
      <c r="C399" s="43"/>
    </row>
    <row r="400" customFormat="false" ht="15" hidden="false" customHeight="true" outlineLevel="0" collapsed="false">
      <c r="B400" s="43"/>
      <c r="C400" s="43"/>
    </row>
    <row r="401" customFormat="false" ht="15" hidden="false" customHeight="true" outlineLevel="0" collapsed="false">
      <c r="B401" s="43"/>
      <c r="C401" s="43"/>
    </row>
    <row r="402" customFormat="false" ht="15" hidden="false" customHeight="true" outlineLevel="0" collapsed="false">
      <c r="B402" s="43"/>
      <c r="C402" s="43"/>
    </row>
    <row r="403" customFormat="false" ht="15" hidden="false" customHeight="true" outlineLevel="0" collapsed="false">
      <c r="B403" s="43"/>
      <c r="C403" s="43"/>
    </row>
    <row r="404" customFormat="false" ht="15" hidden="false" customHeight="true" outlineLevel="0" collapsed="false">
      <c r="B404" s="43"/>
      <c r="C404" s="43"/>
    </row>
    <row r="405" customFormat="false" ht="15" hidden="false" customHeight="true" outlineLevel="0" collapsed="false">
      <c r="B405" s="43"/>
      <c r="C405" s="43"/>
    </row>
    <row r="406" customFormat="false" ht="15" hidden="false" customHeight="true" outlineLevel="0" collapsed="false">
      <c r="B406" s="43"/>
      <c r="C406" s="43"/>
    </row>
    <row r="407" customFormat="false" ht="15" hidden="false" customHeight="true" outlineLevel="0" collapsed="false">
      <c r="B407" s="43"/>
      <c r="C407" s="43"/>
    </row>
    <row r="408" customFormat="false" ht="15" hidden="false" customHeight="true" outlineLevel="0" collapsed="false">
      <c r="B408" s="43"/>
      <c r="C408" s="43"/>
    </row>
    <row r="409" customFormat="false" ht="15" hidden="false" customHeight="true" outlineLevel="0" collapsed="false">
      <c r="B409" s="43"/>
      <c r="C409" s="43"/>
    </row>
    <row r="410" customFormat="false" ht="15" hidden="false" customHeight="true" outlineLevel="0" collapsed="false">
      <c r="B410" s="43"/>
      <c r="C410" s="43"/>
    </row>
    <row r="411" customFormat="false" ht="15" hidden="false" customHeight="true" outlineLevel="0" collapsed="false">
      <c r="B411" s="43"/>
      <c r="C411" s="43"/>
    </row>
    <row r="412" customFormat="false" ht="15" hidden="false" customHeight="true" outlineLevel="0" collapsed="false">
      <c r="B412" s="43"/>
      <c r="C412" s="43"/>
    </row>
    <row r="413" customFormat="false" ht="15" hidden="false" customHeight="true" outlineLevel="0" collapsed="false">
      <c r="B413" s="43"/>
      <c r="C413" s="43"/>
    </row>
    <row r="414" customFormat="false" ht="15" hidden="false" customHeight="true" outlineLevel="0" collapsed="false">
      <c r="B414" s="43"/>
      <c r="C414" s="43"/>
    </row>
    <row r="415" customFormat="false" ht="15" hidden="false" customHeight="true" outlineLevel="0" collapsed="false">
      <c r="B415" s="43"/>
      <c r="C415" s="43"/>
    </row>
    <row r="416" customFormat="false" ht="15" hidden="false" customHeight="true" outlineLevel="0" collapsed="false">
      <c r="B416" s="43"/>
      <c r="C416" s="43"/>
    </row>
    <row r="417" customFormat="false" ht="15" hidden="false" customHeight="true" outlineLevel="0" collapsed="false">
      <c r="B417" s="43"/>
      <c r="C417" s="43"/>
    </row>
    <row r="418" customFormat="false" ht="15" hidden="false" customHeight="true" outlineLevel="0" collapsed="false">
      <c r="B418" s="43"/>
      <c r="C418" s="43"/>
    </row>
    <row r="419" customFormat="false" ht="15" hidden="false" customHeight="true" outlineLevel="0" collapsed="false">
      <c r="B419" s="43"/>
      <c r="C419" s="43"/>
    </row>
    <row r="420" customFormat="false" ht="15" hidden="false" customHeight="true" outlineLevel="0" collapsed="false">
      <c r="B420" s="43"/>
      <c r="C420" s="43"/>
    </row>
    <row r="421" customFormat="false" ht="15" hidden="false" customHeight="true" outlineLevel="0" collapsed="false">
      <c r="B421" s="43"/>
      <c r="C421" s="43"/>
    </row>
    <row r="422" customFormat="false" ht="15" hidden="false" customHeight="true" outlineLevel="0" collapsed="false">
      <c r="B422" s="43"/>
      <c r="C422" s="43"/>
    </row>
    <row r="423" customFormat="false" ht="15" hidden="false" customHeight="true" outlineLevel="0" collapsed="false">
      <c r="B423" s="43"/>
      <c r="C423" s="43"/>
    </row>
    <row r="424" customFormat="false" ht="15" hidden="false" customHeight="true" outlineLevel="0" collapsed="false">
      <c r="B424" s="43"/>
      <c r="C424" s="43"/>
    </row>
    <row r="425" customFormat="false" ht="15" hidden="false" customHeight="true" outlineLevel="0" collapsed="false">
      <c r="B425" s="43"/>
      <c r="C425" s="43"/>
    </row>
    <row r="426" customFormat="false" ht="15" hidden="false" customHeight="true" outlineLevel="0" collapsed="false">
      <c r="B426" s="43"/>
      <c r="C426" s="43"/>
    </row>
    <row r="427" customFormat="false" ht="15" hidden="false" customHeight="true" outlineLevel="0" collapsed="false">
      <c r="B427" s="43"/>
      <c r="C427" s="43"/>
    </row>
    <row r="428" customFormat="false" ht="15" hidden="false" customHeight="true" outlineLevel="0" collapsed="false">
      <c r="B428" s="43"/>
      <c r="C428" s="43"/>
    </row>
    <row r="429" customFormat="false" ht="15" hidden="false" customHeight="true" outlineLevel="0" collapsed="false">
      <c r="B429" s="43"/>
      <c r="C429" s="43"/>
    </row>
    <row r="430" customFormat="false" ht="15" hidden="false" customHeight="true" outlineLevel="0" collapsed="false">
      <c r="B430" s="43"/>
      <c r="C430" s="43"/>
    </row>
    <row r="431" customFormat="false" ht="15" hidden="false" customHeight="true" outlineLevel="0" collapsed="false">
      <c r="B431" s="43"/>
      <c r="C431" s="43"/>
    </row>
    <row r="432" customFormat="false" ht="15" hidden="false" customHeight="true" outlineLevel="0" collapsed="false">
      <c r="B432" s="43"/>
      <c r="C432" s="43"/>
    </row>
    <row r="433" customFormat="false" ht="15" hidden="false" customHeight="true" outlineLevel="0" collapsed="false">
      <c r="B433" s="43"/>
      <c r="C433" s="43"/>
    </row>
    <row r="434" customFormat="false" ht="15" hidden="false" customHeight="true" outlineLevel="0" collapsed="false">
      <c r="B434" s="43"/>
      <c r="C434" s="43"/>
    </row>
    <row r="435" customFormat="false" ht="15" hidden="false" customHeight="true" outlineLevel="0" collapsed="false">
      <c r="B435" s="43"/>
      <c r="C435" s="43"/>
    </row>
    <row r="436" customFormat="false" ht="15" hidden="false" customHeight="true" outlineLevel="0" collapsed="false">
      <c r="B436" s="43"/>
      <c r="C436" s="43"/>
    </row>
    <row r="437" customFormat="false" ht="15" hidden="false" customHeight="true" outlineLevel="0" collapsed="false">
      <c r="B437" s="43"/>
      <c r="C437" s="43"/>
    </row>
    <row r="438" customFormat="false" ht="15" hidden="false" customHeight="true" outlineLevel="0" collapsed="false">
      <c r="B438" s="43"/>
      <c r="C438" s="43"/>
    </row>
    <row r="439" customFormat="false" ht="15" hidden="false" customHeight="true" outlineLevel="0" collapsed="false">
      <c r="B439" s="43"/>
      <c r="C439" s="43"/>
    </row>
    <row r="440" customFormat="false" ht="15" hidden="false" customHeight="true" outlineLevel="0" collapsed="false">
      <c r="B440" s="43"/>
      <c r="C440" s="43"/>
    </row>
    <row r="441" customFormat="false" ht="15" hidden="false" customHeight="true" outlineLevel="0" collapsed="false">
      <c r="B441" s="43"/>
      <c r="C441" s="43"/>
    </row>
    <row r="442" customFormat="false" ht="15" hidden="false" customHeight="true" outlineLevel="0" collapsed="false">
      <c r="B442" s="43"/>
      <c r="C442" s="43"/>
    </row>
    <row r="443" customFormat="false" ht="15" hidden="false" customHeight="true" outlineLevel="0" collapsed="false">
      <c r="B443" s="43"/>
      <c r="C443" s="43"/>
    </row>
    <row r="444" customFormat="false" ht="15" hidden="false" customHeight="true" outlineLevel="0" collapsed="false">
      <c r="B444" s="43"/>
      <c r="C444" s="43"/>
    </row>
    <row r="445" customFormat="false" ht="15" hidden="false" customHeight="true" outlineLevel="0" collapsed="false">
      <c r="B445" s="43"/>
      <c r="C445" s="43"/>
    </row>
    <row r="446" customFormat="false" ht="15" hidden="false" customHeight="true" outlineLevel="0" collapsed="false">
      <c r="B446" s="43"/>
      <c r="C446" s="43"/>
    </row>
    <row r="447" customFormat="false" ht="15" hidden="false" customHeight="true" outlineLevel="0" collapsed="false">
      <c r="B447" s="43"/>
      <c r="C447" s="43"/>
    </row>
    <row r="448" customFormat="false" ht="15" hidden="false" customHeight="true" outlineLevel="0" collapsed="false">
      <c r="B448" s="43"/>
      <c r="C448" s="43"/>
    </row>
    <row r="449" customFormat="false" ht="15" hidden="false" customHeight="true" outlineLevel="0" collapsed="false">
      <c r="B449" s="43"/>
      <c r="C449" s="43"/>
    </row>
    <row r="450" customFormat="false" ht="15" hidden="false" customHeight="true" outlineLevel="0" collapsed="false">
      <c r="B450" s="43"/>
      <c r="C450" s="43"/>
    </row>
    <row r="451" customFormat="false" ht="15" hidden="false" customHeight="true" outlineLevel="0" collapsed="false">
      <c r="B451" s="43"/>
      <c r="C451" s="43"/>
    </row>
    <row r="452" customFormat="false" ht="15" hidden="false" customHeight="true" outlineLevel="0" collapsed="false">
      <c r="B452" s="43"/>
      <c r="C452" s="43"/>
    </row>
    <row r="453" customFormat="false" ht="15" hidden="false" customHeight="true" outlineLevel="0" collapsed="false">
      <c r="B453" s="43"/>
      <c r="C453" s="43"/>
    </row>
    <row r="454" customFormat="false" ht="15" hidden="false" customHeight="true" outlineLevel="0" collapsed="false">
      <c r="B454" s="43"/>
      <c r="C454" s="43"/>
    </row>
    <row r="455" customFormat="false" ht="15" hidden="false" customHeight="true" outlineLevel="0" collapsed="false">
      <c r="B455" s="43"/>
      <c r="C455" s="43"/>
    </row>
    <row r="456" customFormat="false" ht="15" hidden="false" customHeight="true" outlineLevel="0" collapsed="false">
      <c r="B456" s="43"/>
      <c r="C456" s="43"/>
    </row>
    <row r="457" customFormat="false" ht="15" hidden="false" customHeight="true" outlineLevel="0" collapsed="false">
      <c r="B457" s="43"/>
      <c r="C457" s="43"/>
    </row>
    <row r="458" customFormat="false" ht="15" hidden="false" customHeight="true" outlineLevel="0" collapsed="false">
      <c r="B458" s="43"/>
      <c r="C458" s="43"/>
    </row>
    <row r="459" customFormat="false" ht="15" hidden="false" customHeight="true" outlineLevel="0" collapsed="false">
      <c r="B459" s="43"/>
      <c r="C459" s="43"/>
    </row>
    <row r="460" customFormat="false" ht="15" hidden="false" customHeight="true" outlineLevel="0" collapsed="false">
      <c r="B460" s="43"/>
      <c r="C460" s="43"/>
    </row>
    <row r="461" customFormat="false" ht="15" hidden="false" customHeight="true" outlineLevel="0" collapsed="false">
      <c r="B461" s="43"/>
      <c r="C461" s="43"/>
    </row>
    <row r="462" customFormat="false" ht="15" hidden="false" customHeight="true" outlineLevel="0" collapsed="false">
      <c r="B462" s="43"/>
      <c r="C462" s="43"/>
    </row>
    <row r="463" customFormat="false" ht="15" hidden="false" customHeight="true" outlineLevel="0" collapsed="false">
      <c r="B463" s="43"/>
      <c r="C463" s="43"/>
    </row>
    <row r="464" customFormat="false" ht="15" hidden="false" customHeight="true" outlineLevel="0" collapsed="false">
      <c r="B464" s="43"/>
      <c r="C464" s="43"/>
    </row>
    <row r="465" customFormat="false" ht="15" hidden="false" customHeight="true" outlineLevel="0" collapsed="false">
      <c r="B465" s="43"/>
      <c r="C465" s="43"/>
    </row>
    <row r="466" customFormat="false" ht="15" hidden="false" customHeight="true" outlineLevel="0" collapsed="false">
      <c r="B466" s="43"/>
      <c r="C466" s="43"/>
    </row>
    <row r="467" customFormat="false" ht="15" hidden="false" customHeight="true" outlineLevel="0" collapsed="false">
      <c r="B467" s="43"/>
      <c r="C467" s="43"/>
    </row>
    <row r="468" customFormat="false" ht="15" hidden="false" customHeight="true" outlineLevel="0" collapsed="false">
      <c r="B468" s="43"/>
      <c r="C468" s="43"/>
    </row>
    <row r="469" customFormat="false" ht="15" hidden="false" customHeight="true" outlineLevel="0" collapsed="false">
      <c r="B469" s="43"/>
      <c r="C469" s="43"/>
    </row>
    <row r="470" customFormat="false" ht="15" hidden="false" customHeight="true" outlineLevel="0" collapsed="false">
      <c r="B470" s="43"/>
      <c r="C470" s="43"/>
    </row>
    <row r="471" customFormat="false" ht="15" hidden="false" customHeight="true" outlineLevel="0" collapsed="false">
      <c r="B471" s="43"/>
      <c r="C471" s="43"/>
    </row>
    <row r="472" customFormat="false" ht="15" hidden="false" customHeight="true" outlineLevel="0" collapsed="false">
      <c r="B472" s="43"/>
      <c r="C472" s="43"/>
    </row>
    <row r="473" customFormat="false" ht="15" hidden="false" customHeight="true" outlineLevel="0" collapsed="false">
      <c r="B473" s="43"/>
      <c r="C473" s="43"/>
    </row>
    <row r="474" customFormat="false" ht="15" hidden="false" customHeight="true" outlineLevel="0" collapsed="false">
      <c r="B474" s="43"/>
      <c r="C474" s="43"/>
    </row>
    <row r="475" customFormat="false" ht="15" hidden="false" customHeight="true" outlineLevel="0" collapsed="false">
      <c r="B475" s="43"/>
      <c r="C475" s="43"/>
    </row>
    <row r="476" customFormat="false" ht="15" hidden="false" customHeight="true" outlineLevel="0" collapsed="false">
      <c r="B476" s="43"/>
      <c r="C476" s="43"/>
    </row>
    <row r="477" customFormat="false" ht="15" hidden="false" customHeight="true" outlineLevel="0" collapsed="false">
      <c r="B477" s="43"/>
      <c r="C477" s="43"/>
    </row>
    <row r="478" customFormat="false" ht="15" hidden="false" customHeight="true" outlineLevel="0" collapsed="false">
      <c r="B478" s="43"/>
      <c r="C478" s="43"/>
    </row>
    <row r="479" customFormat="false" ht="15" hidden="false" customHeight="true" outlineLevel="0" collapsed="false">
      <c r="B479" s="43"/>
      <c r="C479" s="43"/>
    </row>
    <row r="480" customFormat="false" ht="15" hidden="false" customHeight="true" outlineLevel="0" collapsed="false">
      <c r="B480" s="43"/>
      <c r="C480" s="43"/>
    </row>
    <row r="481" customFormat="false" ht="15" hidden="false" customHeight="true" outlineLevel="0" collapsed="false">
      <c r="B481" s="43"/>
      <c r="C481" s="43"/>
    </row>
    <row r="482" customFormat="false" ht="15" hidden="false" customHeight="true" outlineLevel="0" collapsed="false">
      <c r="B482" s="43"/>
      <c r="C482" s="43"/>
    </row>
    <row r="483" customFormat="false" ht="15" hidden="false" customHeight="true" outlineLevel="0" collapsed="false">
      <c r="B483" s="43"/>
      <c r="C483" s="43"/>
    </row>
    <row r="484" customFormat="false" ht="15" hidden="false" customHeight="true" outlineLevel="0" collapsed="false">
      <c r="B484" s="43"/>
      <c r="C484" s="43"/>
    </row>
    <row r="485" customFormat="false" ht="15" hidden="false" customHeight="true" outlineLevel="0" collapsed="false">
      <c r="B485" s="43"/>
      <c r="C485" s="43"/>
    </row>
    <row r="486" customFormat="false" ht="15" hidden="false" customHeight="true" outlineLevel="0" collapsed="false">
      <c r="B486" s="43"/>
      <c r="C486" s="43"/>
    </row>
    <row r="487" customFormat="false" ht="15" hidden="false" customHeight="true" outlineLevel="0" collapsed="false">
      <c r="B487" s="43"/>
      <c r="C487" s="43"/>
    </row>
    <row r="488" customFormat="false" ht="15" hidden="false" customHeight="true" outlineLevel="0" collapsed="false">
      <c r="B488" s="43"/>
      <c r="C488" s="43"/>
    </row>
    <row r="489" customFormat="false" ht="15" hidden="false" customHeight="true" outlineLevel="0" collapsed="false">
      <c r="B489" s="43"/>
      <c r="C489" s="43"/>
    </row>
    <row r="490" customFormat="false" ht="15" hidden="false" customHeight="true" outlineLevel="0" collapsed="false">
      <c r="B490" s="43"/>
      <c r="C490" s="43"/>
    </row>
    <row r="491" customFormat="false" ht="15" hidden="false" customHeight="true" outlineLevel="0" collapsed="false">
      <c r="B491" s="43"/>
      <c r="C491" s="43"/>
    </row>
    <row r="492" customFormat="false" ht="15" hidden="false" customHeight="true" outlineLevel="0" collapsed="false">
      <c r="B492" s="43"/>
      <c r="C492" s="43"/>
    </row>
    <row r="493" customFormat="false" ht="15" hidden="false" customHeight="true" outlineLevel="0" collapsed="false">
      <c r="B493" s="43"/>
      <c r="C493" s="43"/>
    </row>
    <row r="494" customFormat="false" ht="15" hidden="false" customHeight="true" outlineLevel="0" collapsed="false">
      <c r="B494" s="43"/>
      <c r="C494" s="43"/>
    </row>
    <row r="495" customFormat="false" ht="15" hidden="false" customHeight="true" outlineLevel="0" collapsed="false">
      <c r="B495" s="43"/>
      <c r="C495" s="43"/>
    </row>
    <row r="496" customFormat="false" ht="15" hidden="false" customHeight="true" outlineLevel="0" collapsed="false">
      <c r="B496" s="43"/>
      <c r="C496" s="43"/>
    </row>
    <row r="497" customFormat="false" ht="15" hidden="false" customHeight="true" outlineLevel="0" collapsed="false">
      <c r="B497" s="43"/>
      <c r="C497" s="43"/>
    </row>
    <row r="498" customFormat="false" ht="15" hidden="false" customHeight="true" outlineLevel="0" collapsed="false">
      <c r="B498" s="43"/>
      <c r="C498" s="43"/>
    </row>
    <row r="499" customFormat="false" ht="15" hidden="false" customHeight="true" outlineLevel="0" collapsed="false">
      <c r="B499" s="43"/>
      <c r="C499" s="43"/>
    </row>
    <row r="500" customFormat="false" ht="15" hidden="false" customHeight="true" outlineLevel="0" collapsed="false">
      <c r="B500" s="43"/>
      <c r="C500" s="43"/>
    </row>
    <row r="501" customFormat="false" ht="15" hidden="false" customHeight="true" outlineLevel="0" collapsed="false">
      <c r="B501" s="43"/>
      <c r="C501" s="43"/>
    </row>
    <row r="502" customFormat="false" ht="15" hidden="false" customHeight="true" outlineLevel="0" collapsed="false">
      <c r="B502" s="43"/>
      <c r="C502" s="43"/>
    </row>
    <row r="503" customFormat="false" ht="15" hidden="false" customHeight="true" outlineLevel="0" collapsed="false">
      <c r="B503" s="43"/>
      <c r="C503" s="43"/>
    </row>
    <row r="504" customFormat="false" ht="15" hidden="false" customHeight="true" outlineLevel="0" collapsed="false">
      <c r="B504" s="43"/>
      <c r="C504" s="43"/>
    </row>
    <row r="505" customFormat="false" ht="15" hidden="false" customHeight="true" outlineLevel="0" collapsed="false">
      <c r="B505" s="43"/>
      <c r="C505" s="43"/>
    </row>
    <row r="506" customFormat="false" ht="15" hidden="false" customHeight="true" outlineLevel="0" collapsed="false">
      <c r="B506" s="43"/>
      <c r="C506" s="43"/>
    </row>
    <row r="507" customFormat="false" ht="15" hidden="false" customHeight="true" outlineLevel="0" collapsed="false">
      <c r="B507" s="43"/>
      <c r="C507" s="43"/>
    </row>
    <row r="508" customFormat="false" ht="15" hidden="false" customHeight="true" outlineLevel="0" collapsed="false">
      <c r="B508" s="43"/>
      <c r="C508" s="43"/>
    </row>
    <row r="509" customFormat="false" ht="15" hidden="false" customHeight="true" outlineLevel="0" collapsed="false">
      <c r="B509" s="43"/>
      <c r="C509" s="43"/>
    </row>
    <row r="510" customFormat="false" ht="15" hidden="false" customHeight="true" outlineLevel="0" collapsed="false">
      <c r="B510" s="43"/>
      <c r="C510" s="43"/>
    </row>
    <row r="511" customFormat="false" ht="15" hidden="false" customHeight="true" outlineLevel="0" collapsed="false">
      <c r="B511" s="43"/>
      <c r="C511" s="43"/>
    </row>
    <row r="512" customFormat="false" ht="15" hidden="false" customHeight="true" outlineLevel="0" collapsed="false">
      <c r="B512" s="43"/>
      <c r="C512" s="43"/>
    </row>
    <row r="513" customFormat="false" ht="15" hidden="false" customHeight="true" outlineLevel="0" collapsed="false">
      <c r="B513" s="43"/>
      <c r="C513" s="43"/>
    </row>
    <row r="514" customFormat="false" ht="15" hidden="false" customHeight="true" outlineLevel="0" collapsed="false">
      <c r="B514" s="43"/>
      <c r="C514" s="43"/>
    </row>
    <row r="515" customFormat="false" ht="15" hidden="false" customHeight="true" outlineLevel="0" collapsed="false">
      <c r="B515" s="43"/>
      <c r="C515" s="43"/>
    </row>
    <row r="516" customFormat="false" ht="15" hidden="false" customHeight="true" outlineLevel="0" collapsed="false">
      <c r="B516" s="43"/>
      <c r="C516" s="43"/>
    </row>
    <row r="517" customFormat="false" ht="15" hidden="false" customHeight="true" outlineLevel="0" collapsed="false">
      <c r="B517" s="43"/>
      <c r="C517" s="43"/>
    </row>
    <row r="518" customFormat="false" ht="15" hidden="false" customHeight="true" outlineLevel="0" collapsed="false">
      <c r="B518" s="43"/>
      <c r="C518" s="43"/>
    </row>
    <row r="519" customFormat="false" ht="15" hidden="false" customHeight="true" outlineLevel="0" collapsed="false">
      <c r="B519" s="43"/>
      <c r="C519" s="43"/>
    </row>
    <row r="520" customFormat="false" ht="15" hidden="false" customHeight="true" outlineLevel="0" collapsed="false">
      <c r="B520" s="43"/>
      <c r="C520" s="43"/>
    </row>
    <row r="521" customFormat="false" ht="15" hidden="false" customHeight="true" outlineLevel="0" collapsed="false">
      <c r="B521" s="43"/>
      <c r="C521" s="43"/>
    </row>
    <row r="522" customFormat="false" ht="15" hidden="false" customHeight="true" outlineLevel="0" collapsed="false">
      <c r="B522" s="43"/>
      <c r="C522" s="43"/>
    </row>
    <row r="523" customFormat="false" ht="15" hidden="false" customHeight="true" outlineLevel="0" collapsed="false">
      <c r="B523" s="43"/>
      <c r="C523" s="43"/>
    </row>
    <row r="524" customFormat="false" ht="15" hidden="false" customHeight="true" outlineLevel="0" collapsed="false">
      <c r="B524" s="43"/>
      <c r="C524" s="43"/>
    </row>
    <row r="525" customFormat="false" ht="15" hidden="false" customHeight="true" outlineLevel="0" collapsed="false">
      <c r="B525" s="43"/>
      <c r="C525" s="43"/>
    </row>
    <row r="526" customFormat="false" ht="15" hidden="false" customHeight="true" outlineLevel="0" collapsed="false">
      <c r="B526" s="43"/>
      <c r="C526" s="43"/>
    </row>
    <row r="527" customFormat="false" ht="15" hidden="false" customHeight="true" outlineLevel="0" collapsed="false">
      <c r="B527" s="43"/>
      <c r="C527" s="43"/>
    </row>
    <row r="528" customFormat="false" ht="15" hidden="false" customHeight="true" outlineLevel="0" collapsed="false">
      <c r="B528" s="43"/>
      <c r="C528" s="43"/>
    </row>
    <row r="529" customFormat="false" ht="15" hidden="false" customHeight="true" outlineLevel="0" collapsed="false">
      <c r="B529" s="43"/>
      <c r="C529" s="43"/>
    </row>
    <row r="530" customFormat="false" ht="15" hidden="false" customHeight="true" outlineLevel="0" collapsed="false">
      <c r="B530" s="43"/>
      <c r="C530" s="43"/>
    </row>
    <row r="531" customFormat="false" ht="15" hidden="false" customHeight="true" outlineLevel="0" collapsed="false">
      <c r="B531" s="43"/>
      <c r="C531" s="43"/>
    </row>
    <row r="532" customFormat="false" ht="15" hidden="false" customHeight="true" outlineLevel="0" collapsed="false">
      <c r="B532" s="43"/>
      <c r="C532" s="43"/>
    </row>
    <row r="533" customFormat="false" ht="15" hidden="false" customHeight="true" outlineLevel="0" collapsed="false">
      <c r="B533" s="43"/>
      <c r="C533" s="43"/>
    </row>
    <row r="534" customFormat="false" ht="15" hidden="false" customHeight="true" outlineLevel="0" collapsed="false">
      <c r="B534" s="43"/>
      <c r="C534" s="43"/>
    </row>
    <row r="535" customFormat="false" ht="15" hidden="false" customHeight="true" outlineLevel="0" collapsed="false">
      <c r="B535" s="43"/>
      <c r="C535" s="43"/>
    </row>
    <row r="536" customFormat="false" ht="15" hidden="false" customHeight="true" outlineLevel="0" collapsed="false">
      <c r="B536" s="43"/>
      <c r="C536" s="43"/>
    </row>
    <row r="537" customFormat="false" ht="15" hidden="false" customHeight="true" outlineLevel="0" collapsed="false">
      <c r="B537" s="43"/>
      <c r="C537" s="43"/>
    </row>
    <row r="538" customFormat="false" ht="15" hidden="false" customHeight="true" outlineLevel="0" collapsed="false">
      <c r="B538" s="43"/>
      <c r="C538" s="43"/>
    </row>
    <row r="539" customFormat="false" ht="15" hidden="false" customHeight="true" outlineLevel="0" collapsed="false">
      <c r="B539" s="43"/>
      <c r="C539" s="43"/>
    </row>
    <row r="540" customFormat="false" ht="15" hidden="false" customHeight="true" outlineLevel="0" collapsed="false">
      <c r="B540" s="43"/>
      <c r="C540" s="43"/>
    </row>
    <row r="541" customFormat="false" ht="15" hidden="false" customHeight="true" outlineLevel="0" collapsed="false">
      <c r="B541" s="43"/>
      <c r="C541" s="43"/>
    </row>
    <row r="542" customFormat="false" ht="15" hidden="false" customHeight="true" outlineLevel="0" collapsed="false">
      <c r="B542" s="43"/>
      <c r="C542" s="43"/>
    </row>
    <row r="543" customFormat="false" ht="15" hidden="false" customHeight="true" outlineLevel="0" collapsed="false">
      <c r="B543" s="43"/>
      <c r="C543" s="43"/>
    </row>
    <row r="544" customFormat="false" ht="15" hidden="false" customHeight="true" outlineLevel="0" collapsed="false">
      <c r="B544" s="43"/>
      <c r="C544" s="43"/>
    </row>
    <row r="545" customFormat="false" ht="15" hidden="false" customHeight="true" outlineLevel="0" collapsed="false">
      <c r="B545" s="43"/>
      <c r="C545" s="43"/>
    </row>
    <row r="546" customFormat="false" ht="15" hidden="false" customHeight="true" outlineLevel="0" collapsed="false">
      <c r="B546" s="43"/>
      <c r="C546" s="43"/>
    </row>
    <row r="547" customFormat="false" ht="15" hidden="false" customHeight="true" outlineLevel="0" collapsed="false">
      <c r="B547" s="43"/>
      <c r="C547" s="43"/>
    </row>
    <row r="548" customFormat="false" ht="15" hidden="false" customHeight="true" outlineLevel="0" collapsed="false">
      <c r="B548" s="43"/>
      <c r="C548" s="43"/>
    </row>
    <row r="549" customFormat="false" ht="15" hidden="false" customHeight="true" outlineLevel="0" collapsed="false">
      <c r="B549" s="43"/>
      <c r="C549" s="43"/>
    </row>
    <row r="550" customFormat="false" ht="15" hidden="false" customHeight="true" outlineLevel="0" collapsed="false">
      <c r="B550" s="43"/>
      <c r="C550" s="43"/>
    </row>
    <row r="551" customFormat="false" ht="15" hidden="false" customHeight="true" outlineLevel="0" collapsed="false">
      <c r="B551" s="43"/>
      <c r="C551" s="43"/>
    </row>
    <row r="552" customFormat="false" ht="15" hidden="false" customHeight="true" outlineLevel="0" collapsed="false">
      <c r="B552" s="43"/>
      <c r="C552" s="43"/>
    </row>
    <row r="553" customFormat="false" ht="15" hidden="false" customHeight="true" outlineLevel="0" collapsed="false">
      <c r="B553" s="43"/>
      <c r="C553" s="43"/>
    </row>
    <row r="554" customFormat="false" ht="15" hidden="false" customHeight="true" outlineLevel="0" collapsed="false">
      <c r="B554" s="43"/>
      <c r="C554" s="43"/>
    </row>
    <row r="555" customFormat="false" ht="15" hidden="false" customHeight="true" outlineLevel="0" collapsed="false">
      <c r="B555" s="43"/>
      <c r="C555" s="43"/>
    </row>
    <row r="556" customFormat="false" ht="15" hidden="false" customHeight="true" outlineLevel="0" collapsed="false">
      <c r="B556" s="43"/>
      <c r="C556" s="43"/>
    </row>
    <row r="557" customFormat="false" ht="15" hidden="false" customHeight="true" outlineLevel="0" collapsed="false">
      <c r="B557" s="43"/>
      <c r="C557" s="43"/>
    </row>
    <row r="558" customFormat="false" ht="15" hidden="false" customHeight="true" outlineLevel="0" collapsed="false">
      <c r="B558" s="43"/>
      <c r="C558" s="43"/>
    </row>
    <row r="559" customFormat="false" ht="15" hidden="false" customHeight="true" outlineLevel="0" collapsed="false">
      <c r="B559" s="43"/>
      <c r="C559" s="43"/>
    </row>
    <row r="560" customFormat="false" ht="15" hidden="false" customHeight="true" outlineLevel="0" collapsed="false">
      <c r="B560" s="43"/>
      <c r="C560" s="43"/>
    </row>
    <row r="561" customFormat="false" ht="15" hidden="false" customHeight="true" outlineLevel="0" collapsed="false">
      <c r="B561" s="43"/>
      <c r="C561" s="43"/>
    </row>
    <row r="562" customFormat="false" ht="15" hidden="false" customHeight="true" outlineLevel="0" collapsed="false">
      <c r="B562" s="43"/>
      <c r="C562" s="43"/>
    </row>
    <row r="563" customFormat="false" ht="15" hidden="false" customHeight="true" outlineLevel="0" collapsed="false">
      <c r="B563" s="43"/>
      <c r="C563" s="43"/>
    </row>
    <row r="564" customFormat="false" ht="15" hidden="false" customHeight="true" outlineLevel="0" collapsed="false">
      <c r="B564" s="43"/>
      <c r="C564" s="43"/>
    </row>
    <row r="565" customFormat="false" ht="15" hidden="false" customHeight="true" outlineLevel="0" collapsed="false">
      <c r="B565" s="43"/>
      <c r="C565" s="43"/>
    </row>
    <row r="566" customFormat="false" ht="15" hidden="false" customHeight="true" outlineLevel="0" collapsed="false">
      <c r="B566" s="43"/>
      <c r="C566" s="43"/>
    </row>
    <row r="567" customFormat="false" ht="15" hidden="false" customHeight="true" outlineLevel="0" collapsed="false">
      <c r="B567" s="43"/>
      <c r="C567" s="43"/>
    </row>
    <row r="568" customFormat="false" ht="15" hidden="false" customHeight="true" outlineLevel="0" collapsed="false">
      <c r="B568" s="43"/>
      <c r="C568" s="43"/>
    </row>
    <row r="569" customFormat="false" ht="15" hidden="false" customHeight="true" outlineLevel="0" collapsed="false">
      <c r="B569" s="43"/>
      <c r="C569" s="43"/>
    </row>
    <row r="570" customFormat="false" ht="15" hidden="false" customHeight="true" outlineLevel="0" collapsed="false">
      <c r="B570" s="43"/>
      <c r="C570" s="43"/>
    </row>
    <row r="571" customFormat="false" ht="15" hidden="false" customHeight="true" outlineLevel="0" collapsed="false">
      <c r="B571" s="43"/>
      <c r="C571" s="43"/>
    </row>
    <row r="572" customFormat="false" ht="15" hidden="false" customHeight="true" outlineLevel="0" collapsed="false">
      <c r="B572" s="43"/>
      <c r="C572" s="43"/>
    </row>
    <row r="573" customFormat="false" ht="15" hidden="false" customHeight="true" outlineLevel="0" collapsed="false">
      <c r="B573" s="43"/>
      <c r="C573" s="43"/>
    </row>
    <row r="574" customFormat="false" ht="15" hidden="false" customHeight="true" outlineLevel="0" collapsed="false">
      <c r="B574" s="43"/>
      <c r="C574" s="43"/>
    </row>
    <row r="575" customFormat="false" ht="15" hidden="false" customHeight="true" outlineLevel="0" collapsed="false">
      <c r="B575" s="43"/>
      <c r="C575" s="43"/>
    </row>
    <row r="576" customFormat="false" ht="15" hidden="false" customHeight="true" outlineLevel="0" collapsed="false">
      <c r="B576" s="43"/>
      <c r="C576" s="43"/>
    </row>
    <row r="577" customFormat="false" ht="15" hidden="false" customHeight="true" outlineLevel="0" collapsed="false">
      <c r="B577" s="43"/>
      <c r="C577" s="43"/>
    </row>
    <row r="578" customFormat="false" ht="15" hidden="false" customHeight="true" outlineLevel="0" collapsed="false">
      <c r="B578" s="43"/>
      <c r="C578" s="43"/>
    </row>
    <row r="579" customFormat="false" ht="15" hidden="false" customHeight="true" outlineLevel="0" collapsed="false">
      <c r="B579" s="43"/>
      <c r="C579" s="43"/>
    </row>
    <row r="580" customFormat="false" ht="15" hidden="false" customHeight="true" outlineLevel="0" collapsed="false">
      <c r="B580" s="43"/>
      <c r="C580" s="43"/>
    </row>
    <row r="581" customFormat="false" ht="15" hidden="false" customHeight="true" outlineLevel="0" collapsed="false">
      <c r="B581" s="43"/>
      <c r="C581" s="43"/>
    </row>
    <row r="582" customFormat="false" ht="15" hidden="false" customHeight="true" outlineLevel="0" collapsed="false">
      <c r="B582" s="43"/>
      <c r="C582" s="43"/>
    </row>
    <row r="583" customFormat="false" ht="15" hidden="false" customHeight="true" outlineLevel="0" collapsed="false">
      <c r="B583" s="43"/>
      <c r="C583" s="43"/>
    </row>
    <row r="584" customFormat="false" ht="15" hidden="false" customHeight="true" outlineLevel="0" collapsed="false">
      <c r="B584" s="43"/>
      <c r="C584" s="43"/>
    </row>
    <row r="585" customFormat="false" ht="15" hidden="false" customHeight="true" outlineLevel="0" collapsed="false">
      <c r="B585" s="43"/>
      <c r="C585" s="43"/>
    </row>
    <row r="586" customFormat="false" ht="15" hidden="false" customHeight="true" outlineLevel="0" collapsed="false">
      <c r="B586" s="43"/>
      <c r="C586" s="43"/>
    </row>
    <row r="587" customFormat="false" ht="15" hidden="false" customHeight="true" outlineLevel="0" collapsed="false">
      <c r="B587" s="43"/>
      <c r="C587" s="43"/>
    </row>
    <row r="588" customFormat="false" ht="15" hidden="false" customHeight="true" outlineLevel="0" collapsed="false">
      <c r="B588" s="43"/>
      <c r="C588" s="43"/>
    </row>
    <row r="589" customFormat="false" ht="15" hidden="false" customHeight="true" outlineLevel="0" collapsed="false">
      <c r="B589" s="43"/>
      <c r="C589" s="43"/>
    </row>
    <row r="590" customFormat="false" ht="15" hidden="false" customHeight="true" outlineLevel="0" collapsed="false">
      <c r="B590" s="43"/>
      <c r="C590" s="43"/>
    </row>
    <row r="591" customFormat="false" ht="15" hidden="false" customHeight="true" outlineLevel="0" collapsed="false">
      <c r="B591" s="43"/>
      <c r="C591" s="43"/>
    </row>
    <row r="592" customFormat="false" ht="15" hidden="false" customHeight="true" outlineLevel="0" collapsed="false">
      <c r="B592" s="43"/>
      <c r="C592" s="43"/>
    </row>
    <row r="593" customFormat="false" ht="15" hidden="false" customHeight="true" outlineLevel="0" collapsed="false">
      <c r="B593" s="43"/>
      <c r="C593" s="43"/>
    </row>
    <row r="594" customFormat="false" ht="15" hidden="false" customHeight="true" outlineLevel="0" collapsed="false">
      <c r="B594" s="43"/>
      <c r="C594" s="43"/>
    </row>
    <row r="595" customFormat="false" ht="15" hidden="false" customHeight="true" outlineLevel="0" collapsed="false">
      <c r="B595" s="43"/>
      <c r="C595" s="43"/>
    </row>
    <row r="596" customFormat="false" ht="15" hidden="false" customHeight="true" outlineLevel="0" collapsed="false">
      <c r="B596" s="43"/>
      <c r="C596" s="43"/>
    </row>
    <row r="597" customFormat="false" ht="15" hidden="false" customHeight="true" outlineLevel="0" collapsed="false">
      <c r="B597" s="43"/>
      <c r="C597" s="43"/>
    </row>
    <row r="598" customFormat="false" ht="15" hidden="false" customHeight="true" outlineLevel="0" collapsed="false">
      <c r="B598" s="43"/>
      <c r="C598" s="43"/>
    </row>
    <row r="599" customFormat="false" ht="15" hidden="false" customHeight="true" outlineLevel="0" collapsed="false">
      <c r="B599" s="43"/>
      <c r="C599" s="43"/>
    </row>
    <row r="600" customFormat="false" ht="15" hidden="false" customHeight="true" outlineLevel="0" collapsed="false">
      <c r="B600" s="43"/>
      <c r="C600" s="43"/>
    </row>
    <row r="601" customFormat="false" ht="15" hidden="false" customHeight="true" outlineLevel="0" collapsed="false">
      <c r="B601" s="43"/>
      <c r="C601" s="43"/>
    </row>
    <row r="602" customFormat="false" ht="15" hidden="false" customHeight="true" outlineLevel="0" collapsed="false">
      <c r="B602" s="43"/>
      <c r="C602" s="43"/>
    </row>
    <row r="603" customFormat="false" ht="15" hidden="false" customHeight="true" outlineLevel="0" collapsed="false">
      <c r="B603" s="43"/>
      <c r="C603" s="43"/>
    </row>
    <row r="604" customFormat="false" ht="15" hidden="false" customHeight="true" outlineLevel="0" collapsed="false">
      <c r="B604" s="43"/>
      <c r="C604" s="43"/>
    </row>
    <row r="605" customFormat="false" ht="15" hidden="false" customHeight="true" outlineLevel="0" collapsed="false">
      <c r="B605" s="43"/>
      <c r="C605" s="43"/>
    </row>
    <row r="606" customFormat="false" ht="15" hidden="false" customHeight="true" outlineLevel="0" collapsed="false">
      <c r="B606" s="43"/>
      <c r="C606" s="43"/>
    </row>
    <row r="607" customFormat="false" ht="15" hidden="false" customHeight="true" outlineLevel="0" collapsed="false">
      <c r="B607" s="43"/>
      <c r="C607" s="43"/>
    </row>
    <row r="608" customFormat="false" ht="15" hidden="false" customHeight="true" outlineLevel="0" collapsed="false">
      <c r="B608" s="43"/>
      <c r="C608" s="43"/>
    </row>
    <row r="609" customFormat="false" ht="15" hidden="false" customHeight="true" outlineLevel="0" collapsed="false">
      <c r="B609" s="43"/>
      <c r="C609" s="43"/>
    </row>
    <row r="610" customFormat="false" ht="15" hidden="false" customHeight="true" outlineLevel="0" collapsed="false">
      <c r="B610" s="43"/>
      <c r="C610" s="43"/>
    </row>
    <row r="611" customFormat="false" ht="15" hidden="false" customHeight="true" outlineLevel="0" collapsed="false">
      <c r="B611" s="43"/>
      <c r="C611" s="43"/>
    </row>
    <row r="612" customFormat="false" ht="15" hidden="false" customHeight="true" outlineLevel="0" collapsed="false">
      <c r="B612" s="43"/>
      <c r="C612" s="43"/>
    </row>
    <row r="613" customFormat="false" ht="15" hidden="false" customHeight="true" outlineLevel="0" collapsed="false">
      <c r="B613" s="43"/>
      <c r="C613" s="43"/>
    </row>
    <row r="614" customFormat="false" ht="15" hidden="false" customHeight="true" outlineLevel="0" collapsed="false">
      <c r="B614" s="43"/>
      <c r="C614" s="43"/>
    </row>
    <row r="615" customFormat="false" ht="15" hidden="false" customHeight="true" outlineLevel="0" collapsed="false">
      <c r="B615" s="43"/>
      <c r="C615" s="43"/>
    </row>
    <row r="616" customFormat="false" ht="15" hidden="false" customHeight="true" outlineLevel="0" collapsed="false">
      <c r="B616" s="43"/>
      <c r="C616" s="43"/>
    </row>
    <row r="617" customFormat="false" ht="15" hidden="false" customHeight="true" outlineLevel="0" collapsed="false">
      <c r="B617" s="43"/>
      <c r="C617" s="43"/>
    </row>
    <row r="618" customFormat="false" ht="15" hidden="false" customHeight="true" outlineLevel="0" collapsed="false">
      <c r="B618" s="43"/>
      <c r="C618" s="43"/>
    </row>
    <row r="619" customFormat="false" ht="15" hidden="false" customHeight="true" outlineLevel="0" collapsed="false">
      <c r="B619" s="43"/>
      <c r="C619" s="43"/>
    </row>
    <row r="620" customFormat="false" ht="15" hidden="false" customHeight="true" outlineLevel="0" collapsed="false">
      <c r="B620" s="43"/>
      <c r="C620" s="43"/>
    </row>
    <row r="621" customFormat="false" ht="15" hidden="false" customHeight="true" outlineLevel="0" collapsed="false">
      <c r="B621" s="43"/>
      <c r="C621" s="43"/>
    </row>
    <row r="622" customFormat="false" ht="15" hidden="false" customHeight="true" outlineLevel="0" collapsed="false">
      <c r="B622" s="43"/>
      <c r="C622" s="43"/>
    </row>
    <row r="623" customFormat="false" ht="15" hidden="false" customHeight="true" outlineLevel="0" collapsed="false">
      <c r="B623" s="43"/>
      <c r="C623" s="43"/>
    </row>
    <row r="624" customFormat="false" ht="15" hidden="false" customHeight="true" outlineLevel="0" collapsed="false">
      <c r="B624" s="43"/>
      <c r="C624" s="43"/>
    </row>
    <row r="625" customFormat="false" ht="15" hidden="false" customHeight="true" outlineLevel="0" collapsed="false">
      <c r="B625" s="43"/>
      <c r="C625" s="43"/>
    </row>
    <row r="626" customFormat="false" ht="15" hidden="false" customHeight="true" outlineLevel="0" collapsed="false">
      <c r="B626" s="43"/>
      <c r="C626" s="43"/>
    </row>
    <row r="627" customFormat="false" ht="15" hidden="false" customHeight="true" outlineLevel="0" collapsed="false">
      <c r="B627" s="43"/>
      <c r="C627" s="43"/>
    </row>
    <row r="628" customFormat="false" ht="15" hidden="false" customHeight="true" outlineLevel="0" collapsed="false">
      <c r="B628" s="43"/>
      <c r="C628" s="43"/>
    </row>
    <row r="629" customFormat="false" ht="15" hidden="false" customHeight="true" outlineLevel="0" collapsed="false">
      <c r="B629" s="43"/>
      <c r="C629" s="43"/>
    </row>
    <row r="630" customFormat="false" ht="15" hidden="false" customHeight="true" outlineLevel="0" collapsed="false">
      <c r="B630" s="43"/>
      <c r="C630" s="43"/>
    </row>
    <row r="631" customFormat="false" ht="15" hidden="false" customHeight="true" outlineLevel="0" collapsed="false">
      <c r="B631" s="43"/>
      <c r="C631" s="43"/>
    </row>
    <row r="632" customFormat="false" ht="15" hidden="false" customHeight="true" outlineLevel="0" collapsed="false">
      <c r="B632" s="43"/>
      <c r="C632" s="43"/>
    </row>
    <row r="633" customFormat="false" ht="15" hidden="false" customHeight="true" outlineLevel="0" collapsed="false">
      <c r="B633" s="43"/>
      <c r="C633" s="43"/>
    </row>
    <row r="634" customFormat="false" ht="15" hidden="false" customHeight="true" outlineLevel="0" collapsed="false">
      <c r="B634" s="43"/>
      <c r="C634" s="43"/>
    </row>
    <row r="635" customFormat="false" ht="15" hidden="false" customHeight="true" outlineLevel="0" collapsed="false">
      <c r="B635" s="43"/>
      <c r="C635" s="43"/>
    </row>
    <row r="636" customFormat="false" ht="15" hidden="false" customHeight="true" outlineLevel="0" collapsed="false">
      <c r="B636" s="43"/>
      <c r="C636" s="43"/>
    </row>
    <row r="637" customFormat="false" ht="15" hidden="false" customHeight="true" outlineLevel="0" collapsed="false">
      <c r="B637" s="43"/>
      <c r="C637" s="43"/>
    </row>
    <row r="638" customFormat="false" ht="15" hidden="false" customHeight="true" outlineLevel="0" collapsed="false">
      <c r="B638" s="43"/>
      <c r="C638" s="43"/>
    </row>
    <row r="639" customFormat="false" ht="15" hidden="false" customHeight="true" outlineLevel="0" collapsed="false">
      <c r="B639" s="43"/>
      <c r="C639" s="43"/>
    </row>
    <row r="640" customFormat="false" ht="15" hidden="false" customHeight="true" outlineLevel="0" collapsed="false">
      <c r="B640" s="43"/>
      <c r="C640" s="43"/>
    </row>
    <row r="641" customFormat="false" ht="15" hidden="false" customHeight="true" outlineLevel="0" collapsed="false">
      <c r="B641" s="43"/>
      <c r="C641" s="43"/>
    </row>
    <row r="642" customFormat="false" ht="15" hidden="false" customHeight="true" outlineLevel="0" collapsed="false">
      <c r="B642" s="43"/>
      <c r="C642" s="43"/>
    </row>
    <row r="643" customFormat="false" ht="15" hidden="false" customHeight="true" outlineLevel="0" collapsed="false">
      <c r="B643" s="43"/>
      <c r="C643" s="43"/>
    </row>
    <row r="644" customFormat="false" ht="15" hidden="false" customHeight="true" outlineLevel="0" collapsed="false">
      <c r="B644" s="43"/>
      <c r="C644" s="43"/>
    </row>
    <row r="645" customFormat="false" ht="15" hidden="false" customHeight="true" outlineLevel="0" collapsed="false">
      <c r="B645" s="43"/>
      <c r="C645" s="43"/>
    </row>
    <row r="646" customFormat="false" ht="15" hidden="false" customHeight="true" outlineLevel="0" collapsed="false">
      <c r="B646" s="43"/>
      <c r="C646" s="43"/>
    </row>
    <row r="647" customFormat="false" ht="15" hidden="false" customHeight="true" outlineLevel="0" collapsed="false">
      <c r="B647" s="43"/>
      <c r="C647" s="43"/>
    </row>
    <row r="648" customFormat="false" ht="15" hidden="false" customHeight="true" outlineLevel="0" collapsed="false">
      <c r="B648" s="43"/>
      <c r="C648" s="43"/>
    </row>
    <row r="649" customFormat="false" ht="15" hidden="false" customHeight="true" outlineLevel="0" collapsed="false">
      <c r="B649" s="43"/>
      <c r="C649" s="43"/>
    </row>
    <row r="650" customFormat="false" ht="15" hidden="false" customHeight="true" outlineLevel="0" collapsed="false">
      <c r="B650" s="43"/>
      <c r="C650" s="43"/>
    </row>
    <row r="651" customFormat="false" ht="15" hidden="false" customHeight="true" outlineLevel="0" collapsed="false">
      <c r="B651" s="43"/>
      <c r="C651" s="43"/>
    </row>
    <row r="652" customFormat="false" ht="15" hidden="false" customHeight="true" outlineLevel="0" collapsed="false">
      <c r="B652" s="43"/>
      <c r="C652" s="43"/>
    </row>
    <row r="653" customFormat="false" ht="15" hidden="false" customHeight="true" outlineLevel="0" collapsed="false">
      <c r="B653" s="43"/>
      <c r="C653" s="43"/>
    </row>
    <row r="654" customFormat="false" ht="15" hidden="false" customHeight="true" outlineLevel="0" collapsed="false">
      <c r="B654" s="43"/>
      <c r="C654" s="43"/>
    </row>
    <row r="655" customFormat="false" ht="15" hidden="false" customHeight="true" outlineLevel="0" collapsed="false">
      <c r="B655" s="43"/>
      <c r="C655" s="43"/>
    </row>
    <row r="656" customFormat="false" ht="15" hidden="false" customHeight="true" outlineLevel="0" collapsed="false">
      <c r="B656" s="43"/>
      <c r="C656" s="43"/>
    </row>
    <row r="657" customFormat="false" ht="15" hidden="false" customHeight="true" outlineLevel="0" collapsed="false">
      <c r="B657" s="43"/>
      <c r="C657" s="43"/>
    </row>
    <row r="658" customFormat="false" ht="15" hidden="false" customHeight="true" outlineLevel="0" collapsed="false">
      <c r="B658" s="43"/>
      <c r="C658" s="43"/>
    </row>
    <row r="659" customFormat="false" ht="15" hidden="false" customHeight="true" outlineLevel="0" collapsed="false">
      <c r="B659" s="43"/>
      <c r="C659" s="43"/>
    </row>
    <row r="660" customFormat="false" ht="15" hidden="false" customHeight="true" outlineLevel="0" collapsed="false">
      <c r="B660" s="43"/>
      <c r="C660" s="43"/>
    </row>
    <row r="661" customFormat="false" ht="15" hidden="false" customHeight="true" outlineLevel="0" collapsed="false">
      <c r="B661" s="43"/>
      <c r="C661" s="43"/>
    </row>
    <row r="662" customFormat="false" ht="15" hidden="false" customHeight="true" outlineLevel="0" collapsed="false">
      <c r="B662" s="43"/>
      <c r="C662" s="43"/>
    </row>
    <row r="663" customFormat="false" ht="15" hidden="false" customHeight="true" outlineLevel="0" collapsed="false">
      <c r="B663" s="43"/>
      <c r="C663" s="43"/>
    </row>
    <row r="664" customFormat="false" ht="15" hidden="false" customHeight="true" outlineLevel="0" collapsed="false">
      <c r="B664" s="43"/>
      <c r="C664" s="43"/>
    </row>
    <row r="665" customFormat="false" ht="15" hidden="false" customHeight="true" outlineLevel="0" collapsed="false">
      <c r="B665" s="43"/>
      <c r="C665" s="43"/>
    </row>
    <row r="666" customFormat="false" ht="15" hidden="false" customHeight="true" outlineLevel="0" collapsed="false">
      <c r="B666" s="43"/>
      <c r="C666" s="43"/>
    </row>
    <row r="667" customFormat="false" ht="15" hidden="false" customHeight="true" outlineLevel="0" collapsed="false">
      <c r="B667" s="43"/>
      <c r="C667" s="43"/>
    </row>
    <row r="668" customFormat="false" ht="15" hidden="false" customHeight="true" outlineLevel="0" collapsed="false">
      <c r="B668" s="43"/>
      <c r="C668" s="43"/>
    </row>
    <row r="669" customFormat="false" ht="15" hidden="false" customHeight="true" outlineLevel="0" collapsed="false">
      <c r="B669" s="43"/>
      <c r="C669" s="43"/>
    </row>
    <row r="670" customFormat="false" ht="15" hidden="false" customHeight="true" outlineLevel="0" collapsed="false">
      <c r="B670" s="43"/>
      <c r="C670" s="43"/>
    </row>
    <row r="671" customFormat="false" ht="15" hidden="false" customHeight="true" outlineLevel="0" collapsed="false">
      <c r="B671" s="43"/>
      <c r="C671" s="43"/>
    </row>
    <row r="672" customFormat="false" ht="15" hidden="false" customHeight="true" outlineLevel="0" collapsed="false">
      <c r="B672" s="43"/>
      <c r="C672" s="43"/>
    </row>
    <row r="673" customFormat="false" ht="15" hidden="false" customHeight="true" outlineLevel="0" collapsed="false">
      <c r="B673" s="43"/>
      <c r="C673" s="43"/>
    </row>
    <row r="674" customFormat="false" ht="15" hidden="false" customHeight="true" outlineLevel="0" collapsed="false">
      <c r="B674" s="43"/>
      <c r="C674" s="43"/>
    </row>
    <row r="675" customFormat="false" ht="15" hidden="false" customHeight="true" outlineLevel="0" collapsed="false">
      <c r="B675" s="43"/>
      <c r="C675" s="43"/>
    </row>
    <row r="676" customFormat="false" ht="15" hidden="false" customHeight="true" outlineLevel="0" collapsed="false">
      <c r="B676" s="43"/>
      <c r="C676" s="43"/>
    </row>
    <row r="677" customFormat="false" ht="15" hidden="false" customHeight="true" outlineLevel="0" collapsed="false">
      <c r="B677" s="43"/>
      <c r="C677" s="43"/>
    </row>
    <row r="678" customFormat="false" ht="15" hidden="false" customHeight="true" outlineLevel="0" collapsed="false">
      <c r="B678" s="43"/>
      <c r="C678" s="43"/>
    </row>
    <row r="679" customFormat="false" ht="15" hidden="false" customHeight="true" outlineLevel="0" collapsed="false">
      <c r="B679" s="43"/>
      <c r="C679" s="43"/>
    </row>
    <row r="680" customFormat="false" ht="15" hidden="false" customHeight="true" outlineLevel="0" collapsed="false">
      <c r="B680" s="43"/>
      <c r="C680" s="43"/>
    </row>
    <row r="681" customFormat="false" ht="15" hidden="false" customHeight="true" outlineLevel="0" collapsed="false">
      <c r="B681" s="43"/>
      <c r="C681" s="43"/>
    </row>
    <row r="682" customFormat="false" ht="15" hidden="false" customHeight="true" outlineLevel="0" collapsed="false">
      <c r="B682" s="43"/>
      <c r="C682" s="43"/>
    </row>
    <row r="683" customFormat="false" ht="15" hidden="false" customHeight="true" outlineLevel="0" collapsed="false">
      <c r="B683" s="43"/>
      <c r="C683" s="43"/>
    </row>
    <row r="684" customFormat="false" ht="15" hidden="false" customHeight="true" outlineLevel="0" collapsed="false">
      <c r="B684" s="43"/>
      <c r="C684" s="43"/>
    </row>
    <row r="685" customFormat="false" ht="15" hidden="false" customHeight="true" outlineLevel="0" collapsed="false">
      <c r="B685" s="43"/>
      <c r="C685" s="43"/>
    </row>
    <row r="686" customFormat="false" ht="15" hidden="false" customHeight="true" outlineLevel="0" collapsed="false">
      <c r="B686" s="43"/>
      <c r="C686" s="43"/>
    </row>
    <row r="687" customFormat="false" ht="15" hidden="false" customHeight="true" outlineLevel="0" collapsed="false">
      <c r="B687" s="43"/>
      <c r="C687" s="43"/>
    </row>
    <row r="688" customFormat="false" ht="15" hidden="false" customHeight="true" outlineLevel="0" collapsed="false">
      <c r="B688" s="43"/>
      <c r="C688" s="43"/>
    </row>
    <row r="689" customFormat="false" ht="15" hidden="false" customHeight="true" outlineLevel="0" collapsed="false">
      <c r="B689" s="43"/>
      <c r="C689" s="43"/>
    </row>
    <row r="690" customFormat="false" ht="15" hidden="false" customHeight="true" outlineLevel="0" collapsed="false">
      <c r="B690" s="43"/>
      <c r="C690" s="43"/>
    </row>
    <row r="691" customFormat="false" ht="15" hidden="false" customHeight="true" outlineLevel="0" collapsed="false">
      <c r="B691" s="43"/>
      <c r="C691" s="43"/>
    </row>
    <row r="692" customFormat="false" ht="15" hidden="false" customHeight="true" outlineLevel="0" collapsed="false">
      <c r="B692" s="43"/>
      <c r="C692" s="43"/>
    </row>
    <row r="693" customFormat="false" ht="15" hidden="false" customHeight="true" outlineLevel="0" collapsed="false">
      <c r="B693" s="43"/>
      <c r="C693" s="43"/>
    </row>
    <row r="694" customFormat="false" ht="15" hidden="false" customHeight="true" outlineLevel="0" collapsed="false">
      <c r="B694" s="43"/>
      <c r="C694" s="43"/>
    </row>
    <row r="695" customFormat="false" ht="15" hidden="false" customHeight="true" outlineLevel="0" collapsed="false">
      <c r="B695" s="43"/>
      <c r="C695" s="43"/>
    </row>
    <row r="696" customFormat="false" ht="15" hidden="false" customHeight="true" outlineLevel="0" collapsed="false">
      <c r="B696" s="43"/>
      <c r="C696" s="43"/>
    </row>
    <row r="697" customFormat="false" ht="15" hidden="false" customHeight="true" outlineLevel="0" collapsed="false">
      <c r="B697" s="43"/>
      <c r="C697" s="43"/>
    </row>
    <row r="698" customFormat="false" ht="15" hidden="false" customHeight="true" outlineLevel="0" collapsed="false">
      <c r="B698" s="43"/>
      <c r="C698" s="43"/>
    </row>
    <row r="699" customFormat="false" ht="15" hidden="false" customHeight="true" outlineLevel="0" collapsed="false">
      <c r="B699" s="43"/>
      <c r="C699" s="43"/>
    </row>
    <row r="700" customFormat="false" ht="15" hidden="false" customHeight="true" outlineLevel="0" collapsed="false">
      <c r="B700" s="43"/>
      <c r="C700" s="43"/>
    </row>
    <row r="701" customFormat="false" ht="15" hidden="false" customHeight="true" outlineLevel="0" collapsed="false">
      <c r="B701" s="43"/>
      <c r="C701" s="43"/>
    </row>
    <row r="702" customFormat="false" ht="15" hidden="false" customHeight="true" outlineLevel="0" collapsed="false">
      <c r="B702" s="43"/>
      <c r="C702" s="43"/>
    </row>
    <row r="703" customFormat="false" ht="15" hidden="false" customHeight="true" outlineLevel="0" collapsed="false">
      <c r="B703" s="43"/>
      <c r="C703" s="43"/>
    </row>
    <row r="704" customFormat="false" ht="15" hidden="false" customHeight="true" outlineLevel="0" collapsed="false">
      <c r="B704" s="43"/>
      <c r="C704" s="43"/>
    </row>
    <row r="705" customFormat="false" ht="15" hidden="false" customHeight="true" outlineLevel="0" collapsed="false">
      <c r="B705" s="43"/>
      <c r="C705" s="43"/>
    </row>
    <row r="706" customFormat="false" ht="15" hidden="false" customHeight="true" outlineLevel="0" collapsed="false">
      <c r="B706" s="43"/>
      <c r="C706" s="43"/>
    </row>
    <row r="707" customFormat="false" ht="15" hidden="false" customHeight="true" outlineLevel="0" collapsed="false">
      <c r="B707" s="43"/>
      <c r="C707" s="43"/>
    </row>
    <row r="708" customFormat="false" ht="15" hidden="false" customHeight="true" outlineLevel="0" collapsed="false">
      <c r="B708" s="43"/>
      <c r="C708" s="43"/>
    </row>
    <row r="709" customFormat="false" ht="15" hidden="false" customHeight="true" outlineLevel="0" collapsed="false">
      <c r="B709" s="43"/>
      <c r="C709" s="43"/>
    </row>
    <row r="710" customFormat="false" ht="15" hidden="false" customHeight="true" outlineLevel="0" collapsed="false">
      <c r="B710" s="43"/>
      <c r="C710" s="43"/>
    </row>
    <row r="711" customFormat="false" ht="15" hidden="false" customHeight="true" outlineLevel="0" collapsed="false">
      <c r="B711" s="43"/>
      <c r="C711" s="43"/>
    </row>
    <row r="712" customFormat="false" ht="15" hidden="false" customHeight="true" outlineLevel="0" collapsed="false">
      <c r="B712" s="43"/>
      <c r="C712" s="43"/>
    </row>
    <row r="713" customFormat="false" ht="15" hidden="false" customHeight="true" outlineLevel="0" collapsed="false">
      <c r="B713" s="43"/>
      <c r="C713" s="43"/>
    </row>
    <row r="714" customFormat="false" ht="15" hidden="false" customHeight="true" outlineLevel="0" collapsed="false">
      <c r="B714" s="43"/>
      <c r="C714" s="43"/>
    </row>
    <row r="715" customFormat="false" ht="15" hidden="false" customHeight="true" outlineLevel="0" collapsed="false">
      <c r="B715" s="43"/>
      <c r="C715" s="43"/>
    </row>
    <row r="716" customFormat="false" ht="15" hidden="false" customHeight="true" outlineLevel="0" collapsed="false">
      <c r="B716" s="43"/>
      <c r="C716" s="43"/>
    </row>
    <row r="717" customFormat="false" ht="15" hidden="false" customHeight="true" outlineLevel="0" collapsed="false">
      <c r="B717" s="43"/>
      <c r="C717" s="43"/>
    </row>
    <row r="718" customFormat="false" ht="15" hidden="false" customHeight="true" outlineLevel="0" collapsed="false">
      <c r="B718" s="43"/>
      <c r="C718" s="43"/>
    </row>
    <row r="719" customFormat="false" ht="15" hidden="false" customHeight="true" outlineLevel="0" collapsed="false">
      <c r="B719" s="43"/>
      <c r="C719" s="43"/>
    </row>
    <row r="720" customFormat="false" ht="15" hidden="false" customHeight="true" outlineLevel="0" collapsed="false">
      <c r="B720" s="43"/>
      <c r="C720" s="43"/>
    </row>
    <row r="721" customFormat="false" ht="15" hidden="false" customHeight="true" outlineLevel="0" collapsed="false">
      <c r="B721" s="43"/>
      <c r="C721" s="43"/>
    </row>
    <row r="722" customFormat="false" ht="15" hidden="false" customHeight="true" outlineLevel="0" collapsed="false">
      <c r="B722" s="43"/>
      <c r="C722" s="43"/>
    </row>
    <row r="723" customFormat="false" ht="15" hidden="false" customHeight="true" outlineLevel="0" collapsed="false">
      <c r="B723" s="43"/>
      <c r="C723" s="43"/>
    </row>
    <row r="724" customFormat="false" ht="15" hidden="false" customHeight="true" outlineLevel="0" collapsed="false">
      <c r="B724" s="43"/>
      <c r="C724" s="43"/>
    </row>
    <row r="725" customFormat="false" ht="15" hidden="false" customHeight="true" outlineLevel="0" collapsed="false">
      <c r="B725" s="43"/>
      <c r="C725" s="43"/>
    </row>
    <row r="726" customFormat="false" ht="15" hidden="false" customHeight="true" outlineLevel="0" collapsed="false">
      <c r="B726" s="43"/>
      <c r="C726" s="43"/>
    </row>
    <row r="727" customFormat="false" ht="15" hidden="false" customHeight="true" outlineLevel="0" collapsed="false">
      <c r="B727" s="43"/>
      <c r="C727" s="43"/>
    </row>
    <row r="728" customFormat="false" ht="15" hidden="false" customHeight="true" outlineLevel="0" collapsed="false">
      <c r="B728" s="43"/>
      <c r="C728" s="43"/>
    </row>
    <row r="729" customFormat="false" ht="15" hidden="false" customHeight="true" outlineLevel="0" collapsed="false">
      <c r="B729" s="43"/>
      <c r="C729" s="43"/>
    </row>
    <row r="730" customFormat="false" ht="15" hidden="false" customHeight="true" outlineLevel="0" collapsed="false">
      <c r="B730" s="43"/>
      <c r="C730" s="43"/>
    </row>
    <row r="731" customFormat="false" ht="15" hidden="false" customHeight="true" outlineLevel="0" collapsed="false">
      <c r="B731" s="43"/>
      <c r="C731" s="43"/>
    </row>
    <row r="732" customFormat="false" ht="15" hidden="false" customHeight="true" outlineLevel="0" collapsed="false">
      <c r="B732" s="43"/>
      <c r="C732" s="43"/>
    </row>
    <row r="733" customFormat="false" ht="15" hidden="false" customHeight="true" outlineLevel="0" collapsed="false">
      <c r="B733" s="43"/>
      <c r="C733" s="43"/>
    </row>
    <row r="734" customFormat="false" ht="15" hidden="false" customHeight="true" outlineLevel="0" collapsed="false">
      <c r="B734" s="43"/>
      <c r="C734" s="43"/>
    </row>
    <row r="735" customFormat="false" ht="15" hidden="false" customHeight="true" outlineLevel="0" collapsed="false">
      <c r="B735" s="43"/>
      <c r="C735" s="43"/>
    </row>
    <row r="736" customFormat="false" ht="15" hidden="false" customHeight="true" outlineLevel="0" collapsed="false">
      <c r="B736" s="43"/>
      <c r="C736" s="43"/>
    </row>
    <row r="737" customFormat="false" ht="15" hidden="false" customHeight="true" outlineLevel="0" collapsed="false">
      <c r="B737" s="43"/>
      <c r="C737" s="43"/>
    </row>
    <row r="738" customFormat="false" ht="15" hidden="false" customHeight="true" outlineLevel="0" collapsed="false">
      <c r="B738" s="43"/>
      <c r="C738" s="43"/>
    </row>
    <row r="739" customFormat="false" ht="15" hidden="false" customHeight="true" outlineLevel="0" collapsed="false">
      <c r="B739" s="43"/>
      <c r="C739" s="43"/>
    </row>
    <row r="740" customFormat="false" ht="15" hidden="false" customHeight="true" outlineLevel="0" collapsed="false">
      <c r="B740" s="43"/>
      <c r="C740" s="43"/>
    </row>
    <row r="741" customFormat="false" ht="15" hidden="false" customHeight="true" outlineLevel="0" collapsed="false">
      <c r="B741" s="43"/>
      <c r="C741" s="43"/>
    </row>
    <row r="742" customFormat="false" ht="15" hidden="false" customHeight="true" outlineLevel="0" collapsed="false">
      <c r="B742" s="43"/>
      <c r="C742" s="43"/>
    </row>
    <row r="743" customFormat="false" ht="15" hidden="false" customHeight="true" outlineLevel="0" collapsed="false">
      <c r="B743" s="43"/>
      <c r="C743" s="43"/>
    </row>
    <row r="744" customFormat="false" ht="15" hidden="false" customHeight="true" outlineLevel="0" collapsed="false">
      <c r="B744" s="43"/>
      <c r="C744" s="43"/>
    </row>
    <row r="745" customFormat="false" ht="15" hidden="false" customHeight="true" outlineLevel="0" collapsed="false">
      <c r="B745" s="43"/>
      <c r="C745" s="43"/>
    </row>
    <row r="746" customFormat="false" ht="15" hidden="false" customHeight="true" outlineLevel="0" collapsed="false">
      <c r="B746" s="43"/>
      <c r="C746" s="43"/>
    </row>
    <row r="747" customFormat="false" ht="15" hidden="false" customHeight="true" outlineLevel="0" collapsed="false">
      <c r="B747" s="43"/>
      <c r="C747" s="43"/>
    </row>
    <row r="748" customFormat="false" ht="15" hidden="false" customHeight="true" outlineLevel="0" collapsed="false">
      <c r="B748" s="43"/>
      <c r="C748" s="43"/>
    </row>
    <row r="749" customFormat="false" ht="15" hidden="false" customHeight="true" outlineLevel="0" collapsed="false">
      <c r="B749" s="43"/>
      <c r="C749" s="43"/>
    </row>
    <row r="750" customFormat="false" ht="15" hidden="false" customHeight="true" outlineLevel="0" collapsed="false">
      <c r="B750" s="43"/>
      <c r="C750" s="43"/>
    </row>
    <row r="751" customFormat="false" ht="15" hidden="false" customHeight="true" outlineLevel="0" collapsed="false">
      <c r="B751" s="43"/>
      <c r="C751" s="43"/>
    </row>
    <row r="752" customFormat="false" ht="15" hidden="false" customHeight="true" outlineLevel="0" collapsed="false">
      <c r="B752" s="43"/>
      <c r="C752" s="43"/>
    </row>
    <row r="753" customFormat="false" ht="15" hidden="false" customHeight="true" outlineLevel="0" collapsed="false">
      <c r="B753" s="43"/>
      <c r="C753" s="43"/>
    </row>
    <row r="754" customFormat="false" ht="15" hidden="false" customHeight="true" outlineLevel="0" collapsed="false">
      <c r="B754" s="43"/>
      <c r="C754" s="43"/>
    </row>
    <row r="755" customFormat="false" ht="15" hidden="false" customHeight="true" outlineLevel="0" collapsed="false">
      <c r="B755" s="43"/>
      <c r="C755" s="43"/>
    </row>
    <row r="756" customFormat="false" ht="15" hidden="false" customHeight="true" outlineLevel="0" collapsed="false">
      <c r="B756" s="43"/>
      <c r="C756" s="43"/>
    </row>
    <row r="757" customFormat="false" ht="15" hidden="false" customHeight="true" outlineLevel="0" collapsed="false">
      <c r="B757" s="43"/>
      <c r="C757" s="43"/>
    </row>
    <row r="758" customFormat="false" ht="15" hidden="false" customHeight="true" outlineLevel="0" collapsed="false">
      <c r="B758" s="43"/>
      <c r="C758" s="43"/>
    </row>
    <row r="759" customFormat="false" ht="15" hidden="false" customHeight="true" outlineLevel="0" collapsed="false">
      <c r="B759" s="43"/>
      <c r="C759" s="43"/>
    </row>
    <row r="760" customFormat="false" ht="15" hidden="false" customHeight="true" outlineLevel="0" collapsed="false">
      <c r="B760" s="43"/>
      <c r="C760" s="43"/>
    </row>
    <row r="761" customFormat="false" ht="15" hidden="false" customHeight="true" outlineLevel="0" collapsed="false">
      <c r="B761" s="43"/>
      <c r="C761" s="43"/>
    </row>
    <row r="762" customFormat="false" ht="15" hidden="false" customHeight="true" outlineLevel="0" collapsed="false">
      <c r="B762" s="43"/>
      <c r="C762" s="43"/>
    </row>
    <row r="763" customFormat="false" ht="15" hidden="false" customHeight="true" outlineLevel="0" collapsed="false">
      <c r="B763" s="43"/>
      <c r="C763" s="43"/>
    </row>
    <row r="764" customFormat="false" ht="15" hidden="false" customHeight="true" outlineLevel="0" collapsed="false">
      <c r="B764" s="43"/>
      <c r="C764" s="43"/>
    </row>
    <row r="765" customFormat="false" ht="15" hidden="false" customHeight="true" outlineLevel="0" collapsed="false">
      <c r="B765" s="43"/>
      <c r="C765" s="43"/>
    </row>
    <row r="766" customFormat="false" ht="15" hidden="false" customHeight="true" outlineLevel="0" collapsed="false">
      <c r="B766" s="43"/>
      <c r="C766" s="43"/>
    </row>
    <row r="767" customFormat="false" ht="15" hidden="false" customHeight="true" outlineLevel="0" collapsed="false">
      <c r="B767" s="43"/>
      <c r="C767" s="43"/>
    </row>
    <row r="768" customFormat="false" ht="15" hidden="false" customHeight="true" outlineLevel="0" collapsed="false">
      <c r="B768" s="43"/>
      <c r="C768" s="43"/>
    </row>
    <row r="769" customFormat="false" ht="15" hidden="false" customHeight="true" outlineLevel="0" collapsed="false">
      <c r="B769" s="43"/>
      <c r="C769" s="43"/>
    </row>
    <row r="770" customFormat="false" ht="15" hidden="false" customHeight="true" outlineLevel="0" collapsed="false">
      <c r="B770" s="43"/>
      <c r="C770" s="43"/>
    </row>
    <row r="771" customFormat="false" ht="15" hidden="false" customHeight="true" outlineLevel="0" collapsed="false">
      <c r="B771" s="43"/>
      <c r="C771" s="43"/>
    </row>
    <row r="772" customFormat="false" ht="15" hidden="false" customHeight="true" outlineLevel="0" collapsed="false">
      <c r="B772" s="43"/>
      <c r="C772" s="43"/>
    </row>
    <row r="773" customFormat="false" ht="15" hidden="false" customHeight="true" outlineLevel="0" collapsed="false">
      <c r="B773" s="43"/>
      <c r="C773" s="43"/>
    </row>
    <row r="774" customFormat="false" ht="15" hidden="false" customHeight="true" outlineLevel="0" collapsed="false">
      <c r="B774" s="43"/>
      <c r="C774" s="43"/>
    </row>
    <row r="775" customFormat="false" ht="15" hidden="false" customHeight="true" outlineLevel="0" collapsed="false">
      <c r="B775" s="43"/>
      <c r="C775" s="43"/>
    </row>
    <row r="776" customFormat="false" ht="15" hidden="false" customHeight="true" outlineLevel="0" collapsed="false">
      <c r="B776" s="43"/>
      <c r="C776" s="43"/>
    </row>
    <row r="777" customFormat="false" ht="15" hidden="false" customHeight="true" outlineLevel="0" collapsed="false">
      <c r="B777" s="43"/>
      <c r="C777" s="43"/>
    </row>
    <row r="778" customFormat="false" ht="15" hidden="false" customHeight="true" outlineLevel="0" collapsed="false">
      <c r="B778" s="43"/>
      <c r="C778" s="43"/>
    </row>
    <row r="779" customFormat="false" ht="15" hidden="false" customHeight="true" outlineLevel="0" collapsed="false">
      <c r="B779" s="43"/>
      <c r="C779" s="43"/>
    </row>
    <row r="780" customFormat="false" ht="15" hidden="false" customHeight="true" outlineLevel="0" collapsed="false">
      <c r="B780" s="43"/>
      <c r="C780" s="43"/>
    </row>
    <row r="781" customFormat="false" ht="15" hidden="false" customHeight="true" outlineLevel="0" collapsed="false">
      <c r="B781" s="43"/>
      <c r="C781" s="43"/>
    </row>
    <row r="782" customFormat="false" ht="15" hidden="false" customHeight="true" outlineLevel="0" collapsed="false">
      <c r="B782" s="43"/>
      <c r="C782" s="43"/>
    </row>
    <row r="783" customFormat="false" ht="15" hidden="false" customHeight="true" outlineLevel="0" collapsed="false">
      <c r="B783" s="43"/>
      <c r="C783" s="43"/>
    </row>
    <row r="784" customFormat="false" ht="15" hidden="false" customHeight="true" outlineLevel="0" collapsed="false">
      <c r="B784" s="43"/>
      <c r="C784" s="43"/>
    </row>
    <row r="785" customFormat="false" ht="15" hidden="false" customHeight="true" outlineLevel="0" collapsed="false">
      <c r="B785" s="43"/>
      <c r="C785" s="43"/>
    </row>
    <row r="786" customFormat="false" ht="15" hidden="false" customHeight="true" outlineLevel="0" collapsed="false">
      <c r="B786" s="43"/>
      <c r="C786" s="43"/>
    </row>
    <row r="787" customFormat="false" ht="15" hidden="false" customHeight="true" outlineLevel="0" collapsed="false">
      <c r="B787" s="43"/>
      <c r="C787" s="43"/>
    </row>
    <row r="788" customFormat="false" ht="15" hidden="false" customHeight="true" outlineLevel="0" collapsed="false">
      <c r="B788" s="43"/>
      <c r="C788" s="43"/>
    </row>
    <row r="789" customFormat="false" ht="15" hidden="false" customHeight="true" outlineLevel="0" collapsed="false">
      <c r="B789" s="43"/>
      <c r="C789" s="43"/>
    </row>
    <row r="790" customFormat="false" ht="15" hidden="false" customHeight="true" outlineLevel="0" collapsed="false">
      <c r="B790" s="43"/>
      <c r="C790" s="43"/>
    </row>
    <row r="791" customFormat="false" ht="15" hidden="false" customHeight="true" outlineLevel="0" collapsed="false">
      <c r="B791" s="43"/>
      <c r="C791" s="43"/>
    </row>
    <row r="792" customFormat="false" ht="15" hidden="false" customHeight="true" outlineLevel="0" collapsed="false">
      <c r="B792" s="43"/>
      <c r="C792" s="43"/>
    </row>
    <row r="793" customFormat="false" ht="15" hidden="false" customHeight="true" outlineLevel="0" collapsed="false">
      <c r="B793" s="43"/>
      <c r="C793" s="43"/>
    </row>
    <row r="794" customFormat="false" ht="15" hidden="false" customHeight="true" outlineLevel="0" collapsed="false">
      <c r="B794" s="43"/>
      <c r="C794" s="43"/>
    </row>
    <row r="795" customFormat="false" ht="15" hidden="false" customHeight="true" outlineLevel="0" collapsed="false">
      <c r="B795" s="43"/>
      <c r="C795" s="43"/>
    </row>
    <row r="796" customFormat="false" ht="15" hidden="false" customHeight="true" outlineLevel="0" collapsed="false">
      <c r="B796" s="43"/>
      <c r="C796" s="43"/>
    </row>
    <row r="797" customFormat="false" ht="15" hidden="false" customHeight="true" outlineLevel="0" collapsed="false">
      <c r="B797" s="43"/>
      <c r="C797" s="43"/>
    </row>
    <row r="798" customFormat="false" ht="15" hidden="false" customHeight="true" outlineLevel="0" collapsed="false">
      <c r="B798" s="43"/>
      <c r="C798" s="43"/>
    </row>
    <row r="799" customFormat="false" ht="15" hidden="false" customHeight="true" outlineLevel="0" collapsed="false">
      <c r="B799" s="43"/>
      <c r="C799" s="43"/>
    </row>
    <row r="800" customFormat="false" ht="15" hidden="false" customHeight="true" outlineLevel="0" collapsed="false">
      <c r="B800" s="43"/>
      <c r="C800" s="43"/>
    </row>
    <row r="801" customFormat="false" ht="15" hidden="false" customHeight="true" outlineLevel="0" collapsed="false">
      <c r="B801" s="43"/>
      <c r="C801" s="43"/>
    </row>
    <row r="802" customFormat="false" ht="15" hidden="false" customHeight="true" outlineLevel="0" collapsed="false">
      <c r="B802" s="43"/>
      <c r="C802" s="43"/>
    </row>
    <row r="803" customFormat="false" ht="15" hidden="false" customHeight="true" outlineLevel="0" collapsed="false">
      <c r="B803" s="43"/>
      <c r="C803" s="43"/>
    </row>
    <row r="804" customFormat="false" ht="15" hidden="false" customHeight="true" outlineLevel="0" collapsed="false">
      <c r="B804" s="43"/>
      <c r="C804" s="43"/>
    </row>
    <row r="805" customFormat="false" ht="15" hidden="false" customHeight="true" outlineLevel="0" collapsed="false">
      <c r="B805" s="43"/>
      <c r="C805" s="43"/>
    </row>
    <row r="806" customFormat="false" ht="15" hidden="false" customHeight="true" outlineLevel="0" collapsed="false">
      <c r="B806" s="43"/>
      <c r="C806" s="43"/>
    </row>
    <row r="807" customFormat="false" ht="15" hidden="false" customHeight="true" outlineLevel="0" collapsed="false">
      <c r="B807" s="43"/>
      <c r="C807" s="43"/>
    </row>
    <row r="808" customFormat="false" ht="15" hidden="false" customHeight="true" outlineLevel="0" collapsed="false">
      <c r="B808" s="43"/>
      <c r="C808" s="43"/>
    </row>
    <row r="809" customFormat="false" ht="15" hidden="false" customHeight="true" outlineLevel="0" collapsed="false">
      <c r="B809" s="43"/>
      <c r="C809" s="43"/>
    </row>
    <row r="810" customFormat="false" ht="15" hidden="false" customHeight="true" outlineLevel="0" collapsed="false">
      <c r="B810" s="43"/>
      <c r="C810" s="43"/>
    </row>
    <row r="811" customFormat="false" ht="15" hidden="false" customHeight="true" outlineLevel="0" collapsed="false">
      <c r="B811" s="43"/>
      <c r="C811" s="43"/>
    </row>
    <row r="812" customFormat="false" ht="15" hidden="false" customHeight="true" outlineLevel="0" collapsed="false">
      <c r="B812" s="43"/>
      <c r="C812" s="43"/>
    </row>
    <row r="813" customFormat="false" ht="15" hidden="false" customHeight="true" outlineLevel="0" collapsed="false">
      <c r="B813" s="43"/>
      <c r="C813" s="43"/>
    </row>
    <row r="814" customFormat="false" ht="15" hidden="false" customHeight="true" outlineLevel="0" collapsed="false">
      <c r="B814" s="43"/>
      <c r="C814" s="43"/>
    </row>
    <row r="815" customFormat="false" ht="15" hidden="false" customHeight="true" outlineLevel="0" collapsed="false">
      <c r="B815" s="43"/>
      <c r="C815" s="43"/>
    </row>
    <row r="816" customFormat="false" ht="15" hidden="false" customHeight="true" outlineLevel="0" collapsed="false">
      <c r="B816" s="43"/>
      <c r="C816" s="43"/>
    </row>
    <row r="817" customFormat="false" ht="15" hidden="false" customHeight="true" outlineLevel="0" collapsed="false">
      <c r="B817" s="43"/>
      <c r="C817" s="43"/>
    </row>
    <row r="818" customFormat="false" ht="15" hidden="false" customHeight="true" outlineLevel="0" collapsed="false">
      <c r="B818" s="43"/>
      <c r="C818" s="43"/>
    </row>
    <row r="819" customFormat="false" ht="15" hidden="false" customHeight="true" outlineLevel="0" collapsed="false">
      <c r="B819" s="43"/>
      <c r="C819" s="43"/>
    </row>
    <row r="820" customFormat="false" ht="15" hidden="false" customHeight="true" outlineLevel="0" collapsed="false">
      <c r="B820" s="43"/>
      <c r="C820" s="43"/>
    </row>
    <row r="821" customFormat="false" ht="15" hidden="false" customHeight="true" outlineLevel="0" collapsed="false">
      <c r="B821" s="43"/>
      <c r="C821" s="43"/>
    </row>
    <row r="822" customFormat="false" ht="15" hidden="false" customHeight="true" outlineLevel="0" collapsed="false">
      <c r="B822" s="43"/>
      <c r="C822" s="43"/>
    </row>
    <row r="823" customFormat="false" ht="15" hidden="false" customHeight="true" outlineLevel="0" collapsed="false">
      <c r="B823" s="43"/>
      <c r="C823" s="43"/>
    </row>
    <row r="824" customFormat="false" ht="15" hidden="false" customHeight="true" outlineLevel="0" collapsed="false">
      <c r="B824" s="43"/>
      <c r="C824" s="43"/>
    </row>
    <row r="825" customFormat="false" ht="15" hidden="false" customHeight="true" outlineLevel="0" collapsed="false">
      <c r="B825" s="43"/>
      <c r="C825" s="43"/>
    </row>
    <row r="826" customFormat="false" ht="15" hidden="false" customHeight="true" outlineLevel="0" collapsed="false">
      <c r="B826" s="43"/>
      <c r="C826" s="43"/>
    </row>
    <row r="827" customFormat="false" ht="15" hidden="false" customHeight="true" outlineLevel="0" collapsed="false">
      <c r="B827" s="43"/>
      <c r="C827" s="43"/>
    </row>
    <row r="828" customFormat="false" ht="15" hidden="false" customHeight="true" outlineLevel="0" collapsed="false">
      <c r="B828" s="43"/>
      <c r="C828" s="43"/>
    </row>
    <row r="829" customFormat="false" ht="15" hidden="false" customHeight="true" outlineLevel="0" collapsed="false">
      <c r="B829" s="43"/>
      <c r="C829" s="43"/>
    </row>
    <row r="830" customFormat="false" ht="15" hidden="false" customHeight="true" outlineLevel="0" collapsed="false">
      <c r="B830" s="43"/>
      <c r="C830" s="43"/>
    </row>
    <row r="831" customFormat="false" ht="15" hidden="false" customHeight="true" outlineLevel="0" collapsed="false">
      <c r="B831" s="43"/>
      <c r="C831" s="43"/>
    </row>
    <row r="832" customFormat="false" ht="15" hidden="false" customHeight="true" outlineLevel="0" collapsed="false">
      <c r="B832" s="43"/>
      <c r="C832" s="43"/>
    </row>
    <row r="833" customFormat="false" ht="15" hidden="false" customHeight="true" outlineLevel="0" collapsed="false">
      <c r="B833" s="43"/>
      <c r="C833" s="43"/>
    </row>
    <row r="834" customFormat="false" ht="15" hidden="false" customHeight="true" outlineLevel="0" collapsed="false">
      <c r="B834" s="43"/>
      <c r="C834" s="43"/>
    </row>
    <row r="835" customFormat="false" ht="15" hidden="false" customHeight="true" outlineLevel="0" collapsed="false">
      <c r="B835" s="43"/>
      <c r="C835" s="43"/>
    </row>
    <row r="836" customFormat="false" ht="15" hidden="false" customHeight="true" outlineLevel="0" collapsed="false">
      <c r="B836" s="43"/>
      <c r="C836" s="43"/>
    </row>
    <row r="837" customFormat="false" ht="15" hidden="false" customHeight="true" outlineLevel="0" collapsed="false">
      <c r="B837" s="43"/>
      <c r="C837" s="43"/>
    </row>
    <row r="838" customFormat="false" ht="15" hidden="false" customHeight="true" outlineLevel="0" collapsed="false">
      <c r="B838" s="43"/>
      <c r="C838" s="43"/>
    </row>
    <row r="839" customFormat="false" ht="15" hidden="false" customHeight="true" outlineLevel="0" collapsed="false">
      <c r="B839" s="43"/>
      <c r="C839" s="43"/>
    </row>
    <row r="840" customFormat="false" ht="15" hidden="false" customHeight="true" outlineLevel="0" collapsed="false">
      <c r="B840" s="43"/>
      <c r="C840" s="43"/>
    </row>
    <row r="841" customFormat="false" ht="15" hidden="false" customHeight="true" outlineLevel="0" collapsed="false">
      <c r="B841" s="43"/>
      <c r="C841" s="43"/>
    </row>
    <row r="842" customFormat="false" ht="15" hidden="false" customHeight="true" outlineLevel="0" collapsed="false">
      <c r="B842" s="43"/>
      <c r="C842" s="43"/>
    </row>
    <row r="843" customFormat="false" ht="15" hidden="false" customHeight="true" outlineLevel="0" collapsed="false">
      <c r="B843" s="43"/>
      <c r="C843" s="43"/>
    </row>
    <row r="844" customFormat="false" ht="15" hidden="false" customHeight="true" outlineLevel="0" collapsed="false">
      <c r="B844" s="43"/>
      <c r="C844" s="43"/>
    </row>
    <row r="845" customFormat="false" ht="15" hidden="false" customHeight="true" outlineLevel="0" collapsed="false">
      <c r="B845" s="43"/>
      <c r="C845" s="43"/>
    </row>
    <row r="846" customFormat="false" ht="15" hidden="false" customHeight="true" outlineLevel="0" collapsed="false">
      <c r="B846" s="43"/>
      <c r="C846" s="43"/>
    </row>
    <row r="847" customFormat="false" ht="15" hidden="false" customHeight="true" outlineLevel="0" collapsed="false">
      <c r="B847" s="43"/>
      <c r="C847" s="43"/>
    </row>
    <row r="848" customFormat="false" ht="15" hidden="false" customHeight="true" outlineLevel="0" collapsed="false">
      <c r="B848" s="43"/>
      <c r="C848" s="43"/>
    </row>
    <row r="849" customFormat="false" ht="15" hidden="false" customHeight="true" outlineLevel="0" collapsed="false">
      <c r="B849" s="43"/>
      <c r="C849" s="43"/>
    </row>
    <row r="850" customFormat="false" ht="15" hidden="false" customHeight="true" outlineLevel="0" collapsed="false">
      <c r="B850" s="43"/>
      <c r="C850" s="43"/>
    </row>
    <row r="851" customFormat="false" ht="15" hidden="false" customHeight="true" outlineLevel="0" collapsed="false">
      <c r="B851" s="43"/>
      <c r="C851" s="43"/>
    </row>
    <row r="852" customFormat="false" ht="15" hidden="false" customHeight="true" outlineLevel="0" collapsed="false">
      <c r="B852" s="43"/>
      <c r="C852" s="43"/>
    </row>
    <row r="853" customFormat="false" ht="15" hidden="false" customHeight="true" outlineLevel="0" collapsed="false">
      <c r="B853" s="43"/>
      <c r="C853" s="43"/>
    </row>
    <row r="854" customFormat="false" ht="15" hidden="false" customHeight="true" outlineLevel="0" collapsed="false">
      <c r="B854" s="43"/>
      <c r="C854" s="43"/>
    </row>
    <row r="855" customFormat="false" ht="15" hidden="false" customHeight="true" outlineLevel="0" collapsed="false">
      <c r="B855" s="43"/>
      <c r="C855" s="43"/>
    </row>
    <row r="856" customFormat="false" ht="15" hidden="false" customHeight="true" outlineLevel="0" collapsed="false">
      <c r="B856" s="43"/>
      <c r="C856" s="43"/>
    </row>
    <row r="857" customFormat="false" ht="15" hidden="false" customHeight="true" outlineLevel="0" collapsed="false">
      <c r="B857" s="43"/>
      <c r="C857" s="43"/>
    </row>
    <row r="858" customFormat="false" ht="15" hidden="false" customHeight="true" outlineLevel="0" collapsed="false">
      <c r="B858" s="43"/>
      <c r="C858" s="43"/>
    </row>
    <row r="859" customFormat="false" ht="15" hidden="false" customHeight="true" outlineLevel="0" collapsed="false">
      <c r="B859" s="43"/>
      <c r="C859" s="43"/>
    </row>
    <row r="860" customFormat="false" ht="15" hidden="false" customHeight="true" outlineLevel="0" collapsed="false">
      <c r="B860" s="43"/>
      <c r="C860" s="43"/>
    </row>
    <row r="861" customFormat="false" ht="15" hidden="false" customHeight="true" outlineLevel="0" collapsed="false">
      <c r="B861" s="43"/>
      <c r="C861" s="43"/>
    </row>
    <row r="862" customFormat="false" ht="15" hidden="false" customHeight="true" outlineLevel="0" collapsed="false">
      <c r="B862" s="43"/>
      <c r="C862" s="43"/>
    </row>
    <row r="863" customFormat="false" ht="15" hidden="false" customHeight="true" outlineLevel="0" collapsed="false">
      <c r="B863" s="43"/>
      <c r="C863" s="43"/>
    </row>
    <row r="864" customFormat="false" ht="15" hidden="false" customHeight="true" outlineLevel="0" collapsed="false">
      <c r="B864" s="43"/>
      <c r="C864" s="43"/>
    </row>
    <row r="865" customFormat="false" ht="15" hidden="false" customHeight="true" outlineLevel="0" collapsed="false">
      <c r="B865" s="43"/>
      <c r="C865" s="43"/>
    </row>
    <row r="866" customFormat="false" ht="15" hidden="false" customHeight="true" outlineLevel="0" collapsed="false">
      <c r="B866" s="43"/>
      <c r="C866" s="43"/>
    </row>
    <row r="867" customFormat="false" ht="15" hidden="false" customHeight="true" outlineLevel="0" collapsed="false">
      <c r="B867" s="43"/>
      <c r="C867" s="43"/>
    </row>
    <row r="868" customFormat="false" ht="15" hidden="false" customHeight="true" outlineLevel="0" collapsed="false">
      <c r="B868" s="43"/>
      <c r="C868" s="43"/>
    </row>
    <row r="869" customFormat="false" ht="15" hidden="false" customHeight="true" outlineLevel="0" collapsed="false">
      <c r="B869" s="43"/>
      <c r="C869" s="43"/>
    </row>
    <row r="870" customFormat="false" ht="15" hidden="false" customHeight="true" outlineLevel="0" collapsed="false">
      <c r="B870" s="43"/>
      <c r="C870" s="43"/>
    </row>
    <row r="871" customFormat="false" ht="15" hidden="false" customHeight="true" outlineLevel="0" collapsed="false">
      <c r="B871" s="43"/>
      <c r="C871" s="43"/>
    </row>
    <row r="872" customFormat="false" ht="15" hidden="false" customHeight="true" outlineLevel="0" collapsed="false">
      <c r="B872" s="43"/>
      <c r="C872" s="43"/>
    </row>
    <row r="873" customFormat="false" ht="15" hidden="false" customHeight="true" outlineLevel="0" collapsed="false">
      <c r="B873" s="43"/>
      <c r="C873" s="43"/>
    </row>
    <row r="874" customFormat="false" ht="15" hidden="false" customHeight="true" outlineLevel="0" collapsed="false">
      <c r="B874" s="43"/>
      <c r="C874" s="43"/>
    </row>
    <row r="875" customFormat="false" ht="15" hidden="false" customHeight="true" outlineLevel="0" collapsed="false">
      <c r="B875" s="43"/>
      <c r="C875" s="43"/>
    </row>
    <row r="876" customFormat="false" ht="15" hidden="false" customHeight="true" outlineLevel="0" collapsed="false">
      <c r="B876" s="43"/>
      <c r="C876" s="43"/>
    </row>
    <row r="877" customFormat="false" ht="15" hidden="false" customHeight="true" outlineLevel="0" collapsed="false">
      <c r="B877" s="43"/>
      <c r="C877" s="43"/>
    </row>
    <row r="878" customFormat="false" ht="15" hidden="false" customHeight="true" outlineLevel="0" collapsed="false">
      <c r="B878" s="43"/>
      <c r="C878" s="43"/>
    </row>
    <row r="879" customFormat="false" ht="15" hidden="false" customHeight="true" outlineLevel="0" collapsed="false">
      <c r="B879" s="43"/>
      <c r="C879" s="43"/>
    </row>
    <row r="880" customFormat="false" ht="15" hidden="false" customHeight="true" outlineLevel="0" collapsed="false">
      <c r="B880" s="43"/>
      <c r="C880" s="43"/>
    </row>
    <row r="881" customFormat="false" ht="15" hidden="false" customHeight="true" outlineLevel="0" collapsed="false">
      <c r="B881" s="43"/>
      <c r="C881" s="43"/>
    </row>
    <row r="882" customFormat="false" ht="15" hidden="false" customHeight="true" outlineLevel="0" collapsed="false">
      <c r="B882" s="43"/>
      <c r="C882" s="43"/>
    </row>
    <row r="883" customFormat="false" ht="15" hidden="false" customHeight="true" outlineLevel="0" collapsed="false">
      <c r="B883" s="43"/>
      <c r="C883" s="43"/>
    </row>
    <row r="884" customFormat="false" ht="15" hidden="false" customHeight="true" outlineLevel="0" collapsed="false">
      <c r="B884" s="43"/>
      <c r="C884" s="43"/>
    </row>
    <row r="885" customFormat="false" ht="15" hidden="false" customHeight="true" outlineLevel="0" collapsed="false">
      <c r="B885" s="43"/>
      <c r="C885" s="43"/>
    </row>
    <row r="886" customFormat="false" ht="15" hidden="false" customHeight="true" outlineLevel="0" collapsed="false">
      <c r="B886" s="43"/>
      <c r="C886" s="43"/>
    </row>
    <row r="887" customFormat="false" ht="15" hidden="false" customHeight="true" outlineLevel="0" collapsed="false">
      <c r="B887" s="43"/>
      <c r="C887" s="43"/>
    </row>
    <row r="888" customFormat="false" ht="15" hidden="false" customHeight="true" outlineLevel="0" collapsed="false">
      <c r="B888" s="43"/>
      <c r="C888" s="43"/>
    </row>
    <row r="889" customFormat="false" ht="15" hidden="false" customHeight="true" outlineLevel="0" collapsed="false">
      <c r="B889" s="43"/>
      <c r="C889" s="43"/>
    </row>
    <row r="890" customFormat="false" ht="15" hidden="false" customHeight="true" outlineLevel="0" collapsed="false">
      <c r="B890" s="43"/>
      <c r="C890" s="43"/>
    </row>
    <row r="891" customFormat="false" ht="15" hidden="false" customHeight="true" outlineLevel="0" collapsed="false">
      <c r="B891" s="43"/>
      <c r="C891" s="43"/>
    </row>
    <row r="892" customFormat="false" ht="15" hidden="false" customHeight="true" outlineLevel="0" collapsed="false">
      <c r="B892" s="43"/>
      <c r="C892" s="43"/>
    </row>
    <row r="893" customFormat="false" ht="15" hidden="false" customHeight="true" outlineLevel="0" collapsed="false">
      <c r="B893" s="43"/>
      <c r="C893" s="43"/>
    </row>
    <row r="894" customFormat="false" ht="15" hidden="false" customHeight="true" outlineLevel="0" collapsed="false">
      <c r="B894" s="43"/>
      <c r="C894" s="43"/>
    </row>
    <row r="895" customFormat="false" ht="15" hidden="false" customHeight="true" outlineLevel="0" collapsed="false">
      <c r="B895" s="43"/>
      <c r="C895" s="43"/>
    </row>
    <row r="896" customFormat="false" ht="15" hidden="false" customHeight="true" outlineLevel="0" collapsed="false">
      <c r="B896" s="43"/>
      <c r="C896" s="43"/>
    </row>
    <row r="897" customFormat="false" ht="15" hidden="false" customHeight="true" outlineLevel="0" collapsed="false">
      <c r="B897" s="43"/>
      <c r="C897" s="43"/>
    </row>
    <row r="898" customFormat="false" ht="15" hidden="false" customHeight="true" outlineLevel="0" collapsed="false">
      <c r="B898" s="43"/>
      <c r="C898" s="43"/>
    </row>
    <row r="899" customFormat="false" ht="15" hidden="false" customHeight="true" outlineLevel="0" collapsed="false">
      <c r="B899" s="43"/>
      <c r="C899" s="43"/>
    </row>
    <row r="900" customFormat="false" ht="15" hidden="false" customHeight="true" outlineLevel="0" collapsed="false">
      <c r="B900" s="43"/>
      <c r="C900" s="43"/>
    </row>
    <row r="901" customFormat="false" ht="15" hidden="false" customHeight="true" outlineLevel="0" collapsed="false">
      <c r="B901" s="43"/>
      <c r="C901" s="43"/>
    </row>
    <row r="902" customFormat="false" ht="15" hidden="false" customHeight="true" outlineLevel="0" collapsed="false">
      <c r="B902" s="43"/>
      <c r="C902" s="43"/>
    </row>
    <row r="903" customFormat="false" ht="15" hidden="false" customHeight="true" outlineLevel="0" collapsed="false">
      <c r="B903" s="43"/>
      <c r="C903" s="43"/>
    </row>
    <row r="904" customFormat="false" ht="15" hidden="false" customHeight="true" outlineLevel="0" collapsed="false">
      <c r="B904" s="43"/>
      <c r="C904" s="43"/>
    </row>
    <row r="905" customFormat="false" ht="15" hidden="false" customHeight="true" outlineLevel="0" collapsed="false">
      <c r="B905" s="43"/>
      <c r="C905" s="43"/>
    </row>
    <row r="906" customFormat="false" ht="15" hidden="false" customHeight="true" outlineLevel="0" collapsed="false">
      <c r="B906" s="43"/>
      <c r="C906" s="43"/>
    </row>
    <row r="907" customFormat="false" ht="15" hidden="false" customHeight="true" outlineLevel="0" collapsed="false">
      <c r="B907" s="43"/>
      <c r="C907" s="43"/>
    </row>
    <row r="908" customFormat="false" ht="15" hidden="false" customHeight="true" outlineLevel="0" collapsed="false">
      <c r="B908" s="43"/>
      <c r="C908" s="43"/>
    </row>
    <row r="909" customFormat="false" ht="15" hidden="false" customHeight="true" outlineLevel="0" collapsed="false">
      <c r="B909" s="43"/>
      <c r="C909" s="43"/>
    </row>
    <row r="910" customFormat="false" ht="15" hidden="false" customHeight="true" outlineLevel="0" collapsed="false">
      <c r="B910" s="43"/>
      <c r="C910" s="43"/>
    </row>
    <row r="911" customFormat="false" ht="15" hidden="false" customHeight="true" outlineLevel="0" collapsed="false">
      <c r="B911" s="43"/>
      <c r="C911" s="43"/>
    </row>
    <row r="912" customFormat="false" ht="15" hidden="false" customHeight="true" outlineLevel="0" collapsed="false">
      <c r="B912" s="43"/>
      <c r="C912" s="43"/>
    </row>
    <row r="913" customFormat="false" ht="15" hidden="false" customHeight="true" outlineLevel="0" collapsed="false">
      <c r="B913" s="43"/>
      <c r="C913" s="43"/>
    </row>
    <row r="914" customFormat="false" ht="15" hidden="false" customHeight="true" outlineLevel="0" collapsed="false">
      <c r="B914" s="43"/>
      <c r="C914" s="43"/>
    </row>
    <row r="915" customFormat="false" ht="15" hidden="false" customHeight="true" outlineLevel="0" collapsed="false">
      <c r="B915" s="43"/>
      <c r="C915" s="43"/>
    </row>
    <row r="916" customFormat="false" ht="15" hidden="false" customHeight="true" outlineLevel="0" collapsed="false">
      <c r="B916" s="43"/>
      <c r="C916" s="43"/>
    </row>
    <row r="917" customFormat="false" ht="15" hidden="false" customHeight="true" outlineLevel="0" collapsed="false">
      <c r="B917" s="43"/>
      <c r="C917" s="43"/>
    </row>
    <row r="918" customFormat="false" ht="15" hidden="false" customHeight="true" outlineLevel="0" collapsed="false">
      <c r="B918" s="43"/>
      <c r="C918" s="43"/>
    </row>
    <row r="919" customFormat="false" ht="15" hidden="false" customHeight="true" outlineLevel="0" collapsed="false">
      <c r="B919" s="43"/>
      <c r="C919" s="43"/>
    </row>
    <row r="920" customFormat="false" ht="15" hidden="false" customHeight="true" outlineLevel="0" collapsed="false">
      <c r="B920" s="43"/>
      <c r="C920" s="43"/>
    </row>
    <row r="921" customFormat="false" ht="15" hidden="false" customHeight="true" outlineLevel="0" collapsed="false">
      <c r="B921" s="43"/>
      <c r="C921" s="43"/>
    </row>
    <row r="922" customFormat="false" ht="15" hidden="false" customHeight="true" outlineLevel="0" collapsed="false">
      <c r="B922" s="43"/>
      <c r="C922" s="43"/>
    </row>
    <row r="923" customFormat="false" ht="15" hidden="false" customHeight="true" outlineLevel="0" collapsed="false">
      <c r="B923" s="43"/>
      <c r="C923" s="43"/>
    </row>
    <row r="924" customFormat="false" ht="15" hidden="false" customHeight="true" outlineLevel="0" collapsed="false">
      <c r="B924" s="43"/>
      <c r="C924" s="43"/>
    </row>
    <row r="925" customFormat="false" ht="15" hidden="false" customHeight="true" outlineLevel="0" collapsed="false">
      <c r="B925" s="43"/>
      <c r="C925" s="43"/>
    </row>
    <row r="926" customFormat="false" ht="15" hidden="false" customHeight="true" outlineLevel="0" collapsed="false">
      <c r="B926" s="43"/>
      <c r="C926" s="43"/>
    </row>
    <row r="927" customFormat="false" ht="15" hidden="false" customHeight="true" outlineLevel="0" collapsed="false">
      <c r="B927" s="43"/>
      <c r="C927" s="43"/>
    </row>
    <row r="928" customFormat="false" ht="15" hidden="false" customHeight="true" outlineLevel="0" collapsed="false">
      <c r="B928" s="43"/>
      <c r="C928" s="43"/>
    </row>
    <row r="929" customFormat="false" ht="15" hidden="false" customHeight="true" outlineLevel="0" collapsed="false">
      <c r="B929" s="43"/>
      <c r="C929" s="43"/>
    </row>
    <row r="930" customFormat="false" ht="15" hidden="false" customHeight="true" outlineLevel="0" collapsed="false">
      <c r="B930" s="43"/>
      <c r="C930" s="43"/>
    </row>
    <row r="931" customFormat="false" ht="15" hidden="false" customHeight="true" outlineLevel="0" collapsed="false">
      <c r="B931" s="43"/>
      <c r="C931" s="43"/>
    </row>
    <row r="932" customFormat="false" ht="15" hidden="false" customHeight="true" outlineLevel="0" collapsed="false">
      <c r="B932" s="43"/>
      <c r="C932" s="43"/>
    </row>
    <row r="933" customFormat="false" ht="15" hidden="false" customHeight="true" outlineLevel="0" collapsed="false">
      <c r="B933" s="43"/>
      <c r="C933" s="43"/>
    </row>
    <row r="934" customFormat="false" ht="15" hidden="false" customHeight="true" outlineLevel="0" collapsed="false">
      <c r="B934" s="43"/>
      <c r="C934" s="43"/>
    </row>
    <row r="935" customFormat="false" ht="15" hidden="false" customHeight="true" outlineLevel="0" collapsed="false">
      <c r="B935" s="43"/>
      <c r="C935" s="43"/>
    </row>
    <row r="936" customFormat="false" ht="15" hidden="false" customHeight="true" outlineLevel="0" collapsed="false">
      <c r="B936" s="43"/>
      <c r="C936" s="43"/>
    </row>
    <row r="937" customFormat="false" ht="15" hidden="false" customHeight="true" outlineLevel="0" collapsed="false">
      <c r="B937" s="43"/>
      <c r="C937" s="43"/>
    </row>
    <row r="938" customFormat="false" ht="15" hidden="false" customHeight="true" outlineLevel="0" collapsed="false">
      <c r="B938" s="43"/>
      <c r="C938" s="43"/>
    </row>
    <row r="939" customFormat="false" ht="15" hidden="false" customHeight="true" outlineLevel="0" collapsed="false">
      <c r="B939" s="43"/>
      <c r="C939" s="43"/>
    </row>
    <row r="940" customFormat="false" ht="15" hidden="false" customHeight="true" outlineLevel="0" collapsed="false">
      <c r="B940" s="43"/>
      <c r="C940" s="43"/>
    </row>
    <row r="941" customFormat="false" ht="15" hidden="false" customHeight="true" outlineLevel="0" collapsed="false">
      <c r="B941" s="43"/>
      <c r="C941" s="43"/>
    </row>
    <row r="942" customFormat="false" ht="15" hidden="false" customHeight="true" outlineLevel="0" collapsed="false">
      <c r="B942" s="43"/>
      <c r="C942" s="43"/>
    </row>
    <row r="943" customFormat="false" ht="15" hidden="false" customHeight="true" outlineLevel="0" collapsed="false">
      <c r="B943" s="43"/>
      <c r="C943" s="43"/>
    </row>
    <row r="944" customFormat="false" ht="15" hidden="false" customHeight="true" outlineLevel="0" collapsed="false">
      <c r="B944" s="43"/>
      <c r="C944" s="43"/>
    </row>
    <row r="945" customFormat="false" ht="15" hidden="false" customHeight="true" outlineLevel="0" collapsed="false">
      <c r="B945" s="43"/>
      <c r="C945" s="43"/>
    </row>
    <row r="946" customFormat="false" ht="15" hidden="false" customHeight="true" outlineLevel="0" collapsed="false">
      <c r="B946" s="43"/>
      <c r="C946" s="43"/>
    </row>
    <row r="947" customFormat="false" ht="15" hidden="false" customHeight="true" outlineLevel="0" collapsed="false">
      <c r="B947" s="43"/>
      <c r="C947" s="43"/>
    </row>
    <row r="948" customFormat="false" ht="15" hidden="false" customHeight="true" outlineLevel="0" collapsed="false">
      <c r="B948" s="43"/>
      <c r="C948" s="43"/>
    </row>
    <row r="949" customFormat="false" ht="15" hidden="false" customHeight="true" outlineLevel="0" collapsed="false">
      <c r="B949" s="43"/>
      <c r="C949" s="43"/>
    </row>
    <row r="950" customFormat="false" ht="15" hidden="false" customHeight="true" outlineLevel="0" collapsed="false">
      <c r="B950" s="43"/>
      <c r="C950" s="43"/>
    </row>
    <row r="951" customFormat="false" ht="15" hidden="false" customHeight="true" outlineLevel="0" collapsed="false">
      <c r="B951" s="43"/>
      <c r="C951" s="43"/>
    </row>
    <row r="952" customFormat="false" ht="15" hidden="false" customHeight="true" outlineLevel="0" collapsed="false">
      <c r="B952" s="43"/>
      <c r="C952" s="43"/>
    </row>
    <row r="953" customFormat="false" ht="15" hidden="false" customHeight="true" outlineLevel="0" collapsed="false">
      <c r="B953" s="43"/>
      <c r="C953" s="43"/>
    </row>
    <row r="954" customFormat="false" ht="15" hidden="false" customHeight="true" outlineLevel="0" collapsed="false">
      <c r="B954" s="43"/>
      <c r="C954" s="43"/>
    </row>
    <row r="955" customFormat="false" ht="15" hidden="false" customHeight="true" outlineLevel="0" collapsed="false">
      <c r="B955" s="43"/>
      <c r="C955" s="43"/>
    </row>
    <row r="956" customFormat="false" ht="15" hidden="false" customHeight="true" outlineLevel="0" collapsed="false">
      <c r="B956" s="43"/>
      <c r="C956" s="43"/>
    </row>
    <row r="957" customFormat="false" ht="15" hidden="false" customHeight="true" outlineLevel="0" collapsed="false">
      <c r="B957" s="43"/>
      <c r="C957" s="43"/>
    </row>
    <row r="958" customFormat="false" ht="15" hidden="false" customHeight="true" outlineLevel="0" collapsed="false">
      <c r="B958" s="43"/>
      <c r="C958" s="43"/>
    </row>
    <row r="959" customFormat="false" ht="15" hidden="false" customHeight="true" outlineLevel="0" collapsed="false">
      <c r="B959" s="43"/>
      <c r="C959" s="43"/>
    </row>
    <row r="960" customFormat="false" ht="15" hidden="false" customHeight="true" outlineLevel="0" collapsed="false">
      <c r="B960" s="43"/>
      <c r="C960" s="43"/>
    </row>
    <row r="961" customFormat="false" ht="15" hidden="false" customHeight="true" outlineLevel="0" collapsed="false">
      <c r="B961" s="43"/>
      <c r="C961" s="43"/>
    </row>
    <row r="962" customFormat="false" ht="15" hidden="false" customHeight="true" outlineLevel="0" collapsed="false">
      <c r="B962" s="43"/>
      <c r="C962" s="43"/>
    </row>
    <row r="963" customFormat="false" ht="15" hidden="false" customHeight="true" outlineLevel="0" collapsed="false">
      <c r="B963" s="43"/>
      <c r="C963" s="43"/>
    </row>
    <row r="964" customFormat="false" ht="15" hidden="false" customHeight="true" outlineLevel="0" collapsed="false">
      <c r="B964" s="43"/>
      <c r="C964" s="43"/>
    </row>
    <row r="965" customFormat="false" ht="15" hidden="false" customHeight="true" outlineLevel="0" collapsed="false">
      <c r="B965" s="43"/>
      <c r="C965" s="43"/>
    </row>
    <row r="966" customFormat="false" ht="15" hidden="false" customHeight="true" outlineLevel="0" collapsed="false">
      <c r="B966" s="43"/>
      <c r="C966" s="43"/>
    </row>
    <row r="967" customFormat="false" ht="15" hidden="false" customHeight="true" outlineLevel="0" collapsed="false">
      <c r="B967" s="43"/>
      <c r="C967" s="43"/>
    </row>
    <row r="968" customFormat="false" ht="15" hidden="false" customHeight="true" outlineLevel="0" collapsed="false">
      <c r="B968" s="43"/>
      <c r="C968" s="43"/>
    </row>
    <row r="969" customFormat="false" ht="15" hidden="false" customHeight="true" outlineLevel="0" collapsed="false">
      <c r="B969" s="43"/>
      <c r="C969" s="43"/>
    </row>
    <row r="970" customFormat="false" ht="15" hidden="false" customHeight="true" outlineLevel="0" collapsed="false">
      <c r="B970" s="43"/>
      <c r="C970" s="43"/>
    </row>
    <row r="971" customFormat="false" ht="15" hidden="false" customHeight="true" outlineLevel="0" collapsed="false">
      <c r="B971" s="43"/>
      <c r="C971" s="43"/>
    </row>
    <row r="972" customFormat="false" ht="15" hidden="false" customHeight="true" outlineLevel="0" collapsed="false">
      <c r="B972" s="43"/>
      <c r="C972" s="43"/>
    </row>
    <row r="973" customFormat="false" ht="15" hidden="false" customHeight="true" outlineLevel="0" collapsed="false">
      <c r="B973" s="43"/>
      <c r="C973" s="43"/>
    </row>
    <row r="974" customFormat="false" ht="15" hidden="false" customHeight="true" outlineLevel="0" collapsed="false">
      <c r="B974" s="43"/>
      <c r="C974" s="43"/>
    </row>
    <row r="975" customFormat="false" ht="15" hidden="false" customHeight="true" outlineLevel="0" collapsed="false">
      <c r="B975" s="43"/>
      <c r="C975" s="43"/>
    </row>
    <row r="976" customFormat="false" ht="15" hidden="false" customHeight="true" outlineLevel="0" collapsed="false">
      <c r="B976" s="43"/>
      <c r="C976" s="43"/>
    </row>
    <row r="977" customFormat="false" ht="15" hidden="false" customHeight="true" outlineLevel="0" collapsed="false">
      <c r="B977" s="43"/>
      <c r="C977" s="43"/>
    </row>
    <row r="978" customFormat="false" ht="15" hidden="false" customHeight="true" outlineLevel="0" collapsed="false">
      <c r="B978" s="43"/>
      <c r="C978" s="43"/>
    </row>
    <row r="979" customFormat="false" ht="15" hidden="false" customHeight="true" outlineLevel="0" collapsed="false">
      <c r="B979" s="43"/>
      <c r="C979" s="43"/>
    </row>
    <row r="980" customFormat="false" ht="15" hidden="false" customHeight="true" outlineLevel="0" collapsed="false">
      <c r="B980" s="43"/>
      <c r="C980" s="43"/>
    </row>
    <row r="981" customFormat="false" ht="15" hidden="false" customHeight="true" outlineLevel="0" collapsed="false">
      <c r="B981" s="43"/>
      <c r="C981" s="43"/>
    </row>
    <row r="982" customFormat="false" ht="15" hidden="false" customHeight="true" outlineLevel="0" collapsed="false">
      <c r="B982" s="43"/>
      <c r="C982" s="43"/>
    </row>
    <row r="983" customFormat="false" ht="15" hidden="false" customHeight="true" outlineLevel="0" collapsed="false">
      <c r="B983" s="43"/>
      <c r="C983" s="43"/>
    </row>
    <row r="984" customFormat="false" ht="15" hidden="false" customHeight="true" outlineLevel="0" collapsed="false">
      <c r="B984" s="43"/>
      <c r="C984" s="43"/>
    </row>
    <row r="985" customFormat="false" ht="15" hidden="false" customHeight="true" outlineLevel="0" collapsed="false">
      <c r="B985" s="43"/>
      <c r="C985" s="43"/>
    </row>
    <row r="986" customFormat="false" ht="15" hidden="false" customHeight="true" outlineLevel="0" collapsed="false">
      <c r="B986" s="43"/>
      <c r="C986" s="43"/>
    </row>
    <row r="987" customFormat="false" ht="15" hidden="false" customHeight="true" outlineLevel="0" collapsed="false">
      <c r="B987" s="43"/>
      <c r="C987" s="43"/>
    </row>
    <row r="988" customFormat="false" ht="15" hidden="false" customHeight="true" outlineLevel="0" collapsed="false">
      <c r="B988" s="43"/>
      <c r="C988" s="43"/>
    </row>
    <row r="989" customFormat="false" ht="15" hidden="false" customHeight="true" outlineLevel="0" collapsed="false">
      <c r="B989" s="43"/>
      <c r="C989" s="43"/>
    </row>
    <row r="990" customFormat="false" ht="15" hidden="false" customHeight="true" outlineLevel="0" collapsed="false">
      <c r="B990" s="43"/>
      <c r="C990" s="43"/>
    </row>
    <row r="991" customFormat="false" ht="15" hidden="false" customHeight="true" outlineLevel="0" collapsed="false">
      <c r="B991" s="43"/>
      <c r="C991" s="43"/>
    </row>
    <row r="992" customFormat="false" ht="15" hidden="false" customHeight="true" outlineLevel="0" collapsed="false">
      <c r="B992" s="43"/>
      <c r="C992" s="43"/>
    </row>
    <row r="993" customFormat="false" ht="15" hidden="false" customHeight="true" outlineLevel="0" collapsed="false">
      <c r="B993" s="43"/>
      <c r="C993" s="43"/>
    </row>
    <row r="994" customFormat="false" ht="15" hidden="false" customHeight="true" outlineLevel="0" collapsed="false">
      <c r="B994" s="43"/>
      <c r="C994" s="43"/>
    </row>
    <row r="995" customFormat="false" ht="15" hidden="false" customHeight="true" outlineLevel="0" collapsed="false">
      <c r="B995" s="43"/>
      <c r="C995" s="43"/>
    </row>
    <row r="996" customFormat="false" ht="15" hidden="false" customHeight="true" outlineLevel="0" collapsed="false">
      <c r="B996" s="43"/>
      <c r="C996" s="43"/>
    </row>
    <row r="997" customFormat="false" ht="15" hidden="false" customHeight="true" outlineLevel="0" collapsed="false">
      <c r="B997" s="43"/>
      <c r="C997" s="43"/>
    </row>
    <row r="998" customFormat="false" ht="15" hidden="false" customHeight="true" outlineLevel="0" collapsed="false">
      <c r="B998" s="43"/>
      <c r="C998" s="43"/>
    </row>
    <row r="999" customFormat="false" ht="15" hidden="false" customHeight="true" outlineLevel="0" collapsed="false">
      <c r="B999" s="43"/>
      <c r="C999" s="43"/>
    </row>
    <row r="1000" customFormat="false" ht="15" hidden="false" customHeight="true" outlineLevel="0" collapsed="false">
      <c r="B1000" s="43"/>
      <c r="C1000" s="43"/>
    </row>
    <row r="1001" customFormat="false" ht="15" hidden="false" customHeight="true" outlineLevel="0" collapsed="false">
      <c r="B1001" s="43"/>
      <c r="C1001" s="43"/>
    </row>
    <row r="1002" customFormat="false" ht="15" hidden="false" customHeight="true" outlineLevel="0" collapsed="false">
      <c r="B1002" s="43"/>
      <c r="C1002" s="43"/>
    </row>
    <row r="1003" customFormat="false" ht="15" hidden="false" customHeight="true" outlineLevel="0" collapsed="false">
      <c r="B1003" s="43"/>
      <c r="C1003" s="43"/>
    </row>
    <row r="1004" customFormat="false" ht="15" hidden="false" customHeight="true" outlineLevel="0" collapsed="false">
      <c r="B1004" s="43"/>
      <c r="C1004" s="43"/>
    </row>
    <row r="1005" customFormat="false" ht="15" hidden="false" customHeight="true" outlineLevel="0" collapsed="false">
      <c r="B1005" s="43"/>
      <c r="C1005" s="43"/>
    </row>
    <row r="1006" customFormat="false" ht="15" hidden="false" customHeight="true" outlineLevel="0" collapsed="false">
      <c r="B1006" s="43"/>
      <c r="C1006" s="43"/>
    </row>
    <row r="1007" customFormat="false" ht="15" hidden="false" customHeight="true" outlineLevel="0" collapsed="false">
      <c r="B1007" s="43"/>
      <c r="C1007" s="43"/>
    </row>
    <row r="1008" customFormat="false" ht="15" hidden="false" customHeight="true" outlineLevel="0" collapsed="false">
      <c r="B1008" s="43"/>
      <c r="C1008" s="43"/>
    </row>
    <row r="1009" customFormat="false" ht="15" hidden="false" customHeight="true" outlineLevel="0" collapsed="false">
      <c r="B1009" s="43"/>
      <c r="C1009" s="43"/>
    </row>
    <row r="1010" customFormat="false" ht="15" hidden="false" customHeight="true" outlineLevel="0" collapsed="false">
      <c r="B1010" s="43"/>
      <c r="C1010" s="43"/>
    </row>
    <row r="1011" customFormat="false" ht="15" hidden="false" customHeight="true" outlineLevel="0" collapsed="false">
      <c r="B1011" s="43"/>
      <c r="C1011" s="43"/>
    </row>
    <row r="1012" customFormat="false" ht="15" hidden="false" customHeight="true" outlineLevel="0" collapsed="false">
      <c r="B1012" s="43"/>
      <c r="C1012" s="43"/>
    </row>
    <row r="1013" customFormat="false" ht="15" hidden="false" customHeight="true" outlineLevel="0" collapsed="false">
      <c r="B1013" s="43"/>
      <c r="C1013" s="43"/>
    </row>
    <row r="1014" customFormat="false" ht="15" hidden="false" customHeight="true" outlineLevel="0" collapsed="false">
      <c r="B1014" s="43"/>
      <c r="C1014" s="43"/>
    </row>
    <row r="1015" customFormat="false" ht="15" hidden="false" customHeight="true" outlineLevel="0" collapsed="false">
      <c r="B1015" s="43"/>
      <c r="C1015" s="43"/>
    </row>
    <row r="1016" customFormat="false" ht="15" hidden="false" customHeight="true" outlineLevel="0" collapsed="false">
      <c r="B1016" s="43"/>
      <c r="C1016" s="43"/>
    </row>
    <row r="1017" customFormat="false" ht="15" hidden="false" customHeight="true" outlineLevel="0" collapsed="false">
      <c r="B1017" s="43"/>
      <c r="C1017" s="43"/>
    </row>
    <row r="1018" customFormat="false" ht="15" hidden="false" customHeight="true" outlineLevel="0" collapsed="false">
      <c r="B1018" s="43"/>
      <c r="C1018" s="43"/>
    </row>
    <row r="1019" customFormat="false" ht="15" hidden="false" customHeight="true" outlineLevel="0" collapsed="false">
      <c r="B1019" s="43"/>
      <c r="C1019" s="43"/>
    </row>
    <row r="1020" customFormat="false" ht="15" hidden="false" customHeight="true" outlineLevel="0" collapsed="false">
      <c r="B1020" s="43"/>
      <c r="C1020" s="43"/>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 collapsed="false" customWidth="true" hidden="false" outlineLevel="0" max="7" min="6" style="1" width="70"/>
    <col collapsed="false" customWidth="true" hidden="false" outlineLevel="0" max="8" min="8" style="0" width="15"/>
  </cols>
  <sheetData>
    <row r="1" customFormat="false" ht="36" hidden="false" customHeight="true" outlineLevel="0" collapsed="false">
      <c r="A1" s="83" t="s">
        <v>2321</v>
      </c>
      <c r="B1" s="83"/>
      <c r="C1" s="83"/>
      <c r="D1" s="83"/>
      <c r="E1" s="83"/>
    </row>
    <row r="2" customFormat="false" ht="43.5" hidden="false" customHeight="true" outlineLevel="0" collapsed="false">
      <c r="A2" s="84" t="s">
        <v>2322</v>
      </c>
      <c r="B2" s="84" t="s">
        <v>2323</v>
      </c>
      <c r="C2" s="84" t="s">
        <v>2324</v>
      </c>
      <c r="D2" s="84" t="s">
        <v>2325</v>
      </c>
      <c r="E2" s="84" t="s">
        <v>2326</v>
      </c>
      <c r="F2" s="85" t="s">
        <v>2327</v>
      </c>
      <c r="G2" s="86" t="s">
        <v>2328</v>
      </c>
      <c r="H2" s="87" t="s">
        <v>2329</v>
      </c>
    </row>
    <row r="3" customFormat="false" ht="15" hidden="false" customHeight="true" outlineLevel="0" collapsed="false">
      <c r="A3" s="79" t="s">
        <v>1562</v>
      </c>
      <c r="B3" s="79" t="s">
        <v>2330</v>
      </c>
      <c r="C3" s="79" t="s">
        <v>2331</v>
      </c>
      <c r="D3" s="79"/>
      <c r="E3" s="79" t="s">
        <v>1724</v>
      </c>
      <c r="F3" s="88" t="s">
        <v>2332</v>
      </c>
      <c r="G3" s="88" t="s">
        <v>2333</v>
      </c>
      <c r="H3" s="89" t="s">
        <v>2334</v>
      </c>
    </row>
    <row r="4" customFormat="false" ht="15" hidden="false" customHeight="true" outlineLevel="0" collapsed="false">
      <c r="A4" s="9" t="s">
        <v>1127</v>
      </c>
      <c r="B4" s="9" t="s">
        <v>2330</v>
      </c>
      <c r="C4" s="9" t="s">
        <v>2335</v>
      </c>
      <c r="D4" s="9"/>
      <c r="E4" s="9" t="s">
        <v>1724</v>
      </c>
      <c r="F4" s="88" t="s">
        <v>2336</v>
      </c>
      <c r="G4" s="88" t="s">
        <v>2337</v>
      </c>
      <c r="H4" s="89" t="s">
        <v>2338</v>
      </c>
    </row>
    <row r="5" customFormat="false" ht="15" hidden="false" customHeight="true" outlineLevel="0" collapsed="false">
      <c r="A5" s="79" t="s">
        <v>1196</v>
      </c>
      <c r="B5" s="79" t="s">
        <v>2330</v>
      </c>
      <c r="C5" s="79" t="s">
        <v>2339</v>
      </c>
      <c r="D5" s="79"/>
      <c r="E5" s="79" t="s">
        <v>1724</v>
      </c>
      <c r="F5" s="88" t="s">
        <v>2340</v>
      </c>
      <c r="G5" s="88" t="s">
        <v>2341</v>
      </c>
      <c r="H5" s="89" t="s">
        <v>2342</v>
      </c>
    </row>
    <row r="6" customFormat="false" ht="15" hidden="false" customHeight="true" outlineLevel="0" collapsed="false">
      <c r="A6" s="9" t="s">
        <v>1247</v>
      </c>
      <c r="B6" s="9" t="s">
        <v>2330</v>
      </c>
      <c r="C6" s="9" t="s">
        <v>2343</v>
      </c>
      <c r="D6" s="9"/>
      <c r="E6" s="9" t="s">
        <v>1724</v>
      </c>
      <c r="F6" s="88" t="s">
        <v>2344</v>
      </c>
      <c r="G6" s="88" t="s">
        <v>2345</v>
      </c>
      <c r="H6" s="89" t="s">
        <v>2346</v>
      </c>
    </row>
    <row r="7" customFormat="false" ht="15" hidden="false" customHeight="true" outlineLevel="0" collapsed="false">
      <c r="A7" s="79" t="s">
        <v>1294</v>
      </c>
      <c r="B7" s="79" t="s">
        <v>2330</v>
      </c>
      <c r="C7" s="79" t="s">
        <v>2347</v>
      </c>
      <c r="D7" s="79"/>
      <c r="E7" s="79" t="s">
        <v>1724</v>
      </c>
      <c r="F7" s="88" t="s">
        <v>2348</v>
      </c>
      <c r="G7" s="88" t="s">
        <v>2349</v>
      </c>
      <c r="H7" s="89" t="s">
        <v>2350</v>
      </c>
    </row>
    <row r="8" customFormat="false" ht="15" hidden="false" customHeight="true" outlineLevel="0" collapsed="false">
      <c r="A8" s="9" t="s">
        <v>1341</v>
      </c>
      <c r="B8" s="9" t="s">
        <v>2330</v>
      </c>
      <c r="C8" s="9" t="s">
        <v>2351</v>
      </c>
      <c r="D8" s="9"/>
      <c r="E8" s="9" t="s">
        <v>1724</v>
      </c>
      <c r="F8" s="88" t="s">
        <v>2352</v>
      </c>
      <c r="G8" s="88" t="s">
        <v>2353</v>
      </c>
      <c r="H8" s="89" t="s">
        <v>2354</v>
      </c>
    </row>
    <row r="9" customFormat="false" ht="15" hidden="false" customHeight="true" outlineLevel="0" collapsed="false">
      <c r="A9" s="79" t="s">
        <v>1403</v>
      </c>
      <c r="B9" s="79" t="s">
        <v>2330</v>
      </c>
      <c r="C9" s="79" t="s">
        <v>2355</v>
      </c>
      <c r="D9" s="79"/>
      <c r="E9" s="79" t="s">
        <v>1724</v>
      </c>
      <c r="F9" s="88" t="s">
        <v>2356</v>
      </c>
      <c r="G9" s="88" t="s">
        <v>2357</v>
      </c>
      <c r="H9" s="89" t="s">
        <v>2358</v>
      </c>
    </row>
    <row r="10" customFormat="false" ht="15" hidden="false" customHeight="true" outlineLevel="0" collapsed="false">
      <c r="A10" s="9" t="s">
        <v>1447</v>
      </c>
      <c r="B10" s="9" t="s">
        <v>2330</v>
      </c>
      <c r="C10" s="9" t="s">
        <v>2359</v>
      </c>
      <c r="D10" s="9"/>
      <c r="E10" s="9" t="s">
        <v>1724</v>
      </c>
      <c r="F10" s="88" t="s">
        <v>2360</v>
      </c>
      <c r="G10" s="88" t="s">
        <v>2361</v>
      </c>
      <c r="H10" s="89" t="s">
        <v>2362</v>
      </c>
    </row>
    <row r="11" customFormat="false" ht="15" hidden="false" customHeight="true" outlineLevel="0" collapsed="false">
      <c r="A11" s="79" t="s">
        <v>879</v>
      </c>
      <c r="B11" s="79" t="s">
        <v>771</v>
      </c>
      <c r="C11" s="79" t="s">
        <v>2363</v>
      </c>
      <c r="D11" s="79" t="s">
        <v>1562</v>
      </c>
      <c r="E11" s="79" t="s">
        <v>1724</v>
      </c>
      <c r="F11" s="88" t="s">
        <v>2364</v>
      </c>
      <c r="G11" s="88" t="s">
        <v>2333</v>
      </c>
      <c r="H11" s="89" t="s">
        <v>2365</v>
      </c>
    </row>
    <row r="12" customFormat="false" ht="15" hidden="false" customHeight="true" outlineLevel="0" collapsed="false">
      <c r="A12" s="9" t="s">
        <v>891</v>
      </c>
      <c r="B12" s="9" t="s">
        <v>771</v>
      </c>
      <c r="C12" s="9" t="s">
        <v>2366</v>
      </c>
      <c r="D12" s="9"/>
      <c r="E12" s="9" t="s">
        <v>1724</v>
      </c>
      <c r="F12" s="88" t="s">
        <v>2367</v>
      </c>
      <c r="G12" s="88" t="s">
        <v>2368</v>
      </c>
      <c r="H12" s="89" t="s">
        <v>2369</v>
      </c>
    </row>
    <row r="13" customFormat="false" ht="15" hidden="false" customHeight="true" outlineLevel="0" collapsed="false">
      <c r="A13" s="79" t="s">
        <v>1670</v>
      </c>
      <c r="B13" s="79" t="s">
        <v>771</v>
      </c>
      <c r="C13" s="79" t="s">
        <v>2370</v>
      </c>
      <c r="D13" s="79"/>
      <c r="E13" s="79" t="s">
        <v>1724</v>
      </c>
      <c r="F13" s="88" t="s">
        <v>2371</v>
      </c>
      <c r="G13" s="88" t="s">
        <v>2372</v>
      </c>
      <c r="H13" s="89" t="s">
        <v>2373</v>
      </c>
    </row>
    <row r="14" customFormat="false" ht="15" hidden="false" customHeight="true" outlineLevel="0" collapsed="false">
      <c r="A14" s="9" t="s">
        <v>950</v>
      </c>
      <c r="B14" s="9" t="s">
        <v>771</v>
      </c>
      <c r="C14" s="9" t="s">
        <v>2374</v>
      </c>
      <c r="D14" s="9"/>
      <c r="E14" s="9" t="s">
        <v>1724</v>
      </c>
      <c r="F14" s="88" t="s">
        <v>2375</v>
      </c>
      <c r="G14" s="88" t="s">
        <v>2376</v>
      </c>
      <c r="H14" s="89" t="s">
        <v>2377</v>
      </c>
    </row>
    <row r="15" customFormat="false" ht="15" hidden="false" customHeight="true" outlineLevel="0" collapsed="false">
      <c r="A15" s="79" t="s">
        <v>896</v>
      </c>
      <c r="B15" s="79" t="s">
        <v>771</v>
      </c>
      <c r="C15" s="79" t="s">
        <v>2378</v>
      </c>
      <c r="D15" s="79"/>
      <c r="E15" s="79" t="s">
        <v>1724</v>
      </c>
      <c r="F15" s="88" t="s">
        <v>2379</v>
      </c>
      <c r="G15" s="88" t="s">
        <v>2380</v>
      </c>
      <c r="H15" s="89" t="s">
        <v>2381</v>
      </c>
    </row>
    <row r="16" customFormat="false" ht="15" hidden="false" customHeight="true" outlineLevel="0" collapsed="false">
      <c r="A16" s="9" t="s">
        <v>1671</v>
      </c>
      <c r="B16" s="9" t="s">
        <v>771</v>
      </c>
      <c r="C16" s="9" t="s">
        <v>2335</v>
      </c>
      <c r="D16" s="9" t="s">
        <v>1127</v>
      </c>
      <c r="E16" s="9" t="s">
        <v>1724</v>
      </c>
      <c r="F16" s="88" t="s">
        <v>2382</v>
      </c>
      <c r="G16" s="88" t="s">
        <v>2337</v>
      </c>
      <c r="H16" s="89" t="s">
        <v>2383</v>
      </c>
    </row>
    <row r="17" customFormat="false" ht="15" hidden="false" customHeight="true" outlineLevel="0" collapsed="false">
      <c r="A17" s="79" t="s">
        <v>1673</v>
      </c>
      <c r="B17" s="79" t="s">
        <v>771</v>
      </c>
      <c r="C17" s="79" t="s">
        <v>2355</v>
      </c>
      <c r="D17" s="79" t="s">
        <v>1403</v>
      </c>
      <c r="E17" s="79" t="s">
        <v>1724</v>
      </c>
      <c r="F17" s="88" t="s">
        <v>2384</v>
      </c>
      <c r="G17" s="88" t="s">
        <v>2357</v>
      </c>
      <c r="H17" s="89" t="s">
        <v>2385</v>
      </c>
    </row>
    <row r="18" customFormat="false" ht="15" hidden="false" customHeight="true" outlineLevel="0" collapsed="false">
      <c r="A18" s="9" t="s">
        <v>1047</v>
      </c>
      <c r="B18" s="9" t="s">
        <v>771</v>
      </c>
      <c r="C18" s="9" t="s">
        <v>2386</v>
      </c>
      <c r="D18" s="9"/>
      <c r="E18" s="9" t="s">
        <v>1724</v>
      </c>
      <c r="F18" s="88" t="s">
        <v>2387</v>
      </c>
      <c r="G18" s="88" t="s">
        <v>2388</v>
      </c>
      <c r="H18" s="89" t="s">
        <v>2389</v>
      </c>
    </row>
    <row r="19" customFormat="false" ht="15" hidden="false" customHeight="true" outlineLevel="0" collapsed="false">
      <c r="A19" s="79" t="s">
        <v>917</v>
      </c>
      <c r="B19" s="79" t="s">
        <v>771</v>
      </c>
      <c r="C19" s="79" t="s">
        <v>2390</v>
      </c>
      <c r="D19" s="79"/>
      <c r="E19" s="79" t="s">
        <v>1724</v>
      </c>
      <c r="F19" s="88" t="s">
        <v>2391</v>
      </c>
      <c r="G19" s="88" t="s">
        <v>2392</v>
      </c>
      <c r="H19" s="89" t="s">
        <v>2393</v>
      </c>
    </row>
    <row r="20" customFormat="false" ht="15" hidden="false" customHeight="true" outlineLevel="0" collapsed="false">
      <c r="A20" s="9" t="s">
        <v>925</v>
      </c>
      <c r="B20" s="9" t="s">
        <v>771</v>
      </c>
      <c r="C20" s="9" t="s">
        <v>2394</v>
      </c>
      <c r="D20" s="9"/>
      <c r="E20" s="9" t="s">
        <v>1724</v>
      </c>
      <c r="F20" s="88" t="s">
        <v>2395</v>
      </c>
      <c r="G20" s="88" t="s">
        <v>2396</v>
      </c>
      <c r="H20" s="89" t="s">
        <v>2397</v>
      </c>
    </row>
    <row r="21" customFormat="false" ht="15" hidden="false" customHeight="true" outlineLevel="0" collapsed="false">
      <c r="A21" s="79" t="s">
        <v>977</v>
      </c>
      <c r="B21" s="79" t="s">
        <v>771</v>
      </c>
      <c r="C21" s="79" t="s">
        <v>2398</v>
      </c>
      <c r="D21" s="79"/>
      <c r="E21" s="79" t="s">
        <v>1724</v>
      </c>
      <c r="F21" s="88" t="s">
        <v>2399</v>
      </c>
      <c r="G21" s="88" t="s">
        <v>2400</v>
      </c>
      <c r="H21" s="89" t="s">
        <v>2401</v>
      </c>
    </row>
    <row r="22" customFormat="false" ht="15" hidden="false" customHeight="true" outlineLevel="0" collapsed="false">
      <c r="A22" s="9" t="s">
        <v>932</v>
      </c>
      <c r="B22" s="9" t="s">
        <v>771</v>
      </c>
      <c r="C22" s="9" t="s">
        <v>2402</v>
      </c>
      <c r="D22" s="9"/>
      <c r="E22" s="9" t="s">
        <v>1724</v>
      </c>
      <c r="F22" s="88" t="s">
        <v>2403</v>
      </c>
      <c r="G22" s="88" t="s">
        <v>2404</v>
      </c>
      <c r="H22" s="89" t="s">
        <v>2405</v>
      </c>
    </row>
    <row r="23" customFormat="false" ht="15" hidden="false" customHeight="true" outlineLevel="0" collapsed="false">
      <c r="A23" s="79" t="s">
        <v>1661</v>
      </c>
      <c r="B23" s="79" t="s">
        <v>1660</v>
      </c>
      <c r="C23" s="79" t="s">
        <v>2331</v>
      </c>
      <c r="D23" s="79" t="s">
        <v>1562</v>
      </c>
      <c r="E23" s="79" t="s">
        <v>1724</v>
      </c>
      <c r="F23" s="88" t="s">
        <v>2406</v>
      </c>
      <c r="G23" s="88" t="s">
        <v>2333</v>
      </c>
      <c r="H23" s="89" t="s">
        <v>2334</v>
      </c>
    </row>
    <row r="24" customFormat="false" ht="15" hidden="false" customHeight="true" outlineLevel="0" collapsed="false">
      <c r="A24" s="9" t="s">
        <v>1662</v>
      </c>
      <c r="B24" s="9" t="s">
        <v>1660</v>
      </c>
      <c r="C24" s="9" t="s">
        <v>2335</v>
      </c>
      <c r="D24" s="9" t="s">
        <v>1127</v>
      </c>
      <c r="E24" s="9" t="s">
        <v>1724</v>
      </c>
      <c r="F24" s="88" t="s">
        <v>2407</v>
      </c>
      <c r="G24" s="88" t="s">
        <v>2337</v>
      </c>
      <c r="H24" s="89" t="s">
        <v>2338</v>
      </c>
    </row>
    <row r="25" customFormat="false" ht="15" hidden="false" customHeight="true" outlineLevel="0" collapsed="false">
      <c r="A25" s="79" t="s">
        <v>1663</v>
      </c>
      <c r="B25" s="79" t="s">
        <v>1660</v>
      </c>
      <c r="C25" s="79" t="s">
        <v>2339</v>
      </c>
      <c r="D25" s="79" t="s">
        <v>1196</v>
      </c>
      <c r="E25" s="79" t="s">
        <v>1724</v>
      </c>
      <c r="F25" s="88" t="s">
        <v>2408</v>
      </c>
      <c r="G25" s="88" t="s">
        <v>2341</v>
      </c>
      <c r="H25" s="89" t="s">
        <v>2342</v>
      </c>
    </row>
    <row r="26" customFormat="false" ht="15" hidden="false" customHeight="true" outlineLevel="0" collapsed="false">
      <c r="A26" s="9" t="s">
        <v>1664</v>
      </c>
      <c r="B26" s="9" t="s">
        <v>1660</v>
      </c>
      <c r="C26" s="9" t="s">
        <v>2343</v>
      </c>
      <c r="D26" s="9" t="s">
        <v>1247</v>
      </c>
      <c r="E26" s="9" t="s">
        <v>1724</v>
      </c>
      <c r="F26" s="88" t="s">
        <v>2409</v>
      </c>
      <c r="G26" s="88" t="s">
        <v>2345</v>
      </c>
      <c r="H26" s="89" t="s">
        <v>2346</v>
      </c>
    </row>
    <row r="27" customFormat="false" ht="15" hidden="false" customHeight="true" outlineLevel="0" collapsed="false">
      <c r="A27" s="79" t="s">
        <v>1665</v>
      </c>
      <c r="B27" s="79" t="s">
        <v>1660</v>
      </c>
      <c r="C27" s="79" t="s">
        <v>2347</v>
      </c>
      <c r="D27" s="79" t="s">
        <v>1294</v>
      </c>
      <c r="E27" s="79" t="s">
        <v>1724</v>
      </c>
      <c r="F27" s="88" t="s">
        <v>2410</v>
      </c>
      <c r="G27" s="88" t="s">
        <v>2349</v>
      </c>
      <c r="H27" s="89" t="s">
        <v>2350</v>
      </c>
    </row>
    <row r="28" customFormat="false" ht="15" hidden="false" customHeight="true" outlineLevel="0" collapsed="false">
      <c r="A28" s="9" t="s">
        <v>1666</v>
      </c>
      <c r="B28" s="9" t="s">
        <v>1660</v>
      </c>
      <c r="C28" s="9" t="s">
        <v>2411</v>
      </c>
      <c r="D28" s="9" t="s">
        <v>1341</v>
      </c>
      <c r="E28" s="9" t="s">
        <v>1724</v>
      </c>
      <c r="F28" s="88" t="s">
        <v>2412</v>
      </c>
      <c r="G28" s="88" t="s">
        <v>2353</v>
      </c>
      <c r="H28" s="89" t="s">
        <v>2354</v>
      </c>
    </row>
    <row r="29" customFormat="false" ht="15" hidden="false" customHeight="true" outlineLevel="0" collapsed="false">
      <c r="A29" s="79" t="s">
        <v>1667</v>
      </c>
      <c r="B29" s="79" t="s">
        <v>1660</v>
      </c>
      <c r="C29" s="79" t="s">
        <v>2355</v>
      </c>
      <c r="D29" s="79" t="s">
        <v>1403</v>
      </c>
      <c r="E29" s="79" t="s">
        <v>1724</v>
      </c>
      <c r="F29" s="88" t="s">
        <v>2413</v>
      </c>
      <c r="G29" s="88" t="s">
        <v>2357</v>
      </c>
      <c r="H29" s="89" t="s">
        <v>2358</v>
      </c>
    </row>
    <row r="30" customFormat="false" ht="15" hidden="false" customHeight="true" outlineLevel="0" collapsed="false">
      <c r="A30" s="9" t="s">
        <v>1668</v>
      </c>
      <c r="B30" s="9" t="s">
        <v>1660</v>
      </c>
      <c r="C30" s="9" t="s">
        <v>2359</v>
      </c>
      <c r="D30" s="9" t="s">
        <v>1447</v>
      </c>
      <c r="E30" s="9" t="s">
        <v>1724</v>
      </c>
      <c r="F30" s="88" t="s">
        <v>2414</v>
      </c>
      <c r="G30" s="88" t="s">
        <v>2361</v>
      </c>
      <c r="H30" s="89" t="s">
        <v>2362</v>
      </c>
    </row>
    <row r="31" customFormat="false" ht="15" hidden="false" customHeight="true" outlineLevel="0" collapsed="false">
      <c r="A31" s="81"/>
      <c r="B31" s="81"/>
      <c r="C31" s="81"/>
      <c r="D31" s="81"/>
      <c r="E31" s="81"/>
    </row>
    <row r="32" customFormat="false" ht="15" hidden="false" customHeight="true" outlineLevel="0" collapsed="false">
      <c r="A32" s="81"/>
      <c r="B32" s="81"/>
      <c r="C32" s="81"/>
      <c r="D32" s="81"/>
      <c r="E32" s="81"/>
    </row>
    <row r="33" customFormat="false" ht="15" hidden="false" customHeight="true" outlineLevel="0" collapsed="false">
      <c r="A33" s="81"/>
      <c r="B33" s="81"/>
      <c r="C33" s="81"/>
      <c r="D33" s="81"/>
      <c r="E33" s="81"/>
    </row>
    <row r="34" customFormat="false" ht="15" hidden="false" customHeight="true" outlineLevel="0" collapsed="false">
      <c r="A34" s="81"/>
      <c r="B34" s="81"/>
      <c r="C34" s="81"/>
      <c r="D34" s="81"/>
      <c r="E34" s="81"/>
    </row>
    <row r="35" customFormat="false" ht="15" hidden="false" customHeight="true" outlineLevel="0" collapsed="false">
      <c r="A35" s="81"/>
      <c r="B35" s="81"/>
      <c r="C35" s="81"/>
      <c r="D35" s="81"/>
      <c r="E35" s="81"/>
    </row>
    <row r="36" customFormat="false" ht="15" hidden="false" customHeight="true" outlineLevel="0" collapsed="false">
      <c r="A36" s="81"/>
      <c r="B36" s="81"/>
      <c r="C36" s="81"/>
      <c r="D36" s="81"/>
      <c r="E36" s="81"/>
    </row>
    <row r="37" customFormat="false" ht="15" hidden="false" customHeight="true" outlineLevel="0" collapsed="false">
      <c r="A37" s="81"/>
      <c r="B37" s="81"/>
      <c r="C37" s="81"/>
      <c r="D37" s="81"/>
      <c r="E37" s="81"/>
    </row>
    <row r="38" customFormat="false" ht="15" hidden="false" customHeight="true" outlineLevel="0" collapsed="false">
      <c r="A38" s="81"/>
      <c r="B38" s="81"/>
      <c r="C38" s="81"/>
      <c r="D38" s="81"/>
      <c r="E38" s="81"/>
    </row>
    <row r="39" customFormat="false" ht="15" hidden="false" customHeight="true" outlineLevel="0" collapsed="false">
      <c r="A39" s="81"/>
      <c r="B39" s="81"/>
      <c r="C39" s="81"/>
      <c r="D39" s="81"/>
      <c r="E39" s="81"/>
    </row>
    <row r="40" customFormat="false" ht="15" hidden="false" customHeight="true" outlineLevel="0" collapsed="false">
      <c r="A40" s="81"/>
      <c r="B40" s="81"/>
      <c r="C40" s="81"/>
      <c r="D40" s="81"/>
      <c r="E40" s="81"/>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90" t="s">
        <v>2415</v>
      </c>
      <c r="B1" s="90"/>
    </row>
    <row r="2" customFormat="false" ht="30" hidden="false" customHeight="true" outlineLevel="0" collapsed="false">
      <c r="A2" s="91" t="s">
        <v>2416</v>
      </c>
      <c r="B2" s="91"/>
    </row>
    <row r="3" customFormat="false" ht="21.75" hidden="false" customHeight="true" outlineLevel="0" collapsed="false">
      <c r="A3" s="92" t="s">
        <v>2417</v>
      </c>
      <c r="B3" s="9" t="s">
        <v>2418</v>
      </c>
    </row>
    <row r="4" customFormat="false" ht="21.75" hidden="false" customHeight="true" outlineLevel="0" collapsed="false">
      <c r="A4" s="92" t="s">
        <v>2419</v>
      </c>
      <c r="B4" s="9" t="s">
        <v>2420</v>
      </c>
    </row>
    <row r="5" customFormat="false" ht="21.75" hidden="false" customHeight="true" outlineLevel="0" collapsed="false">
      <c r="A5" s="92" t="s">
        <v>2421</v>
      </c>
      <c r="B5" s="9" t="s">
        <v>2422</v>
      </c>
    </row>
    <row r="6" customFormat="false" ht="21.75" hidden="false" customHeight="true" outlineLevel="0" collapsed="false">
      <c r="A6" s="92" t="s">
        <v>2423</v>
      </c>
      <c r="B6" s="9" t="s">
        <v>2424</v>
      </c>
    </row>
    <row r="7" customFormat="false" ht="21.75" hidden="false" customHeight="true" outlineLevel="0" collapsed="false">
      <c r="A7" s="92" t="s">
        <v>2425</v>
      </c>
      <c r="B7" s="9" t="s">
        <v>2426</v>
      </c>
    </row>
    <row r="8" customFormat="false" ht="21.75" hidden="false" customHeight="true" outlineLevel="0" collapsed="false">
      <c r="A8" s="92" t="s">
        <v>2427</v>
      </c>
      <c r="B8" s="9" t="s">
        <v>2428</v>
      </c>
    </row>
    <row r="10" customFormat="false" ht="30" hidden="false" customHeight="true" outlineLevel="0" collapsed="false">
      <c r="A10" s="93" t="s">
        <v>2429</v>
      </c>
      <c r="B10" s="93"/>
    </row>
    <row r="11" customFormat="false" ht="21.75" hidden="false" customHeight="true" outlineLevel="0" collapsed="false">
      <c r="A11" s="94" t="s">
        <v>2430</v>
      </c>
      <c r="B11" s="26" t="s">
        <v>2431</v>
      </c>
    </row>
    <row r="12" customFormat="false" ht="21.75" hidden="false" customHeight="true" outlineLevel="0" collapsed="false">
      <c r="A12" s="95" t="s">
        <v>2432</v>
      </c>
      <c r="B12" s="96" t="s">
        <v>2433</v>
      </c>
    </row>
    <row r="13" customFormat="false" ht="21.75" hidden="false" customHeight="true" outlineLevel="0" collapsed="false">
      <c r="A13" s="94" t="s">
        <v>2434</v>
      </c>
      <c r="B13" s="26" t="s">
        <v>2435</v>
      </c>
    </row>
    <row r="14" customFormat="false" ht="21.75" hidden="false" customHeight="true" outlineLevel="0" collapsed="false">
      <c r="A14" s="97" t="s">
        <v>2436</v>
      </c>
      <c r="B14" s="73" t="s">
        <v>2437</v>
      </c>
    </row>
    <row r="15" customFormat="false" ht="21.75" hidden="false" customHeight="true" outlineLevel="0" collapsed="false">
      <c r="A15" s="98" t="s">
        <v>2438</v>
      </c>
      <c r="B15" s="49" t="s">
        <v>2439</v>
      </c>
    </row>
    <row r="17" customFormat="false" ht="30" hidden="false" customHeight="true" outlineLevel="0" collapsed="false">
      <c r="A17" s="99" t="s">
        <v>2440</v>
      </c>
      <c r="B17" s="99"/>
    </row>
    <row r="18" customFormat="false" ht="21.75" hidden="false" customHeight="true" outlineLevel="0" collapsed="false">
      <c r="A18" s="98" t="s">
        <v>2441</v>
      </c>
      <c r="B18" s="49" t="s">
        <v>2442</v>
      </c>
    </row>
    <row r="19" customFormat="false" ht="21.75" hidden="false" customHeight="true" outlineLevel="0" collapsed="false">
      <c r="A19" s="98" t="s">
        <v>2443</v>
      </c>
      <c r="B19" s="49" t="s">
        <v>2444</v>
      </c>
    </row>
    <row r="20" customFormat="false" ht="21.75" hidden="false" customHeight="true" outlineLevel="0" collapsed="false">
      <c r="A20" s="98" t="s">
        <v>2445</v>
      </c>
      <c r="B20" s="49" t="s">
        <v>2446</v>
      </c>
    </row>
    <row r="21" customFormat="false" ht="21.75" hidden="false" customHeight="true" outlineLevel="0" collapsed="false">
      <c r="A21" s="98" t="s">
        <v>2447</v>
      </c>
      <c r="B21" s="49" t="s">
        <v>2448</v>
      </c>
    </row>
    <row r="22" customFormat="false" ht="21.75" hidden="false" customHeight="true" outlineLevel="0" collapsed="false">
      <c r="A22" s="98" t="s">
        <v>2449</v>
      </c>
      <c r="B22" s="49" t="s">
        <v>2450</v>
      </c>
    </row>
    <row r="24" customFormat="false" ht="30" hidden="false" customHeight="true" outlineLevel="0" collapsed="false">
      <c r="A24" s="100" t="s">
        <v>2451</v>
      </c>
      <c r="B24" s="100"/>
    </row>
    <row r="25" customFormat="false" ht="279.75" hidden="false" customHeight="true" outlineLevel="0" collapsed="false">
      <c r="A25" s="101" t="s">
        <v>2452</v>
      </c>
      <c r="B25" s="102" t="s">
        <v>2453</v>
      </c>
    </row>
    <row r="27" customFormat="false" ht="30" hidden="false" customHeight="true" outlineLevel="0" collapsed="false">
      <c r="A27" s="100" t="s">
        <v>2454</v>
      </c>
      <c r="B27" s="100"/>
    </row>
    <row r="28" customFormat="false" ht="21.75" hidden="false" customHeight="true" outlineLevel="0" collapsed="false">
      <c r="A28" s="94" t="s">
        <v>2455</v>
      </c>
      <c r="B28" s="26" t="s">
        <v>2456</v>
      </c>
    </row>
    <row r="29" customFormat="false" ht="21.75" hidden="false" customHeight="true" outlineLevel="0" collapsed="false">
      <c r="A29" s="94" t="s">
        <v>2457</v>
      </c>
      <c r="B29" s="26" t="s">
        <v>2458</v>
      </c>
    </row>
    <row r="30" customFormat="false" ht="21.75" hidden="false" customHeight="true" outlineLevel="0" collapsed="false">
      <c r="A30" s="94" t="s">
        <v>2459</v>
      </c>
      <c r="B30" s="26" t="s">
        <v>2460</v>
      </c>
    </row>
    <row r="31" customFormat="false" ht="21.75" hidden="false" customHeight="true" outlineLevel="0" collapsed="false">
      <c r="A31" s="94" t="s">
        <v>2461</v>
      </c>
      <c r="B31" s="26" t="s">
        <v>2462</v>
      </c>
    </row>
    <row r="32" customFormat="false" ht="21.75" hidden="false" customHeight="true" outlineLevel="0" collapsed="false">
      <c r="A32" s="94" t="s">
        <v>2463</v>
      </c>
      <c r="B32" s="26" t="s">
        <v>2464</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2465</v>
      </c>
      <c r="B1" s="1" t="s">
        <v>2323</v>
      </c>
    </row>
    <row r="2" customFormat="false" ht="15" hidden="false" customHeight="true" outlineLevel="0" collapsed="false">
      <c r="A2" s="1" t="s">
        <v>689</v>
      </c>
      <c r="B2" s="1" t="s">
        <v>2466</v>
      </c>
    </row>
    <row r="3" customFormat="false" ht="15" hidden="false" customHeight="true" outlineLevel="0" collapsed="false">
      <c r="A3" s="1" t="s">
        <v>695</v>
      </c>
      <c r="B3" s="1" t="s">
        <v>2466</v>
      </c>
    </row>
    <row r="4" customFormat="false" ht="15" hidden="false" customHeight="true" outlineLevel="0" collapsed="false">
      <c r="A4" s="1" t="s">
        <v>700</v>
      </c>
      <c r="B4" s="1" t="s">
        <v>2466</v>
      </c>
    </row>
    <row r="5" customFormat="false" ht="15" hidden="false" customHeight="true" outlineLevel="0" collapsed="false">
      <c r="A5" s="1" t="s">
        <v>706</v>
      </c>
      <c r="B5" s="1" t="s">
        <v>2466</v>
      </c>
    </row>
    <row r="6" customFormat="false" ht="15" hidden="false" customHeight="true" outlineLevel="0" collapsed="false">
      <c r="A6" s="1" t="s">
        <v>711</v>
      </c>
      <c r="B6" s="1" t="s">
        <v>2466</v>
      </c>
    </row>
    <row r="7" customFormat="false" ht="15" hidden="false" customHeight="true" outlineLevel="0" collapsed="false">
      <c r="A7" s="1" t="s">
        <v>716</v>
      </c>
      <c r="B7" s="1" t="s">
        <v>2466</v>
      </c>
    </row>
    <row r="8" customFormat="false" ht="15" hidden="false" customHeight="true" outlineLevel="0" collapsed="false">
      <c r="A8" s="1" t="s">
        <v>721</v>
      </c>
      <c r="B8" s="1" t="s">
        <v>2466</v>
      </c>
    </row>
    <row r="9" customFormat="false" ht="15" hidden="false" customHeight="true" outlineLevel="0" collapsed="false">
      <c r="A9" s="1" t="s">
        <v>727</v>
      </c>
      <c r="B9" s="1" t="s">
        <v>2466</v>
      </c>
    </row>
    <row r="10" customFormat="false" ht="15" hidden="false" customHeight="true" outlineLevel="0" collapsed="false">
      <c r="A10" s="1" t="s">
        <v>732</v>
      </c>
      <c r="B10" s="1" t="s">
        <v>2466</v>
      </c>
    </row>
    <row r="11" customFormat="false" ht="15" hidden="false" customHeight="true" outlineLevel="0" collapsed="false">
      <c r="A11" s="1" t="s">
        <v>737</v>
      </c>
      <c r="B11" s="1" t="s">
        <v>2466</v>
      </c>
    </row>
    <row r="12" customFormat="false" ht="15" hidden="false" customHeight="true" outlineLevel="0" collapsed="false">
      <c r="A12" s="1" t="s">
        <v>741</v>
      </c>
      <c r="B12" s="1" t="s">
        <v>2466</v>
      </c>
    </row>
    <row r="13" customFormat="false" ht="15" hidden="false" customHeight="true" outlineLevel="0" collapsed="false">
      <c r="A13" s="1" t="s">
        <v>746</v>
      </c>
      <c r="B13" s="1" t="s">
        <v>2466</v>
      </c>
    </row>
    <row r="14" customFormat="false" ht="15" hidden="false" customHeight="true" outlineLevel="0" collapsed="false">
      <c r="A14" s="1" t="s">
        <v>20</v>
      </c>
      <c r="B14" s="1" t="s">
        <v>2467</v>
      </c>
    </row>
    <row r="15" customFormat="false" ht="15" hidden="false" customHeight="true" outlineLevel="0" collapsed="false">
      <c r="A15" s="1" t="s">
        <v>29</v>
      </c>
      <c r="B15" s="1" t="s">
        <v>2467</v>
      </c>
    </row>
    <row r="16" customFormat="false" ht="15" hidden="false" customHeight="true" outlineLevel="0" collapsed="false">
      <c r="A16" s="1" t="s">
        <v>36</v>
      </c>
      <c r="B16" s="1" t="s">
        <v>2467</v>
      </c>
    </row>
    <row r="17" customFormat="false" ht="15" hidden="false" customHeight="true" outlineLevel="0" collapsed="false">
      <c r="A17" s="1" t="s">
        <v>44</v>
      </c>
      <c r="B17" s="1" t="s">
        <v>2467</v>
      </c>
    </row>
    <row r="18" customFormat="false" ht="15" hidden="false" customHeight="true" outlineLevel="0" collapsed="false">
      <c r="A18" s="1" t="s">
        <v>53</v>
      </c>
      <c r="B18" s="1" t="s">
        <v>2467</v>
      </c>
    </row>
    <row r="19" customFormat="false" ht="15" hidden="false" customHeight="true" outlineLevel="0" collapsed="false">
      <c r="A19" s="1" t="s">
        <v>60</v>
      </c>
      <c r="B19" s="1" t="s">
        <v>2467</v>
      </c>
    </row>
    <row r="20" customFormat="false" ht="15" hidden="false" customHeight="true" outlineLevel="0" collapsed="false">
      <c r="A20" s="1" t="s">
        <v>66</v>
      </c>
      <c r="B20" s="1" t="s">
        <v>2467</v>
      </c>
    </row>
    <row r="21" customFormat="false" ht="15" hidden="false" customHeight="true" outlineLevel="0" collapsed="false">
      <c r="A21" s="1" t="s">
        <v>72</v>
      </c>
      <c r="B21" s="1" t="s">
        <v>2467</v>
      </c>
    </row>
    <row r="22" customFormat="false" ht="15" hidden="false" customHeight="true" outlineLevel="0" collapsed="false">
      <c r="A22" s="1" t="s">
        <v>79</v>
      </c>
      <c r="B22" s="1" t="s">
        <v>2467</v>
      </c>
    </row>
    <row r="23" customFormat="false" ht="15" hidden="false" customHeight="true" outlineLevel="0" collapsed="false">
      <c r="A23" s="1" t="s">
        <v>85</v>
      </c>
      <c r="B23" s="1" t="s">
        <v>2467</v>
      </c>
    </row>
    <row r="24" customFormat="false" ht="15" hidden="false" customHeight="true" outlineLevel="0" collapsed="false">
      <c r="A24" s="1" t="s">
        <v>90</v>
      </c>
      <c r="B24" s="1" t="s">
        <v>2467</v>
      </c>
    </row>
    <row r="25" customFormat="false" ht="15" hidden="false" customHeight="true" outlineLevel="0" collapsed="false">
      <c r="A25" s="1" t="s">
        <v>98</v>
      </c>
      <c r="B25" s="1" t="s">
        <v>2467</v>
      </c>
    </row>
    <row r="26" customFormat="false" ht="15" hidden="false" customHeight="true" outlineLevel="0" collapsed="false">
      <c r="A26" s="1" t="s">
        <v>106</v>
      </c>
      <c r="B26" s="1" t="s">
        <v>2467</v>
      </c>
    </row>
    <row r="27" customFormat="false" ht="15" hidden="false" customHeight="true" outlineLevel="0" collapsed="false">
      <c r="A27" s="1" t="s">
        <v>114</v>
      </c>
      <c r="B27" s="1" t="s">
        <v>2467</v>
      </c>
    </row>
    <row r="28" customFormat="false" ht="15" hidden="false" customHeight="true" outlineLevel="0" collapsed="false">
      <c r="A28" s="1" t="s">
        <v>119</v>
      </c>
      <c r="B28" s="1" t="s">
        <v>2467</v>
      </c>
    </row>
    <row r="29" customFormat="false" ht="15" hidden="false" customHeight="true" outlineLevel="0" collapsed="false">
      <c r="A29" s="1" t="s">
        <v>125</v>
      </c>
      <c r="B29" s="1" t="s">
        <v>2467</v>
      </c>
    </row>
    <row r="30" customFormat="false" ht="15" hidden="false" customHeight="true" outlineLevel="0" collapsed="false">
      <c r="A30" s="1" t="s">
        <v>131</v>
      </c>
      <c r="B30" s="1" t="s">
        <v>2467</v>
      </c>
    </row>
    <row r="31" customFormat="false" ht="15" hidden="false" customHeight="true" outlineLevel="0" collapsed="false">
      <c r="A31" s="1" t="s">
        <v>138</v>
      </c>
      <c r="B31" s="1" t="s">
        <v>2467</v>
      </c>
    </row>
    <row r="32" customFormat="false" ht="15" hidden="false" customHeight="true" outlineLevel="0" collapsed="false">
      <c r="A32" s="1" t="s">
        <v>142</v>
      </c>
      <c r="B32" s="1" t="s">
        <v>2467</v>
      </c>
    </row>
    <row r="33" customFormat="false" ht="15" hidden="false" customHeight="true" outlineLevel="0" collapsed="false">
      <c r="A33" s="1" t="s">
        <v>149</v>
      </c>
      <c r="B33" s="1" t="s">
        <v>2467</v>
      </c>
    </row>
    <row r="34" customFormat="false" ht="15" hidden="false" customHeight="true" outlineLevel="0" collapsed="false">
      <c r="A34" s="1" t="s">
        <v>156</v>
      </c>
      <c r="B34" s="1" t="s">
        <v>2467</v>
      </c>
    </row>
    <row r="35" customFormat="false" ht="15" hidden="false" customHeight="true" outlineLevel="0" collapsed="false">
      <c r="A35" s="1" t="s">
        <v>163</v>
      </c>
      <c r="B35" s="1" t="s">
        <v>2467</v>
      </c>
    </row>
    <row r="36" customFormat="false" ht="15" hidden="false" customHeight="true" outlineLevel="0" collapsed="false">
      <c r="A36" s="1" t="s">
        <v>170</v>
      </c>
      <c r="B36" s="1" t="s">
        <v>2467</v>
      </c>
    </row>
    <row r="37" customFormat="false" ht="15" hidden="false" customHeight="true" outlineLevel="0" collapsed="false">
      <c r="A37" s="1" t="s">
        <v>176</v>
      </c>
      <c r="B37" s="1" t="s">
        <v>2467</v>
      </c>
    </row>
    <row r="38" customFormat="false" ht="15" hidden="false" customHeight="true" outlineLevel="0" collapsed="false">
      <c r="A38" s="1" t="s">
        <v>180</v>
      </c>
      <c r="B38" s="1" t="s">
        <v>2467</v>
      </c>
    </row>
    <row r="39" customFormat="false" ht="15" hidden="false" customHeight="true" outlineLevel="0" collapsed="false">
      <c r="A39" s="1" t="s">
        <v>187</v>
      </c>
      <c r="B39" s="1" t="s">
        <v>2467</v>
      </c>
    </row>
    <row r="40" customFormat="false" ht="15" hidden="false" customHeight="true" outlineLevel="0" collapsed="false">
      <c r="A40" s="1" t="s">
        <v>192</v>
      </c>
      <c r="B40" s="1" t="s">
        <v>2467</v>
      </c>
    </row>
    <row r="41" customFormat="false" ht="15" hidden="false" customHeight="true" outlineLevel="0" collapsed="false">
      <c r="A41" s="1" t="s">
        <v>196</v>
      </c>
      <c r="B41" s="1" t="s">
        <v>2467</v>
      </c>
    </row>
    <row r="42" customFormat="false" ht="15" hidden="false" customHeight="true" outlineLevel="0" collapsed="false">
      <c r="A42" s="1" t="s">
        <v>201</v>
      </c>
      <c r="B42" s="1" t="s">
        <v>2467</v>
      </c>
    </row>
    <row r="43" customFormat="false" ht="15" hidden="false" customHeight="true" outlineLevel="0" collapsed="false">
      <c r="A43" s="1" t="s">
        <v>206</v>
      </c>
      <c r="B43" s="1" t="s">
        <v>2467</v>
      </c>
    </row>
    <row r="44" customFormat="false" ht="15" hidden="false" customHeight="true" outlineLevel="0" collapsed="false">
      <c r="A44" s="1" t="s">
        <v>211</v>
      </c>
      <c r="B44" s="1" t="s">
        <v>2467</v>
      </c>
    </row>
    <row r="45" customFormat="false" ht="15" hidden="false" customHeight="true" outlineLevel="0" collapsed="false">
      <c r="A45" s="1" t="s">
        <v>214</v>
      </c>
      <c r="B45" s="1" t="s">
        <v>2467</v>
      </c>
    </row>
    <row r="46" customFormat="false" ht="15" hidden="false" customHeight="true" outlineLevel="0" collapsed="false">
      <c r="A46" s="1" t="s">
        <v>221</v>
      </c>
      <c r="B46" s="1" t="s">
        <v>2467</v>
      </c>
    </row>
    <row r="47" customFormat="false" ht="15" hidden="false" customHeight="true" outlineLevel="0" collapsed="false">
      <c r="A47" s="1" t="s">
        <v>226</v>
      </c>
      <c r="B47" s="1" t="s">
        <v>2467</v>
      </c>
    </row>
    <row r="48" customFormat="false" ht="15" hidden="false" customHeight="true" outlineLevel="0" collapsed="false">
      <c r="A48" s="1" t="s">
        <v>229</v>
      </c>
      <c r="B48" s="1" t="s">
        <v>2467</v>
      </c>
    </row>
    <row r="49" customFormat="false" ht="15" hidden="false" customHeight="true" outlineLevel="0" collapsed="false">
      <c r="A49" s="1" t="s">
        <v>236</v>
      </c>
      <c r="B49" s="1" t="s">
        <v>2467</v>
      </c>
    </row>
    <row r="50" customFormat="false" ht="15" hidden="false" customHeight="true" outlineLevel="0" collapsed="false">
      <c r="A50" s="1" t="s">
        <v>241</v>
      </c>
      <c r="B50" s="1" t="s">
        <v>2467</v>
      </c>
    </row>
    <row r="51" customFormat="false" ht="15" hidden="false" customHeight="true" outlineLevel="0" collapsed="false">
      <c r="A51" s="1" t="s">
        <v>249</v>
      </c>
      <c r="B51" s="1" t="s">
        <v>2467</v>
      </c>
    </row>
    <row r="52" customFormat="false" ht="15" hidden="false" customHeight="true" outlineLevel="0" collapsed="false">
      <c r="A52" s="1" t="s">
        <v>255</v>
      </c>
      <c r="B52" s="1" t="s">
        <v>2467</v>
      </c>
    </row>
    <row r="53" customFormat="false" ht="15" hidden="false" customHeight="true" outlineLevel="0" collapsed="false">
      <c r="A53" s="1" t="s">
        <v>261</v>
      </c>
      <c r="B53" s="1" t="s">
        <v>2467</v>
      </c>
    </row>
    <row r="54" customFormat="false" ht="15" hidden="false" customHeight="true" outlineLevel="0" collapsed="false">
      <c r="A54" s="1" t="s">
        <v>267</v>
      </c>
      <c r="B54" s="1" t="s">
        <v>2467</v>
      </c>
    </row>
    <row r="55" customFormat="false" ht="15" hidden="false" customHeight="true" outlineLevel="0" collapsed="false">
      <c r="A55" s="1" t="s">
        <v>275</v>
      </c>
      <c r="B55" s="1" t="s">
        <v>2467</v>
      </c>
    </row>
    <row r="56" customFormat="false" ht="15" hidden="false" customHeight="true" outlineLevel="0" collapsed="false">
      <c r="A56" s="1" t="s">
        <v>283</v>
      </c>
      <c r="B56" s="1" t="s">
        <v>2467</v>
      </c>
    </row>
    <row r="57" customFormat="false" ht="15" hidden="false" customHeight="true" outlineLevel="0" collapsed="false">
      <c r="A57" s="1" t="s">
        <v>290</v>
      </c>
      <c r="B57" s="1" t="s">
        <v>2467</v>
      </c>
    </row>
    <row r="58" customFormat="false" ht="15" hidden="false" customHeight="true" outlineLevel="0" collapsed="false">
      <c r="A58" s="1" t="s">
        <v>294</v>
      </c>
      <c r="B58" s="1" t="s">
        <v>2467</v>
      </c>
    </row>
    <row r="59" customFormat="false" ht="15" hidden="false" customHeight="true" outlineLevel="0" collapsed="false">
      <c r="A59" s="1" t="s">
        <v>301</v>
      </c>
      <c r="B59" s="1" t="s">
        <v>2467</v>
      </c>
    </row>
    <row r="60" customFormat="false" ht="15" hidden="false" customHeight="true" outlineLevel="0" collapsed="false">
      <c r="A60" s="1" t="s">
        <v>305</v>
      </c>
      <c r="B60" s="1" t="s">
        <v>2467</v>
      </c>
    </row>
    <row r="61" customFormat="false" ht="15" hidden="false" customHeight="true" outlineLevel="0" collapsed="false">
      <c r="A61" s="1" t="s">
        <v>310</v>
      </c>
      <c r="B61" s="1" t="s">
        <v>2467</v>
      </c>
    </row>
    <row r="62" customFormat="false" ht="15" hidden="false" customHeight="true" outlineLevel="0" collapsed="false">
      <c r="A62" s="1" t="s">
        <v>316</v>
      </c>
      <c r="B62" s="1" t="s">
        <v>2467</v>
      </c>
    </row>
    <row r="63" customFormat="false" ht="15" hidden="false" customHeight="true" outlineLevel="0" collapsed="false">
      <c r="A63" s="1" t="s">
        <v>322</v>
      </c>
      <c r="B63" s="1" t="s">
        <v>2467</v>
      </c>
    </row>
    <row r="64" customFormat="false" ht="15" hidden="false" customHeight="true" outlineLevel="0" collapsed="false">
      <c r="A64" s="1" t="s">
        <v>327</v>
      </c>
      <c r="B64" s="1" t="s">
        <v>2467</v>
      </c>
    </row>
    <row r="65" customFormat="false" ht="15" hidden="false" customHeight="true" outlineLevel="0" collapsed="false">
      <c r="A65" s="1" t="s">
        <v>332</v>
      </c>
      <c r="B65" s="1" t="s">
        <v>2467</v>
      </c>
    </row>
    <row r="66" customFormat="false" ht="15" hidden="false" customHeight="true" outlineLevel="0" collapsed="false">
      <c r="A66" s="1" t="s">
        <v>339</v>
      </c>
      <c r="B66" s="1" t="s">
        <v>2467</v>
      </c>
    </row>
    <row r="67" customFormat="false" ht="15" hidden="false" customHeight="true" outlineLevel="0" collapsed="false">
      <c r="A67" s="1" t="s">
        <v>344</v>
      </c>
      <c r="B67" s="1" t="s">
        <v>2467</v>
      </c>
    </row>
    <row r="68" customFormat="false" ht="15" hidden="false" customHeight="true" outlineLevel="0" collapsed="false">
      <c r="A68" s="1" t="s">
        <v>347</v>
      </c>
      <c r="B68" s="1" t="s">
        <v>2467</v>
      </c>
    </row>
    <row r="69" customFormat="false" ht="15" hidden="false" customHeight="true" outlineLevel="0" collapsed="false">
      <c r="A69" s="1" t="s">
        <v>352</v>
      </c>
      <c r="B69" s="1" t="s">
        <v>2467</v>
      </c>
    </row>
    <row r="70" customFormat="false" ht="15" hidden="false" customHeight="true" outlineLevel="0" collapsed="false">
      <c r="A70" s="1" t="s">
        <v>356</v>
      </c>
      <c r="B70" s="1" t="s">
        <v>2467</v>
      </c>
    </row>
    <row r="71" customFormat="false" ht="15" hidden="false" customHeight="true" outlineLevel="0" collapsed="false">
      <c r="A71" s="1" t="s">
        <v>361</v>
      </c>
      <c r="B71" s="1" t="s">
        <v>2467</v>
      </c>
    </row>
    <row r="72" customFormat="false" ht="15" hidden="false" customHeight="true" outlineLevel="0" collapsed="false">
      <c r="A72" s="1" t="s">
        <v>366</v>
      </c>
      <c r="B72" s="1" t="s">
        <v>2467</v>
      </c>
    </row>
    <row r="73" customFormat="false" ht="15" hidden="false" customHeight="true" outlineLevel="0" collapsed="false">
      <c r="A73" s="1" t="s">
        <v>370</v>
      </c>
      <c r="B73" s="1" t="s">
        <v>2467</v>
      </c>
    </row>
    <row r="74" customFormat="false" ht="15" hidden="false" customHeight="true" outlineLevel="0" collapsed="false">
      <c r="A74" s="1" t="s">
        <v>374</v>
      </c>
      <c r="B74" s="1" t="s">
        <v>2467</v>
      </c>
    </row>
    <row r="75" customFormat="false" ht="15" hidden="false" customHeight="true" outlineLevel="0" collapsed="false">
      <c r="A75" s="1" t="s">
        <v>378</v>
      </c>
      <c r="B75" s="1" t="s">
        <v>2467</v>
      </c>
    </row>
    <row r="76" customFormat="false" ht="15" hidden="false" customHeight="true" outlineLevel="0" collapsed="false">
      <c r="A76" s="1" t="s">
        <v>382</v>
      </c>
      <c r="B76" s="1" t="s">
        <v>2467</v>
      </c>
    </row>
    <row r="77" customFormat="false" ht="15" hidden="false" customHeight="true" outlineLevel="0" collapsed="false">
      <c r="A77" s="1" t="s">
        <v>386</v>
      </c>
      <c r="B77" s="1" t="s">
        <v>2467</v>
      </c>
    </row>
    <row r="78" customFormat="false" ht="15" hidden="false" customHeight="true" outlineLevel="0" collapsed="false">
      <c r="A78" s="1" t="s">
        <v>390</v>
      </c>
      <c r="B78" s="1" t="s">
        <v>2467</v>
      </c>
    </row>
    <row r="79" customFormat="false" ht="15" hidden="false" customHeight="true" outlineLevel="0" collapsed="false">
      <c r="A79" s="1" t="s">
        <v>394</v>
      </c>
      <c r="B79" s="1" t="s">
        <v>2467</v>
      </c>
    </row>
    <row r="80" customFormat="false" ht="15" hidden="false" customHeight="true" outlineLevel="0" collapsed="false">
      <c r="A80" s="1" t="s">
        <v>398</v>
      </c>
      <c r="B80" s="1" t="s">
        <v>2467</v>
      </c>
    </row>
    <row r="81" customFormat="false" ht="15" hidden="false" customHeight="true" outlineLevel="0" collapsed="false">
      <c r="A81" s="1" t="s">
        <v>404</v>
      </c>
      <c r="B81" s="1" t="s">
        <v>2467</v>
      </c>
    </row>
    <row r="82" customFormat="false" ht="15" hidden="false" customHeight="true" outlineLevel="0" collapsed="false">
      <c r="A82" s="1" t="s">
        <v>410</v>
      </c>
      <c r="B82" s="1" t="s">
        <v>2467</v>
      </c>
    </row>
    <row r="83" customFormat="false" ht="15" hidden="false" customHeight="true" outlineLevel="0" collapsed="false">
      <c r="A83" s="1" t="s">
        <v>414</v>
      </c>
      <c r="B83" s="1" t="s">
        <v>2467</v>
      </c>
    </row>
    <row r="84" customFormat="false" ht="15" hidden="false" customHeight="true" outlineLevel="0" collapsed="false">
      <c r="A84" s="1" t="s">
        <v>418</v>
      </c>
      <c r="B84" s="1" t="s">
        <v>2467</v>
      </c>
    </row>
    <row r="85" customFormat="false" ht="15" hidden="false" customHeight="true" outlineLevel="0" collapsed="false">
      <c r="A85" s="1" t="s">
        <v>424</v>
      </c>
      <c r="B85" s="1" t="s">
        <v>2467</v>
      </c>
    </row>
    <row r="86" customFormat="false" ht="15" hidden="false" customHeight="true" outlineLevel="0" collapsed="false">
      <c r="A86" s="1" t="s">
        <v>429</v>
      </c>
      <c r="B86" s="1" t="s">
        <v>2467</v>
      </c>
    </row>
    <row r="87" customFormat="false" ht="15" hidden="false" customHeight="true" outlineLevel="0" collapsed="false">
      <c r="A87" s="1" t="s">
        <v>433</v>
      </c>
      <c r="B87" s="1" t="s">
        <v>2467</v>
      </c>
    </row>
    <row r="88" customFormat="false" ht="15" hidden="false" customHeight="true" outlineLevel="0" collapsed="false">
      <c r="A88" s="1" t="s">
        <v>437</v>
      </c>
      <c r="B88" s="1" t="s">
        <v>2467</v>
      </c>
    </row>
    <row r="89" customFormat="false" ht="15" hidden="false" customHeight="true" outlineLevel="0" collapsed="false">
      <c r="A89" s="1" t="s">
        <v>441</v>
      </c>
      <c r="B89" s="1" t="s">
        <v>2467</v>
      </c>
    </row>
    <row r="90" customFormat="false" ht="15" hidden="false" customHeight="true" outlineLevel="0" collapsed="false">
      <c r="A90" s="1" t="s">
        <v>445</v>
      </c>
      <c r="B90" s="1" t="s">
        <v>2467</v>
      </c>
    </row>
    <row r="91" customFormat="false" ht="15" hidden="false" customHeight="true" outlineLevel="0" collapsed="false">
      <c r="A91" s="1" t="s">
        <v>451</v>
      </c>
      <c r="B91" s="1" t="s">
        <v>2467</v>
      </c>
    </row>
    <row r="92" customFormat="false" ht="15" hidden="false" customHeight="true" outlineLevel="0" collapsed="false">
      <c r="A92" s="1" t="s">
        <v>456</v>
      </c>
      <c r="B92" s="1" t="s">
        <v>2467</v>
      </c>
    </row>
    <row r="93" customFormat="false" ht="15" hidden="false" customHeight="true" outlineLevel="0" collapsed="false">
      <c r="A93" s="1" t="s">
        <v>461</v>
      </c>
      <c r="B93" s="1" t="s">
        <v>2467</v>
      </c>
    </row>
    <row r="94" customFormat="false" ht="15" hidden="false" customHeight="true" outlineLevel="0" collapsed="false">
      <c r="A94" s="1" t="s">
        <v>466</v>
      </c>
      <c r="B94" s="1" t="s">
        <v>2467</v>
      </c>
    </row>
    <row r="95" customFormat="false" ht="15" hidden="false" customHeight="true" outlineLevel="0" collapsed="false">
      <c r="A95" s="1" t="s">
        <v>471</v>
      </c>
      <c r="B95" s="1" t="s">
        <v>2467</v>
      </c>
    </row>
    <row r="96" customFormat="false" ht="15" hidden="false" customHeight="true" outlineLevel="0" collapsed="false">
      <c r="A96" s="1" t="s">
        <v>475</v>
      </c>
      <c r="B96" s="1" t="s">
        <v>2467</v>
      </c>
    </row>
    <row r="97" customFormat="false" ht="15" hidden="false" customHeight="true" outlineLevel="0" collapsed="false">
      <c r="A97" s="1" t="s">
        <v>481</v>
      </c>
      <c r="B97" s="1" t="s">
        <v>2467</v>
      </c>
    </row>
    <row r="98" customFormat="false" ht="15" hidden="false" customHeight="true" outlineLevel="0" collapsed="false">
      <c r="A98" s="1" t="s">
        <v>486</v>
      </c>
      <c r="B98" s="1" t="s">
        <v>2467</v>
      </c>
    </row>
    <row r="99" customFormat="false" ht="15" hidden="false" customHeight="true" outlineLevel="0" collapsed="false">
      <c r="A99" s="1" t="s">
        <v>491</v>
      </c>
      <c r="B99" s="1" t="s">
        <v>2467</v>
      </c>
    </row>
    <row r="100" customFormat="false" ht="15" hidden="false" customHeight="true" outlineLevel="0" collapsed="false">
      <c r="A100" s="1" t="s">
        <v>495</v>
      </c>
      <c r="B100" s="1" t="s">
        <v>2467</v>
      </c>
    </row>
    <row r="101" customFormat="false" ht="15" hidden="false" customHeight="true" outlineLevel="0" collapsed="false">
      <c r="A101" s="1" t="s">
        <v>502</v>
      </c>
      <c r="B101" s="1" t="s">
        <v>2467</v>
      </c>
    </row>
    <row r="102" customFormat="false" ht="15" hidden="false" customHeight="true" outlineLevel="0" collapsed="false">
      <c r="A102" s="1" t="s">
        <v>508</v>
      </c>
      <c r="B102" s="1" t="s">
        <v>2467</v>
      </c>
    </row>
    <row r="103" customFormat="false" ht="15" hidden="false" customHeight="true" outlineLevel="0" collapsed="false">
      <c r="A103" s="1" t="s">
        <v>512</v>
      </c>
      <c r="B103" s="1" t="s">
        <v>2467</v>
      </c>
    </row>
    <row r="104" customFormat="false" ht="15" hidden="false" customHeight="true" outlineLevel="0" collapsed="false">
      <c r="A104" s="1" t="s">
        <v>516</v>
      </c>
      <c r="B104" s="1" t="s">
        <v>2467</v>
      </c>
    </row>
    <row r="105" customFormat="false" ht="15" hidden="false" customHeight="true" outlineLevel="0" collapsed="false">
      <c r="A105" s="1" t="s">
        <v>520</v>
      </c>
      <c r="B105" s="1" t="s">
        <v>2467</v>
      </c>
    </row>
    <row r="106" customFormat="false" ht="15" hidden="false" customHeight="true" outlineLevel="0" collapsed="false">
      <c r="A106" s="1" t="s">
        <v>524</v>
      </c>
      <c r="B106" s="1" t="s">
        <v>2467</v>
      </c>
    </row>
    <row r="107" customFormat="false" ht="15" hidden="false" customHeight="true" outlineLevel="0" collapsed="false">
      <c r="A107" s="1" t="s">
        <v>530</v>
      </c>
      <c r="B107" s="1" t="s">
        <v>2467</v>
      </c>
    </row>
    <row r="108" customFormat="false" ht="15" hidden="false" customHeight="true" outlineLevel="0" collapsed="false">
      <c r="A108" s="1" t="s">
        <v>534</v>
      </c>
      <c r="B108" s="1" t="s">
        <v>2467</v>
      </c>
    </row>
    <row r="109" customFormat="false" ht="15" hidden="false" customHeight="true" outlineLevel="0" collapsed="false">
      <c r="A109" s="1" t="s">
        <v>539</v>
      </c>
      <c r="B109" s="1" t="s">
        <v>2467</v>
      </c>
    </row>
    <row r="110" customFormat="false" ht="15" hidden="false" customHeight="true" outlineLevel="0" collapsed="false">
      <c r="A110" s="1" t="s">
        <v>543</v>
      </c>
      <c r="B110" s="1" t="s">
        <v>2467</v>
      </c>
    </row>
    <row r="111" customFormat="false" ht="15" hidden="false" customHeight="true" outlineLevel="0" collapsed="false">
      <c r="A111" s="1" t="s">
        <v>548</v>
      </c>
      <c r="B111" s="1" t="s">
        <v>2467</v>
      </c>
    </row>
    <row r="112" customFormat="false" ht="15" hidden="false" customHeight="true" outlineLevel="0" collapsed="false">
      <c r="A112" s="1" t="s">
        <v>552</v>
      </c>
      <c r="B112" s="1" t="s">
        <v>2467</v>
      </c>
    </row>
    <row r="113" customFormat="false" ht="15" hidden="false" customHeight="true" outlineLevel="0" collapsed="false">
      <c r="A113" s="1" t="s">
        <v>557</v>
      </c>
      <c r="B113" s="1" t="s">
        <v>2467</v>
      </c>
    </row>
    <row r="114" customFormat="false" ht="15" hidden="false" customHeight="true" outlineLevel="0" collapsed="false">
      <c r="A114" s="1" t="s">
        <v>561</v>
      </c>
      <c r="B114" s="1" t="s">
        <v>2467</v>
      </c>
    </row>
    <row r="115" customFormat="false" ht="15" hidden="false" customHeight="true" outlineLevel="0" collapsed="false">
      <c r="A115" s="1" t="s">
        <v>569</v>
      </c>
      <c r="B115" s="1" t="s">
        <v>2467</v>
      </c>
    </row>
    <row r="116" customFormat="false" ht="15" hidden="false" customHeight="true" outlineLevel="0" collapsed="false">
      <c r="A116" s="1" t="s">
        <v>574</v>
      </c>
      <c r="B116" s="1" t="s">
        <v>2467</v>
      </c>
    </row>
    <row r="117" customFormat="false" ht="15" hidden="false" customHeight="true" outlineLevel="0" collapsed="false">
      <c r="A117" s="1" t="s">
        <v>579</v>
      </c>
      <c r="B117" s="1" t="s">
        <v>2467</v>
      </c>
    </row>
    <row r="118" customFormat="false" ht="15" hidden="false" customHeight="true" outlineLevel="0" collapsed="false">
      <c r="A118" s="1" t="s">
        <v>583</v>
      </c>
      <c r="B118" s="1" t="s">
        <v>2467</v>
      </c>
    </row>
    <row r="119" customFormat="false" ht="15" hidden="false" customHeight="true" outlineLevel="0" collapsed="false">
      <c r="A119" s="1" t="s">
        <v>588</v>
      </c>
      <c r="B119" s="1" t="s">
        <v>2467</v>
      </c>
    </row>
    <row r="120" customFormat="false" ht="15" hidden="false" customHeight="true" outlineLevel="0" collapsed="false">
      <c r="A120" s="1" t="s">
        <v>593</v>
      </c>
      <c r="B120" s="1" t="s">
        <v>2467</v>
      </c>
    </row>
    <row r="121" customFormat="false" ht="15" hidden="false" customHeight="true" outlineLevel="0" collapsed="false">
      <c r="A121" s="1" t="s">
        <v>596</v>
      </c>
      <c r="B121" s="1" t="s">
        <v>2467</v>
      </c>
    </row>
    <row r="122" customFormat="false" ht="15" hidden="false" customHeight="true" outlineLevel="0" collapsed="false">
      <c r="A122" s="1" t="s">
        <v>600</v>
      </c>
      <c r="B122" s="1" t="s">
        <v>2467</v>
      </c>
    </row>
    <row r="123" customFormat="false" ht="15" hidden="false" customHeight="true" outlineLevel="0" collapsed="false">
      <c r="A123" s="1" t="s">
        <v>604</v>
      </c>
      <c r="B123" s="1" t="s">
        <v>2467</v>
      </c>
    </row>
    <row r="124" customFormat="false" ht="15" hidden="false" customHeight="true" outlineLevel="0" collapsed="false">
      <c r="A124" s="1" t="s">
        <v>609</v>
      </c>
      <c r="B124" s="1" t="s">
        <v>2467</v>
      </c>
    </row>
    <row r="125" customFormat="false" ht="15" hidden="false" customHeight="true" outlineLevel="0" collapsed="false">
      <c r="A125" s="1" t="s">
        <v>613</v>
      </c>
      <c r="B125" s="1" t="s">
        <v>2467</v>
      </c>
    </row>
    <row r="126" customFormat="false" ht="15" hidden="false" customHeight="true" outlineLevel="0" collapsed="false">
      <c r="A126" s="1" t="s">
        <v>618</v>
      </c>
      <c r="B126" s="1" t="s">
        <v>2467</v>
      </c>
    </row>
    <row r="127" customFormat="false" ht="15" hidden="false" customHeight="true" outlineLevel="0" collapsed="false">
      <c r="A127" s="1" t="s">
        <v>624</v>
      </c>
      <c r="B127" s="1" t="s">
        <v>2467</v>
      </c>
    </row>
    <row r="128" customFormat="false" ht="15" hidden="false" customHeight="true" outlineLevel="0" collapsed="false">
      <c r="A128" s="1" t="s">
        <v>628</v>
      </c>
      <c r="B128" s="1" t="s">
        <v>2467</v>
      </c>
    </row>
    <row r="129" customFormat="false" ht="15" hidden="false" customHeight="true" outlineLevel="0" collapsed="false">
      <c r="A129" s="1" t="s">
        <v>632</v>
      </c>
      <c r="B129" s="1" t="s">
        <v>2467</v>
      </c>
    </row>
    <row r="130" customFormat="false" ht="15" hidden="false" customHeight="true" outlineLevel="0" collapsed="false">
      <c r="A130" s="1" t="s">
        <v>636</v>
      </c>
      <c r="B130" s="1" t="s">
        <v>2467</v>
      </c>
    </row>
    <row r="131" customFormat="false" ht="15" hidden="false" customHeight="true" outlineLevel="0" collapsed="false">
      <c r="A131" s="1" t="s">
        <v>641</v>
      </c>
      <c r="B131" s="1" t="s">
        <v>2467</v>
      </c>
    </row>
    <row r="132" customFormat="false" ht="15" hidden="false" customHeight="true" outlineLevel="0" collapsed="false">
      <c r="A132" s="1" t="s">
        <v>646</v>
      </c>
      <c r="B132" s="1" t="s">
        <v>2467</v>
      </c>
    </row>
    <row r="133" customFormat="false" ht="15" hidden="false" customHeight="true" outlineLevel="0" collapsed="false">
      <c r="A133" s="1" t="s">
        <v>651</v>
      </c>
      <c r="B133" s="1" t="s">
        <v>2467</v>
      </c>
    </row>
    <row r="134" customFormat="false" ht="15" hidden="false" customHeight="true" outlineLevel="0" collapsed="false">
      <c r="A134" s="1" t="s">
        <v>656</v>
      </c>
      <c r="B134" s="1" t="s">
        <v>2467</v>
      </c>
    </row>
    <row r="135" customFormat="false" ht="15" hidden="false" customHeight="true" outlineLevel="0" collapsed="false">
      <c r="A135" s="1" t="s">
        <v>659</v>
      </c>
      <c r="B135" s="1" t="s">
        <v>2467</v>
      </c>
    </row>
    <row r="136" customFormat="false" ht="15" hidden="false" customHeight="true" outlineLevel="0" collapsed="false">
      <c r="A136" s="1" t="s">
        <v>661</v>
      </c>
      <c r="B136" s="1" t="s">
        <v>2467</v>
      </c>
    </row>
    <row r="137" customFormat="false" ht="15" hidden="false" customHeight="true" outlineLevel="0" collapsed="false">
      <c r="A137" s="1" t="s">
        <v>662</v>
      </c>
      <c r="B137" s="1" t="s">
        <v>2467</v>
      </c>
    </row>
    <row r="138" customFormat="false" ht="15" hidden="false" customHeight="true" outlineLevel="0" collapsed="false">
      <c r="A138" s="1" t="s">
        <v>664</v>
      </c>
      <c r="B138" s="1" t="s">
        <v>2467</v>
      </c>
    </row>
    <row r="139" customFormat="false" ht="15" hidden="false" customHeight="true" outlineLevel="0" collapsed="false">
      <c r="A139" s="1" t="s">
        <v>666</v>
      </c>
      <c r="B139" s="1" t="s">
        <v>2467</v>
      </c>
    </row>
    <row r="140" customFormat="false" ht="15" hidden="false" customHeight="true" outlineLevel="0" collapsed="false">
      <c r="A140" s="1" t="s">
        <v>667</v>
      </c>
      <c r="B140" s="1" t="s">
        <v>2467</v>
      </c>
    </row>
    <row r="141" customFormat="false" ht="15" hidden="false" customHeight="true" outlineLevel="0" collapsed="false">
      <c r="A141" s="1" t="s">
        <v>669</v>
      </c>
      <c r="B141" s="1" t="s">
        <v>2467</v>
      </c>
    </row>
    <row r="142" customFormat="false" ht="15" hidden="false" customHeight="true" outlineLevel="0" collapsed="false">
      <c r="A142" s="1" t="s">
        <v>670</v>
      </c>
      <c r="B142" s="1" t="s">
        <v>2467</v>
      </c>
    </row>
    <row r="143" customFormat="false" ht="15" hidden="false" customHeight="true" outlineLevel="0" collapsed="false">
      <c r="A143" s="1" t="s">
        <v>671</v>
      </c>
      <c r="B143" s="1" t="s">
        <v>2467</v>
      </c>
    </row>
    <row r="144" customFormat="false" ht="15" hidden="false" customHeight="true" outlineLevel="0" collapsed="false">
      <c r="A144" s="1" t="s">
        <v>673</v>
      </c>
      <c r="B144" s="1" t="s">
        <v>2467</v>
      </c>
    </row>
    <row r="145" customFormat="false" ht="15" hidden="false" customHeight="true" outlineLevel="0" collapsed="false">
      <c r="A145" s="1" t="s">
        <v>674</v>
      </c>
      <c r="B145" s="1" t="s">
        <v>2467</v>
      </c>
    </row>
    <row r="146" customFormat="false" ht="15" hidden="false" customHeight="true" outlineLevel="0" collapsed="false">
      <c r="A146" s="1" t="s">
        <v>675</v>
      </c>
      <c r="B146" s="1" t="s">
        <v>2467</v>
      </c>
    </row>
    <row r="147" customFormat="false" ht="15" hidden="false" customHeight="true" outlineLevel="0" collapsed="false">
      <c r="A147" s="1" t="s">
        <v>676</v>
      </c>
      <c r="B147" s="1" t="s">
        <v>2467</v>
      </c>
    </row>
    <row r="148" customFormat="false" ht="15" hidden="false" customHeight="true" outlineLevel="0" collapsed="false">
      <c r="A148" s="1" t="s">
        <v>677</v>
      </c>
      <c r="B148" s="1" t="s">
        <v>2467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2026-06-23T09:48:45Z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